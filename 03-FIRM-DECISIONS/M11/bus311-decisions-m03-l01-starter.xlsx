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1212bf62b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50b1c471c504654"/>
    <x:sheet xmlns:r="http://schemas.openxmlformats.org/officeDocument/2006/relationships" name="Inputs" sheetId="2" r:id="Rf869adb9f99b4daa"/>
    <x:sheet xmlns:r="http://schemas.openxmlformats.org/officeDocument/2006/relationships" name="Cashflow by Project" sheetId="3" r:id="Rba405810911a4ec6"/>
    <x:sheet xmlns:r="http://schemas.openxmlformats.org/officeDocument/2006/relationships" name="BUS311 Guide" sheetId="4" r:id="R2559f0722e6f43ac"/>
  </x:sheets>
  <x:definedNames>
    <x:definedName name="WACC">Inputs!$B$26</x:definedName>
  </x:definedNames>
</x:workbook>
</file>

<file path=xl/sharedStrings.xml><?xml version="1.0" encoding="utf-8"?>
<x:sst xmlns:x="http://schemas.openxmlformats.org/spreadsheetml/2006/main">
  <x:si>
    <x:t xml:space="preserve">📘 Corporate Project Decision Activity (WACC &amp; Metrics)</x:t>
  </x:si>
  <x:si>
    <x:t xml:space="preserve">Objective</x:t>
  </x:si>
  <x:si>
    <x:t xml:space="preserve">Use weighted average cost of capital (WACC) and project appraisal metrics (NPV, IRR,  Payback,  Profitability Index) to decide which project(s) a corporation should undertake.</x:t>
  </x:si>
  <x:si>
    <x:t xml:space="preserve">What you will do:</x:t>
  </x:si>
  <x:si>
    <x:t xml:space="preserve">1) Go to the 'Inputs' sheet and set capital structure &amp; rate assumptions (risk‑free rate, beta, market risk premium, tax rate, etc.).</x:t>
  </x:si>
  <x:si>
    <x:t xml:space="preserve">2) Calculate the WACC</x:t>
  </x:si>
  <x:si>
    <x:t xml:space="preserve">3) Go to the 'Cashflow Projects' sheet. Review three sample projects and their cash flows</x:t>
  </x:si>
  <x:si>
    <x:t xml:space="preserve">4) Calculate the Cumulative Cashflow &amp; the NPV, IRR,  Payback, and Profitabiltiy Index for each project using the WACC as the hurdle rate.</x:t>
  </x:si>
  <x:si>
    <x:t xml:space="preserve">5) Decide which project(s) to accept or reject</x:t>
  </x:si>
  <x:si>
    <x:t xml:space="preserve">Corporate Finance </x:t>
  </x:si>
  <x:si>
    <x:t xml:space="preserve">Fill in the boxes in Yellow</x:t>
  </x:si>
  <x:si>
    <x:t xml:space="preserve">Risk-free rate (Rf)</x:t>
  </x:si>
  <x:si>
    <x:t xml:space="preserve">Market Risk (MR)</x:t>
  </x:si>
  <x:si>
    <x:t xml:space="preserve">Market risk premium (MRP)</x:t>
  </x:si>
  <x:si>
    <x:t xml:space="preserve">Equity beta (β)</x:t>
  </x:si>
  <x:si>
    <x:t xml:space="preserve">Cost of Equity (k_e) = Rf + β×MRP</x:t>
  </x:si>
  <x:si>
    <x:t xml:space="preserve">Preferred dividend (per share)</x:t>
  </x:si>
  <x:si>
    <x:t xml:space="preserve">Preferred stock price</x:t>
  </x:si>
  <x:si>
    <x:t xml:space="preserve">Cost of Preferred (k_p) = Dividend / Price</x:t>
  </x:si>
  <x:si>
    <x:t xml:space="preserve">Pre-tax cost of debt (k_d)</x:t>
  </x:si>
  <x:si>
    <x:t xml:space="preserve">Tax rate (T)</x:t>
  </x:si>
  <x:si>
    <x:t xml:space="preserve">After-tax cost of debt k_d(1-T)</x:t>
  </x:si>
  <x:si>
    <x:t xml:space="preserve">Market value of Debt</x:t>
  </x:si>
  <x:si>
    <x:t xml:space="preserve">Market value of Equity</x:t>
  </x:si>
  <x:si>
    <x:t xml:space="preserve">Market value of Preferred</x:t>
  </x:si>
  <x:si>
    <x:t xml:space="preserve">Total market value</x:t>
  </x:si>
  <x:si>
    <x:t xml:space="preserve">Weight of Debt (wD)</x:t>
  </x:si>
  <x:si>
    <x:t xml:space="preserve">Weight of Equity (wE)</x:t>
  </x:si>
  <x:si>
    <x:t xml:space="preserve">Weight of Preferred (wP)</x:t>
  </x:si>
  <x:si>
    <x:t xml:space="preserve">WACC</x:t>
  </x:si>
  <x:si>
    <x:t xml:space="preserve">Project</x:t>
  </x:si>
  <x:si>
    <x:t xml:space="preserve">Project A</x:t>
  </x:si>
  <x:si>
    <x:t xml:space="preserve">Project B</x:t>
  </x:si>
  <x:si>
    <x:t xml:space="preserve">Project C</x:t>
  </x:si>
  <x:si>
    <x:t xml:space="preserve">Initial Outlay</x:t>
  </x:si>
  <x:si>
    <x:t xml:space="preserve">Year1</x:t>
  </x:si>
  <x:si>
    <x:t xml:space="preserve">Year2</x:t>
  </x:si>
  <x:si>
    <x:t xml:space="preserve">Year3</x:t>
  </x:si>
  <x:si>
    <x:t xml:space="preserve">Year4</x:t>
  </x:si>
  <x:si>
    <x:t xml:space="preserve">Year5</x:t>
  </x:si>
  <x:si>
    <x:t xml:space="preserve">Cum0</x:t>
  </x:si>
  <x:si>
    <x:t xml:space="preserve">Cum1</x:t>
  </x:si>
  <x:si>
    <x:t xml:space="preserve">Cum2</x:t>
  </x:si>
  <x:si>
    <x:t xml:space="preserve">Cum3</x:t>
  </x:si>
  <x:si>
    <x:t xml:space="preserve">Cum4</x:t>
  </x:si>
  <x:si>
    <x:t xml:space="preserve">Cum5</x:t>
  </x:si>
  <x:si>
    <x:t xml:space="preserve">NPV</x:t>
  </x:si>
  <x:si>
    <x:t xml:space="preserve">IRR</x:t>
  </x:si>
  <x:si>
    <x:t xml:space="preserve">Profitability Index</x:t>
  </x:si>
  <x:si>
    <x:t xml:space="preserve">Payback</x:t>
  </x:si>
  <x:si>
    <x:t xml:space="preserve">Decision</x:t>
  </x:si>
</x:sst>
</file>

<file path=xl/styles.xml><?xml version="1.0" encoding="utf-8"?>
<x:styleSheet xmlns:x="http://schemas.openxmlformats.org/spreadsheetml/2006/main">
  <x:numFmts count="2">
    <x:numFmt numFmtId="8" formatCode="&quot;$&quot;#,##0.00_);[Red]\(&quot;$&quot;#,##0.00\)"/>
    <x:numFmt numFmtId="164" formatCode="&quot;$&quot;#,##0.00"/>
  </x:numFmts>
  <x:fonts count="8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4"/>
      <x:color theme="1"/>
      <x:name val="Aptos Narrow"/>
    </x:font>
    <x:font>
      <x:sz val="11"/>
      <x:color theme="1"/>
      <x:name val="Aptos Narrow"/>
    </x:font>
    <x:font>
      <x:b/>
      <x:sz val="11"/>
      <x:color theme="0"/>
      <x:name val="Aptos Narrow"/>
    </x:font>
    <x:font>
      <x:b/>
      <x:sz val="18"/>
      <x:color rgb="FFFFFFFF"/>
      <x:name val="Aptos Narrow"/>
    </x:font>
    <x:font>
      <x:b/>
      <x:sz val="11"/>
      <x:color rgb="FFFFFFFF"/>
      <x:name val="Aptos Narrow"/>
    </x:font>
    <x:font>
      <x:sz val="11"/>
      <x:color rgb="FF0000FF"/>
      <x:name val="Aptos Narrow"/>
    </x:font>
  </x:fonts>
  <x:fills count="10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rgb="FFFFFFCC"/>
      </x:patternFill>
    </x:fill>
    <x:fill>
      <x:patternFill patternType="solid">
        <x:fgColor theme="9" tint="0.79998"/>
      </x:patternFill>
    </x:fill>
    <x:fill>
      <x:patternFill patternType="solid">
        <x:fgColor rgb="FF0E1116"/>
      </x:patternFill>
    </x:fill>
    <x:fill>
      <x:patternFill patternType="solid">
        <x:fgColor rgb="FF9C4A2B"/>
      </x:patternFill>
    </x:fill>
    <x:fill>
      <x:patternFill patternType="solid">
        <x:fgColor rgb="FFF2EEE5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theme="4" tint="0.39998"/>
      </x:left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9D5CB"/>
      </x:left>
      <x:top style="thin">
        <x:color rgb="FFD9D5CB"/>
      </x:top>
    </x:border>
    <x:border>
      <x:right style="thin">
        <x:color rgb="FFD9D5CB"/>
      </x:right>
      <x:top style="thin">
        <x:color rgb="FFD9D5CB"/>
      </x:top>
    </x:border>
    <x:border>
      <x:left style="thin">
        <x:color rgb="FFD9D5CB"/>
      </x:left>
    </x:border>
    <x:border>
      <x:right style="thin">
        <x:color rgb="FFD9D5CB"/>
      </x:right>
    </x:border>
    <x:border>
      <x:left style="thin">
        <x:color rgb="FFD9D5CB"/>
      </x:left>
      <x:bottom style="thin">
        <x:color rgb="FFD9D5CB"/>
      </x:bottom>
    </x:border>
    <x:border>
      <x:right style="thin">
        <x:color rgb="FFD9D5CB"/>
      </x:right>
      <x:bottom style="thin">
        <x:color rgb="FFD9D5CB"/>
      </x:bottom>
    </x:border>
    <x:border>
      <x:top style="thin">
        <x:color rgb="FFD9D5CB"/>
      </x:top>
    </x:border>
    <x:border>
      <x:bottom style="thin">
        <x:color rgb="FFD9D5CB"/>
      </x:bottom>
    </x:border>
  </x:borders>
  <x:cellStyleXfs count="2">
    <x:xf numFmtId="0" fontId="0" fillId="0" borderId="0"/>
    <x:xf numFmtId="9" fontId="3" fillId="0" borderId="0" applyFont="0" applyFill="0" applyBorder="0" applyAlignment="0" applyProtection="0"/>
  </x:cellStyleXfs>
  <x:cellXfs count="48">
    <x:xf numFmtId="0" fontId="0" fillId="0" borderId="0" xfId="0"/>
    <x:xf numFmtId="0" fontId="1" fillId="0" borderId="0" xfId="0" applyFont="1"/>
    <x:xf numFmtId="0" fontId="2" fillId="0" borderId="0" xfId="0" applyFont="1"/>
    <x:xf numFmtId="0" fontId="4" fillId="2" borderId="1" xfId="0" applyFont="1" applyFill="1" applyBorder="1"/>
    <x:xf numFmtId="0" fontId="4" fillId="2" borderId="2" xfId="0" applyFont="1" applyFill="1" applyBorder="1"/>
    <x:xf numFmtId="0" fontId="0" fillId="3" borderId="1" xfId="0" applyFill="1" applyBorder="1"/>
    <x:xf numFmtId="0" fontId="0" fillId="0" borderId="1" xfId="0" applyBorder="1"/>
    <x:xf numFmtId="0" fontId="0" fillId="0" borderId="0" xfId="0" applyAlignment="1">
      <x:alignment wrapText="1"/>
    </x:xf>
    <x:xf numFmtId="164" fontId="0" fillId="3" borderId="2" xfId="0" applyNumberFormat="1" applyFill="1" applyBorder="1"/>
    <x:xf numFmtId="164" fontId="0" fillId="0" borderId="2" xfId="0" applyNumberFormat="1" applyBorder="1"/>
    <x:xf numFmtId="0" fontId="4" fillId="2" borderId="0" xfId="0" applyFont="1" applyFill="1"/>
    <x:xf numFmtId="0" fontId="4" fillId="2" borderId="3" xfId="0" applyFont="1" applyFill="1" applyBorder="1"/>
    <x:xf numFmtId="0" fontId="0" fillId="5" borderId="0" xfId="0" applyFill="1" applyAlignment="1">
      <x:alignment horizontal="right"/>
    </x:xf>
    <x:xf numFmtId="164" fontId="0" fillId="3" borderId="3" xfId="0" applyNumberFormat="1" applyFill="1" applyBorder="1"/>
    <x:xf numFmtId="0" fontId="4" fillId="2" borderId="4" xfId="0" applyFont="1" applyFill="1" applyBorder="1"/>
    <x:xf numFmtId="8" fontId="0" fillId="4" borderId="4" xfId="0" applyNumberFormat="1" applyFill="1" applyBorder="1"/>
    <x:xf numFmtId="10" fontId="0" fillId="4" borderId="4" xfId="0" applyNumberFormat="1" applyFill="1" applyBorder="1"/>
    <x:xf numFmtId="2" fontId="0" fillId="4" borderId="4" xfId="0" applyNumberFormat="1" applyFill="1" applyBorder="1"/>
    <x:xf numFmtId="0" fontId="0" fillId="4" borderId="0" xfId="0" applyFill="1" applyAlignment="1">
      <x:alignment horizontal="center"/>
    </x:xf>
    <x:xf numFmtId="10" fontId="0" fillId="0" borderId="0" xfId="0" applyNumberFormat="1" applyAlignment="1">
      <x:alignment horizontal="center"/>
    </x:xf>
    <x:xf numFmtId="0" fontId="0" fillId="0" borderId="0" xfId="0" applyAlignment="1">
      <x:alignment horizontal="center"/>
    </x:xf>
    <x:xf numFmtId="10" fontId="0" fillId="4" borderId="0" xfId="0" applyNumberFormat="1" applyFill="1" applyAlignment="1">
      <x:alignment horizontal="center"/>
    </x:xf>
    <x:xf numFmtId="164" fontId="0" fillId="0" borderId="0" xfId="0" applyNumberFormat="1" applyAlignment="1">
      <x:alignment horizontal="center"/>
    </x:xf>
    <x:xf numFmtId="10" fontId="0" fillId="4" borderId="0" xfId="1" applyNumberFormat="1" applyFont="1" applyFill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11" xfId="0" applyNumberFormat="1" applyFont="1" applyFill="1" applyBorder="1"/>
    <x:xf numFmtId="0" fontId="6" fillId="7" borderId="6" xfId="0" applyNumberFormat="1" applyFont="1" applyFill="1" applyBorder="1"/>
    <x:xf numFmtId="0" fontId="7" fillId="9" borderId="8" xfId="0" applyNumberFormat="1" applyFont="1" applyFill="1" applyBorder="1"/>
    <x:xf numFmtId="0" fontId="7" fillId="9" borderId="12" xfId="0" applyNumberFormat="1" applyFont="1" applyFill="1" applyBorder="1"/>
    <x:xf numFmtId="0" fontId="7" fillId="9" borderId="1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8" xfId="0" applyNumberFormat="1" applyFont="1" applyFill="1" applyBorder="1" applyAlignment="1">
      <x:alignment wrapText="1"/>
    </x:xf>
    <x:xf numFmtId="0" fontId="0" fillId="9" borderId="12" xfId="0" applyNumberFormat="1" applyFont="1" applyFill="1" applyBorder="1" applyAlignment="1">
      <x:alignment wrapText="1"/>
    </x:xf>
    <x:xf numFmtId="0" fontId="0" fillId="9" borderId="10" xfId="0" applyNumberFormat="1" applyFont="1" applyFill="1" applyBorder="1" applyAlignment="1">
      <x:alignment wrapText="1"/>
    </x:xf>
  </x:cellXfs>
  <x:cellStyles count="2">
    <x:cellStyle name="Normal" xfId="0"/>
    <x:cellStyle name="Percent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ac01a504d4469a" /><Relationship Type="http://schemas.openxmlformats.org/officeDocument/2006/relationships/theme" Target="/xl/theme/theme1.xml" Id="R6d7feb191c0f4bcf" /><Relationship Type="http://schemas.openxmlformats.org/officeDocument/2006/relationships/sharedStrings" Target="/xl/sharedStrings.xml" Id="R29bc46fcdceb43f3" /><Relationship Type="http://schemas.openxmlformats.org/officeDocument/2006/relationships/worksheet" Target="/xl/worksheets/sheet1.xml" Id="Ra50b1c471c504654" /><Relationship Type="http://schemas.openxmlformats.org/officeDocument/2006/relationships/worksheet" Target="/xl/worksheets/sheet2.xml" Id="Rf869adb9f99b4daa" /><Relationship Type="http://schemas.openxmlformats.org/officeDocument/2006/relationships/worksheet" Target="/xl/worksheets/sheet3.xml" Id="Rba405810911a4ec6" /><Relationship Type="http://schemas.openxmlformats.org/officeDocument/2006/relationships/worksheet" Target="/xl/worksheets/sheet4.xml" Id="R2559f0722e6f43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443f9719be4c0e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NPV by Project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Project A</c:v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</c:dLbls>
          <c:cat>
            <c:strLit>
              <c:ptCount val="1"/>
              <c:pt idx="0">
                <c:v>NPV by Project</c:v>
              </c:pt>
            </c:strLit>
          </c:cat>
          <c:val>
            <c:numRef>
              <c:f>'Cashflow by Project'!$B$18</c:f>
              <c:numCache>
                <c:formatCode>"$"#,##0.00_);[Red]\("$"#,##0.00\)</c:formatCode>
                <c:ptCount val="1"/>
              </c:numCache>
            </c:numRef>
          </c:val>
        </c:ser>
        <c:ser>
          <c:idx val="1"/>
          <c:order val="1"/>
          <c:tx>
            <c:v>Project B</c:v>
          </c:tx>
          <c: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</a:ln>
          </c:spP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NPV by Project</c:v>
              </c:pt>
            </c:strLit>
          </c:cat>
          <c:val>
            <c:numRef>
              <c:f>'Cashflow by Project'!$C$18</c:f>
              <c:numCache>
                <c:formatCode>"$"#,##0.00_);[Red]\("$"#,##0.00\)</c:formatCode>
                <c:ptCount val="1"/>
              </c:numCache>
            </c:numRef>
          </c:val>
        </c:ser>
        <c:ser>
          <c:idx val="2"/>
          <c:order val="2"/>
          <c:tx>
            <c:v>Project C</c:v>
          </c:tx>
          <c: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</a:ln>
          </c:spPr>
          <c:dLbls>
            <c:dLbl>
              <c:idx val="0"/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</c:dLbl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NPV by Project</c:v>
              </c:pt>
            </c:strLit>
          </c:cat>
          <c:val>
            <c:numRef>
              <c:f>'Cashflow by Project'!$D$18</c:f>
              <c:numCache>
                <c:formatCode>"$"#,##0.00_);[Red]\("$"#,##0.00\)</c:formatCode>
                <c:ptCount val="1"/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0316039"/>
        <c:axId val="750249479"/>
      </c:barChart>
      <c:catAx>
        <c:axId val="750316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750249479"/>
        <c:crosses val="autoZero"/>
        <c:lblAlgn val="ctr"/>
        <c:lblOffset val="100"/>
        <c:noMultiLvlLbl val="0"/>
      </c:catAx>
      <c:valAx>
        <c:axId val="750249479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750316039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19049</xdr:rowOff>
    </xdr:from>
    <xdr:to>
      <xdr:col>7</xdr:col>
      <xdr:colOff>38100</xdr:colOff>
      <xdr:row>45</xdr:row>
      <xdr:rowOff>180974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443f9719be4c0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171670f05004be2" /></Relationships>
</file>

<file path=xl/worksheets/sheet1.xml><?xml version="1.0" encoding="utf-8"?>
<x:worksheet xmlns:x="http://schemas.openxmlformats.org/spreadsheetml/2006/main">
  <x:sheetFormatPr defaultRowHeight="15"/>
  <x:cols>
    <x:col min="1" max="1" width="98" customWidth="1"/>
  </x:cols>
  <x:sheetData>
    <x:row r="1" ht="18.75">
      <x:c r="A1" s="2" t="s">
        <x:v>0</x:v>
      </x:c>
    </x:row>
    <x:row r="3">
      <x:c r="A3" s="1" t="s">
        <x:v>1</x:v>
      </x:c>
    </x:row>
    <x:row r="4" ht="42.75" customHeight="1">
      <x:c r="A4" s="7" t="s">
        <x:v>2</x:v>
      </x:c>
    </x:row>
    <x:row r="6">
      <x:c r="A6" s="1" t="s">
        <x:v>3</x:v>
      </x:c>
    </x:row>
    <x:row r="7">
      <x:c r="A7" t="s">
        <x:v>4</x:v>
      </x:c>
    </x:row>
    <x:row r="8">
      <x:c r="A8" t="s">
        <x:v>5</x:v>
      </x:c>
    </x:row>
    <x:row r="9">
      <x:c r="A9" t="s">
        <x:v>6</x:v>
      </x:c>
    </x:row>
    <x:row r="10">
      <x:c r="A10" t="s">
        <x:v>7</x:v>
      </x:c>
    </x:row>
    <x:row r="11">
      <x:c r="A11" t="s">
        <x:v>8</x:v>
      </x:c>
    </x:row>
    <x:row r="14">
      <x:c r="A14" s="1"/>
    </x:row>
    <x:row r="19">
      <x:c r="A1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6" customWidth="1"/>
    <x:col min="2" max="2" width="31.7109375" style="20" customWidth="1"/>
  </x:cols>
  <x:sheetData>
    <x:row r="1">
      <x:c r="A1" s="1" t="s">
        <x:v>9</x:v>
      </x:c>
      <x:c r="B1" s="18" t="s">
        <x:v>10</x:v>
      </x:c>
    </x:row>
    <x:row r="3">
      <x:c r="A3" s="1" t="s">
        <x:v>11</x:v>
      </x:c>
      <x:c r="B3" s="19">
        <x:v>0.04</x:v>
      </x:c>
    </x:row>
    <x:row r="4">
      <x:c r="A4" s="1" t="s">
        <x:v>12</x:v>
      </x:c>
      <x:c r="B4" s="19">
        <x:v>0.09</x:v>
      </x:c>
    </x:row>
    <x:row r="5">
      <x:c r="A5" s="1" t="s">
        <x:v>13</x:v>
      </x:c>
      <x:c r="B5" s="19">
        <x:v>0.05</x:v>
      </x:c>
    </x:row>
    <x:row r="6">
      <x:c r="A6" s="1" t="s">
        <x:v>14</x:v>
      </x:c>
      <x:c r="B6" s="20">
        <x:v>1.2</x:v>
      </x:c>
    </x:row>
    <x:row r="7">
      <x:c r="A7" s="1" t="s">
        <x:v>15</x:v>
      </x:c>
      <x:c r="B7" s="21"/>
    </x:row>
    <x:row r="9">
      <x:c r="A9" s="1" t="s">
        <x:v>16</x:v>
      </x:c>
      <x:c r="B9" s="22">
        <x:v>2</x:v>
      </x:c>
    </x:row>
    <x:row r="10">
      <x:c r="A10" s="1" t="s">
        <x:v>17</x:v>
      </x:c>
      <x:c r="B10" s="22">
        <x:v>25</x:v>
      </x:c>
    </x:row>
    <x:row r="11">
      <x:c r="A11" s="1" t="s">
        <x:v>18</x:v>
      </x:c>
      <x:c r="B11" s="18"/>
    </x:row>
    <x:row r="13">
      <x:c r="A13" s="1" t="s">
        <x:v>19</x:v>
      </x:c>
      <x:c r="B13" s="19">
        <x:v>0.06</x:v>
      </x:c>
    </x:row>
    <x:row r="14">
      <x:c r="A14" s="1" t="s">
        <x:v>20</x:v>
      </x:c>
      <x:c r="B14" s="19">
        <x:v>0.25</x:v>
      </x:c>
    </x:row>
    <x:row r="15">
      <x:c r="A15" s="1" t="s">
        <x:v>21</x:v>
      </x:c>
      <x:c r="B15" s="21"/>
    </x:row>
    <x:row r="17">
      <x:c r="A17" s="1" t="s">
        <x:v>22</x:v>
      </x:c>
      <x:c r="B17" s="22">
        <x:v>300000</x:v>
      </x:c>
    </x:row>
    <x:row r="18">
      <x:c r="A18" s="1" t="s">
        <x:v>23</x:v>
      </x:c>
      <x:c r="B18" s="22">
        <x:v>500000</x:v>
      </x:c>
    </x:row>
    <x:row r="19">
      <x:c r="A19" s="1" t="s">
        <x:v>24</x:v>
      </x:c>
      <x:c r="B19" s="22">
        <x:v>50000</x:v>
      </x:c>
    </x:row>
    <x:row r="20">
      <x:c r="A20" s="1" t="s">
        <x:v>25</x:v>
      </x:c>
      <x:c r="B20" s="22" t="n">
        <x:f>SUM(B17:B19)</x:f>
        <x:v>850000</x:v>
      </x:c>
    </x:row>
    <x:row r="22">
      <x:c r="A22" s="1" t="s">
        <x:v>26</x:v>
      </x:c>
      <x:c r="B22" s="21"/>
    </x:row>
    <x:row r="23">
      <x:c r="A23" s="1" t="s">
        <x:v>27</x:v>
      </x:c>
      <x:c r="B23" s="21"/>
    </x:row>
    <x:row r="24">
      <x:c r="A24" s="1" t="s">
        <x:v>28</x:v>
      </x:c>
      <x:c r="B24" s="21"/>
    </x:row>
    <x:row r="26">
      <x:c r="A26" s="1" t="s">
        <x:v>29</x:v>
      </x:c>
      <x:c r="B26" s="21"/>
    </x:row>
  </x:sheetData>
  <x:dataValidations count="10">
    <x:dataValidation type="decimal" allowBlank="1" showInputMessage="1" showErrorMessage="1" errorTitle="Invalid entry" error="Enter a value between 0 and 0.3." promptTitle="Risk-free rate" prompt="Enter 0% to 30% (as a percentage)" sqref="B3:B4">
      <x:formula1>0</x:formula1>
      <x:formula2>0.3</x:formula2>
    </x:dataValidation>
    <x:dataValidation type="decimal" allowBlank="1" showInputMessage="1" showErrorMessage="1" errorTitle="Invalid entry" error="Enter a value between 0 and 0.3." promptTitle="Market risk premium" prompt="Enter 0% to 30% (as a percentage)" sqref="B5">
      <x:formula1>0</x:formula1>
      <x:formula2>0.3</x:formula2>
    </x:dataValidation>
    <x:dataValidation type="decimal" allowBlank="1" showInputMessage="1" showErrorMessage="1" errorTitle="Invalid entry" error="Enter a value between 0 and 3." promptTitle="Equity beta" prompt="Enter a beta between 0 and 3" sqref="B6">
      <x:formula1>0</x:formula1>
      <x:formula2>3</x:formula2>
    </x:dataValidation>
    <x:dataValidation type="decimal" allowBlank="1" showInputMessage="1" showErrorMessage="1" errorTitle="Invalid entry" error="Enter a value between 0 and 0.5." promptTitle="Pre-tax cost of debt" prompt="Enter 0% to 50% (as a percentage)" sqref="B13">
      <x:formula1>0</x:formula1>
      <x:formula2>0.5</x:formula2>
    </x:dataValidation>
    <x:dataValidation type="decimal" allowBlank="1" showInputMessage="1" showErrorMessage="1" errorTitle="Invalid entry" error="Enter a value between 0 and 1." promptTitle="Tax rate" prompt="Enter 0% to 100% (as a percentage)" sqref="B14">
      <x:formula1>0</x:formula1>
      <x:formula2>1</x:formula2>
    </x:dataValidation>
    <x:dataValidation type="decimal" allowBlank="1" showInputMessage="1" showErrorMessage="1" errorTitle="Invalid entry" error="Enter a value between 0 and 1000000." promptTitle="Preferred dividend" prompt="Enter a non-negative dividend" sqref="B9">
      <x:formula1>0</x:formula1>
      <x:formula2>1000000</x:formula2>
    </x:dataValidation>
    <x:dataValidation type="decimal" allowBlank="1" showInputMessage="1" showErrorMessage="1" errorTitle="Invalid entry" error="Enter a value between 0.0001 and 100000000." promptTitle="Preferred price" prompt="Enter a positive price" sqref="B10">
      <x:formula1>0.0001</x:formula1>
      <x:formula2>100000000</x:formula2>
    </x:dataValidation>
    <x:dataValidation type="decimal" allowBlank="1" showInputMessage="1" showErrorMessage="1" errorTitle="Invalid entry" error="Enter a value between 0 and 1000000000000." promptTitle="Market value of Debt" prompt="Enter a non-negative amount" sqref="B17">
      <x:formula1>0</x:formula1>
      <x:formula2>1000000000000</x:formula2>
    </x:dataValidation>
    <x:dataValidation type="decimal" allowBlank="1" showInputMessage="1" showErrorMessage="1" errorTitle="Invalid entry" error="Enter a value between 0 and 1000000000000." promptTitle="Market value of Equity" prompt="Enter a non-negative amount" sqref="B18">
      <x:formula1>0</x:formula1>
      <x:formula2>1000000000000</x:formula2>
    </x:dataValidation>
    <x:dataValidation type="decimal" allowBlank="1" showInputMessage="1" showErrorMessage="1" errorTitle="Invalid entry" error="Enter a value between 0 and 1000000000000." promptTitle="Market value of Preferred" prompt="Enter a non-negative amount" sqref="B19">
      <x:formula1>0</x:formula1>
      <x:formula2>1000000000000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.5703125" customWidth="1"/>
    <x:col min="2" max="2" width="15.28515625" customWidth="1"/>
    <x:col min="3" max="3" width="18.140625" customWidth="1"/>
    <x:col min="4" max="4" width="13.5703125" customWidth="1"/>
    <x:col min="5" max="7" width="10.7109375" customWidth="1"/>
    <x:col min="8" max="9" width="12.42578125" customWidth="1"/>
    <x:col min="10" max="11" width="11.28515625" customWidth="1"/>
    <x:col min="12" max="12" width="21" customWidth="1"/>
    <x:col min="13" max="14" width="16.5703125" customWidth="1"/>
    <x:col min="15" max="17" width="10.7109375" customWidth="1"/>
    <x:col min="18" max="18" width="15.85546875" customWidth="1"/>
    <x:col min="19" max="20" width="12.42578125" customWidth="1"/>
    <x:col min="21" max="22" width="11.28515625" customWidth="1"/>
    <x:col min="23" max="23" width="10.28515625" customWidth="1"/>
    <x:col min="24" max="25" width="10.7109375" customWidth="1"/>
    <x:col min="26" max="26" width="7.42578125" customWidth="1"/>
    <x:col min="27" max="27" width="7.5703125" customWidth="1"/>
    <x:col min="28" max="28" width="6" customWidth="1"/>
    <x:col min="29" max="29" width="7" customWidth="1"/>
    <x:col min="30" max="30" width="6.140625" customWidth="1"/>
    <x:col min="31" max="31" width="11" customWidth="1"/>
  </x:cols>
  <x:sheetData>
    <x:row r="2">
      <x:c r="A2" t="str">
        <x:f>Inputs!A26</x:f>
        <x:v>WACC</x:v>
      </x:c>
      <x:c r="D2" s="23"/>
    </x:row>
    <x:row r="5">
      <x:c r="A5" s="3" t="s">
        <x:v>30</x:v>
      </x:c>
      <x:c r="B5" s="5" t="s">
        <x:v>31</x:v>
      </x:c>
      <x:c r="C5" s="6" t="s">
        <x:v>32</x:v>
      </x:c>
      <x:c r="D5" s="5" t="s">
        <x:v>33</x:v>
      </x:c>
    </x:row>
    <x:row r="6" ht="15" customHeight="1">
      <x:c r="A6" s="4" t="s">
        <x:v>34</x:v>
      </x:c>
      <x:c r="B6" s="8">
        <x:v>-100000</x:v>
      </x:c>
      <x:c r="C6" s="9">
        <x:v>-120000</x:v>
      </x:c>
      <x:c r="D6" s="8">
        <x:v>-80000</x:v>
      </x:c>
    </x:row>
    <x:row r="7" ht="19.5" customHeight="1">
      <x:c r="A7" s="4" t="s">
        <x:v>35</x:v>
      </x:c>
      <x:c r="B7" s="8">
        <x:v>25000</x:v>
      </x:c>
      <x:c r="C7" s="9">
        <x:v>20000</x:v>
      </x:c>
      <x:c r="D7" s="8">
        <x:v>22000</x:v>
      </x:c>
    </x:row>
    <x:row r="8">
      <x:c r="A8" s="4" t="s">
        <x:v>36</x:v>
      </x:c>
      <x:c r="B8" s="8">
        <x:v>30000</x:v>
      </x:c>
      <x:c r="C8" s="9">
        <x:v>30000</x:v>
      </x:c>
      <x:c r="D8" s="8">
        <x:v>24000</x:v>
      </x:c>
    </x:row>
    <x:row r="9">
      <x:c r="A9" s="4" t="s">
        <x:v>37</x:v>
      </x:c>
      <x:c r="B9" s="8">
        <x:v>35000</x:v>
      </x:c>
      <x:c r="C9" s="9">
        <x:v>40000</x:v>
      </x:c>
      <x:c r="D9" s="8">
        <x:v>26000</x:v>
      </x:c>
    </x:row>
    <x:row r="10">
      <x:c r="A10" s="4" t="s">
        <x:v>38</x:v>
      </x:c>
      <x:c r="B10" s="8">
        <x:v>40000</x:v>
      </x:c>
      <x:c r="C10" s="9">
        <x:v>50000</x:v>
      </x:c>
      <x:c r="D10" s="8">
        <x:v>30000</x:v>
      </x:c>
    </x:row>
    <x:row r="11">
      <x:c r="A11" s="4" t="s">
        <x:v>39</x:v>
      </x:c>
      <x:c r="B11" s="8">
        <x:v>45000</x:v>
      </x:c>
      <x:c r="C11" s="9">
        <x:v>55000</x:v>
      </x:c>
      <x:c r="D11" s="8">
        <x:v>35000</x:v>
      </x:c>
    </x:row>
    <x:row r="12">
      <x:c r="A12" s="4" t="s">
        <x:v>40</x:v>
      </x:c>
      <x:c r="B12" s="8"/>
      <x:c r="C12" s="8"/>
      <x:c r="D12" s="8"/>
    </x:row>
    <x:row r="13">
      <x:c r="A13" s="4" t="s">
        <x:v>41</x:v>
      </x:c>
      <x:c r="B13" s="8"/>
      <x:c r="C13" s="8"/>
      <x:c r="D13" s="8"/>
    </x:row>
    <x:row r="14">
      <x:c r="A14" s="4" t="s">
        <x:v>42</x:v>
      </x:c>
      <x:c r="B14" s="8"/>
      <x:c r="C14" s="8"/>
      <x:c r="D14" s="8"/>
    </x:row>
    <x:row r="15">
      <x:c r="A15" s="4" t="s">
        <x:v>43</x:v>
      </x:c>
      <x:c r="B15" s="8"/>
      <x:c r="C15" s="8"/>
      <x:c r="D15" s="8"/>
    </x:row>
    <x:row r="16">
      <x:c r="A16" s="4" t="s">
        <x:v>44</x:v>
      </x:c>
      <x:c r="B16" s="8"/>
      <x:c r="C16" s="8"/>
      <x:c r="D16" s="8"/>
    </x:row>
    <x:row r="17">
      <x:c r="A17" s="11" t="s">
        <x:v>45</x:v>
      </x:c>
      <x:c r="B17" s="13"/>
      <x:c r="C17" s="13"/>
      <x:c r="D17" s="13"/>
    </x:row>
    <x:row r="18">
      <x:c r="A18" s="14" t="s">
        <x:v>46</x:v>
      </x:c>
      <x:c r="B18" s="15"/>
      <x:c r="C18" s="15"/>
      <x:c r="D18" s="15"/>
    </x:row>
    <x:row r="19">
      <x:c r="A19" s="14" t="s">
        <x:v>47</x:v>
      </x:c>
      <x:c r="B19" s="16"/>
      <x:c r="C19" s="16"/>
      <x:c r="D19" s="16"/>
    </x:row>
    <x:row r="20">
      <x:c r="A20" s="14" t="s">
        <x:v>48</x:v>
      </x:c>
      <x:c r="B20" s="17"/>
      <x:c r="C20" s="17"/>
      <x:c r="D20" s="17"/>
    </x:row>
    <x:row r="21">
      <x:c r="A21" s="14" t="s">
        <x:v>49</x:v>
      </x:c>
      <x:c r="B21" s="17"/>
      <x:c r="C21" s="17"/>
      <x:c r="D21" s="17"/>
    </x:row>
    <x:row r="22">
      <x:c r="A22" s="10" t="s">
        <x:v>50</x:v>
      </x:c>
      <x:c r="B22" s="12"/>
      <x:c r="C22" s="12"/>
      <x:c r="D22" s="12"/>
    </x:row>
  </x:sheetData>
  <x:pageMargins left="0.7" right="0.7" top="0.75" bottom="0.75" header="0.3" footer="0.3"/>
  <x:drawing xmlns:r="http://schemas.openxmlformats.org/officeDocument/2006/relationships" r:id="R5171670f05004be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</x:cols>
  <x:sheetData>
    <x:row r="1">
      <x:c r="A1" s="25" t="str">
        <x:v>Capital Structure and Financing Decisions</x:v>
      </x:c>
      <x:c r="B1" s="25"/>
      <x:c r="C1" s="25"/>
      <x:c r="D1" s="25"/>
      <x:c r="E1" s="25"/>
      <x:c r="F1" s="25"/>
    </x:row>
    <x:row r="3">
      <x:c r="A3" s="27" t="str">
        <x:v>BUS311 · decisions-m03-l01 · FactSet required · student starter</x:v>
      </x:c>
      <x:c r="B3" s="27"/>
      <x:c r="C3" s="27"/>
      <x:c r="D3" s="27"/>
      <x:c r="E3" s="27"/>
      <x:c r="F3" s="27"/>
    </x:row>
    <x:row r="5">
      <x:c r="A5" s="30" t="str">
        <x:v>Step</x:v>
      </x:c>
      <x:c r="B5" s="31" t="str">
        <x:v>Required workflow</x:v>
      </x:c>
    </x:row>
    <x:row r="6">
      <x:c r="A6" s="32" t="n">
        <x:v>1</x:v>
      </x:c>
      <x:c r="B6" s="33" t="str">
        <x:v>Read the lesson pre-reading and confirm FactSet access.</x:v>
      </x:c>
    </x:row>
    <x:row r="7">
      <x:c r="A7" s="32" t="n">
        <x:v>2</x:v>
      </x:c>
      <x:c r="B7" s="33" t="str">
        <x:v>Enter or verify source values; keep units and periods consistent.</x:v>
      </x:c>
    </x:row>
    <x:row r="8">
      <x:c r="A8" s="32" t="n">
        <x:v>3</x:v>
      </x:c>
      <x:c r="B8" s="33" t="str">
        <x:v>Document every FactSet field, period, and retrieval date below.</x:v>
      </x:c>
    </x:row>
    <x:row r="9">
      <x:c r="A9" s="32" t="n">
        <x:v>4</x:v>
      </x:c>
      <x:c r="B9" s="33" t="str">
        <x:v>Complete calculations with visible, auditable Excel formulas.</x:v>
      </x:c>
    </x:row>
    <x:row r="10">
      <x:c r="A10" s="34" t="n">
        <x:v>5</x:v>
      </x:c>
      <x:c r="B10" s="35" t="str">
        <x:v>Use the model outputs to state a decision, evidence, risk, and monitoring trigger.</x:v>
      </x:c>
    </x:row>
    <x:row r="12">
      <x:c r="A12" s="38" t="str">
        <x:v>FactSet input</x:v>
      </x:c>
      <x:c r="B12" s="39" t="str">
        <x:v>Field / definition</x:v>
      </x:c>
      <x:c r="C12" s="39" t="str">
        <x:v>Period / units</x:v>
      </x:c>
      <x:c r="D12" s="40" t="str">
        <x:v>Source note</x:v>
      </x:c>
    </x:row>
    <x:row r="13">
      <x:c r="A13" s="32" t="str">
        <x:v>Company identifier</x:v>
      </x:c>
      <x:c r="B13" s="37" t="str"/>
      <x:c r="C13" s="37" t="str"/>
      <x:c r="D13" s="41" t="str"/>
    </x:row>
    <x:row r="14">
      <x:c r="A14" s="32" t="str">
        <x:v>Market or price input</x:v>
      </x:c>
      <x:c r="B14" s="37" t="str"/>
      <x:c r="C14" s="37" t="str"/>
      <x:c r="D14" s="41" t="str"/>
    </x:row>
    <x:row r="15">
      <x:c r="A15" s="32" t="str">
        <x:v>Financial statement input</x:v>
      </x:c>
      <x:c r="B15" s="37" t="str"/>
      <x:c r="C15" s="37" t="str"/>
      <x:c r="D15" s="41" t="str"/>
    </x:row>
    <x:row r="16">
      <x:c r="A16" s="32" t="str">
        <x:v>Risk or discount-rate input</x:v>
      </x:c>
      <x:c r="B16" s="37" t="str"/>
      <x:c r="C16" s="37" t="str"/>
      <x:c r="D16" s="41" t="str"/>
    </x:row>
    <x:row r="17">
      <x:c r="A17" s="34" t="str">
        <x:v>Comparison-company input</x:v>
      </x:c>
      <x:c r="B17" s="42" t="str"/>
      <x:c r="C17" s="42" t="str"/>
      <x:c r="D17" s="43" t="str"/>
    </x:row>
    <x:row r="19">
      <x:c r="A19" s="38" t="str">
        <x:v>Decision output</x:v>
      </x:c>
      <x:c r="B19" s="39" t="str">
        <x:v>Response</x:v>
      </x:c>
      <x:c r="C19" s="39" t="str"/>
      <x:c r="D19" s="39" t="str"/>
      <x:c r="E19" s="39" t="str"/>
      <x:c r="F19" s="40" t="str"/>
    </x:row>
    <x:row r="20">
      <x:c r="A20" s="32" t="str">
        <x:v>Recommendation</x:v>
      </x:c>
      <x:c r="B20" s="44" t="str"/>
      <x:c r="C20" s="44" t="str"/>
      <x:c r="D20" s="44" t="str"/>
      <x:c r="E20" s="44" t="str"/>
      <x:c r="F20" s="45" t="str"/>
    </x:row>
    <x:row r="21">
      <x:c r="A21" s="32" t="str">
        <x:v>Evidence from the model</x:v>
      </x:c>
      <x:c r="B21" s="44" t="str"/>
      <x:c r="C21" s="44" t="str"/>
      <x:c r="D21" s="44" t="str"/>
      <x:c r="E21" s="44" t="str"/>
      <x:c r="F21" s="45" t="str"/>
    </x:row>
    <x:row r="22">
      <x:c r="A22" s="32" t="str">
        <x:v>Primary risk or limitation</x:v>
      </x:c>
      <x:c r="B22" s="44" t="str"/>
      <x:c r="C22" s="44" t="str"/>
      <x:c r="D22" s="44" t="str"/>
      <x:c r="E22" s="44" t="str"/>
      <x:c r="F22" s="45" t="str"/>
    </x:row>
    <x:row r="23">
      <x:c r="A23" s="34" t="str">
        <x:v>Monitoring trigger</x:v>
      </x:c>
      <x:c r="B23" s="46" t="str"/>
      <x:c r="C23" s="46" t="str"/>
      <x:c r="D23" s="46" t="str"/>
      <x:c r="E23" s="46" t="str"/>
      <x:c r="F23" s="47" t="str"/>
    </x:row>
  </x:sheetData>
  <x:mergeCells>
    <x:mergeCell ref="A1:F1"/>
    <x:mergeCell ref="A3:F3"/>
  </x:mergeCells>
  <x:pageMargins left="0.7" right="0.7" top="0.75" bottom="0.75" header="0.3" footer="0.3"/>
</x:worksheet>
</file>