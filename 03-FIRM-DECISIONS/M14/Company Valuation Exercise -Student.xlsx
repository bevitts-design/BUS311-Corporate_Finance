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14 - Intro to Corporate Finance/"/>
    </mc:Choice>
  </mc:AlternateContent>
  <xr:revisionPtr revIDLastSave="2" documentId="8_{3BB341F9-6C11-4ABF-A897-D13AD45750D7}" xr6:coauthVersionLast="47" xr6:coauthVersionMax="47" xr10:uidLastSave="{E0354CA7-989E-4E50-8688-B8EBF4555EBD}"/>
  <bookViews>
    <workbookView xWindow="-120" yWindow="-120" windowWidth="29040" windowHeight="15720" xr2:uid="{00000000-000D-0000-FFFF-FFFF00000000}"/>
  </bookViews>
  <sheets>
    <sheet name="Exercise - Student" sheetId="4" r:id="rId1"/>
    <sheet name="Exercise-Completed" sheetId="1" state="hidden" r:id="rId2"/>
    <sheet name="Solution" sheetId="2" state="hidden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1" l="1"/>
  <c r="B56" i="1"/>
  <c r="C56" i="4"/>
  <c r="B56" i="4"/>
  <c r="B64" i="4"/>
  <c r="F44" i="4"/>
  <c r="E44" i="4"/>
  <c r="D44" i="4"/>
  <c r="C44" i="4"/>
  <c r="B44" i="4"/>
  <c r="F42" i="4"/>
  <c r="E42" i="4"/>
  <c r="D42" i="4"/>
  <c r="C42" i="4"/>
  <c r="B42" i="4"/>
  <c r="F39" i="4"/>
  <c r="E39" i="4"/>
  <c r="D39" i="4"/>
  <c r="C39" i="4"/>
  <c r="B39" i="4"/>
  <c r="F36" i="4"/>
  <c r="E36" i="4"/>
  <c r="D36" i="4"/>
  <c r="C36" i="4"/>
  <c r="B36" i="4"/>
  <c r="F34" i="4"/>
  <c r="E34" i="4"/>
  <c r="D34" i="4"/>
  <c r="C34" i="4"/>
  <c r="B34" i="4"/>
  <c r="B33" i="4"/>
  <c r="B25" i="4"/>
  <c r="G13" i="4"/>
  <c r="F13" i="1"/>
  <c r="F12" i="1"/>
  <c r="F14" i="1" s="1"/>
  <c r="C25" i="1"/>
  <c r="F13" i="2"/>
  <c r="F12" i="2"/>
  <c r="B44" i="1"/>
  <c r="C44" i="1"/>
  <c r="D44" i="1"/>
  <c r="E44" i="1"/>
  <c r="F44" i="1"/>
  <c r="B42" i="1"/>
  <c r="C42" i="1"/>
  <c r="D42" i="1"/>
  <c r="E42" i="1"/>
  <c r="F42" i="1"/>
  <c r="B39" i="1"/>
  <c r="C39" i="1"/>
  <c r="D39" i="1"/>
  <c r="E39" i="1"/>
  <c r="F39" i="1"/>
  <c r="B36" i="1"/>
  <c r="C36" i="1"/>
  <c r="D36" i="1"/>
  <c r="E36" i="1"/>
  <c r="F36" i="1"/>
  <c r="B34" i="1"/>
  <c r="C34" i="1"/>
  <c r="D34" i="1"/>
  <c r="E34" i="1"/>
  <c r="F34" i="1"/>
  <c r="B33" i="1"/>
  <c r="B25" i="1"/>
  <c r="B45" i="4" l="1"/>
  <c r="B47" i="4" s="1"/>
  <c r="B43" i="4"/>
  <c r="B37" i="4"/>
  <c r="B66" i="4"/>
  <c r="B65" i="4"/>
  <c r="B35" i="4"/>
  <c r="B38" i="4" s="1"/>
  <c r="C33" i="4"/>
  <c r="G14" i="4"/>
  <c r="G12" i="4"/>
  <c r="G13" i="1"/>
  <c r="F14" i="2"/>
  <c r="G14" i="1" s="1"/>
  <c r="G12" i="1"/>
  <c r="B37" i="1"/>
  <c r="C33" i="1"/>
  <c r="B45" i="1"/>
  <c r="B43" i="1"/>
  <c r="B35" i="1"/>
  <c r="B41" i="4" l="1"/>
  <c r="D33" i="4"/>
  <c r="C35" i="4"/>
  <c r="C45" i="4"/>
  <c r="C47" i="4" s="1"/>
  <c r="C37" i="4"/>
  <c r="C43" i="4"/>
  <c r="B38" i="1"/>
  <c r="B46" i="2"/>
  <c r="B46" i="1"/>
  <c r="B47" i="1" s="1"/>
  <c r="C43" i="1"/>
  <c r="C45" i="1"/>
  <c r="D33" i="1"/>
  <c r="C35" i="1"/>
  <c r="C37" i="1"/>
  <c r="C38" i="1" l="1"/>
  <c r="C38" i="4"/>
  <c r="B49" i="4"/>
  <c r="B53" i="4"/>
  <c r="E33" i="4"/>
  <c r="D35" i="4"/>
  <c r="D37" i="4"/>
  <c r="D43" i="4"/>
  <c r="D45" i="4"/>
  <c r="D47" i="4" s="1"/>
  <c r="C41" i="4"/>
  <c r="B40" i="1"/>
  <c r="B40" i="2"/>
  <c r="B48" i="2" s="1"/>
  <c r="B52" i="2" s="1"/>
  <c r="C46" i="2"/>
  <c r="C46" i="1"/>
  <c r="C47" i="1" s="1"/>
  <c r="C40" i="2"/>
  <c r="C48" i="2" s="1"/>
  <c r="C52" i="2" s="1"/>
  <c r="C40" i="1"/>
  <c r="D43" i="1"/>
  <c r="E33" i="1"/>
  <c r="D35" i="1"/>
  <c r="D37" i="1"/>
  <c r="D45" i="1"/>
  <c r="C41" i="1" l="1"/>
  <c r="C48" i="1"/>
  <c r="D46" i="2"/>
  <c r="D46" i="1"/>
  <c r="D47" i="1" s="1"/>
  <c r="F33" i="4"/>
  <c r="E37" i="4"/>
  <c r="E35" i="4"/>
  <c r="E38" i="4" s="1"/>
  <c r="E43" i="4"/>
  <c r="E45" i="4"/>
  <c r="E47" i="4" s="1"/>
  <c r="C49" i="4"/>
  <c r="C53" i="4"/>
  <c r="D38" i="4"/>
  <c r="B41" i="1"/>
  <c r="B48" i="1"/>
  <c r="E43" i="1"/>
  <c r="F33" i="1"/>
  <c r="E35" i="1"/>
  <c r="E37" i="1"/>
  <c r="E45" i="1"/>
  <c r="D38" i="1"/>
  <c r="C52" i="1" l="1"/>
  <c r="C53" i="1" s="1"/>
  <c r="C49" i="1"/>
  <c r="E46" i="2"/>
  <c r="E46" i="1"/>
  <c r="E47" i="1" s="1"/>
  <c r="F35" i="4"/>
  <c r="F37" i="4"/>
  <c r="F43" i="4"/>
  <c r="F45" i="4"/>
  <c r="F47" i="4" s="1"/>
  <c r="E41" i="4"/>
  <c r="D41" i="4"/>
  <c r="B49" i="1"/>
  <c r="B52" i="1"/>
  <c r="B53" i="1" s="1"/>
  <c r="D40" i="2"/>
  <c r="D40" i="1"/>
  <c r="D48" i="2"/>
  <c r="D52" i="2" s="1"/>
  <c r="F43" i="1"/>
  <c r="F35" i="1"/>
  <c r="F37" i="1"/>
  <c r="F45" i="1"/>
  <c r="E38" i="1"/>
  <c r="D41" i="1" l="1"/>
  <c r="D48" i="1"/>
  <c r="F46" i="2"/>
  <c r="F46" i="1"/>
  <c r="F47" i="1" s="1"/>
  <c r="E73" i="1"/>
  <c r="D73" i="1"/>
  <c r="C73" i="1"/>
  <c r="B73" i="1"/>
  <c r="E77" i="1"/>
  <c r="D77" i="1"/>
  <c r="B77" i="1"/>
  <c r="E76" i="1"/>
  <c r="C76" i="1"/>
  <c r="D75" i="1"/>
  <c r="F77" i="1"/>
  <c r="C77" i="1"/>
  <c r="F76" i="1"/>
  <c r="D76" i="1"/>
  <c r="B76" i="1"/>
  <c r="E75" i="1"/>
  <c r="F74" i="1"/>
  <c r="D74" i="1"/>
  <c r="B74" i="1"/>
  <c r="C75" i="1"/>
  <c r="F38" i="4"/>
  <c r="F41" i="4"/>
  <c r="E49" i="4"/>
  <c r="E53" i="4"/>
  <c r="D49" i="4"/>
  <c r="D53" i="4"/>
  <c r="E40" i="2"/>
  <c r="E40" i="1"/>
  <c r="E48" i="2"/>
  <c r="E52" i="2" s="1"/>
  <c r="F38" i="1"/>
  <c r="D52" i="1" l="1"/>
  <c r="D53" i="1" s="1"/>
  <c r="D49" i="1"/>
  <c r="E41" i="1"/>
  <c r="E48" i="1"/>
  <c r="F75" i="1"/>
  <c r="E74" i="1"/>
  <c r="F73" i="1"/>
  <c r="C74" i="1"/>
  <c r="B75" i="1"/>
  <c r="B73" i="4"/>
  <c r="F77" i="4"/>
  <c r="E77" i="4"/>
  <c r="D77" i="4"/>
  <c r="C77" i="4"/>
  <c r="B77" i="4"/>
  <c r="F76" i="4"/>
  <c r="E76" i="4"/>
  <c r="B76" i="4"/>
  <c r="D74" i="4"/>
  <c r="C76" i="4"/>
  <c r="F75" i="4"/>
  <c r="E73" i="4"/>
  <c r="C73" i="4"/>
  <c r="E75" i="4"/>
  <c r="D76" i="4"/>
  <c r="B75" i="4"/>
  <c r="F74" i="4"/>
  <c r="E74" i="4"/>
  <c r="C74" i="4"/>
  <c r="B74" i="4"/>
  <c r="F73" i="4"/>
  <c r="D75" i="4"/>
  <c r="D73" i="4"/>
  <c r="C75" i="4"/>
  <c r="F49" i="4"/>
  <c r="F53" i="4"/>
  <c r="F40" i="2"/>
  <c r="F40" i="1"/>
  <c r="F48" i="2"/>
  <c r="E52" i="1" l="1"/>
  <c r="E53" i="1" s="1"/>
  <c r="E49" i="1"/>
  <c r="F41" i="1"/>
  <c r="F48" i="1"/>
  <c r="G54" i="4"/>
  <c r="F54" i="2"/>
  <c r="F55" i="2" s="1"/>
  <c r="B56" i="2" s="1"/>
  <c r="B57" i="2" s="1"/>
  <c r="B58" i="2" s="1"/>
  <c r="F52" i="2"/>
  <c r="F52" i="1" l="1"/>
  <c r="F53" i="1" s="1"/>
  <c r="F54" i="1"/>
  <c r="F49" i="1"/>
  <c r="G55" i="4"/>
  <c r="F55" i="1" l="1"/>
  <c r="G54" i="1"/>
  <c r="C57" i="4"/>
  <c r="G55" i="1" l="1"/>
  <c r="B57" i="1"/>
  <c r="C58" i="4"/>
  <c r="C59" i="4"/>
  <c r="B58" i="1" l="1"/>
  <c r="C57" i="1"/>
  <c r="B59" i="1" l="1"/>
  <c r="C58" i="1"/>
  <c r="C59" i="1" l="1"/>
  <c r="B64" i="1"/>
  <c r="B66" i="1" l="1"/>
  <c r="B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Bevitts</author>
  </authors>
  <commentList>
    <comment ref="B63" authorId="0" shapeId="0" xr:uid="{9C4E25F3-00AA-4892-B753-907286E6C6FB}">
      <text>
        <r>
          <rPr>
            <b/>
            <sz val="9"/>
            <color indexed="81"/>
            <rFont val="Tahoma"/>
            <family val="2"/>
          </rPr>
          <t>Bevitts:</t>
        </r>
        <r>
          <rPr>
            <sz val="9"/>
            <color indexed="81"/>
            <rFont val="Tahoma"/>
            <family val="2"/>
          </rPr>
          <t xml:space="preserve">
Input: Enter the current market price per share to compare against your DCF value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Bevitts</author>
  </authors>
  <commentList>
    <comment ref="B63" authorId="0" shapeId="0" xr:uid="{D49B7779-1D9E-401C-8B7C-A33C64C11BE3}">
      <text>
        <r>
          <rPr>
            <b/>
            <sz val="9"/>
            <color indexed="81"/>
            <rFont val="Tahoma"/>
            <family val="2"/>
          </rPr>
          <t>Bevitts:</t>
        </r>
        <r>
          <rPr>
            <sz val="9"/>
            <color indexed="81"/>
            <rFont val="Tahoma"/>
            <family val="2"/>
          </rPr>
          <t xml:space="preserve">
Input: Enter the current market price per share to compare against your DCF value</t>
        </r>
      </text>
    </comment>
  </commentList>
</comments>
</file>

<file path=xl/sharedStrings.xml><?xml version="1.0" encoding="utf-8"?>
<sst xmlns="http://schemas.openxmlformats.org/spreadsheetml/2006/main" count="193" uniqueCount="90">
  <si>
    <t>Corporate Finance Valuation Exercise</t>
  </si>
  <si>
    <t>Instructions</t>
  </si>
  <si>
    <t>Assumptions (Inputs)</t>
  </si>
  <si>
    <t>WACC Calculation (To-Do)</t>
  </si>
  <si>
    <t>Your calc</t>
  </si>
  <si>
    <t>Check</t>
  </si>
  <si>
    <t>Cost of Equity (CAPM)</t>
  </si>
  <si>
    <t>Risk-free rate (Rf)</t>
  </si>
  <si>
    <t>After-tax Cost of Debt</t>
  </si>
  <si>
    <t>Market risk premium (MRP)</t>
  </si>
  <si>
    <t>WACC</t>
  </si>
  <si>
    <t>Beta</t>
  </si>
  <si>
    <t>Cost of debt (pre-tax)</t>
  </si>
  <si>
    <t>Tax rate</t>
  </si>
  <si>
    <t>Target equity weight (We)</t>
  </si>
  <si>
    <t>Target debt weight (Wd)</t>
  </si>
  <si>
    <t>Long-term growth (g)</t>
  </si>
  <si>
    <t>Base revenue (Year 0)</t>
  </si>
  <si>
    <t>EBITDA margin %</t>
  </si>
  <si>
    <t>D&amp;A % of sales</t>
  </si>
  <si>
    <t>Capex % of sales</t>
  </si>
  <si>
    <t>NWC % of sales</t>
  </si>
  <si>
    <t>-</t>
  </si>
  <si>
    <t>Shares outstanding (m)</t>
  </si>
  <si>
    <t>Projection Drivers &amp; FCF (To-Do highlighted)</t>
  </si>
  <si>
    <t>Metric</t>
  </si>
  <si>
    <t>Year 1</t>
  </si>
  <si>
    <t>Year 2</t>
  </si>
  <si>
    <t>Year 3</t>
  </si>
  <si>
    <t>Year 4</t>
  </si>
  <si>
    <t>Year 5</t>
  </si>
  <si>
    <t>Revenue growth %</t>
  </si>
  <si>
    <t>Revenue</t>
  </si>
  <si>
    <t>EBITDA</t>
  </si>
  <si>
    <t>D&amp;A</t>
  </si>
  <si>
    <t>EBIT</t>
  </si>
  <si>
    <t>Check: NOPAT</t>
  </si>
  <si>
    <t>Capex</t>
  </si>
  <si>
    <t>Net working capital</t>
  </si>
  <si>
    <t>Check: Delta NWC</t>
  </si>
  <si>
    <t>Check: Free Cash Flow</t>
  </si>
  <si>
    <t>Check: PV of FCF</t>
  </si>
  <si>
    <t>Horizon (Terminal) Value at end of Year 5 (To-Do)</t>
  </si>
  <si>
    <t>Enterprise Value (To-Do)</t>
  </si>
  <si>
    <t>Equity Value (To-Do)</t>
  </si>
  <si>
    <t>Equity Value per Share (To-Do)</t>
  </si>
  <si>
    <t>Solution (Hidden) – Auto-check calculations</t>
  </si>
  <si>
    <t>Value - $ millions &amp; %</t>
  </si>
  <si>
    <t>NWC</t>
  </si>
  <si>
    <t>Net Operating Profit After Taxes</t>
  </si>
  <si>
    <t xml:space="preserve">∆ (Delta) NWC </t>
  </si>
  <si>
    <t>Delta NWC = New NWC - Previous NWC</t>
  </si>
  <si>
    <t xml:space="preserve">Free Cash Flow </t>
  </si>
  <si>
    <t>PV of FCF</t>
  </si>
  <si>
    <t xml:space="preserve">PV of Horizon Value </t>
  </si>
  <si>
    <t>Enterprise Value (EV)=sum( PV of FCF Year1:Year5)+PV (Horizon Value)</t>
  </si>
  <si>
    <t>Equity Value per Share = Equity/ Shares</t>
  </si>
  <si>
    <t xml:space="preserve">2) Compute Cost of Equity, after-tax Cost of Debt, and WACC </t>
  </si>
  <si>
    <t>4) Compute Horizon (Terminal) Value using Gordon Growth Formula</t>
  </si>
  <si>
    <t>5) Discount to present value at WACC and sum to Enterprise Value( EV)</t>
  </si>
  <si>
    <t xml:space="preserve">6) Compute Equity Value and Equity Value per Share </t>
  </si>
  <si>
    <t>3) Complete Net Operating Profit After Tax (NOPAT), ∆NWC, and Free Cash Flow</t>
  </si>
  <si>
    <t>Sanity Check: Investment Decision</t>
  </si>
  <si>
    <t>Current market price ($ per share)</t>
  </si>
  <si>
    <t>Your DCF value per share ($)</t>
  </si>
  <si>
    <t>Premium / (Discount) to market</t>
  </si>
  <si>
    <t>Investment Signal</t>
  </si>
  <si>
    <t>Discussion: What does this tell you about the stock? How sensitive is this conclusion to your WACC and growth rate assumptions?</t>
  </si>
  <si>
    <t>Sensitivity Analysis: Equity Value per Share ($)</t>
  </si>
  <si>
    <t>WACC \ Long-term Growth (g)</t>
  </si>
  <si>
    <t>Note: Yellow cell = base case (WACC 7.65%, g 2.5%). Assumes all FCF projections are complete. Table updates automatically when you finish the model.</t>
  </si>
  <si>
    <t>Discussion: By how much does the per-share value change for a 1% increase in WACC? What does this reveal about the key risks in your valuation?</t>
  </si>
  <si>
    <t>∆NWC</t>
  </si>
  <si>
    <t>Check: ∆NWC</t>
  </si>
  <si>
    <t>∆NWC= New NWC - Previous NWC</t>
  </si>
  <si>
    <t>Horizon Value = FCF₅ × (1 + g) / (WACC − g)   [Gordon Growth: grow Year 5 FCF by g to get Year 6, then capitalize as a perpetuity]</t>
  </si>
  <si>
    <t>PV of Horizon Value = Horizon Value / (1 + WACC)^5   [Discount back 5 years to today]</t>
  </si>
  <si>
    <t>D&amp;A is a non-cash accounting expense — it reduces EBIT (and therefore taxes paid) but involves no cash outflow. We subtract it here to get EBIT, then add it back in the FCF calculation.</t>
  </si>
  <si>
    <t>NOPAT = EBIT × (1 − Tax Rate)   [Operating profit after tax, excluding the effect of financing]</t>
  </si>
  <si>
    <t>Free Cash Flow = NOPAT + D&amp;A − Capex − ∆NWC   [D&amp;A added back: non-cash, already deducted in NOPAT. Capex and ∆NWC deducted: real cash outflows]</t>
  </si>
  <si>
    <t>PV of FCF = FCF / (1 + WACC)^n   [WACC is the discount rate because FCFs are available to all capital providers — both debt and equity holders]</t>
  </si>
  <si>
    <t>Equity Value = EV − Net Debt   [EV belongs to ALL capital providers. Subtract what belongs to debtholders (Net Debt = Total Debt − Cash) to isolate what belongs to shareholders]</t>
  </si>
  <si>
    <t>Growth rates taper from 8% → 4% as the company matures. The terminal growth rate (g = 2.5%) approximates long-run nominal GDP growth — a company cannot grow faster than the economy forever.</t>
  </si>
  <si>
    <t>Note: Capex % (6%) &gt; D&amp;A % (5%) — this company is a net capital consumer. Discussion: What does this imply about the relationship between investment and growth?</t>
  </si>
  <si>
    <t>1) Review the given input assumptions (green cells)</t>
  </si>
  <si>
    <t>Net debt (= Total Debt − Cash)</t>
  </si>
  <si>
    <t>Terminal Value as % of EV (To-Do)</t>
  </si>
  <si>
    <t>TV % of EV = PV of Horizon Value / Enterprise Value   [Typically 60–80% in a DCF — a high % means your valuation is very sensitive to terminal growth and WACC assumptions]</t>
  </si>
  <si>
    <t>Terminal Value as % of EV</t>
  </si>
  <si>
    <t>Important: A DCF is only as reliable as its assumptions. Professionals never rely on a single method — they triangulate with comparable company multiples and precedent transactions to build conviction.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</si>
</sst>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0.0000"/>
    <numFmt numFmtId="167" formatCode="&quot;$&quot;#,##0.0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color theme="1"/>
      <name val="Aptos Narrow"/>
      <family val="2"/>
      <scheme val="minor"/>
    </font>
    <font>
      <i/>
      <sz val="10"/>
      <color rgb="FF555555"/>
      <name val="Aptos Narrow"/>
      <family val="2"/>
      <scheme val="minor"/>
    </font>
    <font>
      <i/>
      <sz val="11"/>
      <color rgb="FF7F4F24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164" fontId="0" fillId="3" borderId="0" xfId="0" applyNumberFormat="1" applyFill="1"/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166" fontId="0" fillId="0" borderId="0" xfId="0" applyNumberFormat="1"/>
    <xf numFmtId="0" fontId="0" fillId="3" borderId="1" xfId="0" applyFill="1" applyBorder="1"/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10" fontId="0" fillId="3" borderId="0" xfId="0" applyNumberFormat="1" applyFill="1"/>
    <xf numFmtId="0" fontId="2" fillId="0" borderId="0" xfId="0" applyFont="1"/>
    <xf numFmtId="0" fontId="0" fillId="0" borderId="2" xfId="0" applyBorder="1"/>
    <xf numFmtId="164" fontId="0" fillId="0" borderId="2" xfId="0" applyNumberFormat="1" applyBorder="1" applyAlignment="1">
      <alignment horizontal="center"/>
    </xf>
    <xf numFmtId="165" fontId="0" fillId="3" borderId="0" xfId="0" applyNumberFormat="1" applyFill="1"/>
    <xf numFmtId="165" fontId="3" fillId="3" borderId="0" xfId="0" applyNumberFormat="1" applyFont="1" applyFill="1"/>
    <xf numFmtId="2" fontId="0" fillId="3" borderId="0" xfId="0" applyNumberFormat="1" applyFill="1"/>
    <xf numFmtId="0" fontId="0" fillId="4" borderId="0" xfId="0" applyFill="1"/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65" fontId="0" fillId="4" borderId="0" xfId="0" applyNumberFormat="1" applyFill="1" applyAlignment="1">
      <alignment horizontal="center"/>
    </xf>
    <xf numFmtId="3" fontId="0" fillId="4" borderId="0" xfId="0" applyNumberFormat="1" applyFill="1" applyAlignment="1">
      <alignment horizontal="center"/>
    </xf>
    <xf numFmtId="0" fontId="0" fillId="4" borderId="1" xfId="0" applyFill="1" applyBorder="1"/>
    <xf numFmtId="3" fontId="0" fillId="4" borderId="1" xfId="0" applyNumberForma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  <xf numFmtId="0" fontId="0" fillId="5" borderId="0" xfId="0" applyFill="1"/>
    <xf numFmtId="0" fontId="5" fillId="0" borderId="0" xfId="0" applyFont="1"/>
    <xf numFmtId="10" fontId="1" fillId="2" borderId="0" xfId="0" applyNumberFormat="1" applyFont="1" applyFill="1" applyAlignment="1">
      <alignment horizontal="center"/>
    </xf>
    <xf numFmtId="167" fontId="0" fillId="6" borderId="3" xfId="0" applyNumberFormat="1" applyFill="1" applyBorder="1"/>
    <xf numFmtId="167" fontId="1" fillId="7" borderId="3" xfId="0" applyNumberFormat="1" applyFont="1" applyFill="1" applyBorder="1"/>
    <xf numFmtId="0" fontId="8" fillId="0" borderId="0" xfId="0" applyFont="1"/>
    <xf numFmtId="0" fontId="9" fillId="0" borderId="0" xfId="0" applyFont="1"/>
    <xf numFmtId="167" fontId="4" fillId="5" borderId="0" xfId="0" applyNumberFormat="1" applyFont="1" applyFill="1"/>
    <xf numFmtId="167" fontId="0" fillId="3" borderId="0" xfId="0" applyNumberFormat="1" applyFill="1"/>
    <xf numFmtId="0" fontId="0" fillId="0" borderId="0" xfId="0" applyBorder="1"/>
    <xf numFmtId="0" fontId="0" fillId="3" borderId="0" xfId="0" applyFill="1" applyBorder="1"/>
    <xf numFmtId="0" fontId="0" fillId="3" borderId="0" xfId="0" applyFont="1" applyFill="1" applyBorder="1"/>
    <xf numFmtId="164" fontId="0" fillId="3" borderId="0" xfId="0" applyNumberFormat="1" applyFill="1" applyBorder="1"/>
    <xf numFmtId="0" fontId="10" fillId="0" borderId="0" xfId="0" applyFont="1"/>
    <xf numFmtId="0" fontId="0" fillId="0" borderId="0" xfId="0" applyFill="1"/>
    <xf numFmtId="165" fontId="0" fillId="0" borderId="0" xfId="0" applyNumberFormat="1" applyFill="1"/>
  </cellXfs>
  <cellStyles count="1">
    <cellStyle name="Normal" xfId="0" builtinId="0"/>
  </cellStyles>
  <dxfs count="4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266700</xdr:colOff>
      <xdr:row>31</xdr:row>
      <xdr:rowOff>180975</xdr:rowOff>
    </xdr:from>
    <xdr:to>
      <xdr:col>16</xdr:col>
      <xdr:colOff>286518</xdr:colOff>
      <xdr:row>36</xdr:row>
      <xdr:rowOff>19160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8BD067-7F94-C3C8-588B-BC7C165C3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4325" y="6086475"/>
          <a:ext cx="5506218" cy="79068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4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31A153-E120-48FF-A267-AE687346747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876131f-ecfc-4808-993f-40cba3524a7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FD91-5282-4432-A02C-9FA36BA78205}">
  <dimension ref="A1:S80"/>
  <sheetViews>
    <sheetView tabSelected="1" workbookViewId="0">
      <selection activeCell="D84" sqref="D84"/>
    </sheetView>
  </sheetViews>
  <sheetFormatPr defaultRowHeight="15" x14ac:dyDescent="0.25"/>
  <cols>
    <col min="1" max="1" width="49.140625" customWidth="1"/>
    <col min="2" max="2" width="13.28515625" customWidth="1"/>
    <col min="3" max="3" width="11" customWidth="1"/>
    <col min="4" max="4" width="12.42578125" bestFit="1" customWidth="1"/>
    <col min="5" max="5" width="14.28515625" customWidth="1"/>
    <col min="6" max="6" width="17.28515625" customWidth="1"/>
    <col min="7" max="7" width="6.5703125" bestFit="1" customWidth="1"/>
    <col min="9" max="19" width="9.140625" style="47"/>
  </cols>
  <sheetData>
    <row r="1" spans="1:7" x14ac:dyDescent="0.25">
      <c r="A1" s="30" t="s">
        <v>0</v>
      </c>
      <c r="B1" s="30"/>
      <c r="C1" s="30"/>
      <c r="D1" s="30"/>
      <c r="E1" s="30"/>
      <c r="F1" s="30"/>
    </row>
    <row r="3" spans="1:7" x14ac:dyDescent="0.25">
      <c r="A3" s="1" t="s">
        <v>1</v>
      </c>
    </row>
    <row r="4" spans="1:7" x14ac:dyDescent="0.25">
      <c r="A4" t="s">
        <v>84</v>
      </c>
    </row>
    <row r="5" spans="1:7" x14ac:dyDescent="0.25">
      <c r="A5" t="s">
        <v>57</v>
      </c>
    </row>
    <row r="6" spans="1:7" x14ac:dyDescent="0.25">
      <c r="A6" t="s">
        <v>61</v>
      </c>
    </row>
    <row r="7" spans="1:7" x14ac:dyDescent="0.25">
      <c r="A7" t="s">
        <v>58</v>
      </c>
    </row>
    <row r="8" spans="1:7" x14ac:dyDescent="0.25">
      <c r="A8" t="s">
        <v>59</v>
      </c>
    </row>
    <row r="9" spans="1:7" x14ac:dyDescent="0.25">
      <c r="A9" t="s">
        <v>60</v>
      </c>
    </row>
    <row r="11" spans="1:7" x14ac:dyDescent="0.25">
      <c r="A11" s="2" t="s">
        <v>2</v>
      </c>
      <c r="B11" s="2" t="s">
        <v>47</v>
      </c>
      <c r="C11" s="2"/>
      <c r="E11" s="2" t="s">
        <v>3</v>
      </c>
      <c r="F11" s="2" t="s">
        <v>4</v>
      </c>
      <c r="G11" s="2" t="s">
        <v>5</v>
      </c>
    </row>
    <row r="12" spans="1:7" x14ac:dyDescent="0.25">
      <c r="A12" s="23" t="s">
        <v>7</v>
      </c>
      <c r="B12" s="24">
        <v>0.03</v>
      </c>
      <c r="E12" t="s">
        <v>6</v>
      </c>
      <c r="F12" s="4"/>
      <c r="G12" t="str">
        <f>IF(ISNUMBER(F12),IF(ABS(F12-Solution!F12)&lt;=0.0001,"✅","❌"),"⌛")</f>
        <v>⌛</v>
      </c>
    </row>
    <row r="13" spans="1:7" x14ac:dyDescent="0.25">
      <c r="A13" s="23" t="s">
        <v>9</v>
      </c>
      <c r="B13" s="24">
        <v>0.05</v>
      </c>
      <c r="E13" t="s">
        <v>8</v>
      </c>
      <c r="F13" s="16"/>
      <c r="G13" t="str">
        <f>IF(ISNUMBER(F13),IF(ABS(F13-Solution!F13)&lt;=0.0001,"✅","❌"),"⌛")</f>
        <v>⌛</v>
      </c>
    </row>
    <row r="14" spans="1:7" x14ac:dyDescent="0.25">
      <c r="A14" s="23" t="s">
        <v>11</v>
      </c>
      <c r="B14" s="25">
        <v>1.2</v>
      </c>
      <c r="E14" t="s">
        <v>10</v>
      </c>
      <c r="F14" s="4"/>
      <c r="G14" t="str">
        <f>IF(ISNUMBER(F14),IF(ABS(F14-Solution!F14)&lt;=0.0001,"✅","❌"),"⌛")</f>
        <v>⌛</v>
      </c>
    </row>
    <row r="15" spans="1:7" x14ac:dyDescent="0.25">
      <c r="A15" s="23" t="s">
        <v>12</v>
      </c>
      <c r="B15" s="24">
        <v>0.06</v>
      </c>
    </row>
    <row r="16" spans="1:7" x14ac:dyDescent="0.25">
      <c r="A16" s="23" t="s">
        <v>13</v>
      </c>
      <c r="B16" s="24">
        <v>0.25</v>
      </c>
    </row>
    <row r="17" spans="1:9" x14ac:dyDescent="0.25">
      <c r="A17" s="23" t="s">
        <v>14</v>
      </c>
      <c r="B17" s="24">
        <v>0.7</v>
      </c>
    </row>
    <row r="18" spans="1:9" x14ac:dyDescent="0.25">
      <c r="A18" s="23" t="s">
        <v>15</v>
      </c>
      <c r="B18" s="24">
        <v>0.3</v>
      </c>
    </row>
    <row r="19" spans="1:9" x14ac:dyDescent="0.25">
      <c r="A19" s="23" t="s">
        <v>16</v>
      </c>
      <c r="B19" s="24">
        <v>2.5000000000000001E-2</v>
      </c>
    </row>
    <row r="20" spans="1:9" x14ac:dyDescent="0.25">
      <c r="A20" s="23" t="s">
        <v>17</v>
      </c>
      <c r="B20" s="26">
        <v>120</v>
      </c>
    </row>
    <row r="21" spans="1:9" x14ac:dyDescent="0.25">
      <c r="A21" s="23" t="s">
        <v>18</v>
      </c>
      <c r="B21" s="24">
        <v>0.18</v>
      </c>
    </row>
    <row r="22" spans="1:9" x14ac:dyDescent="0.25">
      <c r="A22" s="23" t="s">
        <v>19</v>
      </c>
      <c r="B22" s="24">
        <v>0.05</v>
      </c>
    </row>
    <row r="23" spans="1:9" x14ac:dyDescent="0.25">
      <c r="A23" s="23" t="s">
        <v>20</v>
      </c>
      <c r="B23" s="24">
        <v>0.06</v>
      </c>
      <c r="I23" s="47" t="s">
        <v>83</v>
      </c>
    </row>
    <row r="24" spans="1:9" x14ac:dyDescent="0.25">
      <c r="A24" s="23" t="s">
        <v>21</v>
      </c>
      <c r="B24" s="24">
        <v>0.1</v>
      </c>
    </row>
    <row r="25" spans="1:9" x14ac:dyDescent="0.25">
      <c r="A25" s="23" t="s">
        <v>48</v>
      </c>
      <c r="B25" s="25">
        <f>$B$24*$B$20</f>
        <v>12</v>
      </c>
    </row>
    <row r="26" spans="1:9" x14ac:dyDescent="0.25">
      <c r="A26" s="33" t="s">
        <v>85</v>
      </c>
      <c r="B26" s="27">
        <v>50</v>
      </c>
    </row>
    <row r="27" spans="1:9" x14ac:dyDescent="0.25">
      <c r="A27" s="28" t="s">
        <v>23</v>
      </c>
      <c r="B27" s="29">
        <v>10</v>
      </c>
      <c r="C27" s="7"/>
    </row>
    <row r="30" spans="1:9" x14ac:dyDescent="0.25">
      <c r="A30" t="s">
        <v>24</v>
      </c>
    </row>
    <row r="31" spans="1:9" x14ac:dyDescent="0.25">
      <c r="A31" s="2" t="s">
        <v>25</v>
      </c>
      <c r="B31" s="10" t="s">
        <v>26</v>
      </c>
      <c r="C31" s="10" t="s">
        <v>27</v>
      </c>
      <c r="D31" s="10" t="s">
        <v>28</v>
      </c>
      <c r="E31" s="10" t="s">
        <v>29</v>
      </c>
      <c r="F31" s="10" t="s">
        <v>30</v>
      </c>
    </row>
    <row r="32" spans="1:9" x14ac:dyDescent="0.25">
      <c r="A32" t="s">
        <v>31</v>
      </c>
      <c r="B32" s="11">
        <v>0.08</v>
      </c>
      <c r="C32" s="11">
        <v>7.0000000000000007E-2</v>
      </c>
      <c r="D32" s="11">
        <v>0.06</v>
      </c>
      <c r="E32" s="11">
        <v>0.05</v>
      </c>
      <c r="F32" s="11">
        <v>0.04</v>
      </c>
      <c r="I32" s="47" t="s">
        <v>82</v>
      </c>
    </row>
    <row r="33" spans="1:13" x14ac:dyDescent="0.25">
      <c r="A33" t="s">
        <v>32</v>
      </c>
      <c r="B33" s="12">
        <f>$B$20*(1+B32)</f>
        <v>129.60000000000002</v>
      </c>
      <c r="C33" s="12">
        <f>B33*(1+C32)</f>
        <v>138.67200000000003</v>
      </c>
      <c r="D33" s="12">
        <f>C33*(1+D32)</f>
        <v>146.99232000000003</v>
      </c>
      <c r="E33" s="12">
        <f>D33*(1+E32)</f>
        <v>154.34193600000003</v>
      </c>
      <c r="F33" s="12">
        <f>E33*(1+F32)</f>
        <v>160.51561344000004</v>
      </c>
    </row>
    <row r="34" spans="1:13" x14ac:dyDescent="0.25">
      <c r="A34" t="s">
        <v>18</v>
      </c>
      <c r="B34" s="11">
        <f>$B$21</f>
        <v>0.18</v>
      </c>
      <c r="C34" s="11">
        <f>$B$21</f>
        <v>0.18</v>
      </c>
      <c r="D34" s="11">
        <f>$B$21</f>
        <v>0.18</v>
      </c>
      <c r="E34" s="11">
        <f>$B$21</f>
        <v>0.18</v>
      </c>
      <c r="F34" s="11">
        <f>$B$21</f>
        <v>0.18</v>
      </c>
    </row>
    <row r="35" spans="1:13" x14ac:dyDescent="0.25">
      <c r="A35" t="s">
        <v>33</v>
      </c>
      <c r="B35" s="12">
        <f>B33*B34</f>
        <v>23.328000000000003</v>
      </c>
      <c r="C35" s="12">
        <f>C33*C34</f>
        <v>24.960960000000004</v>
      </c>
      <c r="D35" s="12">
        <f>D33*D34</f>
        <v>26.458617600000004</v>
      </c>
      <c r="E35" s="12">
        <f>E33*E34</f>
        <v>27.781548480000005</v>
      </c>
      <c r="F35" s="12">
        <f>F33*F34</f>
        <v>28.892810419200007</v>
      </c>
    </row>
    <row r="36" spans="1:13" x14ac:dyDescent="0.25">
      <c r="A36" t="s">
        <v>19</v>
      </c>
      <c r="B36" s="11">
        <f>$B$22</f>
        <v>0.05</v>
      </c>
      <c r="C36" s="11">
        <f>$B$22</f>
        <v>0.05</v>
      </c>
      <c r="D36" s="11">
        <f>$B$22</f>
        <v>0.05</v>
      </c>
      <c r="E36" s="11">
        <f>$B$22</f>
        <v>0.05</v>
      </c>
      <c r="F36" s="11">
        <f>$B$22</f>
        <v>0.05</v>
      </c>
    </row>
    <row r="37" spans="1:13" x14ac:dyDescent="0.25">
      <c r="A37" t="s">
        <v>34</v>
      </c>
      <c r="B37" s="12">
        <f>B33*B36</f>
        <v>6.4800000000000013</v>
      </c>
      <c r="C37" s="12">
        <f>C33*C36</f>
        <v>6.933600000000002</v>
      </c>
      <c r="D37" s="12">
        <f>D33*D36</f>
        <v>7.3496160000000019</v>
      </c>
      <c r="E37" s="12">
        <f>E33*E36</f>
        <v>7.717096800000002</v>
      </c>
      <c r="F37" s="12">
        <f>F33*F36</f>
        <v>8.0257806720000016</v>
      </c>
      <c r="I37" s="47" t="s">
        <v>77</v>
      </c>
    </row>
    <row r="38" spans="1:13" x14ac:dyDescent="0.25">
      <c r="A38" t="s">
        <v>35</v>
      </c>
      <c r="B38" s="12">
        <f>B35-B37</f>
        <v>16.848000000000003</v>
      </c>
      <c r="C38" s="12">
        <f>C35-C37</f>
        <v>18.027360000000002</v>
      </c>
      <c r="D38" s="12">
        <f>D35-D37</f>
        <v>19.109001600000003</v>
      </c>
      <c r="E38" s="12">
        <f>E35-E37</f>
        <v>20.064451680000005</v>
      </c>
      <c r="F38" s="12">
        <f>F35-F37</f>
        <v>20.867029747200007</v>
      </c>
    </row>
    <row r="39" spans="1:13" ht="15.75" thickBot="1" x14ac:dyDescent="0.3">
      <c r="A39" s="18" t="s">
        <v>13</v>
      </c>
      <c r="B39" s="19">
        <f>$B$16</f>
        <v>0.25</v>
      </c>
      <c r="C39" s="19">
        <f>$B$16</f>
        <v>0.25</v>
      </c>
      <c r="D39" s="19">
        <f>$B$16</f>
        <v>0.25</v>
      </c>
      <c r="E39" s="19">
        <f>$B$16</f>
        <v>0.25</v>
      </c>
      <c r="F39" s="19">
        <f>$B$16</f>
        <v>0.25</v>
      </c>
    </row>
    <row r="40" spans="1:13" ht="15.75" thickTop="1" x14ac:dyDescent="0.25">
      <c r="A40" s="20" t="s">
        <v>49</v>
      </c>
      <c r="B40" s="3"/>
      <c r="C40" s="3"/>
      <c r="D40" s="3"/>
      <c r="E40" s="3"/>
      <c r="F40" s="3"/>
      <c r="I40" s="47" t="s">
        <v>78</v>
      </c>
    </row>
    <row r="41" spans="1:13" x14ac:dyDescent="0.25">
      <c r="A41" t="s">
        <v>36</v>
      </c>
      <c r="B41" t="str">
        <f>IF(ISNUMBER(B40),IF(ABS(B40-Solution!B40)&lt;=0.01,"✅","❌"),"⌛")</f>
        <v>⌛</v>
      </c>
      <c r="C41" t="str">
        <f>IF(ISNUMBER(C40),IF(ABS(C40-Solution!C40)&lt;=0.01,"✅","❌"),"⌛")</f>
        <v>⌛</v>
      </c>
      <c r="D41" t="str">
        <f>IF(ISNUMBER(D40),IF(ABS(D40-Solution!D40)&lt;=0.01,"✅","❌"),"⌛")</f>
        <v>⌛</v>
      </c>
      <c r="E41" t="str">
        <f>IF(ISNUMBER(E40),IF(ABS(E40-Solution!E40)&lt;=0.01,"✅","❌"),"⌛")</f>
        <v>⌛</v>
      </c>
      <c r="F41" t="str">
        <f>IF(ISNUMBER(F40),IF(ABS(F40-Solution!F40)&lt;=0.01,"✅","❌"),"⌛")</f>
        <v>⌛</v>
      </c>
    </row>
    <row r="42" spans="1:13" x14ac:dyDescent="0.25">
      <c r="A42" t="s">
        <v>20</v>
      </c>
      <c r="B42" s="5">
        <f>$B$23</f>
        <v>0.06</v>
      </c>
      <c r="C42" s="5">
        <f>$B$23</f>
        <v>0.06</v>
      </c>
      <c r="D42" s="5">
        <f>$B$23</f>
        <v>0.06</v>
      </c>
      <c r="E42" s="5">
        <f>$B$23</f>
        <v>0.06</v>
      </c>
      <c r="F42" s="5">
        <f>$B$23</f>
        <v>0.06</v>
      </c>
    </row>
    <row r="43" spans="1:13" x14ac:dyDescent="0.25">
      <c r="A43" t="s">
        <v>37</v>
      </c>
      <c r="B43" s="6">
        <f>B33*B42</f>
        <v>7.7760000000000007</v>
      </c>
      <c r="C43" s="6">
        <f>C33*C42</f>
        <v>8.3203200000000006</v>
      </c>
      <c r="D43" s="6">
        <f>D33*D42</f>
        <v>8.8195392000000012</v>
      </c>
      <c r="E43" s="6">
        <f>E33*E42</f>
        <v>9.2605161600000017</v>
      </c>
      <c r="F43" s="6">
        <f>F33*F42</f>
        <v>9.6309368064000012</v>
      </c>
    </row>
    <row r="44" spans="1:13" x14ac:dyDescent="0.25">
      <c r="A44" t="s">
        <v>21</v>
      </c>
      <c r="B44" s="5">
        <f>$B$24</f>
        <v>0.1</v>
      </c>
      <c r="C44" s="5">
        <f>$B$24</f>
        <v>0.1</v>
      </c>
      <c r="D44" s="5">
        <f>$B$24</f>
        <v>0.1</v>
      </c>
      <c r="E44" s="5">
        <f>$B$24</f>
        <v>0.1</v>
      </c>
      <c r="F44" s="5">
        <f>$B$24</f>
        <v>0.1</v>
      </c>
    </row>
    <row r="45" spans="1:13" x14ac:dyDescent="0.25">
      <c r="A45" t="s">
        <v>38</v>
      </c>
      <c r="B45" s="6">
        <f>B33*B44</f>
        <v>12.960000000000003</v>
      </c>
      <c r="C45" s="6">
        <f>C33*C44</f>
        <v>13.867200000000004</v>
      </c>
      <c r="D45" s="6">
        <f>D33*D44</f>
        <v>14.699232000000004</v>
      </c>
      <c r="E45" s="6">
        <f>E33*E44</f>
        <v>15.434193600000004</v>
      </c>
      <c r="F45" s="6">
        <f>F33*F44</f>
        <v>16.051561344000003</v>
      </c>
    </row>
    <row r="46" spans="1:13" x14ac:dyDescent="0.25">
      <c r="A46" s="21" t="s">
        <v>72</v>
      </c>
      <c r="B46" s="20"/>
      <c r="C46" s="20"/>
      <c r="D46" s="20"/>
      <c r="E46" s="20"/>
      <c r="F46" s="20"/>
      <c r="I46" s="48" t="s">
        <v>74</v>
      </c>
      <c r="J46" s="48"/>
      <c r="K46" s="48"/>
      <c r="L46" s="48"/>
    </row>
    <row r="47" spans="1:13" x14ac:dyDescent="0.25">
      <c r="A47" t="s">
        <v>73</v>
      </c>
      <c r="B47" t="str">
        <f>IF(ISNUMBER(B46),IF(ABS(B46-Solution!B46)&lt;=0.01,"✅","❌"),"⌛")</f>
        <v>⌛</v>
      </c>
      <c r="C47" t="str">
        <f>IF(ISNUMBER(C46),IF(ABS(C46-Solution!C46)&lt;=0.01,"✅","❌"),"⌛")</f>
        <v>⌛</v>
      </c>
      <c r="D47" t="str">
        <f>IF(ISNUMBER(D46),IF(ABS(D46-Solution!D46)&lt;=0.01,"✅","❌"),"⌛")</f>
        <v>⌛</v>
      </c>
      <c r="E47" t="str">
        <f>IF(ISNUMBER(E46),IF(ABS(E46-Solution!E46)&lt;=0.01,"✅","❌"),"⌛")</f>
        <v>⌛</v>
      </c>
      <c r="F47" t="str">
        <f>IF(ISNUMBER(F46),IF(ABS(F46-Solution!F46)&lt;=0.01,"✅","❌"),"⌛")</f>
        <v>⌛</v>
      </c>
    </row>
    <row r="48" spans="1:13" x14ac:dyDescent="0.25">
      <c r="A48" s="20" t="s">
        <v>52</v>
      </c>
      <c r="B48" s="20"/>
      <c r="C48" s="20"/>
      <c r="D48" s="20"/>
      <c r="E48" s="20"/>
      <c r="F48" s="20"/>
      <c r="I48" s="48" t="s">
        <v>79</v>
      </c>
      <c r="J48" s="48"/>
      <c r="K48" s="48"/>
      <c r="L48" s="48"/>
      <c r="M48" s="48"/>
    </row>
    <row r="49" spans="1:9" x14ac:dyDescent="0.25">
      <c r="A49" s="7" t="s">
        <v>40</v>
      </c>
      <c r="B49" s="7" t="str">
        <f>IF(ISNUMBER(B48),IF(ABS(B48-Solution!B48)&lt;=0.01,"✅","❌"),"⌛")</f>
        <v>⌛</v>
      </c>
      <c r="C49" s="7" t="str">
        <f>IF(ISNUMBER(C48),IF(ABS(C48-Solution!C48)&lt;=0.01,"✅","❌"),"⌛")</f>
        <v>⌛</v>
      </c>
      <c r="D49" s="7" t="str">
        <f>IF(ISNUMBER(D48),IF(ABS(D48-Solution!D48)&lt;=0.01,"✅","❌"),"⌛")</f>
        <v>⌛</v>
      </c>
      <c r="E49" s="7" t="str">
        <f>IF(ISNUMBER(E48),IF(ABS(E48-Solution!E48)&lt;=0.01,"✅","❌"),"⌛")</f>
        <v>⌛</v>
      </c>
      <c r="F49" s="7" t="str">
        <f>IF(ISNUMBER(F48),IF(ABS(F48-Solution!F48)&lt;=0.01,"✅","❌"),"⌛")</f>
        <v>⌛</v>
      </c>
    </row>
    <row r="51" spans="1:9" x14ac:dyDescent="0.25">
      <c r="B51" s="8"/>
      <c r="C51" s="8"/>
      <c r="D51" s="8"/>
      <c r="E51" s="8"/>
      <c r="F51" s="8"/>
    </row>
    <row r="52" spans="1:9" x14ac:dyDescent="0.25">
      <c r="A52" s="20" t="s">
        <v>53</v>
      </c>
      <c r="B52" s="20"/>
      <c r="C52" s="20"/>
      <c r="D52" s="20"/>
      <c r="E52" s="20"/>
      <c r="F52" s="20"/>
      <c r="I52" s="47" t="s">
        <v>80</v>
      </c>
    </row>
    <row r="53" spans="1:9" x14ac:dyDescent="0.25">
      <c r="A53" t="s">
        <v>41</v>
      </c>
      <c r="B53" t="str">
        <f>IF(ISNUMBER(B52),IF(ABS(B52-Solution!B52)&lt;=0.01,"✅","❌"),"⌛")</f>
        <v>⌛</v>
      </c>
      <c r="C53" t="str">
        <f>IF(ISNUMBER(C52),IF(ABS(C52-Solution!C52)&lt;=0.01,"✅","❌"),"⌛")</f>
        <v>⌛</v>
      </c>
      <c r="D53" t="str">
        <f>IF(ISNUMBER(D52),IF(ABS(D52-Solution!D52)&lt;=0.01,"✅","❌"),"⌛")</f>
        <v>⌛</v>
      </c>
      <c r="E53" t="str">
        <f>IF(ISNUMBER(E52),IF(ABS(E52-Solution!E52)&lt;=0.01,"✅","❌"),"⌛")</f>
        <v>⌛</v>
      </c>
      <c r="F53" t="str">
        <f>IF(ISNUMBER(F52),IF(ABS(F52-Solution!F52)&lt;=0.01,"✅","❌"),"⌛")</f>
        <v>⌛</v>
      </c>
    </row>
    <row r="54" spans="1:9" x14ac:dyDescent="0.25">
      <c r="A54" t="s">
        <v>42</v>
      </c>
      <c r="B54" t="s">
        <v>22</v>
      </c>
      <c r="C54" t="s">
        <v>22</v>
      </c>
      <c r="D54" t="s">
        <v>22</v>
      </c>
      <c r="E54" t="s">
        <v>22</v>
      </c>
      <c r="F54" s="3"/>
      <c r="G54" t="str">
        <f>IF(ISNUMBER(F54),IF(ABS(F54-Solution!F54)&lt;=0.1,"✅","❌"),"⌛")</f>
        <v>⌛</v>
      </c>
      <c r="I54" s="47" t="s">
        <v>75</v>
      </c>
    </row>
    <row r="55" spans="1:9" x14ac:dyDescent="0.25">
      <c r="A55" s="7" t="s">
        <v>54</v>
      </c>
      <c r="B55" s="7" t="s">
        <v>22</v>
      </c>
      <c r="C55" s="7" t="s">
        <v>22</v>
      </c>
      <c r="D55" s="7" t="s">
        <v>22</v>
      </c>
      <c r="E55" s="7" t="s">
        <v>22</v>
      </c>
      <c r="F55" s="9"/>
      <c r="G55" t="str">
        <f>IF(ISNUMBER(F55),IF(ABS(F55-Solution!F55)&lt;=0.1,"✅","❌"),"⌛")</f>
        <v>⌛</v>
      </c>
      <c r="I55" s="47" t="s">
        <v>76</v>
      </c>
    </row>
    <row r="56" spans="1:9" x14ac:dyDescent="0.25">
      <c r="A56" s="44" t="s">
        <v>86</v>
      </c>
      <c r="B56" s="45" t="e">
        <f>F55/B57</f>
        <v>#DIV/0!</v>
      </c>
      <c r="C56" s="43" t="str">
        <f>IF(ISNUMBER(B56),IF(B56&gt;0.5,"⚠️ TV drives &gt;50% of EV — discuss sensitivity!","✅"),"⌛")</f>
        <v>⌛</v>
      </c>
      <c r="D56" s="42"/>
      <c r="E56" s="42"/>
      <c r="F56" s="43"/>
      <c r="I56" s="47" t="s">
        <v>87</v>
      </c>
    </row>
    <row r="57" spans="1:9" ht="28.5" customHeight="1" x14ac:dyDescent="0.25">
      <c r="A57" t="s">
        <v>43</v>
      </c>
      <c r="B57" s="20"/>
      <c r="C57" t="str">
        <f>IF(ISNUMBER(B57),IF(ABS(B57-Solution!B56)&lt;=0.1,"✅","❌"),"⌛")</f>
        <v>⌛</v>
      </c>
      <c r="I57" s="47" t="s">
        <v>55</v>
      </c>
    </row>
    <row r="58" spans="1:9" x14ac:dyDescent="0.25">
      <c r="A58" t="s">
        <v>44</v>
      </c>
      <c r="B58" s="20"/>
      <c r="C58" t="str">
        <f>IF(ISNUMBER(B58),IF(ABS(B58-Solution!B57)&lt;=0.1,"✅","❌"),"⌛")</f>
        <v>⌛</v>
      </c>
      <c r="I58" s="47" t="s">
        <v>81</v>
      </c>
    </row>
    <row r="59" spans="1:9" ht="32.25" customHeight="1" x14ac:dyDescent="0.25">
      <c r="A59" t="s">
        <v>45</v>
      </c>
      <c r="B59" s="22"/>
      <c r="C59" t="str">
        <f>IF(ISNUMBER(B59),IF(ABS(B59-Solution!B58)&lt;=0.01,"✅","❌"),"⌛")</f>
        <v>⌛</v>
      </c>
      <c r="I59" s="47" t="s">
        <v>56</v>
      </c>
    </row>
    <row r="62" spans="1:9" x14ac:dyDescent="0.25">
      <c r="A62" s="2" t="s">
        <v>62</v>
      </c>
      <c r="B62" s="32"/>
      <c r="C62" s="32"/>
      <c r="D62" s="32"/>
      <c r="E62" s="32"/>
      <c r="F62" s="32"/>
    </row>
    <row r="63" spans="1:9" x14ac:dyDescent="0.25">
      <c r="A63" s="33" t="s">
        <v>63</v>
      </c>
      <c r="B63" s="40">
        <v>15</v>
      </c>
    </row>
    <row r="64" spans="1:9" x14ac:dyDescent="0.25">
      <c r="A64" s="3" t="s">
        <v>64</v>
      </c>
      <c r="B64" s="41">
        <f>B59</f>
        <v>0</v>
      </c>
    </row>
    <row r="65" spans="1:6" x14ac:dyDescent="0.25">
      <c r="A65" s="3" t="s">
        <v>65</v>
      </c>
      <c r="B65" s="4">
        <f>(B64-B63)/B63</f>
        <v>-1</v>
      </c>
    </row>
    <row r="66" spans="1:6" x14ac:dyDescent="0.25">
      <c r="A66" s="1" t="s">
        <v>66</v>
      </c>
      <c r="B66" s="1" t="str">
        <f>IF(B64&gt;B63,"UNDERVALUED → BUY",IF(B64&lt;B63,"OVERVALUED → SELL","FAIRLY VALUED"))</f>
        <v>OVERVALUED → SELL</v>
      </c>
    </row>
    <row r="68" spans="1:6" x14ac:dyDescent="0.25">
      <c r="A68" s="34" t="s">
        <v>67</v>
      </c>
    </row>
    <row r="69" spans="1:6" x14ac:dyDescent="0.25">
      <c r="A69" s="46" t="s">
        <v>89</v>
      </c>
    </row>
    <row r="71" spans="1:6" x14ac:dyDescent="0.25">
      <c r="A71" s="2" t="s">
        <v>68</v>
      </c>
      <c r="B71" s="32"/>
      <c r="C71" s="32"/>
      <c r="D71" s="32"/>
      <c r="E71" s="32"/>
      <c r="F71" s="32"/>
    </row>
    <row r="72" spans="1:6" x14ac:dyDescent="0.25">
      <c r="A72" s="2" t="s">
        <v>69</v>
      </c>
      <c r="B72" s="35">
        <v>1.4999999999999999E-2</v>
      </c>
      <c r="C72" s="35">
        <v>0.02</v>
      </c>
      <c r="D72" s="35">
        <v>2.5000000000000001E-2</v>
      </c>
      <c r="E72" s="35">
        <v>0.03</v>
      </c>
      <c r="F72" s="35">
        <v>3.5000000000000003E-2</v>
      </c>
    </row>
    <row r="73" spans="1:6" x14ac:dyDescent="0.25">
      <c r="A73" s="35">
        <v>6.6500000000000004E-2</v>
      </c>
      <c r="B73" s="36">
        <f>((((B38*(1-$B$16))+B37-B43-(B45-$B$25))/(1+0.0665)^1+((C38*(1-$B$16))+C37-C43-(C45-B45))/(1+0.0665)^2+((D38*(1-$B$16))+D37-D43-(D45-C45))/(1+0.0665)^3+((E38*(1-$B$16))+E37-E43-(E45-D45))/(1+0.0665)^4+((F38*(1-$B$16))+F37-F43-(F45-E45))/(1+0.0665)^5+(((F38*(1-$B$16))+F37-F43-(F45-E45))*(1+0.015)/(0.0665-0.015))/(1+0.0665)^5)-$B$26)/$B$27</f>
        <v>19.092648479042879</v>
      </c>
      <c r="C73" s="36">
        <f>((((B38*(1-$B$16))+B37-B43-(B45-$B$25))/(1+0.0665)^1+((C38*(1-$B$16))+C37-C43-(C45-B45))/(1+0.0665)^2+((D38*(1-$B$16))+D37-D43-(D45-C45))/(1+0.0665)^3+((E38*(1-$B$16))+E37-E43-(E45-D45))/(1+0.0665)^4+((F38*(1-$B$16))+F37-F43-(F45-E45))/(1+0.0665)^5+(((F38*(1-$B$16))+F37-F43-(F45-E45))*(1+0.02)/(0.0665-0.02))/(1+0.0665)^5)-$B$26)/$B$27</f>
        <v>21.259701710417186</v>
      </c>
      <c r="D73" s="36">
        <f>((((B38*(1-$B$16))+B37-B43-(B45-$B$25))/(1+0.0665)^1+((C38*(1-$B$16))+C37-C43-(C45-B45))/(1+0.0665)^2+((D38*(1-$B$16))+D37-D43-(D45-C45))/(1+0.0665)^3+((E38*(1-$B$16))+E37-E43-(E45-D45))/(1+0.0665)^4+((F38*(1-$B$16))+F37-F43-(F45-E45))/(1+0.0665)^5+(((F38*(1-$B$16))+F37-F43-(F45-E45))*(1+0.025)/(0.0665-0.025))/(1+0.0665)^5)-$B$26)/$B$27</f>
        <v>23.948936443327476</v>
      </c>
      <c r="E73" s="36">
        <f>((((B38*(1-$B$16))+B37-B43-(B45-$B$25))/(1+0.0665)^1+((C38*(1-$B$16))+C37-C43-(C45-B45))/(1+0.0665)^2+((D38*(1-$B$16))+D37-D43-(D45-C45))/(1+0.0665)^3+((E38*(1-$B$16))+E37-E43-(E45-D45))/(1+0.0665)^4+((F38*(1-$B$16))+F37-F43-(F45-E45))/(1+0.0665)^5+(((F38*(1-$B$16))+F37-F43-(F45-E45))*(1+0.03)/(0.0665-0.03))/(1+0.0665)^5)-$B$26)/$B$27</f>
        <v>27.374947815391266</v>
      </c>
      <c r="F73" s="36">
        <f>((((B38*(1-$B$16))+B37-B43-(B45-$B$25))/(1+0.0665)^1+((C38*(1-$B$16))+C37-C43-(C45-B45))/(1+0.0665)^2+((D38*(1-$B$16))+D37-D43-(D45-C45))/(1+0.0665)^3+((E38*(1-$B$16))+E37-E43-(E45-D45))/(1+0.0665)^4+((F38*(1-$B$16))+F37-F43-(F45-E45))/(1+0.0665)^5+(((F38*(1-$B$16))+F37-F43-(F45-E45))*(1+0.035)/(0.0665-0.035))/(1+0.0665)^5)-$B$26)/$B$27</f>
        <v>31.888581845253093</v>
      </c>
    </row>
    <row r="74" spans="1:6" x14ac:dyDescent="0.25">
      <c r="A74" s="35">
        <v>7.1499999999999994E-2</v>
      </c>
      <c r="B74" s="36">
        <f>((((B38*(1-$B$16))+B37-B43-(B45-$B$25))/(1+0.0715)^1+((C38*(1-$B$16))+C37-C43-(C45-B45))/(1+0.0715)^2+((D38*(1-$B$16))+D37-D43-(D45-C45))/(1+0.0715)^3+((E38*(1-$B$16))+E37-E43-(E45-D45))/(1+0.0715)^4+((F38*(1-$B$16))+F37-F43-(F45-E45))/(1+0.0715)^5+(((F38*(1-$B$16))+F37-F43-(F45-E45))*(1+0.015)/(0.0715-0.015))/(1+0.0715)^5)-$B$26)/$B$27</f>
        <v>16.922806332819537</v>
      </c>
      <c r="C74" s="36">
        <f>((((B38*(1-$B$16))+B37-B43-(B45-$B$25))/(1+0.0715)^1+((C38*(1-$B$16))+C37-C43-(C45-B45))/(1+0.0715)^2+((D38*(1-$B$16))+D37-D43-(D45-C45))/(1+0.0715)^3+((E38*(1-$B$16))+E37-E43-(E45-D45))/(1+0.0715)^4+((F38*(1-$B$16))+F37-F43-(F45-E45))/(1+0.0715)^5+(((F38*(1-$B$16))+F37-F43-(F45-E45))*(1+0.02)/(0.0715-0.02))/(1+0.0715)^5)-$B$26)/$B$27</f>
        <v>18.673252754019359</v>
      </c>
      <c r="D74" s="36">
        <f>((((B38*(1-$B$16))+B37-B43-(B45-$B$25))/(1+0.0715)^1+((C38*(1-$B$16))+C37-C43-(C45-B45))/(1+0.0715)^2+((D38*(1-$B$16))+D37-D43-(D45-C45))/(1+0.0715)^3+((E38*(1-$B$16))+E37-E43-(E45-D45))/(1+0.0715)^4+((F38*(1-$B$16))+F37-F43-(F45-E45))/(1+0.0715)^5+(((F38*(1-$B$16))+F37-F43-(F45-E45))*(1+0.025)/(0.0715-0.025))/(1+0.0715)^5)-$B$26)/$B$27</f>
        <v>20.800139265799782</v>
      </c>
      <c r="E74" s="36">
        <f>((((B38*(1-$B$16))+B37-B43-(B45-$B$25))/(1+0.0715)^1+((C38*(1-$B$16))+C37-C43-(C45-B45))/(1+0.0715)^2+((D38*(1-$B$16))+D37-D43-(D45-C45))/(1+0.0715)^3+((E38*(1-$B$16))+E37-E43-(E45-D45))/(1+0.0715)^4+((F38*(1-$B$16))+F37-F43-(F45-E45))/(1+0.0715)^5+(((F38*(1-$B$16))+F37-F43-(F45-E45))*(1+0.03)/(0.0715-0.03))/(1+0.0715)^5)-$B$26)/$B$27</f>
        <v>23.439528551503201</v>
      </c>
      <c r="F74" s="36">
        <f>((((B38*(1-$B$16))+B37-B43-(B45-$B$25))/(1+0.0715)^1+((C38*(1-$B$16))+C37-C43-(C45-B45))/(1+0.0715)^2+((D38*(1-$B$16))+D37-D43-(D45-C45))/(1+0.0715)^3+((E38*(1-$B$16))+E37-E43-(E45-D45))/(1+0.0715)^4+((F38*(1-$B$16))+F37-F43-(F45-E45))/(1+0.0715)^5+(((F38*(1-$B$16))+F37-F43-(F45-E45))*(1+0.035)/(0.0715-0.035))/(1+0.0715)^5)-$B$26)/$B$27</f>
        <v>26.802038189454134</v>
      </c>
    </row>
    <row r="75" spans="1:6" x14ac:dyDescent="0.25">
      <c r="A75" s="35">
        <v>7.6499999999999999E-2</v>
      </c>
      <c r="B75" s="36">
        <f>((((B38*(1-$B$16))+B37-B43-(B45-$B$25))/(1+0.0765)^1+((C38*(1-$B$16))+C37-C43-(C45-B45))/(1+0.0765)^2+((D38*(1-$B$16))+D37-D43-(D45-C45))/(1+0.0765)^3+((E38*(1-$B$16))+E37-E43-(E45-D45))/(1+0.0765)^4+((F38*(1-$B$16))+F37-F43-(F45-E45))/(1+0.0765)^5+(((F38*(1-$B$16))+F37-F43-(F45-E45))*(1+0.015)/(0.0765-0.015))/(1+0.0765)^5)-$B$26)/$B$27</f>
        <v>15.106390977496591</v>
      </c>
      <c r="C75" s="36">
        <f>((((B38*(1-$B$16))+B37-B43-(B45-$B$25))/(1+0.0765)^1+((C38*(1-$B$16))+C37-C43-(C45-B45))/(1+0.0765)^2+((D38*(1-$B$16))+D37-D43-(D45-C45))/(1+0.0765)^3+((E38*(1-$B$16))+E37-E43-(E45-D45))/(1+0.0765)^4+((F38*(1-$B$16))+F37-F43-(F45-E45))/(1+0.0765)^5+(((F38*(1-$B$16))+F37-F43-(F45-E45))*(1+0.02)/(0.0765-0.02))/(1+0.0765)^5)-$B$26)/$B$27</f>
        <v>16.545168022613751</v>
      </c>
      <c r="D75" s="37">
        <f>((((B38*(1-$B$16))+B37-B43-(B45-$B$25))/(1+0.0765)^1+((C38*(1-$B$16))+C37-C43-(C45-B45))/(1+0.0765)^2+((D38*(1-$B$16))+D37-D43-(D45-C45))/(1+0.0765)^3+((E38*(1-$B$16))+E37-E43-(E45-D45))/(1+0.0765)^4+((F38*(1-$B$16))+F37-F43-(F45-E45))/(1+0.0765)^5+(((F38*(1-$B$16))+F37-F43-(F45-E45))*(1+0.025)/(0.0765-0.025))/(1+0.0765)^5)-$B$26)/$B$27</f>
        <v>18.263319251248809</v>
      </c>
      <c r="E75" s="36">
        <f>((((B38*(1-$B$16))+B37-B43-(B45-$B$25))/(1+0.0765)^1+((C38*(1-$B$16))+C37-C43-(C45-B45))/(1+0.0765)^2+((D38*(1-$B$16))+D37-D43-(D45-C45))/(1+0.0765)^3+((E38*(1-$B$16))+E37-E43-(E45-D45))/(1+0.0765)^4+((F38*(1-$B$16))+F37-F43-(F45-E45))/(1+0.0765)^5+(((F38*(1-$B$16))+F37-F43-(F45-E45))*(1+0.03)/(0.0765-0.03))/(1+0.0765)^5)-$B$26)/$B$27</f>
        <v>20.350965367762367</v>
      </c>
      <c r="F75" s="36">
        <f>((((B38*(1-$B$16))+B37-B43-(B45-$B$25))/(1+0.0765)^1+((C38*(1-$B$16))+C37-C43-(C45-B45))/(1+0.0765)^2+((D38*(1-$B$16))+D37-D43-(D45-C45))/(1+0.0765)^3+((E38*(1-$B$16))+E37-E43-(E45-D45))/(1+0.0765)^4+((F38*(1-$B$16))+F37-F43-(F45-E45))/(1+0.0765)^5+(((F38*(1-$B$16))+F37-F43-(F45-E45))*(1+0.035)/(0.0765-0.035))/(1+0.0765)^5)-$B$26)/$B$27</f>
        <v>22.941658741267151</v>
      </c>
    </row>
    <row r="76" spans="1:6" x14ac:dyDescent="0.25">
      <c r="A76" s="35">
        <v>8.1500000000000003E-2</v>
      </c>
      <c r="B76" s="36">
        <f>((((B38*(1-$B$16))+B37-B43-(B45-$B$25))/(1+0.0815)^1+((C38*(1-$B$16))+C37-C43-(C45-B45))/(1+0.0815)^2+((D38*(1-$B$16))+D37-D43-(D45-C45))/(1+0.0815)^3+((E38*(1-$B$16))+E37-E43-(E45-D45))/(1+0.0815)^4+((F38*(1-$B$16))+F37-F43-(F45-E45))/(1+0.0815)^5+(((F38*(1-$B$16))+F37-F43-(F45-E45))*(1+0.015)/(0.0815-0.015))/(1+0.0815)^5)-$B$26)/$B$27</f>
        <v>13.56366899930369</v>
      </c>
      <c r="C76" s="36">
        <f>((((B38*(1-$B$16))+B37-B43-(B45-$B$25))/(1+0.0815)^1+((C38*(1-$B$16))+C37-C43-(C45-B45))/(1+0.0815)^2+((D38*(1-$B$16))+D37-D43-(D45-C45))/(1+0.0815)^3+((E38*(1-$B$16))+E37-E43-(E45-D45))/(1+0.0815)^4+((F38*(1-$B$16))+F37-F43-(F45-E45))/(1+0.0815)^5+(((F38*(1-$B$16))+F37-F43-(F45-E45))*(1+0.02)/(0.0815-0.02))/(1+0.0815)^5)-$B$26)/$B$27</f>
        <v>14.763638877123231</v>
      </c>
      <c r="D76" s="36">
        <f>((((B38*(1-$B$16))+B37-B43-(B45-$B$25))/(1+0.0815)^1+((C38*(1-$B$16))+C37-C43-(C45-B45))/(1+0.0815)^2+((D38*(1-$B$16))+D37-D43-(D45-C45))/(1+0.0815)^3+((E38*(1-$B$16))+E37-E43-(E45-D45))/(1+0.0815)^4+((F38*(1-$B$16))+F37-F43-(F45-E45))/(1+0.0815)^5+(((F38*(1-$B$16))+F37-F43-(F45-E45))*(1+0.025)/(0.0815-0.025))/(1+0.0815)^5)-$B$26)/$B$27</f>
        <v>16.175992804114372</v>
      </c>
      <c r="E76" s="36">
        <f>((((B38*(1-$B$16))+B37-B43-(B45-$B$25))/(1+0.0815)^1+((C38*(1-$B$16))+C37-C43-(C45-B45))/(1+0.0815)^2+((D38*(1-$B$16))+D37-D43-(D45-C45))/(1+0.0815)^3+((E38*(1-$B$16))+E37-E43-(E45-D45))/(1+0.0815)^4+((F38*(1-$B$16))+F37-F43-(F45-E45))/(1+0.0815)^5+(((F38*(1-$B$16))+F37-F43-(F45-E45))*(1+0.03)/(0.0815-0.03))/(1+0.0815)^5)-$B$26)/$B$27</f>
        <v>17.862590212074668</v>
      </c>
      <c r="F76" s="36">
        <f>((((B38*(1-$B$16))+B37-B43-(B45-$B$25))/(1+0.0815)^1+((C38*(1-$B$16))+C37-C43-(C45-B45))/(1+0.0815)^2+((D38*(1-$B$16))+D37-D43-(D45-C45))/(1+0.0815)^3+((E38*(1-$B$16))+E37-E43-(E45-D45))/(1+0.0815)^4+((F38*(1-$B$16))+F37-F43-(F45-E45))/(1+0.0815)^5+(((F38*(1-$B$16))+F37-F43-(F45-E45))*(1+0.035)/(0.0815-0.035))/(1+0.0815)^5)-$B$26)/$B$27</f>
        <v>19.911896740026425</v>
      </c>
    </row>
    <row r="77" spans="1:6" x14ac:dyDescent="0.25">
      <c r="A77" s="35">
        <v>8.6499999999999994E-2</v>
      </c>
      <c r="B77" s="36">
        <f>((((B38*(1-$B$16))+B37-B43-(B45-$B$25))/(1+0.0865)^1+((C38*(1-$B$16))+C37-C43-(C45-B45))/(1+0.0865)^2+((D38*(1-$B$16))+D37-D43-(D45-C45))/(1+0.0865)^3+((E38*(1-$B$16))+E37-E43-(E45-D45))/(1+0.0865)^4+((F38*(1-$B$16))+F37-F43-(F45-E45))/(1+0.0865)^5+(((F38*(1-$B$16))+F37-F43-(F45-E45))*(1+0.015)/(0.0865-0.015))/(1+0.0865)^5)-$B$26)/$B$27</f>
        <v>12.237210385122358</v>
      </c>
      <c r="C77" s="36">
        <f>((((B38*(1-$B$16))+B37-B43-(B45-$B$25))/(1+0.0865)^1+((C38*(1-$B$16))+C37-C43-(C45-B45))/(1+0.0865)^2+((D38*(1-$B$16))+D37-D43-(D45-C45))/(1+0.0865)^3+((E38*(1-$B$16))+E37-E43-(E45-D45))/(1+0.0865)^4+((F38*(1-$B$16))+F37-F43-(F45-E45))/(1+0.0865)^5+(((F38*(1-$B$16))+F37-F43-(F45-E45))*(1+0.02)/(0.0865-0.02))/(1+0.0865)^5)-$B$26)/$B$27</f>
        <v>13.250483665856866</v>
      </c>
      <c r="D77" s="36">
        <f>((((B38*(1-$B$16))+B37-B43-(B45-$B$25))/(1+0.0865)^1+((C38*(1-$B$16))+C37-C43-(C45-B45))/(1+0.0865)^2+((D38*(1-$B$16))+D37-D43-(D45-C45))/(1+0.0865)^3+((E38*(1-$B$16))+E37-E43-(E45-D45))/(1+0.0865)^4+((F38*(1-$B$16))+F37-F43-(F45-E45))/(1+0.0865)^5+(((F38*(1-$B$16))+F37-F43-(F45-E45))*(1+0.025)/(0.0865-0.025))/(1+0.0865)^5)-$B$26)/$B$27</f>
        <v>14.428516829637626</v>
      </c>
      <c r="E77" s="36">
        <f>((((B38*(1-$B$16))+B37-B43-(B45-$B$25))/(1+0.0865)^1+((C38*(1-$B$16))+C37-C43-(C45-B45))/(1+0.0865)^2+((D38*(1-$B$16))+D37-D43-(D45-C45))/(1+0.0865)^3+((E38*(1-$B$16))+E37-E43-(E45-D45))/(1+0.0865)^4+((F38*(1-$B$16))+F37-F43-(F45-E45))/(1+0.0865)^5+(((F38*(1-$B$16))+F37-F43-(F45-E45))*(1+0.03)/(0.0865-0.03))/(1+0.0865)^5)-$B$26)/$B$27</f>
        <v>15.815051438335336</v>
      </c>
      <c r="F77" s="36">
        <f>((((B38*(1-$B$16))+B37-B43-(B45-$B$25))/(1+0.0865)^1+((C38*(1-$B$16))+C37-C43-(C45-B45))/(1+0.0865)^2+((D38*(1-$B$16))+D37-D43-(D45-C45))/(1+0.0865)^3+((E38*(1-$B$16))+E37-E43-(E45-D45))/(1+0.0865)^4+((F38*(1-$B$16))+F37-F43-(F45-E45))/(1+0.0865)^5+(((F38*(1-$B$16))+F37-F43-(F45-E45))*(1+0.035)/(0.0865-0.035))/(1+0.0865)^5)-$B$26)/$B$27</f>
        <v>17.470816068139403</v>
      </c>
    </row>
    <row r="79" spans="1:6" x14ac:dyDescent="0.25">
      <c r="A79" s="38" t="s">
        <v>70</v>
      </c>
    </row>
    <row r="80" spans="1:6" x14ac:dyDescent="0.25">
      <c r="A80" s="39" t="s">
        <v>71</v>
      </c>
    </row>
  </sheetData>
  <mergeCells count="1">
    <mergeCell ref="A1:F1"/>
  </mergeCells>
  <conditionalFormatting sqref="B66">
    <cfRule type="containsText" dxfId="3" priority="1" operator="containsText" text="BUY">
      <formula>NOT(ISERROR(SEARCH("BUY",B66)))</formula>
    </cfRule>
  </conditionalFormatting>
  <conditionalFormatting sqref="B66">
    <cfRule type="containsText" dxfId="2" priority="2" operator="containsText" text="SELL">
      <formula>NOT(ISERROR(SEARCH("SELL",B66)))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opLeftCell="A28" workbookViewId="0">
      <selection activeCell="F54" sqref="F54"/>
    </sheetView>
  </sheetViews>
  <sheetFormatPr defaultRowHeight="15" x14ac:dyDescent="0.25"/>
  <cols>
    <col min="1" max="1" width="50.85546875" customWidth="1"/>
    <col min="2" max="2" width="25.7109375" customWidth="1"/>
    <col min="3" max="3" width="22.7109375" customWidth="1"/>
    <col min="4" max="4" width="12.42578125" bestFit="1" customWidth="1"/>
    <col min="5" max="5" width="24.85546875" customWidth="1"/>
    <col min="6" max="6" width="32.140625" customWidth="1"/>
    <col min="7" max="7" width="6.5703125" bestFit="1" customWidth="1"/>
  </cols>
  <sheetData>
    <row r="1" spans="1:7" x14ac:dyDescent="0.25">
      <c r="A1" s="30" t="s">
        <v>0</v>
      </c>
      <c r="B1" s="30"/>
      <c r="C1" s="30"/>
      <c r="D1" s="30"/>
      <c r="E1" s="30"/>
      <c r="F1" s="30"/>
    </row>
    <row r="3" spans="1:7" x14ac:dyDescent="0.25">
      <c r="A3" s="1" t="s">
        <v>1</v>
      </c>
    </row>
    <row r="4" spans="1:7" x14ac:dyDescent="0.25">
      <c r="A4" t="s">
        <v>84</v>
      </c>
    </row>
    <row r="5" spans="1:7" x14ac:dyDescent="0.25">
      <c r="A5" t="s">
        <v>57</v>
      </c>
    </row>
    <row r="6" spans="1:7" x14ac:dyDescent="0.25">
      <c r="A6" t="s">
        <v>61</v>
      </c>
    </row>
    <row r="7" spans="1:7" x14ac:dyDescent="0.25">
      <c r="A7" t="s">
        <v>58</v>
      </c>
    </row>
    <row r="8" spans="1:7" x14ac:dyDescent="0.25">
      <c r="A8" t="s">
        <v>59</v>
      </c>
    </row>
    <row r="9" spans="1:7" x14ac:dyDescent="0.25">
      <c r="A9" t="s">
        <v>60</v>
      </c>
    </row>
    <row r="11" spans="1:7" x14ac:dyDescent="0.25">
      <c r="A11" s="2" t="s">
        <v>2</v>
      </c>
      <c r="B11" s="2" t="s">
        <v>47</v>
      </c>
      <c r="C11" s="2"/>
      <c r="E11" s="2" t="s">
        <v>3</v>
      </c>
      <c r="F11" s="2" t="s">
        <v>4</v>
      </c>
      <c r="G11" s="2" t="s">
        <v>5</v>
      </c>
    </row>
    <row r="12" spans="1:7" x14ac:dyDescent="0.25">
      <c r="A12" t="s">
        <v>7</v>
      </c>
      <c r="B12" s="11">
        <v>0.03</v>
      </c>
      <c r="E12" t="s">
        <v>6</v>
      </c>
      <c r="F12" s="4">
        <f>B12+B14*(B13)</f>
        <v>0.09</v>
      </c>
      <c r="G12" t="str">
        <f>IF(ISNUMBER(F12),IF(ABS(F12-Solution!F12)&lt;=0.0001,"✅","❌"),"⌛")</f>
        <v>✅</v>
      </c>
    </row>
    <row r="13" spans="1:7" x14ac:dyDescent="0.25">
      <c r="A13" t="s">
        <v>9</v>
      </c>
      <c r="B13" s="11">
        <v>0.05</v>
      </c>
      <c r="E13" t="s">
        <v>8</v>
      </c>
      <c r="F13" s="16">
        <f>B15*(1-B16)</f>
        <v>4.4999999999999998E-2</v>
      </c>
      <c r="G13" t="str">
        <f>IF(ISNUMBER(F13),IF(ABS(F13-Solution!F13)&lt;=0.0001,"✅","❌"),"⌛")</f>
        <v>✅</v>
      </c>
    </row>
    <row r="14" spans="1:7" x14ac:dyDescent="0.25">
      <c r="A14" t="s">
        <v>11</v>
      </c>
      <c r="B14" s="13">
        <v>1.2</v>
      </c>
      <c r="E14" t="s">
        <v>10</v>
      </c>
      <c r="F14" s="4">
        <f>B17*F12+B18*F13</f>
        <v>7.6499999999999999E-2</v>
      </c>
      <c r="G14" t="str">
        <f>IF(ISNUMBER(F14),IF(ABS(F14-Solution!F14)&lt;=0.0001,"✅","❌"),"⌛")</f>
        <v>✅</v>
      </c>
    </row>
    <row r="15" spans="1:7" x14ac:dyDescent="0.25">
      <c r="A15" t="s">
        <v>12</v>
      </c>
      <c r="B15" s="11">
        <v>0.06</v>
      </c>
    </row>
    <row r="16" spans="1:7" x14ac:dyDescent="0.25">
      <c r="A16" t="s">
        <v>13</v>
      </c>
      <c r="B16" s="11">
        <v>0.25</v>
      </c>
    </row>
    <row r="17" spans="1:9" x14ac:dyDescent="0.25">
      <c r="A17" t="s">
        <v>14</v>
      </c>
      <c r="B17" s="11">
        <v>0.7</v>
      </c>
    </row>
    <row r="18" spans="1:9" x14ac:dyDescent="0.25">
      <c r="A18" t="s">
        <v>15</v>
      </c>
      <c r="B18" s="11">
        <v>0.3</v>
      </c>
    </row>
    <row r="19" spans="1:9" x14ac:dyDescent="0.25">
      <c r="A19" t="s">
        <v>16</v>
      </c>
      <c r="B19" s="11">
        <v>2.5000000000000001E-2</v>
      </c>
    </row>
    <row r="20" spans="1:9" x14ac:dyDescent="0.25">
      <c r="A20" t="s">
        <v>17</v>
      </c>
      <c r="B20" s="12">
        <v>120</v>
      </c>
    </row>
    <row r="21" spans="1:9" x14ac:dyDescent="0.25">
      <c r="A21" t="s">
        <v>18</v>
      </c>
      <c r="B21" s="11">
        <v>0.18</v>
      </c>
    </row>
    <row r="22" spans="1:9" x14ac:dyDescent="0.25">
      <c r="A22" t="s">
        <v>19</v>
      </c>
      <c r="B22" s="11">
        <v>0.05</v>
      </c>
    </row>
    <row r="23" spans="1:9" x14ac:dyDescent="0.25">
      <c r="A23" t="s">
        <v>20</v>
      </c>
      <c r="B23" s="11">
        <v>0.06</v>
      </c>
      <c r="I23" s="3" t="s">
        <v>83</v>
      </c>
    </row>
    <row r="24" spans="1:9" x14ac:dyDescent="0.25">
      <c r="A24" t="s">
        <v>21</v>
      </c>
      <c r="B24" s="11">
        <v>0.1</v>
      </c>
    </row>
    <row r="25" spans="1:9" x14ac:dyDescent="0.25">
      <c r="A25" t="s">
        <v>48</v>
      </c>
      <c r="B25" s="13">
        <f>$B$24*$B$20</f>
        <v>12</v>
      </c>
      <c r="C25" t="str">
        <f t="shared" ref="C25" ca="1" si="0">_xlfn.FORMULATEXT(B25)</f>
        <v>=$B$24*$B$20</v>
      </c>
    </row>
    <row r="26" spans="1:9" x14ac:dyDescent="0.25">
      <c r="A26" s="33" t="s">
        <v>85</v>
      </c>
      <c r="B26" s="14">
        <v>50</v>
      </c>
    </row>
    <row r="27" spans="1:9" x14ac:dyDescent="0.25">
      <c r="A27" s="7" t="s">
        <v>23</v>
      </c>
      <c r="B27" s="15">
        <v>10</v>
      </c>
      <c r="C27" s="7"/>
    </row>
    <row r="30" spans="1:9" x14ac:dyDescent="0.25">
      <c r="A30" t="s">
        <v>24</v>
      </c>
    </row>
    <row r="31" spans="1:9" x14ac:dyDescent="0.25">
      <c r="A31" s="2" t="s">
        <v>25</v>
      </c>
      <c r="B31" s="10" t="s">
        <v>26</v>
      </c>
      <c r="C31" s="10" t="s">
        <v>27</v>
      </c>
      <c r="D31" s="10" t="s">
        <v>28</v>
      </c>
      <c r="E31" s="10" t="s">
        <v>29</v>
      </c>
      <c r="F31" s="10" t="s">
        <v>30</v>
      </c>
    </row>
    <row r="32" spans="1:9" x14ac:dyDescent="0.25">
      <c r="A32" t="s">
        <v>31</v>
      </c>
      <c r="B32" s="11">
        <v>0.08</v>
      </c>
      <c r="C32" s="11">
        <v>7.0000000000000007E-2</v>
      </c>
      <c r="D32" s="11">
        <v>0.06</v>
      </c>
      <c r="E32" s="11">
        <v>0.05</v>
      </c>
      <c r="F32" s="11">
        <v>0.04</v>
      </c>
      <c r="I32" s="3" t="s">
        <v>82</v>
      </c>
    </row>
    <row r="33" spans="1:14" x14ac:dyDescent="0.25">
      <c r="A33" t="s">
        <v>32</v>
      </c>
      <c r="B33" s="12">
        <f>$B$20*(1+B32)</f>
        <v>129.60000000000002</v>
      </c>
      <c r="C33" s="12">
        <f>B33*(1+C32)</f>
        <v>138.67200000000003</v>
      </c>
      <c r="D33" s="12">
        <f>C33*(1+D32)</f>
        <v>146.99232000000003</v>
      </c>
      <c r="E33" s="12">
        <f>D33*(1+E32)</f>
        <v>154.34193600000003</v>
      </c>
      <c r="F33" s="12">
        <f>E33*(1+F32)</f>
        <v>160.51561344000004</v>
      </c>
    </row>
    <row r="34" spans="1:14" x14ac:dyDescent="0.25">
      <c r="A34" t="s">
        <v>18</v>
      </c>
      <c r="B34" s="11">
        <f>$B$21</f>
        <v>0.18</v>
      </c>
      <c r="C34" s="11">
        <f>$B$21</f>
        <v>0.18</v>
      </c>
      <c r="D34" s="11">
        <f>$B$21</f>
        <v>0.18</v>
      </c>
      <c r="E34" s="11">
        <f>$B$21</f>
        <v>0.18</v>
      </c>
      <c r="F34" s="11">
        <f>$B$21</f>
        <v>0.18</v>
      </c>
    </row>
    <row r="35" spans="1:14" x14ac:dyDescent="0.25">
      <c r="A35" t="s">
        <v>33</v>
      </c>
      <c r="B35" s="12">
        <f>B33*B34</f>
        <v>23.328000000000003</v>
      </c>
      <c r="C35" s="12">
        <f>C33*C34</f>
        <v>24.960960000000004</v>
      </c>
      <c r="D35" s="12">
        <f>D33*D34</f>
        <v>26.458617600000004</v>
      </c>
      <c r="E35" s="12">
        <f>E33*E34</f>
        <v>27.781548480000005</v>
      </c>
      <c r="F35" s="12">
        <f>F33*F34</f>
        <v>28.892810419200007</v>
      </c>
    </row>
    <row r="36" spans="1:14" x14ac:dyDescent="0.25">
      <c r="A36" t="s">
        <v>19</v>
      </c>
      <c r="B36" s="11">
        <f>$B$22</f>
        <v>0.05</v>
      </c>
      <c r="C36" s="11">
        <f>$B$22</f>
        <v>0.05</v>
      </c>
      <c r="D36" s="11">
        <f>$B$22</f>
        <v>0.05</v>
      </c>
      <c r="E36" s="11">
        <f>$B$22</f>
        <v>0.05</v>
      </c>
      <c r="F36" s="11">
        <f>$B$22</f>
        <v>0.05</v>
      </c>
    </row>
    <row r="37" spans="1:14" x14ac:dyDescent="0.25">
      <c r="A37" t="s">
        <v>34</v>
      </c>
      <c r="B37" s="12">
        <f>B33*B36</f>
        <v>6.4800000000000013</v>
      </c>
      <c r="C37" s="12">
        <f>C33*C36</f>
        <v>6.933600000000002</v>
      </c>
      <c r="D37" s="12">
        <f>D33*D36</f>
        <v>7.3496160000000019</v>
      </c>
      <c r="E37" s="12">
        <f>E33*E36</f>
        <v>7.717096800000002</v>
      </c>
      <c r="F37" s="12">
        <f>F33*F36</f>
        <v>8.0257806720000016</v>
      </c>
      <c r="I37" s="3" t="s">
        <v>77</v>
      </c>
    </row>
    <row r="38" spans="1:14" x14ac:dyDescent="0.25">
      <c r="A38" t="s">
        <v>35</v>
      </c>
      <c r="B38" s="12">
        <f>B35-B37</f>
        <v>16.848000000000003</v>
      </c>
      <c r="C38" s="12">
        <f>C35-C37</f>
        <v>18.027360000000002</v>
      </c>
      <c r="D38" s="12">
        <f>D35-D37</f>
        <v>19.109001600000003</v>
      </c>
      <c r="E38" s="12">
        <f>E35-E37</f>
        <v>20.064451680000005</v>
      </c>
      <c r="F38" s="12">
        <f>F35-F37</f>
        <v>20.867029747200007</v>
      </c>
    </row>
    <row r="39" spans="1:14" ht="15.75" thickBot="1" x14ac:dyDescent="0.3">
      <c r="A39" s="18" t="s">
        <v>13</v>
      </c>
      <c r="B39" s="19">
        <f>$B$16</f>
        <v>0.25</v>
      </c>
      <c r="C39" s="19">
        <f>$B$16</f>
        <v>0.25</v>
      </c>
      <c r="D39" s="19">
        <f>$B$16</f>
        <v>0.25</v>
      </c>
      <c r="E39" s="19">
        <f>$B$16</f>
        <v>0.25</v>
      </c>
      <c r="F39" s="19">
        <f>$B$16</f>
        <v>0.25</v>
      </c>
    </row>
    <row r="40" spans="1:14" ht="15.75" thickTop="1" x14ac:dyDescent="0.25">
      <c r="A40" s="20" t="s">
        <v>49</v>
      </c>
      <c r="B40" s="3">
        <f>B38-(B38*B39)</f>
        <v>12.636000000000003</v>
      </c>
      <c r="C40" s="3">
        <f t="shared" ref="C40:F40" si="1">C38-(C38*C39)</f>
        <v>13.520520000000001</v>
      </c>
      <c r="D40" s="3">
        <f t="shared" si="1"/>
        <v>14.331751200000003</v>
      </c>
      <c r="E40" s="3">
        <f t="shared" si="1"/>
        <v>15.048338760000004</v>
      </c>
      <c r="F40" s="3">
        <f t="shared" si="1"/>
        <v>15.650272310400005</v>
      </c>
      <c r="I40" s="3" t="s">
        <v>78</v>
      </c>
      <c r="J40" s="3"/>
      <c r="K40" s="3"/>
      <c r="L40" s="3"/>
      <c r="M40" s="3"/>
      <c r="N40" s="3"/>
    </row>
    <row r="41" spans="1:14" x14ac:dyDescent="0.25">
      <c r="A41" t="s">
        <v>36</v>
      </c>
      <c r="B41" t="str">
        <f>IF(ISNUMBER(B40),IF(ABS(B40-Solution!B40)&lt;=0.01,"✅","❌"),"⌛")</f>
        <v>✅</v>
      </c>
      <c r="C41" t="str">
        <f>IF(ISNUMBER(C40),IF(ABS(C40-Solution!C40)&lt;=0.01,"✅","❌"),"⌛")</f>
        <v>✅</v>
      </c>
      <c r="D41" t="str">
        <f>IF(ISNUMBER(D40),IF(ABS(D40-Solution!D40)&lt;=0.01,"✅","❌"),"⌛")</f>
        <v>✅</v>
      </c>
      <c r="E41" t="str">
        <f>IF(ISNUMBER(E40),IF(ABS(E40-Solution!E40)&lt;=0.01,"✅","❌"),"⌛")</f>
        <v>✅</v>
      </c>
      <c r="F41" t="str">
        <f>IF(ISNUMBER(F40),IF(ABS(F40-Solution!F40)&lt;=0.01,"✅","❌"),"⌛")</f>
        <v>✅</v>
      </c>
    </row>
    <row r="42" spans="1:14" x14ac:dyDescent="0.25">
      <c r="A42" t="s">
        <v>20</v>
      </c>
      <c r="B42" s="5">
        <f>$B$23</f>
        <v>0.06</v>
      </c>
      <c r="C42" s="5">
        <f>$B$23</f>
        <v>0.06</v>
      </c>
      <c r="D42" s="5">
        <f>$B$23</f>
        <v>0.06</v>
      </c>
      <c r="E42" s="5">
        <f>$B$23</f>
        <v>0.06</v>
      </c>
      <c r="F42" s="5">
        <f>$B$23</f>
        <v>0.06</v>
      </c>
    </row>
    <row r="43" spans="1:14" x14ac:dyDescent="0.25">
      <c r="A43" t="s">
        <v>37</v>
      </c>
      <c r="B43" s="6">
        <f>B33*B42</f>
        <v>7.7760000000000007</v>
      </c>
      <c r="C43" s="6">
        <f>C33*C42</f>
        <v>8.3203200000000006</v>
      </c>
      <c r="D43" s="6">
        <f>D33*D42</f>
        <v>8.8195392000000012</v>
      </c>
      <c r="E43" s="6">
        <f>E33*E42</f>
        <v>9.2605161600000017</v>
      </c>
      <c r="F43" s="6">
        <f>F33*F42</f>
        <v>9.6309368064000012</v>
      </c>
    </row>
    <row r="44" spans="1:14" x14ac:dyDescent="0.25">
      <c r="A44" t="s">
        <v>21</v>
      </c>
      <c r="B44" s="5">
        <f>$B$24</f>
        <v>0.1</v>
      </c>
      <c r="C44" s="5">
        <f>$B$24</f>
        <v>0.1</v>
      </c>
      <c r="D44" s="5">
        <f>$B$24</f>
        <v>0.1</v>
      </c>
      <c r="E44" s="5">
        <f>$B$24</f>
        <v>0.1</v>
      </c>
      <c r="F44" s="5">
        <f>$B$24</f>
        <v>0.1</v>
      </c>
    </row>
    <row r="45" spans="1:14" x14ac:dyDescent="0.25">
      <c r="A45" t="s">
        <v>38</v>
      </c>
      <c r="B45" s="6">
        <f>B33*B44</f>
        <v>12.960000000000003</v>
      </c>
      <c r="C45" s="6">
        <f>C33*C44</f>
        <v>13.867200000000004</v>
      </c>
      <c r="D45" s="6">
        <f>D33*D44</f>
        <v>14.699232000000004</v>
      </c>
      <c r="E45" s="6">
        <f>E33*E44</f>
        <v>15.434193600000004</v>
      </c>
      <c r="F45" s="6">
        <f>F33*F44</f>
        <v>16.051561344000003</v>
      </c>
    </row>
    <row r="46" spans="1:14" x14ac:dyDescent="0.25">
      <c r="A46" s="21" t="s">
        <v>50</v>
      </c>
      <c r="B46" s="20">
        <f>B45-B25</f>
        <v>0.96000000000000263</v>
      </c>
      <c r="C46" s="20">
        <f>C45-B45</f>
        <v>0.90720000000000134</v>
      </c>
      <c r="D46" s="20">
        <f t="shared" ref="D46:F46" si="2">D45-C45</f>
        <v>0.83203199999999988</v>
      </c>
      <c r="E46" s="20">
        <f t="shared" si="2"/>
        <v>0.7349616000000001</v>
      </c>
      <c r="F46" s="20">
        <f t="shared" si="2"/>
        <v>0.61736774399999916</v>
      </c>
      <c r="I46" s="20" t="s">
        <v>51</v>
      </c>
      <c r="J46" s="20"/>
      <c r="K46" s="20"/>
      <c r="L46" s="20"/>
    </row>
    <row r="47" spans="1:14" x14ac:dyDescent="0.25">
      <c r="A47" t="s">
        <v>39</v>
      </c>
      <c r="B47" t="str">
        <f>IF(ISNUMBER(B46),IF(ABS(B46-Solution!B46)&lt;=0.01,"✅","❌"),"⌛")</f>
        <v>✅</v>
      </c>
      <c r="C47" t="str">
        <f>IF(ISNUMBER(C46),IF(ABS(C46-Solution!C46)&lt;=0.01,"✅","❌"),"⌛")</f>
        <v>✅</v>
      </c>
      <c r="D47" t="str">
        <f>IF(ISNUMBER(D46),IF(ABS(D46-Solution!D46)&lt;=0.01,"✅","❌"),"⌛")</f>
        <v>✅</v>
      </c>
      <c r="E47" t="str">
        <f>IF(ISNUMBER(E46),IF(ABS(E46-Solution!E46)&lt;=0.01,"✅","❌"),"⌛")</f>
        <v>✅</v>
      </c>
      <c r="F47" t="str">
        <f>IF(ISNUMBER(F46),IF(ABS(F46-Solution!F46)&lt;=0.01,"✅","❌"),"⌛")</f>
        <v>✅</v>
      </c>
    </row>
    <row r="48" spans="1:14" x14ac:dyDescent="0.25">
      <c r="A48" s="20" t="s">
        <v>52</v>
      </c>
      <c r="B48" s="20">
        <f>B40+B37-B43-B46</f>
        <v>10.38</v>
      </c>
      <c r="C48" s="20">
        <f t="shared" ref="C48:F48" si="3">C40+C37-C43-C46</f>
        <v>11.226600000000001</v>
      </c>
      <c r="D48" s="20">
        <f t="shared" si="3"/>
        <v>12.029796000000003</v>
      </c>
      <c r="E48" s="20">
        <f t="shared" si="3"/>
        <v>12.769957800000006</v>
      </c>
      <c r="F48" s="20">
        <f t="shared" si="3"/>
        <v>13.427748432000008</v>
      </c>
      <c r="I48" s="20" t="s">
        <v>79</v>
      </c>
      <c r="J48" s="20"/>
      <c r="K48" s="20"/>
      <c r="L48" s="20"/>
      <c r="M48" s="20"/>
    </row>
    <row r="49" spans="1:15" x14ac:dyDescent="0.25">
      <c r="A49" s="7" t="s">
        <v>40</v>
      </c>
      <c r="B49" s="7" t="str">
        <f>IF(ISNUMBER(B48),IF(ABS(B48-Solution!B48)&lt;=0.01,"✅","❌"),"⌛")</f>
        <v>✅</v>
      </c>
      <c r="C49" s="7" t="str">
        <f>IF(ISNUMBER(C48),IF(ABS(C48-Solution!C48)&lt;=0.01,"✅","❌"),"⌛")</f>
        <v>✅</v>
      </c>
      <c r="D49" s="7" t="str">
        <f>IF(ISNUMBER(D48),IF(ABS(D48-Solution!D48)&lt;=0.01,"✅","❌"),"⌛")</f>
        <v>✅</v>
      </c>
      <c r="E49" s="7" t="str">
        <f>IF(ISNUMBER(E48),IF(ABS(E48-Solution!E48)&lt;=0.01,"✅","❌"),"⌛")</f>
        <v>✅</v>
      </c>
      <c r="F49" s="7" t="str">
        <f>IF(ISNUMBER(F48),IF(ABS(F48-Solution!F48)&lt;=0.01,"✅","❌"),"⌛")</f>
        <v>✅</v>
      </c>
    </row>
    <row r="51" spans="1:15" x14ac:dyDescent="0.25">
      <c r="B51" s="8"/>
      <c r="C51" s="8"/>
      <c r="D51" s="8"/>
      <c r="E51" s="8"/>
      <c r="F51" s="8"/>
    </row>
    <row r="52" spans="1:15" x14ac:dyDescent="0.25">
      <c r="A52" s="20" t="s">
        <v>53</v>
      </c>
      <c r="B52" s="20">
        <f>B48/(1+$F$14)^1</f>
        <v>9.6423594983743612</v>
      </c>
      <c r="C52" s="20">
        <f>C48/(1+$F$14)^2</f>
        <v>9.6876888317729897</v>
      </c>
      <c r="D52" s="20">
        <f>D48/(1+$F$14)^3</f>
        <v>9.6430886701236869</v>
      </c>
      <c r="E52" s="20">
        <f>E48/(1+$F$14)^4</f>
        <v>9.5089666764559091</v>
      </c>
      <c r="F52" s="20">
        <f>F48/(1+$F$14)^5</f>
        <v>9.2882313748645586</v>
      </c>
      <c r="I52" s="3" t="s">
        <v>80</v>
      </c>
      <c r="J52" s="3"/>
      <c r="K52" s="3"/>
    </row>
    <row r="53" spans="1:15" x14ac:dyDescent="0.25">
      <c r="A53" t="s">
        <v>41</v>
      </c>
      <c r="B53" t="str">
        <f>IF(ISNUMBER(B52),IF(ABS(B52-Solution!B52)&lt;=0.01,"✅","❌"),"⌛")</f>
        <v>✅</v>
      </c>
      <c r="C53" t="str">
        <f>IF(ISNUMBER(C52),IF(ABS(C52-Solution!C52)&lt;=0.01,"✅","❌"),"⌛")</f>
        <v>✅</v>
      </c>
      <c r="D53" t="str">
        <f>IF(ISNUMBER(D52),IF(ABS(D52-Solution!D52)&lt;=0.01,"✅","❌"),"⌛")</f>
        <v>✅</v>
      </c>
      <c r="E53" t="str">
        <f>IF(ISNUMBER(E52),IF(ABS(E52-Solution!E52)&lt;=0.01,"✅","❌"),"⌛")</f>
        <v>✅</v>
      </c>
      <c r="F53" t="str">
        <f>IF(ISNUMBER(F52),IF(ABS(F52-Solution!F52)&lt;=0.01,"✅","❌"),"⌛")</f>
        <v>✅</v>
      </c>
    </row>
    <row r="54" spans="1:15" x14ac:dyDescent="0.25">
      <c r="A54" t="s">
        <v>42</v>
      </c>
      <c r="B54" t="s">
        <v>22</v>
      </c>
      <c r="C54" t="s">
        <v>22</v>
      </c>
      <c r="D54" t="s">
        <v>22</v>
      </c>
      <c r="E54" t="s">
        <v>22</v>
      </c>
      <c r="F54" s="3">
        <f>F48*(1+B19)/(F14-B19)</f>
        <v>267.2513037436895</v>
      </c>
      <c r="G54" t="str">
        <f>IF(ISNUMBER(F54),IF(ABS(F54-Solution!F54)&lt;=0.1,"✅","❌"),"⌛")</f>
        <v>✅</v>
      </c>
    </row>
    <row r="55" spans="1:15" x14ac:dyDescent="0.25">
      <c r="A55" s="7" t="s">
        <v>54</v>
      </c>
      <c r="B55" s="7" t="s">
        <v>22</v>
      </c>
      <c r="C55" s="7" t="s">
        <v>22</v>
      </c>
      <c r="D55" s="7" t="s">
        <v>22</v>
      </c>
      <c r="E55" s="7" t="s">
        <v>22</v>
      </c>
      <c r="F55" s="9">
        <f>F54/(1+F14)^5</f>
        <v>184.86285746089658</v>
      </c>
      <c r="G55" t="str">
        <f>IF(ISNUMBER(F55),IF(ABS(F55-Solution!F55)&lt;=0.1,"✅","❌"),"⌛")</f>
        <v>✅</v>
      </c>
    </row>
    <row r="56" spans="1:15" x14ac:dyDescent="0.25">
      <c r="A56" s="43" t="s">
        <v>88</v>
      </c>
      <c r="B56" s="45">
        <f>F55/B57</f>
        <v>0.79465383019653513</v>
      </c>
      <c r="C56" s="43" t="str">
        <f>IF(ISNUMBER(B56),IF(B56&gt;0.5,"⚠️ TV drives &gt;50% of EV — discuss sensitivity!","✅"),"⌛")</f>
        <v>⚠️ TV drives &gt;50% of EV — discuss sensitivity!</v>
      </c>
      <c r="D56" s="42"/>
      <c r="E56" s="42"/>
      <c r="F56" s="43"/>
      <c r="I56" s="3" t="s">
        <v>87</v>
      </c>
    </row>
    <row r="57" spans="1:15" ht="28.5" customHeight="1" x14ac:dyDescent="0.25">
      <c r="A57" t="s">
        <v>43</v>
      </c>
      <c r="B57" s="20">
        <f>SUM(B52:F52)+F55</f>
        <v>232.63319251248808</v>
      </c>
      <c r="C57" t="str">
        <f>IF(ISNUMBER(B57),IF(ABS(B57-Solution!B56)&lt;=0.1,"✅","❌"),"⌛")</f>
        <v>✅</v>
      </c>
      <c r="I57" s="3" t="s">
        <v>55</v>
      </c>
      <c r="J57" s="3"/>
      <c r="K57" s="3"/>
      <c r="L57" s="3"/>
      <c r="M57" s="3"/>
      <c r="N57" s="3"/>
      <c r="O57" s="3"/>
    </row>
    <row r="58" spans="1:15" x14ac:dyDescent="0.25">
      <c r="A58" t="s">
        <v>44</v>
      </c>
      <c r="B58" s="20">
        <f>B57-B26</f>
        <v>182.63319251248808</v>
      </c>
      <c r="C58" t="str">
        <f>IF(ISNUMBER(B58),IF(ABS(B58-Solution!B57)&lt;=0.1,"✅","❌"),"⌛")</f>
        <v>✅</v>
      </c>
      <c r="I58" s="3" t="s">
        <v>81</v>
      </c>
      <c r="J58" s="3"/>
      <c r="K58" s="3"/>
    </row>
    <row r="59" spans="1:15" ht="32.25" customHeight="1" x14ac:dyDescent="0.25">
      <c r="A59" t="s">
        <v>45</v>
      </c>
      <c r="B59" s="22">
        <f>B58/B27</f>
        <v>18.263319251248809</v>
      </c>
      <c r="C59" t="str">
        <f>IF(ISNUMBER(B59),IF(ABS(B59-Solution!B58)&lt;=0.01,"✅","❌"),"⌛")</f>
        <v>✅</v>
      </c>
      <c r="I59" s="3" t="s">
        <v>56</v>
      </c>
      <c r="J59" s="3"/>
      <c r="K59" s="3"/>
      <c r="L59" s="3"/>
    </row>
    <row r="62" spans="1:15" x14ac:dyDescent="0.25">
      <c r="A62" s="2" t="s">
        <v>62</v>
      </c>
      <c r="B62" s="32"/>
      <c r="C62" s="32"/>
      <c r="D62" s="32"/>
      <c r="E62" s="32"/>
      <c r="F62" s="32"/>
    </row>
    <row r="63" spans="1:15" x14ac:dyDescent="0.25">
      <c r="A63" s="33" t="s">
        <v>63</v>
      </c>
      <c r="B63" s="40">
        <v>15</v>
      </c>
    </row>
    <row r="64" spans="1:15" x14ac:dyDescent="0.25">
      <c r="A64" s="3" t="s">
        <v>64</v>
      </c>
      <c r="B64" s="41">
        <f>B59</f>
        <v>18.263319251248809</v>
      </c>
    </row>
    <row r="65" spans="1:6" x14ac:dyDescent="0.25">
      <c r="A65" s="3" t="s">
        <v>65</v>
      </c>
      <c r="B65" s="4">
        <f>(B64-B63)/B63</f>
        <v>0.21755461674992063</v>
      </c>
    </row>
    <row r="66" spans="1:6" x14ac:dyDescent="0.25">
      <c r="A66" s="1" t="s">
        <v>66</v>
      </c>
      <c r="B66" s="1" t="str">
        <f>IF(B64&gt;B63,"UNDERVALUED → BUY",IF(B64&lt;B63,"OVERVALUED → SELL","FAIRLY VALUED"))</f>
        <v>UNDERVALUED → BUY</v>
      </c>
    </row>
    <row r="68" spans="1:6" x14ac:dyDescent="0.25">
      <c r="A68" s="34" t="s">
        <v>67</v>
      </c>
    </row>
    <row r="69" spans="1:6" x14ac:dyDescent="0.25">
      <c r="A69" s="46" t="s">
        <v>89</v>
      </c>
    </row>
    <row r="71" spans="1:6" x14ac:dyDescent="0.25">
      <c r="A71" s="2" t="s">
        <v>68</v>
      </c>
      <c r="B71" s="32"/>
      <c r="C71" s="32"/>
      <c r="D71" s="32"/>
      <c r="E71" s="32"/>
      <c r="F71" s="32"/>
    </row>
    <row r="72" spans="1:6" x14ac:dyDescent="0.25">
      <c r="A72" s="2" t="s">
        <v>69</v>
      </c>
      <c r="B72" s="35">
        <v>1.4999999999999999E-2</v>
      </c>
      <c r="C72" s="35">
        <v>0.02</v>
      </c>
      <c r="D72" s="35">
        <v>2.5000000000000001E-2</v>
      </c>
      <c r="E72" s="35">
        <v>0.03</v>
      </c>
      <c r="F72" s="35">
        <v>3.5000000000000003E-2</v>
      </c>
    </row>
    <row r="73" spans="1:6" x14ac:dyDescent="0.25">
      <c r="A73" s="35">
        <v>6.6500000000000004E-2</v>
      </c>
      <c r="B73" s="36">
        <f>((((B38*(1-$B$16))+B37-B43-(B45-$B$25))/(1+0.0665)^1+((C38*(1-$B$16))+C37-C43-(C45-B45))/(1+0.0665)^2+((D38*(1-$B$16))+D37-D43-(D45-C45))/(1+0.0665)^3+((E38*(1-$B$16))+E37-E43-(E45-D45))/(1+0.0665)^4+((F38*(1-$B$16))+F37-F43-(F45-E45))/(1+0.0665)^5+(((F38*(1-$B$16))+F37-F43-(F45-E45))*(1+0.015)/(0.0665-0.015))/(1+0.0665)^5)-$B$26)/$B$27</f>
        <v>19.092648479042879</v>
      </c>
      <c r="C73" s="36">
        <f>((((B38*(1-$B$16))+B37-B43-(B45-$B$25))/(1+0.0665)^1+((C38*(1-$B$16))+C37-C43-(C45-B45))/(1+0.0665)^2+((D38*(1-$B$16))+D37-D43-(D45-C45))/(1+0.0665)^3+((E38*(1-$B$16))+E37-E43-(E45-D45))/(1+0.0665)^4+((F38*(1-$B$16))+F37-F43-(F45-E45))/(1+0.0665)^5+(((F38*(1-$B$16))+F37-F43-(F45-E45))*(1+0.02)/(0.0665-0.02))/(1+0.0665)^5)-$B$26)/$B$27</f>
        <v>21.259701710417186</v>
      </c>
      <c r="D73" s="36">
        <f>((((B38*(1-$B$16))+B37-B43-(B45-$B$25))/(1+0.0665)^1+((C38*(1-$B$16))+C37-C43-(C45-B45))/(1+0.0665)^2+((D38*(1-$B$16))+D37-D43-(D45-C45))/(1+0.0665)^3+((E38*(1-$B$16))+E37-E43-(E45-D45))/(1+0.0665)^4+((F38*(1-$B$16))+F37-F43-(F45-E45))/(1+0.0665)^5+(((F38*(1-$B$16))+F37-F43-(F45-E45))*(1+0.025)/(0.0665-0.025))/(1+0.0665)^5)-$B$26)/$B$27</f>
        <v>23.948936443327476</v>
      </c>
      <c r="E73" s="36">
        <f>((((B38*(1-$B$16))+B37-B43-(B45-$B$25))/(1+0.0665)^1+((C38*(1-$B$16))+C37-C43-(C45-B45))/(1+0.0665)^2+((D38*(1-$B$16))+D37-D43-(D45-C45))/(1+0.0665)^3+((E38*(1-$B$16))+E37-E43-(E45-D45))/(1+0.0665)^4+((F38*(1-$B$16))+F37-F43-(F45-E45))/(1+0.0665)^5+(((F38*(1-$B$16))+F37-F43-(F45-E45))*(1+0.03)/(0.0665-0.03))/(1+0.0665)^5)-$B$26)/$B$27</f>
        <v>27.374947815391266</v>
      </c>
      <c r="F73" s="36">
        <f>((((B38*(1-$B$16))+B37-B43-(B45-$B$25))/(1+0.0665)^1+((C38*(1-$B$16))+C37-C43-(C45-B45))/(1+0.0665)^2+((D38*(1-$B$16))+D37-D43-(D45-C45))/(1+0.0665)^3+((E38*(1-$B$16))+E37-E43-(E45-D45))/(1+0.0665)^4+((F38*(1-$B$16))+F37-F43-(F45-E45))/(1+0.0665)^5+(((F38*(1-$B$16))+F37-F43-(F45-E45))*(1+0.035)/(0.0665-0.035))/(1+0.0665)^5)-$B$26)/$B$27</f>
        <v>31.888581845253093</v>
      </c>
    </row>
    <row r="74" spans="1:6" x14ac:dyDescent="0.25">
      <c r="A74" s="35">
        <v>7.1499999999999994E-2</v>
      </c>
      <c r="B74" s="36">
        <f>((((B38*(1-$B$16))+B37-B43-(B45-$B$25))/(1+0.0715)^1+((C38*(1-$B$16))+C37-C43-(C45-B45))/(1+0.0715)^2+((D38*(1-$B$16))+D37-D43-(D45-C45))/(1+0.0715)^3+((E38*(1-$B$16))+E37-E43-(E45-D45))/(1+0.0715)^4+((F38*(1-$B$16))+F37-F43-(F45-E45))/(1+0.0715)^5+(((F38*(1-$B$16))+F37-F43-(F45-E45))*(1+0.015)/(0.0715-0.015))/(1+0.0715)^5)-$B$26)/$B$27</f>
        <v>16.922806332819537</v>
      </c>
      <c r="C74" s="36">
        <f>((((B38*(1-$B$16))+B37-B43-(B45-$B$25))/(1+0.0715)^1+((C38*(1-$B$16))+C37-C43-(C45-B45))/(1+0.0715)^2+((D38*(1-$B$16))+D37-D43-(D45-C45))/(1+0.0715)^3+((E38*(1-$B$16))+E37-E43-(E45-D45))/(1+0.0715)^4+((F38*(1-$B$16))+F37-F43-(F45-E45))/(1+0.0715)^5+(((F38*(1-$B$16))+F37-F43-(F45-E45))*(1+0.02)/(0.0715-0.02))/(1+0.0715)^5)-$B$26)/$B$27</f>
        <v>18.673252754019359</v>
      </c>
      <c r="D74" s="36">
        <f>((((B38*(1-$B$16))+B37-B43-(B45-$B$25))/(1+0.0715)^1+((C38*(1-$B$16))+C37-C43-(C45-B45))/(1+0.0715)^2+((D38*(1-$B$16))+D37-D43-(D45-C45))/(1+0.0715)^3+((E38*(1-$B$16))+E37-E43-(E45-D45))/(1+0.0715)^4+((F38*(1-$B$16))+F37-F43-(F45-E45))/(1+0.0715)^5+(((F38*(1-$B$16))+F37-F43-(F45-E45))*(1+0.025)/(0.0715-0.025))/(1+0.0715)^5)-$B$26)/$B$27</f>
        <v>20.800139265799782</v>
      </c>
      <c r="E74" s="36">
        <f>((((B38*(1-$B$16))+B37-B43-(B45-$B$25))/(1+0.0715)^1+((C38*(1-$B$16))+C37-C43-(C45-B45))/(1+0.0715)^2+((D38*(1-$B$16))+D37-D43-(D45-C45))/(1+0.0715)^3+((E38*(1-$B$16))+E37-E43-(E45-D45))/(1+0.0715)^4+((F38*(1-$B$16))+F37-F43-(F45-E45))/(1+0.0715)^5+(((F38*(1-$B$16))+F37-F43-(F45-E45))*(1+0.03)/(0.0715-0.03))/(1+0.0715)^5)-$B$26)/$B$27</f>
        <v>23.439528551503201</v>
      </c>
      <c r="F74" s="36">
        <f>((((B38*(1-$B$16))+B37-B43-(B45-$B$25))/(1+0.0715)^1+((C38*(1-$B$16))+C37-C43-(C45-B45))/(1+0.0715)^2+((D38*(1-$B$16))+D37-D43-(D45-C45))/(1+0.0715)^3+((E38*(1-$B$16))+E37-E43-(E45-D45))/(1+0.0715)^4+((F38*(1-$B$16))+F37-F43-(F45-E45))/(1+0.0715)^5+(((F38*(1-$B$16))+F37-F43-(F45-E45))*(1+0.035)/(0.0715-0.035))/(1+0.0715)^5)-$B$26)/$B$27</f>
        <v>26.802038189454134</v>
      </c>
    </row>
    <row r="75" spans="1:6" x14ac:dyDescent="0.25">
      <c r="A75" s="35">
        <v>7.6499999999999999E-2</v>
      </c>
      <c r="B75" s="36">
        <f>((((B38*(1-$B$16))+B37-B43-(B45-$B$25))/(1+0.0765)^1+((C38*(1-$B$16))+C37-C43-(C45-B45))/(1+0.0765)^2+((D38*(1-$B$16))+D37-D43-(D45-C45))/(1+0.0765)^3+((E38*(1-$B$16))+E37-E43-(E45-D45))/(1+0.0765)^4+((F38*(1-$B$16))+F37-F43-(F45-E45))/(1+0.0765)^5+(((F38*(1-$B$16))+F37-F43-(F45-E45))*(1+0.015)/(0.0765-0.015))/(1+0.0765)^5)-$B$26)/$B$27</f>
        <v>15.106390977496591</v>
      </c>
      <c r="C75" s="36">
        <f>((((B38*(1-$B$16))+B37-B43-(B45-$B$25))/(1+0.0765)^1+((C38*(1-$B$16))+C37-C43-(C45-B45))/(1+0.0765)^2+((D38*(1-$B$16))+D37-D43-(D45-C45))/(1+0.0765)^3+((E38*(1-$B$16))+E37-E43-(E45-D45))/(1+0.0765)^4+((F38*(1-$B$16))+F37-F43-(F45-E45))/(1+0.0765)^5+(((F38*(1-$B$16))+F37-F43-(F45-E45))*(1+0.02)/(0.0765-0.02))/(1+0.0765)^5)-$B$26)/$B$27</f>
        <v>16.545168022613751</v>
      </c>
      <c r="D75" s="37">
        <f>((((B38*(1-$B$16))+B37-B43-(B45-$B$25))/(1+0.0765)^1+((C38*(1-$B$16))+C37-C43-(C45-B45))/(1+0.0765)^2+((D38*(1-$B$16))+D37-D43-(D45-C45))/(1+0.0765)^3+((E38*(1-$B$16))+E37-E43-(E45-D45))/(1+0.0765)^4+((F38*(1-$B$16))+F37-F43-(F45-E45))/(1+0.0765)^5+(((F38*(1-$B$16))+F37-F43-(F45-E45))*(1+0.025)/(0.0765-0.025))/(1+0.0765)^5)-$B$26)/$B$27</f>
        <v>18.263319251248809</v>
      </c>
      <c r="E75" s="36">
        <f>((((B38*(1-$B$16))+B37-B43-(B45-$B$25))/(1+0.0765)^1+((C38*(1-$B$16))+C37-C43-(C45-B45))/(1+0.0765)^2+((D38*(1-$B$16))+D37-D43-(D45-C45))/(1+0.0765)^3+((E38*(1-$B$16))+E37-E43-(E45-D45))/(1+0.0765)^4+((F38*(1-$B$16))+F37-F43-(F45-E45))/(1+0.0765)^5+(((F38*(1-$B$16))+F37-F43-(F45-E45))*(1+0.03)/(0.0765-0.03))/(1+0.0765)^5)-$B$26)/$B$27</f>
        <v>20.350965367762367</v>
      </c>
      <c r="F75" s="36">
        <f>((((B38*(1-$B$16))+B37-B43-(B45-$B$25))/(1+0.0765)^1+((C38*(1-$B$16))+C37-C43-(C45-B45))/(1+0.0765)^2+((D38*(1-$B$16))+D37-D43-(D45-C45))/(1+0.0765)^3+((E38*(1-$B$16))+E37-E43-(E45-D45))/(1+0.0765)^4+((F38*(1-$B$16))+F37-F43-(F45-E45))/(1+0.0765)^5+(((F38*(1-$B$16))+F37-F43-(F45-E45))*(1+0.035)/(0.0765-0.035))/(1+0.0765)^5)-$B$26)/$B$27</f>
        <v>22.941658741267151</v>
      </c>
    </row>
    <row r="76" spans="1:6" x14ac:dyDescent="0.25">
      <c r="A76" s="35">
        <v>8.1500000000000003E-2</v>
      </c>
      <c r="B76" s="36">
        <f>((((B38*(1-$B$16))+B37-B43-(B45-$B$25))/(1+0.0815)^1+((C38*(1-$B$16))+C37-C43-(C45-B45))/(1+0.0815)^2+((D38*(1-$B$16))+D37-D43-(D45-C45))/(1+0.0815)^3+((E38*(1-$B$16))+E37-E43-(E45-D45))/(1+0.0815)^4+((F38*(1-$B$16))+F37-F43-(F45-E45))/(1+0.0815)^5+(((F38*(1-$B$16))+F37-F43-(F45-E45))*(1+0.015)/(0.0815-0.015))/(1+0.0815)^5)-$B$26)/$B$27</f>
        <v>13.56366899930369</v>
      </c>
      <c r="C76" s="36">
        <f>((((B38*(1-$B$16))+B37-B43-(B45-$B$25))/(1+0.0815)^1+((C38*(1-$B$16))+C37-C43-(C45-B45))/(1+0.0815)^2+((D38*(1-$B$16))+D37-D43-(D45-C45))/(1+0.0815)^3+((E38*(1-$B$16))+E37-E43-(E45-D45))/(1+0.0815)^4+((F38*(1-$B$16))+F37-F43-(F45-E45))/(1+0.0815)^5+(((F38*(1-$B$16))+F37-F43-(F45-E45))*(1+0.02)/(0.0815-0.02))/(1+0.0815)^5)-$B$26)/$B$27</f>
        <v>14.763638877123231</v>
      </c>
      <c r="D76" s="36">
        <f>((((B38*(1-$B$16))+B37-B43-(B45-$B$25))/(1+0.0815)^1+((C38*(1-$B$16))+C37-C43-(C45-B45))/(1+0.0815)^2+((D38*(1-$B$16))+D37-D43-(D45-C45))/(1+0.0815)^3+((E38*(1-$B$16))+E37-E43-(E45-D45))/(1+0.0815)^4+((F38*(1-$B$16))+F37-F43-(F45-E45))/(1+0.0815)^5+(((F38*(1-$B$16))+F37-F43-(F45-E45))*(1+0.025)/(0.0815-0.025))/(1+0.0815)^5)-$B$26)/$B$27</f>
        <v>16.175992804114372</v>
      </c>
      <c r="E76" s="36">
        <f>((((B38*(1-$B$16))+B37-B43-(B45-$B$25))/(1+0.0815)^1+((C38*(1-$B$16))+C37-C43-(C45-B45))/(1+0.0815)^2+((D38*(1-$B$16))+D37-D43-(D45-C45))/(1+0.0815)^3+((E38*(1-$B$16))+E37-E43-(E45-D45))/(1+0.0815)^4+((F38*(1-$B$16))+F37-F43-(F45-E45))/(1+0.0815)^5+(((F38*(1-$B$16))+F37-F43-(F45-E45))*(1+0.03)/(0.0815-0.03))/(1+0.0815)^5)-$B$26)/$B$27</f>
        <v>17.862590212074668</v>
      </c>
      <c r="F76" s="36">
        <f>((((B38*(1-$B$16))+B37-B43-(B45-$B$25))/(1+0.0815)^1+((C38*(1-$B$16))+C37-C43-(C45-B45))/(1+0.0815)^2+((D38*(1-$B$16))+D37-D43-(D45-C45))/(1+0.0815)^3+((E38*(1-$B$16))+E37-E43-(E45-D45))/(1+0.0815)^4+((F38*(1-$B$16))+F37-F43-(F45-E45))/(1+0.0815)^5+(((F38*(1-$B$16))+F37-F43-(F45-E45))*(1+0.035)/(0.0815-0.035))/(1+0.0815)^5)-$B$26)/$B$27</f>
        <v>19.911896740026425</v>
      </c>
    </row>
    <row r="77" spans="1:6" x14ac:dyDescent="0.25">
      <c r="A77" s="35">
        <v>8.6499999999999994E-2</v>
      </c>
      <c r="B77" s="36">
        <f>((((B38*(1-$B$16))+B37-B43-(B45-$B$25))/(1+0.0865)^1+((C38*(1-$B$16))+C37-C43-(C45-B45))/(1+0.0865)^2+((D38*(1-$B$16))+D37-D43-(D45-C45))/(1+0.0865)^3+((E38*(1-$B$16))+E37-E43-(E45-D45))/(1+0.0865)^4+((F38*(1-$B$16))+F37-F43-(F45-E45))/(1+0.0865)^5+(((F38*(1-$B$16))+F37-F43-(F45-E45))*(1+0.015)/(0.0865-0.015))/(1+0.0865)^5)-$B$26)/$B$27</f>
        <v>12.237210385122358</v>
      </c>
      <c r="C77" s="36">
        <f>((((B38*(1-$B$16))+B37-B43-(B45-$B$25))/(1+0.0865)^1+((C38*(1-$B$16))+C37-C43-(C45-B45))/(1+0.0865)^2+((D38*(1-$B$16))+D37-D43-(D45-C45))/(1+0.0865)^3+((E38*(1-$B$16))+E37-E43-(E45-D45))/(1+0.0865)^4+((F38*(1-$B$16))+F37-F43-(F45-E45))/(1+0.0865)^5+(((F38*(1-$B$16))+F37-F43-(F45-E45))*(1+0.02)/(0.0865-0.02))/(1+0.0865)^5)-$B$26)/$B$27</f>
        <v>13.250483665856866</v>
      </c>
      <c r="D77" s="36">
        <f>((((B38*(1-$B$16))+B37-B43-(B45-$B$25))/(1+0.0865)^1+((C38*(1-$B$16))+C37-C43-(C45-B45))/(1+0.0865)^2+((D38*(1-$B$16))+D37-D43-(D45-C45))/(1+0.0865)^3+((E38*(1-$B$16))+E37-E43-(E45-D45))/(1+0.0865)^4+((F38*(1-$B$16))+F37-F43-(F45-E45))/(1+0.0865)^5+(((F38*(1-$B$16))+F37-F43-(F45-E45))*(1+0.025)/(0.0865-0.025))/(1+0.0865)^5)-$B$26)/$B$27</f>
        <v>14.428516829637626</v>
      </c>
      <c r="E77" s="36">
        <f>((((B38*(1-$B$16))+B37-B43-(B45-$B$25))/(1+0.0865)^1+((C38*(1-$B$16))+C37-C43-(C45-B45))/(1+0.0865)^2+((D38*(1-$B$16))+D37-D43-(D45-C45))/(1+0.0865)^3+((E38*(1-$B$16))+E37-E43-(E45-D45))/(1+0.0865)^4+((F38*(1-$B$16))+F37-F43-(F45-E45))/(1+0.0865)^5+(((F38*(1-$B$16))+F37-F43-(F45-E45))*(1+0.03)/(0.0865-0.03))/(1+0.0865)^5)-$B$26)/$B$27</f>
        <v>15.815051438335336</v>
      </c>
      <c r="F77" s="36">
        <f>((((B38*(1-$B$16))+B37-B43-(B45-$B$25))/(1+0.0865)^1+((C38*(1-$B$16))+C37-C43-(C45-B45))/(1+0.0865)^2+((D38*(1-$B$16))+D37-D43-(D45-C45))/(1+0.0865)^3+((E38*(1-$B$16))+E37-E43-(E45-D45))/(1+0.0865)^4+((F38*(1-$B$16))+F37-F43-(F45-E45))/(1+0.0865)^5+(((F38*(1-$B$16))+F37-F43-(F45-E45))*(1+0.035)/(0.0865-0.035))/(1+0.0865)^5)-$B$26)/$B$27</f>
        <v>17.470816068139403</v>
      </c>
    </row>
    <row r="79" spans="1:6" x14ac:dyDescent="0.25">
      <c r="A79" s="38" t="s">
        <v>70</v>
      </c>
    </row>
    <row r="80" spans="1:6" x14ac:dyDescent="0.25">
      <c r="A80" s="39" t="s">
        <v>71</v>
      </c>
    </row>
  </sheetData>
  <mergeCells count="1">
    <mergeCell ref="A1:F1"/>
  </mergeCells>
  <conditionalFormatting sqref="B66">
    <cfRule type="containsText" dxfId="1" priority="1" operator="containsText" text="BUY">
      <formula>NOT(ISERROR(SEARCH("BUY",B66)))</formula>
    </cfRule>
  </conditionalFormatting>
  <conditionalFormatting sqref="B66">
    <cfRule type="containsText" dxfId="0" priority="2" operator="containsText" text="SELL">
      <formula>NOT(ISERROR(SEARCH("SELL",B66)))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929F-A820-48FC-9758-F35703662F14}">
  <dimension ref="A1:T58"/>
  <sheetViews>
    <sheetView topLeftCell="A11" workbookViewId="0">
      <selection activeCell="F14" sqref="F14"/>
    </sheetView>
  </sheetViews>
  <sheetFormatPr defaultRowHeight="15" x14ac:dyDescent="0.25"/>
  <sheetData>
    <row r="1" spans="1:20" x14ac:dyDescent="0.25">
      <c r="A1" s="31" t="s">
        <v>46</v>
      </c>
      <c r="B1" s="31"/>
      <c r="C1" s="31"/>
      <c r="D1" s="31"/>
    </row>
    <row r="5" spans="1:20" x14ac:dyDescent="0.2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0" x14ac:dyDescent="0.25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spans="1:20" x14ac:dyDescent="0.25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 spans="1:20" x14ac:dyDescent="0.25"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spans="1:20" x14ac:dyDescent="0.25"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spans="1:20" x14ac:dyDescent="0.25"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 spans="1:20" x14ac:dyDescent="0.25"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 spans="1:20" x14ac:dyDescent="0.25">
      <c r="B12" s="17"/>
      <c r="C12" s="17"/>
      <c r="D12" s="17"/>
      <c r="E12" s="17"/>
      <c r="F12" s="17">
        <f>'Exercise-Completed'!B12+'Exercise-Completed'!B14*'Exercise-Completed'!B13</f>
        <v>0.09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 spans="1:20" x14ac:dyDescent="0.25">
      <c r="B13" s="17"/>
      <c r="C13" s="17"/>
      <c r="D13" s="17"/>
      <c r="E13" s="17"/>
      <c r="F13" s="17">
        <f>'Exercise-Completed'!B15*(1-'Exercise-Completed'!B16)</f>
        <v>4.4999999999999998E-2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 spans="1:20" x14ac:dyDescent="0.25">
      <c r="B14" s="17"/>
      <c r="C14" s="17"/>
      <c r="D14" s="17"/>
      <c r="E14" s="17"/>
      <c r="F14" s="17">
        <f>'Exercise-Completed'!B17*F12+'Exercise-Completed'!B18*F13</f>
        <v>7.6499999999999999E-2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 spans="1:20" x14ac:dyDescent="0.25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 spans="1:20" x14ac:dyDescent="0.25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 spans="2:20" x14ac:dyDescent="0.25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 spans="2:20" x14ac:dyDescent="0.25"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spans="2:20" x14ac:dyDescent="0.25"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spans="2:20" x14ac:dyDescent="0.25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spans="2:20" x14ac:dyDescent="0.25"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spans="2:20" x14ac:dyDescent="0.25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spans="2:20" x14ac:dyDescent="0.25"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spans="2:20" x14ac:dyDescent="0.25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spans="2:20" x14ac:dyDescent="0.25"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 spans="2:20" x14ac:dyDescent="0.25"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 spans="2:20" x14ac:dyDescent="0.25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spans="2:20" x14ac:dyDescent="0.25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 spans="2:20" x14ac:dyDescent="0.25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spans="2:20" x14ac:dyDescent="0.25"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spans="2:20" x14ac:dyDescent="0.25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spans="2:20" x14ac:dyDescent="0.25"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 spans="2:20" x14ac:dyDescent="0.25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spans="2:20" x14ac:dyDescent="0.25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 spans="2:20" x14ac:dyDescent="0.25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40" spans="2:20" x14ac:dyDescent="0.25">
      <c r="B40">
        <f>'Exercise-Completed'!B38*(1-'Exercise-Completed'!B39)</f>
        <v>12.636000000000003</v>
      </c>
      <c r="C40">
        <f>'Exercise-Completed'!C38*(1-'Exercise-Completed'!C39)</f>
        <v>13.520520000000001</v>
      </c>
      <c r="D40">
        <f>'Exercise-Completed'!D38*(1-'Exercise-Completed'!D39)</f>
        <v>14.331751200000003</v>
      </c>
      <c r="E40">
        <f>'Exercise-Completed'!E38*(1-'Exercise-Completed'!E39)</f>
        <v>15.048338760000004</v>
      </c>
      <c r="F40">
        <f>'Exercise-Completed'!F38*(1-'Exercise-Completed'!F39)</f>
        <v>15.650272310400005</v>
      </c>
    </row>
    <row r="46" spans="2:20" x14ac:dyDescent="0.25">
      <c r="B46">
        <f>'Exercise-Completed'!B45-'Exercise-Completed'!B25</f>
        <v>0.96000000000000263</v>
      </c>
      <c r="C46">
        <f>'Exercise-Completed'!C45-'Exercise-Completed'!B45</f>
        <v>0.90720000000000134</v>
      </c>
      <c r="D46">
        <f>'Exercise-Completed'!D45-'Exercise-Completed'!C45</f>
        <v>0.83203199999999988</v>
      </c>
      <c r="E46">
        <f>'Exercise-Completed'!E45-'Exercise-Completed'!D45</f>
        <v>0.7349616000000001</v>
      </c>
      <c r="F46">
        <f>'Exercise-Completed'!F45-'Exercise-Completed'!E45</f>
        <v>0.61736774399999916</v>
      </c>
    </row>
    <row r="48" spans="2:20" x14ac:dyDescent="0.25">
      <c r="B48">
        <f>B40+'Exercise-Completed'!B37-'Exercise-Completed'!B43-B46</f>
        <v>10.38</v>
      </c>
      <c r="C48">
        <f>C40+'Exercise-Completed'!C37-'Exercise-Completed'!C43-C46</f>
        <v>11.226600000000001</v>
      </c>
      <c r="D48">
        <f>D40+'Exercise-Completed'!D37-'Exercise-Completed'!D43-D46</f>
        <v>12.029796000000003</v>
      </c>
      <c r="E48">
        <f>E40+'Exercise-Completed'!E37-'Exercise-Completed'!E43-E46</f>
        <v>12.769957800000006</v>
      </c>
      <c r="F48">
        <f>F40+'Exercise-Completed'!F37-'Exercise-Completed'!F43-F46</f>
        <v>13.427748432000008</v>
      </c>
    </row>
    <row r="52" spans="2:6" x14ac:dyDescent="0.25">
      <c r="B52">
        <f>B48/(1+F14)^1</f>
        <v>9.6423594983743612</v>
      </c>
      <c r="C52">
        <f>C48/(1+F14)^2</f>
        <v>9.6876888317729897</v>
      </c>
      <c r="D52">
        <f>D48/(1+F14)^3</f>
        <v>9.6430886701236869</v>
      </c>
      <c r="E52">
        <f>E48/(1+F14)^4</f>
        <v>9.5089666764559091</v>
      </c>
      <c r="F52">
        <f>F48/(1+F14)^5</f>
        <v>9.2882313748645586</v>
      </c>
    </row>
    <row r="54" spans="2:6" x14ac:dyDescent="0.25">
      <c r="F54">
        <f>F48*(1+'Exercise-Completed'!B19)/(F14-'Exercise-Completed'!B19)</f>
        <v>267.2513037436895</v>
      </c>
    </row>
    <row r="55" spans="2:6" x14ac:dyDescent="0.25">
      <c r="F55">
        <f>F54/(1+F14)^5</f>
        <v>184.86285746089658</v>
      </c>
    </row>
    <row r="56" spans="2:6" x14ac:dyDescent="0.25">
      <c r="B56">
        <f>SUM(B52:F52)+F55</f>
        <v>232.63319251248808</v>
      </c>
    </row>
    <row r="57" spans="2:6" x14ac:dyDescent="0.25">
      <c r="B57">
        <f>B56-'Exercise-Completed'!B26</f>
        <v>182.63319251248808</v>
      </c>
    </row>
    <row r="58" spans="2:6" x14ac:dyDescent="0.25">
      <c r="B58">
        <f>B57/'Exercise-Completed'!B27</f>
        <v>18.263319251248809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 - Student</vt:lpstr>
      <vt:lpstr>Exercise-Completed</vt:lpstr>
      <vt:lpstr>Solution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Bethany Evitts</dc:creator>
  <cp:keywords/>
  <dc:description/>
  <cp:lastModifiedBy>Bethany Evitts</cp:lastModifiedBy>
  <cp:revision/>
  <dcterms:created xsi:type="dcterms:W3CDTF">2025-11-02T14:29:51Z</dcterms:created>
  <dcterms:modified xsi:type="dcterms:W3CDTF">2026-04-08T17:59:27Z</dcterms:modified>
  <cp:category/>
  <cp:contentStatus/>
</cp:coreProperties>
</file>