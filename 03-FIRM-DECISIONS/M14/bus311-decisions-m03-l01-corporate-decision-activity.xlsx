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https://mailendicott-my.sharepoint.com/personal/bevitts_endicott_edu/Documents/BUS311 Corporate Finance/BME - FA25- Teaching Materials - Brealey/Chapter 14 - Intro to Corporate Finance/"/>
    </mc:Choice>
  </mc:AlternateContent>
  <xr:revisionPtr revIDLastSave="29" documentId="8_{149B3FDA-0A0B-46BF-99FA-0006B68CED2B}" xr6:coauthVersionLast="47" xr6:coauthVersionMax="47" xr10:uidLastSave="{5CA6E853-03DC-4285-B06C-DC30941F9BFC}"/>
  <bookViews>
    <workbookView minimized="1" xWindow="6825" yWindow="345" windowWidth="12900" windowHeight="10020" activeTab="2" xr2:uid="{00000000-000D-0000-FFFF-FFFF00000000}"/>
  </bookViews>
  <sheets>
    <sheet name="Instructions" sheetId="1" r:id="rId1"/>
    <sheet name="Inputs" sheetId="2" r:id="rId2"/>
    <sheet name="Cashflow by Project" sheetId="3" r:id="rId3"/>
  </sheets>
  <definedNames>
    <definedName name="WACC">Inputs!$B$26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3" l="1"/>
  <c r="B20" i="2"/>
</calcChain>
</file>

<file path=xl/sharedStrings.xml><?xml version="1.0" encoding="utf-8"?>
<sst xmlns="http://schemas.openxmlformats.org/spreadsheetml/2006/main" count="51" uniqueCount="51">
  <si>
    <t>📘 Corporate Project Decision Activity (WACC &amp; Metrics)</t>
  </si>
  <si>
    <t>Objective</t>
  </si>
  <si>
    <t>1) Go to the 'Inputs' sheet and set capital structure &amp; rate assumptions (risk‑free rate, beta, market risk premium, tax rate, etc.).</t>
  </si>
  <si>
    <t>Risk-free rate (Rf)</t>
  </si>
  <si>
    <t>Market risk premium (MRP)</t>
  </si>
  <si>
    <t>Equity beta (β)</t>
  </si>
  <si>
    <t>Cost of Equity (k_e) = Rf + β×MRP</t>
  </si>
  <si>
    <t>Preferred dividend (per share)</t>
  </si>
  <si>
    <t>Preferred stock price</t>
  </si>
  <si>
    <t>Cost of Preferred (k_p) = Dividend / Price</t>
  </si>
  <si>
    <t>Pre-tax cost of debt (k_d)</t>
  </si>
  <si>
    <t>Tax rate (T)</t>
  </si>
  <si>
    <t>After-tax cost of debt k_d(1-T)</t>
  </si>
  <si>
    <t>Market value of Debt</t>
  </si>
  <si>
    <t>Market value of Equity</t>
  </si>
  <si>
    <t>Market value of Preferred</t>
  </si>
  <si>
    <t>Total market value</t>
  </si>
  <si>
    <t>Weight of Debt (wD)</t>
  </si>
  <si>
    <t>Weight of Equity (wE)</t>
  </si>
  <si>
    <t>Weight of Preferred (wP)</t>
  </si>
  <si>
    <t>Project</t>
  </si>
  <si>
    <t>Initial Outlay</t>
  </si>
  <si>
    <t>Year1</t>
  </si>
  <si>
    <t>Year2</t>
  </si>
  <si>
    <t>Year3</t>
  </si>
  <si>
    <t>Year4</t>
  </si>
  <si>
    <t>Year5</t>
  </si>
  <si>
    <t>Cum0</t>
  </si>
  <si>
    <t>Cum1</t>
  </si>
  <si>
    <t>Cum2</t>
  </si>
  <si>
    <t>Cum3</t>
  </si>
  <si>
    <t>Cum4</t>
  </si>
  <si>
    <t>Cum5</t>
  </si>
  <si>
    <t>NPV</t>
  </si>
  <si>
    <t>IRR</t>
  </si>
  <si>
    <t>Payback</t>
  </si>
  <si>
    <t>Decision</t>
  </si>
  <si>
    <t>Project A</t>
  </si>
  <si>
    <t>Project B</t>
  </si>
  <si>
    <t>Project C</t>
  </si>
  <si>
    <t>Market Risk (MR)</t>
  </si>
  <si>
    <t>Profitability Index</t>
  </si>
  <si>
    <t>3) Go to the 'Cashflow Projects' sheet. Review three sample projects and their cash flows</t>
  </si>
  <si>
    <t>4) Calculate the Cumulative Cashflow &amp; the NPV, IRR,  Payback, and Profitabiltiy Index for each project using the WACC as the hurdle rate.</t>
  </si>
  <si>
    <t>Use weighted average cost of capital (WACC) and project appraisal metrics (NPV, IRR,  Payback,  Profitability Index) to decide which project(s) a corporation should undertake.</t>
  </si>
  <si>
    <t>WACC</t>
  </si>
  <si>
    <t xml:space="preserve">Corporate Finance </t>
  </si>
  <si>
    <t>Fill in the boxes in Yellow</t>
  </si>
  <si>
    <t>2) Calculate the WACC</t>
  </si>
  <si>
    <t>5) Decide which project(s) to accept or reject</t>
  </si>
  <si>
    <t>What you will do: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</si>
</sst>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4" fillId="2" borderId="1" xfId="0" applyFont="1" applyFill="1" applyBorder="1"/>
    <xf numFmtId="0" fontId="4" fillId="2" borderId="2" xfId="0" applyFont="1" applyFill="1" applyBorder="1"/>
    <xf numFmtId="0" fontId="0" fillId="3" borderId="1" xfId="0" applyFill="1" applyBorder="1"/>
    <xf numFmtId="0" fontId="0" fillId="0" borderId="1" xfId="0" applyBorder="1"/>
    <xf numFmtId="0" fontId="0" fillId="0" borderId="0" xfId="0" applyAlignment="1">
      <alignment wrapText="1"/>
    </xf>
    <xf numFmtId="164" fontId="0" fillId="3" borderId="2" xfId="0" applyNumberFormat="1" applyFill="1" applyBorder="1"/>
    <xf numFmtId="164" fontId="0" fillId="0" borderId="2" xfId="0" applyNumberFormat="1" applyBorder="1"/>
    <xf numFmtId="0" fontId="4" fillId="2" borderId="0" xfId="0" applyFont="1" applyFill="1"/>
    <xf numFmtId="0" fontId="4" fillId="2" borderId="3" xfId="0" applyFont="1" applyFill="1" applyBorder="1"/>
    <xf numFmtId="0" fontId="0" fillId="5" borderId="0" xfId="0" applyFill="1" applyAlignment="1">
      <alignment horizontal="right"/>
    </xf>
    <xf numFmtId="164" fontId="0" fillId="3" borderId="3" xfId="0" applyNumberFormat="1" applyFill="1" applyBorder="1"/>
    <xf numFmtId="0" fontId="4" fillId="2" borderId="4" xfId="0" applyFont="1" applyFill="1" applyBorder="1"/>
    <xf numFmtId="8" fontId="0" fillId="4" borderId="4" xfId="0" applyNumberFormat="1" applyFill="1" applyBorder="1"/>
    <xf numFmtId="10" fontId="0" fillId="4" borderId="4" xfId="0" applyNumberFormat="1" applyFill="1" applyBorder="1"/>
    <xf numFmtId="2" fontId="0" fillId="4" borderId="4" xfId="0" applyNumberFormat="1" applyFill="1" applyBorder="1"/>
    <xf numFmtId="0" fontId="0" fillId="4" borderId="0" xfId="0" applyFill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0" fontId="0" fillId="4" borderId="0" xfId="0" applyNumberFormat="1" applyFill="1" applyAlignment="1">
      <alignment horizontal="center"/>
    </xf>
    <xf numFmtId="164" fontId="0" fillId="0" borderId="0" xfId="0" applyNumberFormat="1" applyAlignment="1">
      <alignment horizontal="center"/>
    </xf>
    <xf numFmtId="10" fontId="0" fillId="4" borderId="0" xfId="1" applyNumberFormat="1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Medium9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NPV by Project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Project 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NPV by Project</c:v>
              </c:pt>
            </c:strLit>
          </c:cat>
          <c:val>
            <c:numRef>
              <c:f>'Cashflow by Project'!$B$18</c:f>
              <c:numCache>
                <c:formatCode>"$"#,##0.00_);[Red]\("$"#,##0.00\)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F835-45E7-AF53-A3ED55E1E9F1}"/>
            </c:ext>
          </c:extLst>
        </c:ser>
        <c:ser>
          <c:idx val="1"/>
          <c:order val="1"/>
          <c:tx>
            <c:v>Project B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NPV by Project</c:v>
              </c:pt>
            </c:strLit>
          </c:cat>
          <c:val>
            <c:numRef>
              <c:f>'Cashflow by Project'!$C$18</c:f>
              <c:numCache>
                <c:formatCode>"$"#,##0.00_);[Red]\("$"#,##0.00\)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4-F835-45E7-AF53-A3ED55E1E9F1}"/>
            </c:ext>
          </c:extLst>
        </c:ser>
        <c:ser>
          <c:idx val="2"/>
          <c:order val="2"/>
          <c:tx>
            <c:v>Project C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dLblPos val="outEnd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1DC-47CA-9765-90F8376A83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NPV by Project</c:v>
              </c:pt>
            </c:strLit>
          </c:cat>
          <c:val>
            <c:numRef>
              <c:f>'Cashflow by Project'!$D$18</c:f>
              <c:numCache>
                <c:formatCode>"$"#,##0.00_);[Red]\("$"#,##0.00\)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5-F835-45E7-AF53-A3ED55E1E9F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50316039"/>
        <c:axId val="750249479"/>
      </c:barChart>
      <c:catAx>
        <c:axId val="750316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249479"/>
        <c:crosses val="autoZero"/>
        <c:auto val="1"/>
        <c:lblAlgn val="ctr"/>
        <c:lblOffset val="100"/>
        <c:noMultiLvlLbl val="0"/>
      </c:catAx>
      <c:valAx>
        <c:axId val="750249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316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28</xdr:row>
      <xdr:rowOff>19049</xdr:rowOff>
    </xdr:from>
    <xdr:to>
      <xdr:col>7</xdr:col>
      <xdr:colOff>38100</xdr:colOff>
      <xdr:row>45</xdr:row>
      <xdr:rowOff>180974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ABB7D44-C2F5-4447-9A0F-13CF2D4BE9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"/>
  <sheetViews>
    <sheetView workbookViewId="0">
      <selection activeCell="A7" sqref="A7"/>
    </sheetView>
  </sheetViews>
  <sheetFormatPr defaultRowHeight="15" x14ac:dyDescent="0.25"/>
  <cols>
    <col min="1" max="1" width="98" customWidth="1"/>
  </cols>
  <sheetData>
    <row r="1" spans="1:1" ht="18.75" x14ac:dyDescent="0.3">
      <c r="A1" s="2" t="s">
        <v>0</v>
      </c>
    </row>
    <row r="3" spans="1:1" x14ac:dyDescent="0.25">
      <c r="A3" s="1" t="s">
        <v>1</v>
      </c>
    </row>
    <row r="4" spans="1:1" ht="42.75" customHeight="1" x14ac:dyDescent="0.25">
      <c r="A4" s="7" t="s">
        <v>44</v>
      </c>
    </row>
    <row r="6" spans="1:1" x14ac:dyDescent="0.25">
      <c r="A6" s="1" t="s">
        <v>50</v>
      </c>
    </row>
    <row r="7" spans="1:1" x14ac:dyDescent="0.25">
      <c r="A7" t="s">
        <v>2</v>
      </c>
    </row>
    <row r="8" spans="1:1" x14ac:dyDescent="0.25">
      <c r="A8" t="s">
        <v>48</v>
      </c>
    </row>
    <row r="9" spans="1:1" x14ac:dyDescent="0.25">
      <c r="A9" t="s">
        <v>42</v>
      </c>
    </row>
    <row r="10" spans="1:1" x14ac:dyDescent="0.25">
      <c r="A10" t="s">
        <v>43</v>
      </c>
    </row>
    <row r="11" spans="1:1" x14ac:dyDescent="0.25">
      <c r="A11" t="s">
        <v>49</v>
      </c>
    </row>
    <row r="14" spans="1:1" x14ac:dyDescent="0.25">
      <c r="A14" s="1"/>
    </row>
    <row r="19" spans="1:1" x14ac:dyDescent="0.25">
      <c r="A1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21F53-AFDC-4575-A01C-5CE25E110BAE}">
  <dimension ref="A1:B26"/>
  <sheetViews>
    <sheetView workbookViewId="0">
      <selection activeCell="D37" sqref="D37"/>
    </sheetView>
  </sheetViews>
  <sheetFormatPr defaultRowHeight="15" x14ac:dyDescent="0.25"/>
  <cols>
    <col min="1" max="1" width="46" customWidth="1"/>
    <col min="2" max="2" width="31.7109375" style="20" customWidth="1"/>
  </cols>
  <sheetData>
    <row r="1" spans="1:2" x14ac:dyDescent="0.25">
      <c r="A1" s="1" t="s">
        <v>46</v>
      </c>
      <c r="B1" s="18" t="s">
        <v>47</v>
      </c>
    </row>
    <row r="3" spans="1:2" x14ac:dyDescent="0.25">
      <c r="A3" s="1" t="s">
        <v>3</v>
      </c>
      <c r="B3" s="19">
        <v>0.04</v>
      </c>
    </row>
    <row r="4" spans="1:2" x14ac:dyDescent="0.25">
      <c r="A4" s="1" t="s">
        <v>40</v>
      </c>
      <c r="B4" s="19">
        <v>0.09</v>
      </c>
    </row>
    <row r="5" spans="1:2" x14ac:dyDescent="0.25">
      <c r="A5" s="1" t="s">
        <v>4</v>
      </c>
      <c r="B5" s="19">
        <v>0.05</v>
      </c>
    </row>
    <row r="6" spans="1:2" x14ac:dyDescent="0.25">
      <c r="A6" s="1" t="s">
        <v>5</v>
      </c>
      <c r="B6" s="20">
        <v>1.2</v>
      </c>
    </row>
    <row r="7" spans="1:2" x14ac:dyDescent="0.25">
      <c r="A7" s="1" t="s">
        <v>6</v>
      </c>
      <c r="B7" s="21"/>
    </row>
    <row r="9" spans="1:2" x14ac:dyDescent="0.25">
      <c r="A9" s="1" t="s">
        <v>7</v>
      </c>
      <c r="B9" s="22">
        <v>2</v>
      </c>
    </row>
    <row r="10" spans="1:2" x14ac:dyDescent="0.25">
      <c r="A10" s="1" t="s">
        <v>8</v>
      </c>
      <c r="B10" s="22">
        <v>25</v>
      </c>
    </row>
    <row r="11" spans="1:2" x14ac:dyDescent="0.25">
      <c r="A11" s="1" t="s">
        <v>9</v>
      </c>
      <c r="B11" s="18"/>
    </row>
    <row r="13" spans="1:2" x14ac:dyDescent="0.25">
      <c r="A13" s="1" t="s">
        <v>10</v>
      </c>
      <c r="B13" s="19">
        <v>0.06</v>
      </c>
    </row>
    <row r="14" spans="1:2" x14ac:dyDescent="0.25">
      <c r="A14" s="1" t="s">
        <v>11</v>
      </c>
      <c r="B14" s="19">
        <v>0.25</v>
      </c>
    </row>
    <row r="15" spans="1:2" x14ac:dyDescent="0.25">
      <c r="A15" s="1" t="s">
        <v>12</v>
      </c>
      <c r="B15" s="21"/>
    </row>
    <row r="17" spans="1:2" x14ac:dyDescent="0.25">
      <c r="A17" s="1" t="s">
        <v>13</v>
      </c>
      <c r="B17" s="22">
        <v>300000</v>
      </c>
    </row>
    <row r="18" spans="1:2" x14ac:dyDescent="0.25">
      <c r="A18" s="1" t="s">
        <v>14</v>
      </c>
      <c r="B18" s="22">
        <v>500000</v>
      </c>
    </row>
    <row r="19" spans="1:2" x14ac:dyDescent="0.25">
      <c r="A19" s="1" t="s">
        <v>15</v>
      </c>
      <c r="B19" s="22">
        <v>50000</v>
      </c>
    </row>
    <row r="20" spans="1:2" x14ac:dyDescent="0.25">
      <c r="A20" s="1" t="s">
        <v>16</v>
      </c>
      <c r="B20" s="22">
        <f>SUM(B17:B19)</f>
        <v>850000</v>
      </c>
    </row>
    <row r="22" spans="1:2" x14ac:dyDescent="0.25">
      <c r="A22" s="1" t="s">
        <v>17</v>
      </c>
      <c r="B22" s="21"/>
    </row>
    <row r="23" spans="1:2" x14ac:dyDescent="0.25">
      <c r="A23" s="1" t="s">
        <v>18</v>
      </c>
      <c r="B23" s="21"/>
    </row>
    <row r="24" spans="1:2" x14ac:dyDescent="0.25">
      <c r="A24" s="1" t="s">
        <v>19</v>
      </c>
      <c r="B24" s="21"/>
    </row>
    <row r="26" spans="1:2" x14ac:dyDescent="0.25">
      <c r="A26" s="1" t="s">
        <v>45</v>
      </c>
      <c r="B26" s="21"/>
    </row>
  </sheetData>
  <dataValidations count="10">
    <dataValidation type="decimal" allowBlank="1" showInputMessage="1" showErrorMessage="1" errorTitle="Invalid entry" error="Enter a value between 0 and 0.3." promptTitle="Risk-free rate" prompt="Enter 0% to 30% (as a percentage)" sqref="B3:B4" xr:uid="{B3E325CD-A48D-4432-B00A-A9B944CEB29D}">
      <formula1>0</formula1>
      <formula2>0.3</formula2>
    </dataValidation>
    <dataValidation type="decimal" allowBlank="1" showInputMessage="1" showErrorMessage="1" errorTitle="Invalid entry" error="Enter a value between 0 and 0.3." promptTitle="Market risk premium" prompt="Enter 0% to 30% (as a percentage)" sqref="B5" xr:uid="{B439AB89-9E9D-4F40-B9BB-008FEBAE4F53}">
      <formula1>0</formula1>
      <formula2>0.3</formula2>
    </dataValidation>
    <dataValidation type="decimal" allowBlank="1" showInputMessage="1" showErrorMessage="1" errorTitle="Invalid entry" error="Enter a value between 0 and 3." promptTitle="Equity beta" prompt="Enter a beta between 0 and 3" sqref="B6" xr:uid="{CBC441A8-ACB4-44FF-A6FB-83E23D3AD586}">
      <formula1>0</formula1>
      <formula2>3</formula2>
    </dataValidation>
    <dataValidation type="decimal" allowBlank="1" showInputMessage="1" showErrorMessage="1" errorTitle="Invalid entry" error="Enter a value between 0 and 0.5." promptTitle="Pre-tax cost of debt" prompt="Enter 0% to 50% (as a percentage)" sqref="B13" xr:uid="{D6C0AC41-D67F-4AED-9ACA-5C98865CD983}">
      <formula1>0</formula1>
      <formula2>0.5</formula2>
    </dataValidation>
    <dataValidation type="decimal" allowBlank="1" showInputMessage="1" showErrorMessage="1" errorTitle="Invalid entry" error="Enter a value between 0 and 1." promptTitle="Tax rate" prompt="Enter 0% to 100% (as a percentage)" sqref="B14" xr:uid="{BAC50980-B10E-42C4-9F3C-F6294BE57E31}">
      <formula1>0</formula1>
      <formula2>1</formula2>
    </dataValidation>
    <dataValidation type="decimal" allowBlank="1" showInputMessage="1" showErrorMessage="1" errorTitle="Invalid entry" error="Enter a value between 0 and 1000000." promptTitle="Preferred dividend" prompt="Enter a non-negative dividend" sqref="B9" xr:uid="{729B2796-F563-4CE1-B77D-563BFEA7C3A8}">
      <formula1>0</formula1>
      <formula2>1000000</formula2>
    </dataValidation>
    <dataValidation type="decimal" allowBlank="1" showInputMessage="1" showErrorMessage="1" errorTitle="Invalid entry" error="Enter a value between 0.0001 and 100000000." promptTitle="Preferred price" prompt="Enter a positive price" sqref="B10" xr:uid="{56890982-068B-4C0E-B1C5-E6046CAA1940}">
      <formula1>0.0001</formula1>
      <formula2>100000000</formula2>
    </dataValidation>
    <dataValidation type="decimal" allowBlank="1" showInputMessage="1" showErrorMessage="1" errorTitle="Invalid entry" error="Enter a value between 0 and 1000000000000." promptTitle="Market value of Debt" prompt="Enter a non-negative amount" sqref="B17" xr:uid="{1DE4C89D-8E79-4D23-80CF-9FD2F0CBC053}">
      <formula1>0</formula1>
      <formula2>1000000000000</formula2>
    </dataValidation>
    <dataValidation type="decimal" allowBlank="1" showInputMessage="1" showErrorMessage="1" errorTitle="Invalid entry" error="Enter a value between 0 and 1000000000000." promptTitle="Market value of Equity" prompt="Enter a non-negative amount" sqref="B18" xr:uid="{D1407EEE-B944-4881-82C5-558D5B245BC9}">
      <formula1>0</formula1>
      <formula2>1000000000000</formula2>
    </dataValidation>
    <dataValidation type="decimal" allowBlank="1" showInputMessage="1" showErrorMessage="1" errorTitle="Invalid entry" error="Enter a value between 0 and 1000000000000." promptTitle="Market value of Preferred" prompt="Enter a non-negative amount" sqref="B19" xr:uid="{D928EDD6-6E7C-4965-AA26-A97CCB20A5E6}">
      <formula1>0</formula1>
      <formula2>1000000000000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40667-D310-4B2C-8A5F-7C84D3530ED0}">
  <dimension ref="A2:D22"/>
  <sheetViews>
    <sheetView tabSelected="1" workbookViewId="0">
      <selection activeCell="A21" sqref="A21:XFD21"/>
    </sheetView>
  </sheetViews>
  <sheetFormatPr defaultRowHeight="15" x14ac:dyDescent="0.25"/>
  <cols>
    <col min="1" max="1" width="21.5703125" customWidth="1"/>
    <col min="2" max="2" width="15.28515625" customWidth="1"/>
    <col min="3" max="3" width="18.140625" customWidth="1"/>
    <col min="4" max="4" width="13.5703125" customWidth="1"/>
    <col min="5" max="7" width="10.7109375" bestFit="1" customWidth="1"/>
    <col min="8" max="9" width="12.42578125" bestFit="1" customWidth="1"/>
    <col min="10" max="11" width="11.28515625" bestFit="1" customWidth="1"/>
    <col min="12" max="12" width="21" customWidth="1"/>
    <col min="13" max="14" width="16.5703125" customWidth="1"/>
    <col min="15" max="17" width="10.7109375" bestFit="1" customWidth="1"/>
    <col min="18" max="18" width="15.85546875" customWidth="1"/>
    <col min="19" max="20" width="12.42578125" bestFit="1" customWidth="1"/>
    <col min="21" max="22" width="11.28515625" bestFit="1" customWidth="1"/>
    <col min="23" max="23" width="10.28515625" bestFit="1" customWidth="1"/>
    <col min="24" max="25" width="10.7109375" bestFit="1" customWidth="1"/>
    <col min="26" max="26" width="7.42578125" bestFit="1" customWidth="1"/>
    <col min="27" max="27" width="7.5703125" customWidth="1"/>
    <col min="28" max="28" width="6" customWidth="1"/>
    <col min="29" max="29" width="7" customWidth="1"/>
    <col min="30" max="30" width="6.140625" customWidth="1"/>
    <col min="31" max="31" width="11" bestFit="1" customWidth="1"/>
  </cols>
  <sheetData>
    <row r="2" spans="1:4" x14ac:dyDescent="0.25">
      <c r="A2" t="str">
        <f>Inputs!A26</f>
        <v>WACC</v>
      </c>
      <c r="D2" s="23"/>
    </row>
    <row r="5" spans="1:4" x14ac:dyDescent="0.25">
      <c r="A5" s="3" t="s">
        <v>20</v>
      </c>
      <c r="B5" s="5" t="s">
        <v>37</v>
      </c>
      <c r="C5" s="6" t="s">
        <v>38</v>
      </c>
      <c r="D5" s="5" t="s">
        <v>39</v>
      </c>
    </row>
    <row r="6" spans="1:4" ht="15" customHeight="1" x14ac:dyDescent="0.25">
      <c r="A6" s="4" t="s">
        <v>21</v>
      </c>
      <c r="B6" s="8">
        <v>-100000</v>
      </c>
      <c r="C6" s="9">
        <v>-120000</v>
      </c>
      <c r="D6" s="8">
        <v>-80000</v>
      </c>
    </row>
    <row r="7" spans="1:4" ht="19.5" customHeight="1" x14ac:dyDescent="0.25">
      <c r="A7" s="4" t="s">
        <v>22</v>
      </c>
      <c r="B7" s="8">
        <v>25000</v>
      </c>
      <c r="C7" s="9">
        <v>20000</v>
      </c>
      <c r="D7" s="8">
        <v>22000</v>
      </c>
    </row>
    <row r="8" spans="1:4" x14ac:dyDescent="0.25">
      <c r="A8" s="4" t="s">
        <v>23</v>
      </c>
      <c r="B8" s="8">
        <v>30000</v>
      </c>
      <c r="C8" s="9">
        <v>30000</v>
      </c>
      <c r="D8" s="8">
        <v>24000</v>
      </c>
    </row>
    <row r="9" spans="1:4" x14ac:dyDescent="0.25">
      <c r="A9" s="4" t="s">
        <v>24</v>
      </c>
      <c r="B9" s="8">
        <v>35000</v>
      </c>
      <c r="C9" s="9">
        <v>40000</v>
      </c>
      <c r="D9" s="8">
        <v>26000</v>
      </c>
    </row>
    <row r="10" spans="1:4" x14ac:dyDescent="0.25">
      <c r="A10" s="4" t="s">
        <v>25</v>
      </c>
      <c r="B10" s="8">
        <v>40000</v>
      </c>
      <c r="C10" s="9">
        <v>50000</v>
      </c>
      <c r="D10" s="8">
        <v>30000</v>
      </c>
    </row>
    <row r="11" spans="1:4" x14ac:dyDescent="0.25">
      <c r="A11" s="4" t="s">
        <v>26</v>
      </c>
      <c r="B11" s="8">
        <v>45000</v>
      </c>
      <c r="C11" s="9">
        <v>55000</v>
      </c>
      <c r="D11" s="8">
        <v>35000</v>
      </c>
    </row>
    <row r="12" spans="1:4" x14ac:dyDescent="0.25">
      <c r="A12" s="4" t="s">
        <v>27</v>
      </c>
      <c r="B12" s="8"/>
      <c r="C12" s="8"/>
      <c r="D12" s="8"/>
    </row>
    <row r="13" spans="1:4" x14ac:dyDescent="0.25">
      <c r="A13" s="4" t="s">
        <v>28</v>
      </c>
      <c r="B13" s="8"/>
      <c r="C13" s="8"/>
      <c r="D13" s="8"/>
    </row>
    <row r="14" spans="1:4" x14ac:dyDescent="0.25">
      <c r="A14" s="4" t="s">
        <v>29</v>
      </c>
      <c r="B14" s="8"/>
      <c r="C14" s="8"/>
      <c r="D14" s="8"/>
    </row>
    <row r="15" spans="1:4" x14ac:dyDescent="0.25">
      <c r="A15" s="4" t="s">
        <v>30</v>
      </c>
      <c r="B15" s="8"/>
      <c r="C15" s="8"/>
      <c r="D15" s="8"/>
    </row>
    <row r="16" spans="1:4" x14ac:dyDescent="0.25">
      <c r="A16" s="4" t="s">
        <v>31</v>
      </c>
      <c r="B16" s="8"/>
      <c r="C16" s="8"/>
      <c r="D16" s="8"/>
    </row>
    <row r="17" spans="1:4" x14ac:dyDescent="0.25">
      <c r="A17" s="11" t="s">
        <v>32</v>
      </c>
      <c r="B17" s="13"/>
      <c r="C17" s="13"/>
      <c r="D17" s="13"/>
    </row>
    <row r="18" spans="1:4" x14ac:dyDescent="0.25">
      <c r="A18" s="14" t="s">
        <v>33</v>
      </c>
      <c r="B18" s="15"/>
      <c r="C18" s="15"/>
      <c r="D18" s="15"/>
    </row>
    <row r="19" spans="1:4" x14ac:dyDescent="0.25">
      <c r="A19" s="14" t="s">
        <v>34</v>
      </c>
      <c r="B19" s="16"/>
      <c r="C19" s="16"/>
      <c r="D19" s="16"/>
    </row>
    <row r="20" spans="1:4" x14ac:dyDescent="0.25">
      <c r="A20" s="14" t="s">
        <v>41</v>
      </c>
      <c r="B20" s="17"/>
      <c r="C20" s="17"/>
      <c r="D20" s="17"/>
    </row>
    <row r="21" spans="1:4" x14ac:dyDescent="0.25">
      <c r="A21" s="14" t="s">
        <v>35</v>
      </c>
      <c r="B21" s="17"/>
      <c r="C21" s="17"/>
      <c r="D21" s="17"/>
    </row>
    <row r="22" spans="1:4" x14ac:dyDescent="0.25">
      <c r="A22" s="10" t="s">
        <v>36</v>
      </c>
      <c r="B22" s="12"/>
      <c r="C22" s="12"/>
      <c r="D22" s="1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Instructions</vt:lpstr>
      <vt:lpstr>Inputs</vt:lpstr>
      <vt:lpstr>Cashflow by Project</vt:lpstr>
      <vt:lpstr>WACC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Bethany Evitts</dc:creator>
  <cp:keywords/>
  <dc:description/>
  <cp:lastModifiedBy>Bethany Evitts</cp:lastModifiedBy>
  <cp:revision/>
  <dcterms:created xsi:type="dcterms:W3CDTF">2025-10-31T17:45:34Z</dcterms:created>
  <dcterms:modified xsi:type="dcterms:W3CDTF">2026-04-06T15:41:18Z</dcterms:modified>
  <cp:category/>
  <cp:contentStatus/>
</cp:coreProperties>
</file>