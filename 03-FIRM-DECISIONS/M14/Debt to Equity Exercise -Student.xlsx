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7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4 - Intro to Corporate Finance/"/>
    </mc:Choice>
  </mc:AlternateContent>
  <xr:revisionPtr revIDLastSave="81" documentId="8_{A14D5F60-B81D-4C38-8C6B-34DCDDBBA366}" xr6:coauthVersionLast="47" xr6:coauthVersionMax="47" xr10:uidLastSave="{AFE79043-34D9-4944-9582-9CBA0E16EF7F}"/>
  <bookViews>
    <workbookView xWindow="-120" yWindow="-120" windowWidth="29040" windowHeight="15720" xr2:uid="{00000000-000D-0000-FFFF-FFFF00000000}"/>
  </bookViews>
  <sheets>
    <sheet name="ROE Lab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H4" i="1"/>
  <c r="G4" i="1"/>
  <c r="H17" i="1"/>
  <c r="H18" i="1"/>
  <c r="H19" i="1"/>
  <c r="H20" i="1"/>
  <c r="H21" i="1"/>
  <c r="H22" i="1"/>
  <c r="H23" i="1"/>
  <c r="H24" i="1"/>
  <c r="H25" i="1"/>
  <c r="H26" i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</calcChain>
</file>

<file path=xl/sharedStrings.xml><?xml version="1.0" encoding="utf-8"?>
<sst xmlns="http://schemas.openxmlformats.org/spreadsheetml/2006/main" count="45" uniqueCount="39">
  <si>
    <t>Debt vs Equity Financing: ROE Impact Lab</t>
  </si>
  <si>
    <t>Change inputs, compute D/E yourself, and explore how leverage affects ROE.</t>
  </si>
  <si>
    <t>Inputs (change gold cells) ✍️</t>
  </si>
  <si>
    <t>Derived Calculations 📈</t>
  </si>
  <si>
    <t>Your Task: Compute Debt-to-Equity (D/E) 🧮</t>
  </si>
  <si>
    <t>Revenue ($)</t>
  </si>
  <si>
    <t>Debt ($)</t>
  </si>
  <si>
    <t>Your D/E (enter a formula here →)</t>
  </si>
  <si>
    <t>EBIT Margin</t>
  </si>
  <si>
    <t>Equity ($)</t>
  </si>
  <si>
    <t>Tip: Use =Debt/Equity referencing the cells at left.</t>
  </si>
  <si>
    <t>Tax Rate</t>
  </si>
  <si>
    <t>EBIT ($)</t>
  </si>
  <si>
    <t>Change Debt % in B10 to see how ROE moves.</t>
  </si>
  <si>
    <t>Interest Rate on Debt</t>
  </si>
  <si>
    <t>Interest Expense</t>
  </si>
  <si>
    <t>Total Capital ($)</t>
  </si>
  <si>
    <t>EBT</t>
  </si>
  <si>
    <t>Shares Outstanding</t>
  </si>
  <si>
    <t>Taxes</t>
  </si>
  <si>
    <t>Debt % (input)</t>
  </si>
  <si>
    <t>Net Income</t>
  </si>
  <si>
    <t>ROE</t>
  </si>
  <si>
    <t>EPS</t>
  </si>
  <si>
    <t>Debt-to-Equity (Solution)</t>
  </si>
  <si>
    <t>Scenario Explorer — ROE vs Debt % 🔍</t>
  </si>
  <si>
    <t>Debt %</t>
  </si>
  <si>
    <t>Interest</t>
  </si>
  <si>
    <r>
      <t>Debt</t>
    </r>
    <r>
      <rPr>
        <sz val="11"/>
        <color rgb="FF242424"/>
        <rFont val="Segoe UI"/>
        <charset val="1"/>
      </rPr>
      <t> = Total Capital × Debt %</t>
    </r>
  </si>
  <si>
    <r>
      <t>Equity</t>
    </r>
    <r>
      <rPr>
        <sz val="11"/>
        <color rgb="FF242424"/>
        <rFont val="Segoe UI"/>
        <charset val="1"/>
      </rPr>
      <t> = Total Capital − Debt</t>
    </r>
  </si>
  <si>
    <r>
      <t>EBIT</t>
    </r>
    <r>
      <rPr>
        <sz val="11"/>
        <color rgb="FF242424"/>
        <rFont val="Segoe UI"/>
        <charset val="1"/>
      </rPr>
      <t> = Revenue × EBIT margin</t>
    </r>
  </si>
  <si>
    <r>
      <t>Interest</t>
    </r>
    <r>
      <rPr>
        <sz val="11"/>
        <color rgb="FF242424"/>
        <rFont val="Segoe UI"/>
        <charset val="1"/>
      </rPr>
      <t> = Debt × Interest rate</t>
    </r>
  </si>
  <si>
    <r>
      <t>EBT</t>
    </r>
    <r>
      <rPr>
        <sz val="11"/>
        <color rgb="FF242424"/>
        <rFont val="Segoe UI"/>
        <charset val="1"/>
      </rPr>
      <t> = EBIT − Interest</t>
    </r>
  </si>
  <si>
    <r>
      <t>Taxes</t>
    </r>
    <r>
      <rPr>
        <sz val="11"/>
        <color rgb="FF242424"/>
        <rFont val="Segoe UI"/>
        <charset val="1"/>
      </rPr>
      <t> = MAX(0, EBT × Tax rate) </t>
    </r>
    <r>
      <rPr>
        <i/>
        <sz val="11"/>
        <color rgb="FF242424"/>
        <rFont val="Segoe UI"/>
        <charset val="1"/>
      </rPr>
      <t>(no negative taxes)</t>
    </r>
  </si>
  <si>
    <r>
      <t>Net Income</t>
    </r>
    <r>
      <rPr>
        <sz val="11"/>
        <color rgb="FF242424"/>
        <rFont val="Segoe UI"/>
        <charset val="1"/>
      </rPr>
      <t> = EBT − Taxes</t>
    </r>
  </si>
  <si>
    <r>
      <t>ROE</t>
    </r>
    <r>
      <rPr>
        <sz val="11"/>
        <color rgb="FF242424"/>
        <rFont val="Segoe UI"/>
        <charset val="1"/>
      </rPr>
      <t> = Net Income ÷ Equity</t>
    </r>
  </si>
  <si>
    <r>
      <t>Note:</t>
    </r>
    <r>
      <rPr>
        <sz val="11"/>
        <color rgb="FF242424"/>
        <rFont val="Segoe UI"/>
        <charset val="1"/>
      </rPr>
      <t> As leverage gets extreme (very high </t>
    </r>
    <r>
      <rPr>
        <sz val="11"/>
        <color rgb="FF242424"/>
        <rFont val="Segoe UI"/>
        <charset val="1"/>
      </rPr>
      <t>Debt %</t>
    </r>
    <r>
      <rPr>
        <sz val="11"/>
        <color rgb="FF242424"/>
        <rFont val="Segoe UI"/>
        <charset val="1"/>
      </rPr>
      <t>), </t>
    </r>
    <r>
      <rPr>
        <sz val="11"/>
        <color rgb="FF242424"/>
        <rFont val="Segoe UI"/>
        <charset val="1"/>
      </rPr>
      <t>Equity</t>
    </r>
    <r>
      <rPr>
        <sz val="11"/>
        <color rgb="FF242424"/>
        <rFont val="Segoe UI"/>
        <charset val="1"/>
      </rPr>
      <t> gets small and </t>
    </r>
    <r>
      <rPr>
        <sz val="11"/>
        <color rgb="FF242424"/>
        <rFont val="Segoe UI"/>
        <charset val="1"/>
      </rPr>
      <t>ROE</t>
    </r>
    <r>
      <rPr>
        <sz val="11"/>
        <color rgb="FF242424"/>
        <rFont val="Segoe UI"/>
        <charset val="1"/>
      </rPr>
      <t> can spike or become unstable. This is part of the learning: leverage amplifies returns and risk.</t>
    </r>
  </si>
  <si>
    <t>Debt-to-Equity (D/E) = Debt ÷ Equity </t>
  </si>
  <si>
    <t>Graph the 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</si>
</sst>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&quot;$&quot;#,##0.00"/>
    <numFmt numFmtId="167" formatCode="&quot;$&quot;#,##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1"/>
      <color rgb="FF666666"/>
      <name val="Aptos Narrow"/>
      <family val="2"/>
      <scheme val="minor"/>
    </font>
    <font>
      <sz val="11"/>
      <color rgb="FF666666"/>
      <name val="Aptos Narrow"/>
      <family val="2"/>
      <scheme val="minor"/>
    </font>
    <font>
      <i/>
      <sz val="11"/>
      <color rgb="FF242424"/>
      <name val="Segoe UI"/>
      <charset val="1"/>
    </font>
    <font>
      <sz val="11"/>
      <color rgb="FF242424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9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  <xf numFmtId="3" fontId="0" fillId="3" borderId="0" xfId="0" applyNumberFormat="1" applyFill="1"/>
    <xf numFmtId="0" fontId="1" fillId="0" borderId="1" xfId="0" applyFont="1" applyBorder="1"/>
    <xf numFmtId="165" fontId="0" fillId="3" borderId="1" xfId="0" applyNumberFormat="1" applyFill="1" applyBorder="1"/>
    <xf numFmtId="0" fontId="1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0" fontId="4" fillId="0" borderId="1" xfId="0" applyFont="1" applyBorder="1"/>
    <xf numFmtId="2" fontId="5" fillId="0" borderId="1" xfId="0" applyNumberFormat="1" applyFont="1" applyBorder="1"/>
    <xf numFmtId="164" fontId="0" fillId="0" borderId="0" xfId="0" applyNumberFormat="1"/>
    <xf numFmtId="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7" fillId="0" borderId="0" xfId="0" applyFont="1" applyAlignment="1">
      <alignment wrapText="1"/>
    </xf>
    <xf numFmtId="0" fontId="7" fillId="0" borderId="0" xfId="0" applyFont="1"/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ySplit="2" topLeftCell="A3" activePane="bottomLeft" state="frozen"/>
      <selection pane="bottomLeft" activeCell="B13" sqref="A13:XFD13"/>
    </sheetView>
  </sheetViews>
  <sheetFormatPr defaultRowHeight="15" x14ac:dyDescent="0.25"/>
  <cols>
    <col min="1" max="1" width="24.7109375" customWidth="1"/>
    <col min="2" max="2" width="12.28515625" customWidth="1"/>
    <col min="4" max="4" width="23.85546875" customWidth="1"/>
    <col min="5" max="5" width="24.85546875" customWidth="1"/>
    <col min="6" max="6" width="40.7109375" customWidth="1"/>
    <col min="7" max="7" width="16" customWidth="1"/>
    <col min="8" max="8" width="16.7109375" customWidth="1"/>
    <col min="9" max="9" width="10.85546875" customWidth="1"/>
  </cols>
  <sheetData>
    <row r="1" spans="1:9" ht="27.7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</row>
    <row r="2" spans="1:9" x14ac:dyDescent="0.25">
      <c r="A2" s="26" t="s">
        <v>1</v>
      </c>
      <c r="B2" s="26"/>
      <c r="C2" s="26"/>
      <c r="D2" s="26"/>
      <c r="E2" s="26"/>
      <c r="F2" s="26"/>
      <c r="G2" s="26"/>
      <c r="H2" s="26"/>
    </row>
    <row r="3" spans="1:9" x14ac:dyDescent="0.25">
      <c r="A3" s="1" t="s">
        <v>2</v>
      </c>
      <c r="B3" s="1"/>
      <c r="C3" s="1"/>
      <c r="D3" s="1" t="s">
        <v>3</v>
      </c>
      <c r="E3" s="1"/>
      <c r="F3" s="1" t="s">
        <v>4</v>
      </c>
      <c r="G3" s="1"/>
      <c r="H3" s="1"/>
    </row>
    <row r="4" spans="1:9" x14ac:dyDescent="0.25">
      <c r="A4" s="1" t="s">
        <v>5</v>
      </c>
      <c r="B4" s="7">
        <v>1000000</v>
      </c>
      <c r="D4" s="12" t="s">
        <v>6</v>
      </c>
      <c r="E4" s="13"/>
      <c r="F4" s="4" t="s">
        <v>7</v>
      </c>
      <c r="G4" s="4" t="e">
        <f>E4/E5</f>
        <v>#DIV/0!</v>
      </c>
      <c r="H4" s="4" t="str">
        <f>IFERROR(IF(ABS(G4-E13)&lt;0.000001,"✅ Correct","❌ Try again"),"❌ Try again")</f>
        <v>❌ Try again</v>
      </c>
    </row>
    <row r="5" spans="1:9" x14ac:dyDescent="0.25">
      <c r="A5" s="1" t="s">
        <v>8</v>
      </c>
      <c r="B5" s="8">
        <v>0.15</v>
      </c>
      <c r="D5" s="12" t="s">
        <v>9</v>
      </c>
      <c r="E5" s="13"/>
      <c r="F5" s="3" t="s">
        <v>10</v>
      </c>
      <c r="G5" s="3"/>
      <c r="H5" s="3"/>
    </row>
    <row r="6" spans="1:9" x14ac:dyDescent="0.25">
      <c r="A6" s="1" t="s">
        <v>11</v>
      </c>
      <c r="B6" s="8">
        <v>0.25</v>
      </c>
      <c r="D6" s="12" t="s">
        <v>12</v>
      </c>
      <c r="E6" s="13"/>
      <c r="F6" s="3" t="s">
        <v>13</v>
      </c>
      <c r="G6" s="3"/>
      <c r="H6" s="3"/>
    </row>
    <row r="7" spans="1:9" x14ac:dyDescent="0.25">
      <c r="A7" s="1" t="s">
        <v>14</v>
      </c>
      <c r="B7" s="8">
        <v>0.06</v>
      </c>
      <c r="D7" s="12" t="s">
        <v>15</v>
      </c>
      <c r="E7" s="13"/>
    </row>
    <row r="8" spans="1:9" x14ac:dyDescent="0.25">
      <c r="A8" s="1" t="s">
        <v>16</v>
      </c>
      <c r="B8" s="7">
        <v>500000</v>
      </c>
      <c r="D8" s="12" t="s">
        <v>17</v>
      </c>
      <c r="E8" s="13"/>
    </row>
    <row r="9" spans="1:9" x14ac:dyDescent="0.25">
      <c r="A9" s="1" t="s">
        <v>18</v>
      </c>
      <c r="B9" s="9">
        <v>50000</v>
      </c>
      <c r="D9" s="12" t="s">
        <v>19</v>
      </c>
      <c r="E9" s="13"/>
      <c r="F9" s="24"/>
    </row>
    <row r="10" spans="1:9" x14ac:dyDescent="0.25">
      <c r="A10" s="10" t="s">
        <v>20</v>
      </c>
      <c r="B10" s="11">
        <v>0.4</v>
      </c>
      <c r="D10" s="12" t="s">
        <v>21</v>
      </c>
      <c r="E10" s="13"/>
    </row>
    <row r="11" spans="1:9" ht="18.75" customHeight="1" x14ac:dyDescent="0.25">
      <c r="D11" s="12" t="s">
        <v>22</v>
      </c>
      <c r="E11" s="14"/>
    </row>
    <row r="12" spans="1:9" x14ac:dyDescent="0.25">
      <c r="D12" s="12" t="s">
        <v>23</v>
      </c>
      <c r="E12" s="15"/>
    </row>
    <row r="13" spans="1:9" hidden="1" x14ac:dyDescent="0.25">
      <c r="D13" s="16" t="s">
        <v>24</v>
      </c>
      <c r="E13" s="17" t="e">
        <f>IF(E5=0,NA(),E4/E5)</f>
        <v>#N/A</v>
      </c>
    </row>
    <row r="15" spans="1:9" x14ac:dyDescent="0.25">
      <c r="A15" s="1" t="s">
        <v>25</v>
      </c>
      <c r="H15" t="s">
        <v>38</v>
      </c>
    </row>
    <row r="16" spans="1:9" x14ac:dyDescent="0.25">
      <c r="A16" s="5" t="s">
        <v>26</v>
      </c>
      <c r="B16" s="5" t="s">
        <v>6</v>
      </c>
      <c r="C16" s="5" t="s">
        <v>9</v>
      </c>
      <c r="D16" s="5" t="s">
        <v>27</v>
      </c>
      <c r="E16" s="5" t="s">
        <v>21</v>
      </c>
      <c r="F16" s="5" t="s">
        <v>22</v>
      </c>
      <c r="H16" s="5" t="s">
        <v>26</v>
      </c>
      <c r="I16" s="5" t="s">
        <v>22</v>
      </c>
    </row>
    <row r="17" spans="1:9" x14ac:dyDescent="0.25">
      <c r="A17" s="6">
        <v>0</v>
      </c>
      <c r="B17" s="18"/>
      <c r="C17" s="18"/>
      <c r="D17" s="18"/>
      <c r="E17" s="18"/>
      <c r="F17" s="2" t="e">
        <f t="shared" ref="F17:F26" si="0">IF(C17=0,NA(),E17/C17)</f>
        <v>#N/A</v>
      </c>
      <c r="H17" s="6">
        <f t="shared" ref="H17:H26" si="1">A17</f>
        <v>0</v>
      </c>
      <c r="I17" s="2" t="e">
        <f t="shared" ref="I17:I26" si="2">F17</f>
        <v>#N/A</v>
      </c>
    </row>
    <row r="18" spans="1:9" x14ac:dyDescent="0.25">
      <c r="A18" s="6">
        <v>0.1</v>
      </c>
      <c r="B18" s="18"/>
      <c r="C18" s="18"/>
      <c r="D18" s="18"/>
      <c r="E18" s="18"/>
      <c r="F18" s="2" t="e">
        <f t="shared" si="0"/>
        <v>#N/A</v>
      </c>
      <c r="H18" s="6">
        <f t="shared" si="1"/>
        <v>0.1</v>
      </c>
      <c r="I18" s="2" t="e">
        <f t="shared" si="2"/>
        <v>#N/A</v>
      </c>
    </row>
    <row r="19" spans="1:9" x14ac:dyDescent="0.25">
      <c r="A19" s="6">
        <v>0.2</v>
      </c>
      <c r="B19" s="18"/>
      <c r="C19" s="18"/>
      <c r="D19" s="18"/>
      <c r="E19" s="18"/>
      <c r="F19" s="2" t="e">
        <f t="shared" si="0"/>
        <v>#N/A</v>
      </c>
      <c r="H19" s="6">
        <f t="shared" si="1"/>
        <v>0.2</v>
      </c>
      <c r="I19" s="2" t="e">
        <f t="shared" si="2"/>
        <v>#N/A</v>
      </c>
    </row>
    <row r="20" spans="1:9" x14ac:dyDescent="0.25">
      <c r="A20" s="6">
        <v>0.3</v>
      </c>
      <c r="B20" s="18"/>
      <c r="C20" s="18"/>
      <c r="D20" s="18"/>
      <c r="E20" s="18"/>
      <c r="F20" s="2" t="e">
        <f t="shared" si="0"/>
        <v>#N/A</v>
      </c>
      <c r="H20" s="6">
        <f t="shared" si="1"/>
        <v>0.3</v>
      </c>
      <c r="I20" s="2" t="e">
        <f t="shared" si="2"/>
        <v>#N/A</v>
      </c>
    </row>
    <row r="21" spans="1:9" x14ac:dyDescent="0.25">
      <c r="A21" s="6">
        <v>0.4</v>
      </c>
      <c r="B21" s="18"/>
      <c r="C21" s="18"/>
      <c r="D21" s="18"/>
      <c r="E21" s="18"/>
      <c r="F21" s="2" t="e">
        <f t="shared" si="0"/>
        <v>#N/A</v>
      </c>
      <c r="H21" s="6">
        <f t="shared" si="1"/>
        <v>0.4</v>
      </c>
      <c r="I21" s="2" t="e">
        <f t="shared" si="2"/>
        <v>#N/A</v>
      </c>
    </row>
    <row r="22" spans="1:9" x14ac:dyDescent="0.25">
      <c r="A22" s="6">
        <v>0.5</v>
      </c>
      <c r="B22" s="18"/>
      <c r="C22" s="18"/>
      <c r="D22" s="18"/>
      <c r="E22" s="18"/>
      <c r="F22" s="2" t="e">
        <f t="shared" si="0"/>
        <v>#N/A</v>
      </c>
      <c r="H22" s="6">
        <f t="shared" si="1"/>
        <v>0.5</v>
      </c>
      <c r="I22" s="2" t="e">
        <f t="shared" si="2"/>
        <v>#N/A</v>
      </c>
    </row>
    <row r="23" spans="1:9" x14ac:dyDescent="0.25">
      <c r="A23" s="6">
        <v>0.6</v>
      </c>
      <c r="B23" s="18"/>
      <c r="C23" s="18"/>
      <c r="D23" s="18"/>
      <c r="E23" s="18"/>
      <c r="F23" s="2" t="e">
        <f t="shared" si="0"/>
        <v>#N/A</v>
      </c>
      <c r="H23" s="6">
        <f t="shared" si="1"/>
        <v>0.6</v>
      </c>
      <c r="I23" s="2" t="e">
        <f t="shared" si="2"/>
        <v>#N/A</v>
      </c>
    </row>
    <row r="24" spans="1:9" x14ac:dyDescent="0.25">
      <c r="A24" s="6">
        <v>0.7</v>
      </c>
      <c r="B24" s="18"/>
      <c r="C24" s="18"/>
      <c r="D24" s="18"/>
      <c r="E24" s="18"/>
      <c r="F24" s="2" t="e">
        <f t="shared" si="0"/>
        <v>#N/A</v>
      </c>
      <c r="H24" s="6">
        <f t="shared" si="1"/>
        <v>0.7</v>
      </c>
      <c r="I24" s="2" t="e">
        <f t="shared" si="2"/>
        <v>#N/A</v>
      </c>
    </row>
    <row r="25" spans="1:9" x14ac:dyDescent="0.25">
      <c r="A25" s="6">
        <v>0.8</v>
      </c>
      <c r="B25" s="18"/>
      <c r="C25" s="18"/>
      <c r="D25" s="18"/>
      <c r="E25" s="18"/>
      <c r="F25" s="2" t="e">
        <f t="shared" si="0"/>
        <v>#N/A</v>
      </c>
      <c r="H25" s="6">
        <f t="shared" si="1"/>
        <v>0.8</v>
      </c>
      <c r="I25" s="2" t="e">
        <f t="shared" si="2"/>
        <v>#N/A</v>
      </c>
    </row>
    <row r="26" spans="1:9" x14ac:dyDescent="0.25">
      <c r="A26" s="19">
        <v>0.9</v>
      </c>
      <c r="B26" s="20"/>
      <c r="C26" s="20"/>
      <c r="D26" s="20"/>
      <c r="E26" s="20"/>
      <c r="F26" s="21" t="e">
        <f t="shared" si="0"/>
        <v>#N/A</v>
      </c>
      <c r="H26" s="6">
        <f t="shared" si="1"/>
        <v>0.9</v>
      </c>
      <c r="I26" s="2" t="e">
        <f t="shared" si="2"/>
        <v>#N/A</v>
      </c>
    </row>
  </sheetData>
  <mergeCells count="2">
    <mergeCell ref="A1:H1"/>
    <mergeCell ref="A2:H2"/>
  </mergeCells>
  <conditionalFormatting sqref="F17:F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4FA9-CEDB-49EC-9B57-E011EDBE5E00}">
  <dimension ref="A1:A11"/>
  <sheetViews>
    <sheetView workbookViewId="0">
      <selection activeCell="A20" sqref="A20"/>
    </sheetView>
  </sheetViews>
  <sheetFormatPr defaultRowHeight="15" x14ac:dyDescent="0.25"/>
  <cols>
    <col min="1" max="1" width="103.42578125" customWidth="1"/>
    <col min="2" max="2" width="9.140625" customWidth="1"/>
  </cols>
  <sheetData>
    <row r="1" spans="1:1" ht="16.5" x14ac:dyDescent="0.3">
      <c r="A1" s="23" t="s">
        <v>28</v>
      </c>
    </row>
    <row r="2" spans="1:1" ht="16.5" x14ac:dyDescent="0.3">
      <c r="A2" s="23" t="s">
        <v>29</v>
      </c>
    </row>
    <row r="3" spans="1:1" ht="16.5" x14ac:dyDescent="0.3">
      <c r="A3" s="23" t="s">
        <v>30</v>
      </c>
    </row>
    <row r="4" spans="1:1" ht="16.5" x14ac:dyDescent="0.3">
      <c r="A4" s="23" t="s">
        <v>31</v>
      </c>
    </row>
    <row r="5" spans="1:1" ht="16.5" x14ac:dyDescent="0.3">
      <c r="A5" s="23" t="s">
        <v>32</v>
      </c>
    </row>
    <row r="6" spans="1:1" ht="16.5" x14ac:dyDescent="0.3">
      <c r="A6" s="23" t="s">
        <v>33</v>
      </c>
    </row>
    <row r="7" spans="1:1" ht="16.5" x14ac:dyDescent="0.3">
      <c r="A7" s="23" t="s">
        <v>34</v>
      </c>
    </row>
    <row r="8" spans="1:1" ht="16.5" x14ac:dyDescent="0.3">
      <c r="A8" s="23" t="s">
        <v>35</v>
      </c>
    </row>
    <row r="9" spans="1:1" ht="16.5" x14ac:dyDescent="0.3">
      <c r="A9" s="23" t="s">
        <v>37</v>
      </c>
    </row>
    <row r="10" spans="1:1" ht="16.5" x14ac:dyDescent="0.3">
      <c r="A10" s="23"/>
    </row>
    <row r="11" spans="1:1" ht="51.75" customHeight="1" x14ac:dyDescent="0.3">
      <c r="A11" s="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ROE Lab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2025-10-31T17:58:41Z</dcterms:created>
  <dcterms:modified xsi:type="dcterms:W3CDTF">2025-11-02T12:14:32Z</dcterms:modified>
  <cp:category/>
  <cp:contentStatus/>
</cp:coreProperties>
</file>