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14 - Intro to Corporate Finance/"/>
    </mc:Choice>
  </mc:AlternateContent>
  <xr:revisionPtr revIDLastSave="15" documentId="8_{EDB22771-8097-40A5-9B88-05678652AEE9}" xr6:coauthVersionLast="47" xr6:coauthVersionMax="47" xr10:uidLastSave="{F8ACB498-CF44-4B71-ACF6-9AD6538DC955}"/>
  <bookViews>
    <workbookView xWindow="-120" yWindow="-120" windowWidth="29040" windowHeight="15720" tabRatio="998" xr2:uid="{00000000-000D-0000-FFFF-FFFF00000000}"/>
  </bookViews>
  <sheets>
    <sheet name="Instructions" sheetId="1" r:id="rId1"/>
    <sheet name="Company Data" sheetId="2" r:id="rId2"/>
    <sheet name="Part 1 - Base Analysis" sheetId="3" r:id="rId3"/>
    <sheet name="Part 2 - New Issuance" sheetId="4" r:id="rId4"/>
    <sheet name="Part 3 - Buyback" sheetId="5" r:id="rId5"/>
    <sheet name="Part 4 -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5" l="1"/>
  <c r="C15" i="5"/>
  <c r="C14" i="5"/>
  <c r="C8" i="5"/>
  <c r="C7" i="5"/>
  <c r="C6" i="5"/>
  <c r="C17" i="4"/>
  <c r="C16" i="4"/>
  <c r="C15" i="4"/>
  <c r="C9" i="4"/>
  <c r="C7" i="4"/>
  <c r="C6" i="4"/>
  <c r="C17" i="3"/>
  <c r="C16" i="3"/>
  <c r="C15" i="3"/>
  <c r="C14" i="3"/>
  <c r="C8" i="3"/>
  <c r="C7" i="3"/>
  <c r="C6" i="3"/>
  <c r="C17" i="5" l="1"/>
  <c r="C14" i="4"/>
</calcChain>
</file>

<file path=xl/sharedStrings.xml><?xml version="1.0" encoding="utf-8"?>
<sst xmlns="http://schemas.openxmlformats.org/spreadsheetml/2006/main" count="183" uniqueCount="144">
  <si>
    <t>BUS 311 | Chapter 14 — Equity Account Analysis</t>
  </si>
  <si>
    <t>COLOR KEY</t>
  </si>
  <si>
    <t>Enter your formula or value here — student input required</t>
  </si>
  <si>
    <t>ICE BLUE cells</t>
  </si>
  <si>
    <t>Given data — do not edit</t>
  </si>
  <si>
    <t>CREAM cells</t>
  </si>
  <si>
    <t>Final answer cells — populated by your formulas</t>
  </si>
  <si>
    <t>WHITE cells</t>
  </si>
  <si>
    <t>Intermediate formula cells</t>
  </si>
  <si>
    <t>LEARNING OBJECTIVES</t>
  </si>
  <si>
    <t>1.  Identify and define each component of the shareholders' equity section</t>
  </si>
  <si>
    <t>2.  Calculate authorized, issued, treasury, and outstanding share counts</t>
  </si>
  <si>
    <t>3.  Compute par value, additional paid-in capital, and net common equity</t>
  </si>
  <si>
    <t>4.  Determine book value per share</t>
  </si>
  <si>
    <t>5.  Analyze the impact of a new share issuance and a share repurchase on the equity section</t>
  </si>
  <si>
    <t>WORKSHEET NAVIGATION</t>
  </si>
  <si>
    <t>Instructions</t>
  </si>
  <si>
    <t>This sheet — overview, color key, objectives</t>
  </si>
  <si>
    <t>Company Data</t>
  </si>
  <si>
    <t>Part 1 - Base Analysis</t>
  </si>
  <si>
    <t>Equity section before any transactions</t>
  </si>
  <si>
    <t>Part 2 - New Issuance</t>
  </si>
  <si>
    <t>Impact of issuing 5,000 new shares at $25</t>
  </si>
  <si>
    <t>Part 3 - Buyback</t>
  </si>
  <si>
    <t>Impact of repurchasing 2,000 additional shares at $23</t>
  </si>
  <si>
    <t>Part 4 - Summary</t>
  </si>
  <si>
    <t>Side-by-side comparison of all three equity sections</t>
  </si>
  <si>
    <t>All data below is given — do not edit these cells. Refer to this sheet from the analysis tabs.</t>
  </si>
  <si>
    <t>Section 1 — Corporate Charter</t>
  </si>
  <si>
    <t>Authorized Shares</t>
  </si>
  <si>
    <t>Maximum shares allowed without shareholder vote</t>
  </si>
  <si>
    <t>Par Value per Share</t>
  </si>
  <si>
    <t>Nominal value per share at issuance</t>
  </si>
  <si>
    <t>Section 2 — Share Issuance &amp; Repurchase History</t>
  </si>
  <si>
    <t>Shares Issued (IPO)</t>
  </si>
  <si>
    <t>Shares sold to investors at IPO</t>
  </si>
  <si>
    <t>IPO Price per Share</t>
  </si>
  <si>
    <t>Price at which shares were first sold</t>
  </si>
  <si>
    <t>Treasury Shares (repurchased)</t>
  </si>
  <si>
    <t>Shares bought back by company</t>
  </si>
  <si>
    <t>Treasury Stock Cost per Share</t>
  </si>
  <si>
    <t>Price paid per repurchased share</t>
  </si>
  <si>
    <t>Section 3 — Retained Earnings</t>
  </si>
  <si>
    <t>Retained Earnings (cumulative)</t>
  </si>
  <si>
    <t>Given — cumulative net income less dividends paid</t>
  </si>
  <si>
    <t>Section 4 — Proposed Transactions (Parts 2 &amp; 3)</t>
  </si>
  <si>
    <t>New Shares to Issue (Part 2)</t>
  </si>
  <si>
    <t>New equity issuance</t>
  </si>
  <si>
    <t>New Issue Price per Share</t>
  </si>
  <si>
    <t>Offering price for new shares</t>
  </si>
  <si>
    <t>Additional Buyback Shares (Pt 3)</t>
  </si>
  <si>
    <t>Additional repurchase</t>
  </si>
  <si>
    <t>Additional Buyback Price</t>
  </si>
  <si>
    <t>Price per additional repurchased share</t>
  </si>
  <si>
    <t>PART 1 — BASE EQUITY ANALYSIS</t>
  </si>
  <si>
    <t>Section A — Share Count Analysis</t>
  </si>
  <si>
    <t>Item</t>
  </si>
  <si>
    <t>Shares</t>
  </si>
  <si>
    <t>Notes</t>
  </si>
  <si>
    <t>From corporate charter</t>
  </si>
  <si>
    <t>Shares Issued</t>
  </si>
  <si>
    <t>Sold to investors at IPO</t>
  </si>
  <si>
    <t>Treasury Shares</t>
  </si>
  <si>
    <t>Repurchased by company</t>
  </si>
  <si>
    <t>Shares Outstanding</t>
  </si>
  <si>
    <t>Issued minus treasury</t>
  </si>
  <si>
    <t>Shares Available to Issue</t>
  </si>
  <si>
    <t>Authorized minus issued</t>
  </si>
  <si>
    <t>Section B — Shareholders' Equity Section</t>
  </si>
  <si>
    <t>Account</t>
  </si>
  <si>
    <t>Amount ($)</t>
  </si>
  <si>
    <t>Formula / Notes</t>
  </si>
  <si>
    <t>Common Stock (Par Value)</t>
  </si>
  <si>
    <t>Issued shares × par value per share</t>
  </si>
  <si>
    <t>Additional Paid-In Capital</t>
  </si>
  <si>
    <t>(IPO price − par) × shares issued</t>
  </si>
  <si>
    <t>Retained Earnings</t>
  </si>
  <si>
    <t>Given — cumulative retained profits</t>
  </si>
  <si>
    <t>Treasury Stock (contra)</t>
  </si>
  <si>
    <t>Treasury shares × cost — negative</t>
  </si>
  <si>
    <t>Net Common Equity</t>
  </si>
  <si>
    <t>Sum of all equity components</t>
  </si>
  <si>
    <t>Section C — Book Value Per Share</t>
  </si>
  <si>
    <t>Book Value per Share</t>
  </si>
  <si>
    <t>Net equity ÷ shares outstanding</t>
  </si>
  <si>
    <t>HINT: All formulas should reference 'Company Data' tab cells — do not hardcode numbers.</t>
  </si>
  <si>
    <t>PART 2 — IMPACT OF NEW SHARE ISSUANCE</t>
  </si>
  <si>
    <t>Section A — Updated Share Count</t>
  </si>
  <si>
    <t>Original Shares Issued</t>
  </si>
  <si>
    <t>From Part 1</t>
  </si>
  <si>
    <t>New Shares Issued</t>
  </si>
  <si>
    <t>Proposed new issuance</t>
  </si>
  <si>
    <t>Total Shares Issued (updated)</t>
  </si>
  <si>
    <t>Original + new</t>
  </si>
  <si>
    <t>Unchanged</t>
  </si>
  <si>
    <t>Shares Outstanding (updated)</t>
  </si>
  <si>
    <t>Updated issued minus treasury</t>
  </si>
  <si>
    <t>Section B — Updated Equity Section After Issuance</t>
  </si>
  <si>
    <t>Total issued shares × par value</t>
  </si>
  <si>
    <t>Original APIC + new shares APIC</t>
  </si>
  <si>
    <t>Net Common Equity (updated)</t>
  </si>
  <si>
    <t>Sum of all components</t>
  </si>
  <si>
    <t>Section C — Book Value Per Share After Issuance</t>
  </si>
  <si>
    <t>Book Value per Share (updated)</t>
  </si>
  <si>
    <t>Net equity ÷ updated shares outstanding</t>
  </si>
  <si>
    <t>THINK: Did book value per share go up or down compared to Part 1? Why?</t>
  </si>
  <si>
    <t>PART 3 — IMPACT OF ADDITIONAL SHARE REPURCHASE</t>
  </si>
  <si>
    <t>Section A — Updated Share Count After Buyback</t>
  </si>
  <si>
    <t>Unchanged from Part 1</t>
  </si>
  <si>
    <t>Original Treasury Shares</t>
  </si>
  <si>
    <t>Additional Treasury Shares</t>
  </si>
  <si>
    <t>New repurchase</t>
  </si>
  <si>
    <t>Total Treasury Shares</t>
  </si>
  <si>
    <t>Combined repurchases</t>
  </si>
  <si>
    <t>Issued minus total treasury</t>
  </si>
  <si>
    <t>Section B — Updated Equity Section After Buyback</t>
  </si>
  <si>
    <t>Issued shares × par — unchanged</t>
  </si>
  <si>
    <t>Original + new repurchase at different prices</t>
  </si>
  <si>
    <t>Section C — Book Value Per Share After Buyback</t>
  </si>
  <si>
    <t>Net equity ÷ updated outstanding shares</t>
  </si>
  <si>
    <t>THINK: Why does treasury stock use the actual cost paid — not par value?</t>
  </si>
  <si>
    <t>PART 4 — SIDE-BY-SIDE COMPARISON</t>
  </si>
  <si>
    <t>Compare all three equity sections — Base, After Issuance, After Buyback</t>
  </si>
  <si>
    <t>Account / Metric</t>
  </si>
  <si>
    <t>Base (Part 1)</t>
  </si>
  <si>
    <t>After Issuance
(Part 2)</t>
  </si>
  <si>
    <t>After Buyback
(Part 3)</t>
  </si>
  <si>
    <t>Key Observation</t>
  </si>
  <si>
    <t>Issuance ↑ outstanding; buyback ↓ outstanding</t>
  </si>
  <si>
    <t>Par value changes with new issuance</t>
  </si>
  <si>
    <t>APIC rises with new issuance; unchanged in buyback</t>
  </si>
  <si>
    <t>Unchanged in both scenarios (no income/dividends)</t>
  </si>
  <si>
    <t>Buyback increases the contra-equity deduction</t>
  </si>
  <si>
    <t>NET COMMON EQUITY</t>
  </si>
  <si>
    <t>Issuance raises equity; buyback reduces it</t>
  </si>
  <si>
    <t>REFLECTION: The issuance price ($25) is above book value per share from Part 1. Does this increase or decrease the book value per share for existing shareholders? The buyback price ($23) — is it above or below book value? What is the effect? Use your calculated values to explain your reasoning.</t>
  </si>
  <si>
    <t>ABC Industrial Corp. — Student Workbook</t>
  </si>
  <si>
    <t>ABC Industrial Corp. given data — read only</t>
  </si>
  <si>
    <t>ABC INDUSTRIAL CORP. — GIVEN DATA</t>
  </si>
  <si>
    <t>Source: Simulated data for instructional purposes — ABC Industrial Corp. is a fictional company</t>
  </si>
  <si>
    <t>ABC Industrial Corp. | Equity Section BEFORE Any New Transactions</t>
  </si>
  <si>
    <t>ABC issues 5,000 NEW shares at $25.00 per share — reconstruct the equity section</t>
  </si>
  <si>
    <t>Starting from Part 1 (base) — ABC repurchases 2,000 MORE shares at $23.00</t>
  </si>
  <si>
    <t>Issuance below BV/share (↓ to $26.26) dilutes existing shareholders; buyback below BV/share (↑ to $26.50) is accretive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</si>
</sst>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#,##0"/>
    <numFmt numFmtId="166" formatCode="&quot;$&quot;#,##0.00"/>
  </numFmts>
  <fonts count="2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3"/>
      <color rgb="FF1E2761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E2761"/>
      <name val="Arial"/>
      <charset val="1"/>
    </font>
    <font>
      <b/>
      <sz val="10"/>
      <color rgb="FF000000"/>
      <name val="Arial"/>
      <charset val="1"/>
    </font>
    <font>
      <i/>
      <sz val="9"/>
      <color rgb="FF888888"/>
      <name val="Arial"/>
      <charset val="1"/>
    </font>
    <font>
      <b/>
      <sz val="14"/>
      <color rgb="FFFFFFFF"/>
      <name val="Arial"/>
      <charset val="1"/>
    </font>
    <font>
      <i/>
      <sz val="10"/>
      <color rgb="FF4A4A4A"/>
      <name val="Arial"/>
      <charset val="1"/>
    </font>
    <font>
      <b/>
      <sz val="12"/>
      <color rgb="FFFFFFFF"/>
      <name val="Arial"/>
      <charset val="1"/>
    </font>
    <font>
      <b/>
      <sz val="11"/>
      <color rgb="FF4A4A4A"/>
      <name val="Arial"/>
      <charset val="1"/>
    </font>
    <font>
      <b/>
      <sz val="11"/>
      <color rgb="FF1E2761"/>
      <name val="Arial"/>
      <charset val="1"/>
    </font>
    <font>
      <b/>
      <sz val="12"/>
      <color rgb="FF1E2761"/>
      <name val="Arial"/>
      <charset val="1"/>
    </font>
    <font>
      <sz val="11"/>
      <color rgb="FF4A4A4A"/>
      <name val="Arial"/>
      <charset val="1"/>
    </font>
    <font>
      <sz val="11"/>
      <color rgb="FF000000"/>
      <name val="Arial"/>
      <charset val="1"/>
    </font>
    <font>
      <i/>
      <sz val="11"/>
      <color rgb="FF4A4A4A"/>
      <name val="Arial"/>
      <charset val="1"/>
    </font>
    <font>
      <i/>
      <sz val="10"/>
      <color rgb="FF888888"/>
      <name val="Arial"/>
      <charset val="1"/>
    </font>
    <font>
      <b/>
      <i/>
      <sz val="10"/>
      <color rgb="FF1E2761"/>
      <name val="Arial"/>
      <charset val="1"/>
    </font>
    <font>
      <b/>
      <sz val="10"/>
      <color rgb="FFFFFFFF"/>
      <name val="Arial"/>
      <charset val="1"/>
    </font>
    <font>
      <i/>
      <sz val="10"/>
      <color rgb="FF1E276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CADCFC"/>
        <bgColor rgb="FFD9D9D9"/>
      </patternFill>
    </fill>
    <fill>
      <patternFill patternType="solid">
        <fgColor rgb="FFDAA520"/>
        <bgColor rgb="FFFFCC00"/>
      </patternFill>
    </fill>
    <fill>
      <patternFill patternType="solid">
        <fgColor rgb="FFFFFACD"/>
        <bgColor rgb="FFFFFFFF"/>
      </patternFill>
    </fill>
    <fill>
      <patternFill patternType="solid">
        <fgColor rgb="FFFFFFFF"/>
        <bgColor rgb="FFFFFACD"/>
      </patternFill>
    </fill>
    <fill>
      <patternFill patternType="solid">
        <fgColor rgb="FFD9D9D9"/>
        <bgColor rgb="FFCADCFC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E2761"/>
      </left>
      <right/>
      <top style="medium">
        <color rgb="FF1E2761"/>
      </top>
      <bottom style="medium">
        <color rgb="FF1E2761"/>
      </bottom>
      <diagonal/>
    </border>
    <border>
      <left style="medium">
        <color rgb="FFDAA520"/>
      </left>
      <right style="medium">
        <color rgb="FFDAA520"/>
      </right>
      <top style="medium">
        <color rgb="FFDAA520"/>
      </top>
      <bottom style="medium">
        <color rgb="FFDAA52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0" fillId="3" borderId="0" xfId="0" applyFont="1" applyFill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left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3" fontId="12" fillId="3" borderId="1" xfId="0" applyNumberFormat="1" applyFont="1" applyFill="1" applyBorder="1" applyAlignment="1">
      <alignment horizontal="center" vertical="center" wrapText="1"/>
    </xf>
    <xf numFmtId="164" fontId="12" fillId="3" borderId="1" xfId="0" applyNumberFormat="1" applyFont="1" applyFill="1" applyBorder="1" applyAlignment="1">
      <alignment horizontal="center" vertical="center" wrapText="1"/>
    </xf>
    <xf numFmtId="165" fontId="12" fillId="3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3" fontId="12" fillId="5" borderId="4" xfId="0" applyNumberFormat="1" applyFont="1" applyFill="1" applyBorder="1" applyAlignment="1">
      <alignment horizontal="center" vertical="center" wrapText="1"/>
    </xf>
    <xf numFmtId="165" fontId="15" fillId="6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65" fontId="12" fillId="5" borderId="4" xfId="0" applyNumberFormat="1" applyFont="1" applyFill="1" applyBorder="1" applyAlignment="1">
      <alignment horizontal="center" vertical="center" wrapText="1"/>
    </xf>
    <xf numFmtId="164" fontId="12" fillId="5" borderId="4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3" fontId="15" fillId="6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164" fontId="15" fillId="6" borderId="1" xfId="0" applyNumberFormat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 wrapText="1"/>
    </xf>
    <xf numFmtId="166" fontId="15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88888"/>
      <rgbColor rgb="FF9999FF"/>
      <rgbColor rgb="FF993366"/>
      <rgbColor rgb="FFFFFACD"/>
      <rgbColor rgb="FFCCFFFF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AA520"/>
      <rgbColor rgb="FFFF6600"/>
      <rgbColor rgb="FF555555"/>
      <rgbColor rgb="FFAAAAAA"/>
      <rgbColor rgb="FF1E2761"/>
      <rgbColor rgb="FF339966"/>
      <rgbColor rgb="FF003300"/>
      <rgbColor rgb="FF333300"/>
      <rgbColor rgb="FFC0392B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4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BF430C-CEBB-4A55-BCA1-8C6D7333574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d4c2f9b-5f0e-4ee4-9839-9805e4e7499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B1:C25"/>
  <sheetViews>
    <sheetView showGridLines="0" tabSelected="1" zoomScaleNormal="100" workbookViewId="0">
      <selection activeCell="J19" sqref="J19"/>
    </sheetView>
  </sheetViews>
  <sheetFormatPr defaultColWidth="8.7109375" defaultRowHeight="15" x14ac:dyDescent="0.25"/>
  <cols>
    <col min="1" max="1" width="4" customWidth="1"/>
    <col min="2" max="2" width="28" customWidth="1"/>
    <col min="3" max="3" width="62" customWidth="1"/>
  </cols>
  <sheetData>
    <row r="1" spans="2:3" ht="36" customHeight="1" x14ac:dyDescent="0.25">
      <c r="B1" s="13" t="s">
        <v>0</v>
      </c>
      <c r="C1" s="13"/>
    </row>
    <row r="2" spans="2:3" ht="24" customHeight="1" x14ac:dyDescent="0.25">
      <c r="B2" s="12" t="s">
        <v>136</v>
      </c>
      <c r="C2" s="12"/>
    </row>
    <row r="4" spans="2:3" ht="19.5" customHeight="1" x14ac:dyDescent="0.25">
      <c r="B4" s="11" t="s">
        <v>1</v>
      </c>
      <c r="C4" s="11"/>
    </row>
    <row r="5" spans="2:3" ht="18" customHeight="1" x14ac:dyDescent="0.25">
      <c r="B5" s="16" t="s">
        <v>5</v>
      </c>
      <c r="C5" s="14" t="s">
        <v>2</v>
      </c>
    </row>
    <row r="6" spans="2:3" ht="18" customHeight="1" x14ac:dyDescent="0.25">
      <c r="B6" s="15" t="s">
        <v>3</v>
      </c>
      <c r="C6" s="14" t="s">
        <v>4</v>
      </c>
    </row>
    <row r="7" spans="2:3" ht="18" customHeight="1" x14ac:dyDescent="0.25">
      <c r="B7" s="16" t="s">
        <v>5</v>
      </c>
      <c r="C7" s="14" t="s">
        <v>6</v>
      </c>
    </row>
    <row r="8" spans="2:3" ht="18" customHeight="1" x14ac:dyDescent="0.25">
      <c r="B8" s="17" t="s">
        <v>7</v>
      </c>
      <c r="C8" s="14" t="s">
        <v>8</v>
      </c>
    </row>
    <row r="10" spans="2:3" ht="19.5" customHeight="1" x14ac:dyDescent="0.25">
      <c r="B10" s="10" t="s">
        <v>9</v>
      </c>
      <c r="C10" s="10"/>
    </row>
    <row r="11" spans="2:3" ht="18" customHeight="1" x14ac:dyDescent="0.25">
      <c r="B11" s="9" t="s">
        <v>10</v>
      </c>
      <c r="C11" s="9"/>
    </row>
    <row r="12" spans="2:3" ht="18" customHeight="1" x14ac:dyDescent="0.25">
      <c r="B12" s="9" t="s">
        <v>11</v>
      </c>
      <c r="C12" s="9"/>
    </row>
    <row r="13" spans="2:3" ht="18" customHeight="1" x14ac:dyDescent="0.25">
      <c r="B13" s="9" t="s">
        <v>12</v>
      </c>
      <c r="C13" s="9"/>
    </row>
    <row r="14" spans="2:3" ht="18" customHeight="1" x14ac:dyDescent="0.25">
      <c r="B14" s="9" t="s">
        <v>13</v>
      </c>
      <c r="C14" s="9"/>
    </row>
    <row r="15" spans="2:3" ht="18" customHeight="1" x14ac:dyDescent="0.25">
      <c r="B15" s="9" t="s">
        <v>14</v>
      </c>
      <c r="C15" s="9"/>
    </row>
    <row r="17" spans="2:3" ht="19.5" customHeight="1" x14ac:dyDescent="0.25">
      <c r="B17" s="10" t="s">
        <v>15</v>
      </c>
      <c r="C17" s="10"/>
    </row>
    <row r="18" spans="2:3" ht="18" customHeight="1" x14ac:dyDescent="0.25">
      <c r="B18" s="15" t="s">
        <v>16</v>
      </c>
      <c r="C18" s="14" t="s">
        <v>17</v>
      </c>
    </row>
    <row r="19" spans="2:3" ht="18" customHeight="1" x14ac:dyDescent="0.25">
      <c r="B19" s="15" t="s">
        <v>18</v>
      </c>
      <c r="C19" s="14" t="s">
        <v>137</v>
      </c>
    </row>
    <row r="20" spans="2:3" ht="18" customHeight="1" x14ac:dyDescent="0.25">
      <c r="B20" s="15" t="s">
        <v>19</v>
      </c>
      <c r="C20" s="14" t="s">
        <v>20</v>
      </c>
    </row>
    <row r="21" spans="2:3" ht="18" customHeight="1" x14ac:dyDescent="0.25">
      <c r="B21" s="15" t="s">
        <v>21</v>
      </c>
      <c r="C21" s="14" t="s">
        <v>22</v>
      </c>
    </row>
    <row r="22" spans="2:3" ht="18" customHeight="1" x14ac:dyDescent="0.25">
      <c r="B22" s="15" t="s">
        <v>23</v>
      </c>
      <c r="C22" s="14" t="s">
        <v>24</v>
      </c>
    </row>
    <row r="23" spans="2:3" ht="18" customHeight="1" x14ac:dyDescent="0.25">
      <c r="B23" s="15" t="s">
        <v>25</v>
      </c>
      <c r="C23" s="14" t="s">
        <v>26</v>
      </c>
    </row>
    <row r="25" spans="2:3" ht="15" customHeight="1" x14ac:dyDescent="0.25">
      <c r="B25" s="8"/>
      <c r="C25" s="8"/>
    </row>
  </sheetData>
  <mergeCells count="11">
    <mergeCell ref="B25:C25"/>
    <mergeCell ref="B12:C12"/>
    <mergeCell ref="B13:C13"/>
    <mergeCell ref="B14:C14"/>
    <mergeCell ref="B15:C15"/>
    <mergeCell ref="B17:C17"/>
    <mergeCell ref="B1:C1"/>
    <mergeCell ref="B2:C2"/>
    <mergeCell ref="B4:C4"/>
    <mergeCell ref="B10:C10"/>
    <mergeCell ref="B11:C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ADCFC"/>
  </sheetPr>
  <dimension ref="B1:E23"/>
  <sheetViews>
    <sheetView showGridLines="0" zoomScaleNormal="100" workbookViewId="0">
      <selection activeCell="B23" sqref="B23:E23"/>
    </sheetView>
  </sheetViews>
  <sheetFormatPr defaultColWidth="8.7109375" defaultRowHeight="15" x14ac:dyDescent="0.25"/>
  <cols>
    <col min="1" max="1" width="4" customWidth="1"/>
    <col min="2" max="2" width="38" customWidth="1"/>
    <col min="3" max="4" width="20" customWidth="1"/>
    <col min="5" max="5" width="30" customWidth="1"/>
  </cols>
  <sheetData>
    <row r="1" spans="2:5" ht="31.5" customHeight="1" x14ac:dyDescent="0.25">
      <c r="B1" s="7" t="s">
        <v>138</v>
      </c>
      <c r="C1" s="7"/>
      <c r="D1" s="7"/>
      <c r="E1" s="7"/>
    </row>
    <row r="2" spans="2:5" ht="18" customHeight="1" x14ac:dyDescent="0.25">
      <c r="B2" s="6" t="s">
        <v>27</v>
      </c>
      <c r="C2" s="6"/>
      <c r="D2" s="6"/>
      <c r="E2" s="6"/>
    </row>
    <row r="4" spans="2:5" ht="21.75" customHeight="1" x14ac:dyDescent="0.25">
      <c r="B4" s="5" t="s">
        <v>28</v>
      </c>
      <c r="C4" s="5"/>
      <c r="D4" s="5"/>
      <c r="E4" s="5"/>
    </row>
    <row r="5" spans="2:5" ht="18" customHeight="1" x14ac:dyDescent="0.25">
      <c r="B5" s="19" t="s">
        <v>29</v>
      </c>
      <c r="C5" s="20">
        <v>100000</v>
      </c>
      <c r="D5" s="8" t="s">
        <v>30</v>
      </c>
      <c r="E5" s="8"/>
    </row>
    <row r="6" spans="2:5" ht="18" customHeight="1" x14ac:dyDescent="0.25">
      <c r="B6" s="19" t="s">
        <v>31</v>
      </c>
      <c r="C6" s="21">
        <v>1</v>
      </c>
      <c r="D6" s="8" t="s">
        <v>32</v>
      </c>
      <c r="E6" s="8"/>
    </row>
    <row r="8" spans="2:5" ht="21.75" customHeight="1" x14ac:dyDescent="0.25">
      <c r="B8" s="5" t="s">
        <v>33</v>
      </c>
      <c r="C8" s="5"/>
      <c r="D8" s="5"/>
      <c r="E8" s="5"/>
    </row>
    <row r="9" spans="2:5" ht="18" customHeight="1" x14ac:dyDescent="0.25">
      <c r="B9" s="19" t="s">
        <v>34</v>
      </c>
      <c r="C9" s="22">
        <v>60000</v>
      </c>
      <c r="D9" s="8" t="s">
        <v>35</v>
      </c>
      <c r="E9" s="8"/>
    </row>
    <row r="10" spans="2:5" ht="18" customHeight="1" x14ac:dyDescent="0.25">
      <c r="B10" s="19" t="s">
        <v>36</v>
      </c>
      <c r="C10" s="21">
        <v>18</v>
      </c>
      <c r="D10" s="8" t="s">
        <v>37</v>
      </c>
      <c r="E10" s="8"/>
    </row>
    <row r="11" spans="2:5" ht="18" customHeight="1" x14ac:dyDescent="0.25">
      <c r="B11" s="19" t="s">
        <v>38</v>
      </c>
      <c r="C11" s="20">
        <v>4000</v>
      </c>
      <c r="D11" s="8" t="s">
        <v>39</v>
      </c>
      <c r="E11" s="8"/>
    </row>
    <row r="12" spans="2:5" ht="18" customHeight="1" x14ac:dyDescent="0.25">
      <c r="B12" s="19" t="s">
        <v>40</v>
      </c>
      <c r="C12" s="21">
        <v>22</v>
      </c>
      <c r="D12" s="8" t="s">
        <v>41</v>
      </c>
      <c r="E12" s="8"/>
    </row>
    <row r="14" spans="2:5" ht="21.75" customHeight="1" x14ac:dyDescent="0.25">
      <c r="B14" s="5" t="s">
        <v>42</v>
      </c>
      <c r="C14" s="5"/>
      <c r="D14" s="5"/>
      <c r="E14" s="5"/>
    </row>
    <row r="15" spans="2:5" ht="18" customHeight="1" x14ac:dyDescent="0.25">
      <c r="B15" s="19" t="s">
        <v>43</v>
      </c>
      <c r="C15" s="22">
        <v>485000</v>
      </c>
      <c r="D15" s="8" t="s">
        <v>44</v>
      </c>
      <c r="E15" s="8"/>
    </row>
    <row r="17" spans="2:5" ht="21.75" customHeight="1" x14ac:dyDescent="0.25">
      <c r="B17" s="4" t="s">
        <v>45</v>
      </c>
      <c r="C17" s="4"/>
      <c r="D17" s="4"/>
      <c r="E17" s="4"/>
    </row>
    <row r="18" spans="2:5" ht="18" customHeight="1" x14ac:dyDescent="0.25">
      <c r="B18" s="19" t="s">
        <v>46</v>
      </c>
      <c r="C18" s="20">
        <v>5000</v>
      </c>
      <c r="D18" s="8" t="s">
        <v>47</v>
      </c>
      <c r="E18" s="8"/>
    </row>
    <row r="19" spans="2:5" ht="18" customHeight="1" x14ac:dyDescent="0.25">
      <c r="B19" s="19" t="s">
        <v>48</v>
      </c>
      <c r="C19" s="21">
        <v>25</v>
      </c>
      <c r="D19" s="8" t="s">
        <v>49</v>
      </c>
      <c r="E19" s="8"/>
    </row>
    <row r="20" spans="2:5" ht="18" customHeight="1" x14ac:dyDescent="0.25">
      <c r="B20" s="19" t="s">
        <v>50</v>
      </c>
      <c r="C20" s="20">
        <v>2000</v>
      </c>
      <c r="D20" s="8" t="s">
        <v>51</v>
      </c>
      <c r="E20" s="8"/>
    </row>
    <row r="21" spans="2:5" ht="18" customHeight="1" x14ac:dyDescent="0.25">
      <c r="B21" s="19" t="s">
        <v>52</v>
      </c>
      <c r="C21" s="21">
        <v>23</v>
      </c>
      <c r="D21" s="8" t="s">
        <v>53</v>
      </c>
      <c r="E21" s="8"/>
    </row>
    <row r="23" spans="2:5" ht="15" customHeight="1" x14ac:dyDescent="0.25">
      <c r="B23" s="8" t="s">
        <v>139</v>
      </c>
      <c r="C23" s="8"/>
      <c r="D23" s="8"/>
      <c r="E23" s="8"/>
    </row>
  </sheetData>
  <mergeCells count="18">
    <mergeCell ref="D20:E20"/>
    <mergeCell ref="D21:E21"/>
    <mergeCell ref="B23:E23"/>
    <mergeCell ref="B14:E14"/>
    <mergeCell ref="D15:E15"/>
    <mergeCell ref="B17:E17"/>
    <mergeCell ref="D18:E18"/>
    <mergeCell ref="D19:E19"/>
    <mergeCell ref="B8:E8"/>
    <mergeCell ref="D9:E9"/>
    <mergeCell ref="D10:E10"/>
    <mergeCell ref="D11:E11"/>
    <mergeCell ref="D12:E12"/>
    <mergeCell ref="B1:E1"/>
    <mergeCell ref="B2:E2"/>
    <mergeCell ref="B4:E4"/>
    <mergeCell ref="D5:E5"/>
    <mergeCell ref="D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A520"/>
  </sheetPr>
  <dimension ref="B1:D23"/>
  <sheetViews>
    <sheetView showGridLines="0" zoomScaleNormal="100" workbookViewId="0">
      <selection activeCell="C9" sqref="C9"/>
    </sheetView>
  </sheetViews>
  <sheetFormatPr defaultColWidth="8.7109375" defaultRowHeight="15" x14ac:dyDescent="0.25"/>
  <cols>
    <col min="1" max="1" width="4" customWidth="1"/>
    <col min="2" max="2" width="40" customWidth="1"/>
    <col min="3" max="3" width="18" customWidth="1"/>
    <col min="4" max="4" width="52.5703125" customWidth="1"/>
  </cols>
  <sheetData>
    <row r="1" spans="2:4" ht="31.5" customHeight="1" x14ac:dyDescent="0.25">
      <c r="B1" s="7" t="s">
        <v>54</v>
      </c>
      <c r="C1" s="7"/>
      <c r="D1" s="7"/>
    </row>
    <row r="2" spans="2:4" ht="18" customHeight="1" x14ac:dyDescent="0.25">
      <c r="B2" s="6" t="s">
        <v>140</v>
      </c>
      <c r="C2" s="6"/>
      <c r="D2" s="6"/>
    </row>
    <row r="4" spans="2:4" ht="21.75" customHeight="1" x14ac:dyDescent="0.25">
      <c r="B4" s="5" t="s">
        <v>55</v>
      </c>
      <c r="C4" s="5"/>
      <c r="D4" s="5"/>
    </row>
    <row r="5" spans="2:4" ht="18" customHeight="1" x14ac:dyDescent="0.25">
      <c r="B5" s="23" t="s">
        <v>56</v>
      </c>
      <c r="C5" s="23" t="s">
        <v>57</v>
      </c>
      <c r="D5" s="23" t="s">
        <v>58</v>
      </c>
    </row>
    <row r="6" spans="2:4" ht="18" customHeight="1" x14ac:dyDescent="0.25">
      <c r="B6" s="24" t="s">
        <v>29</v>
      </c>
      <c r="C6" s="20">
        <f>'Company Data'!C5</f>
        <v>100000</v>
      </c>
      <c r="D6" s="18" t="s">
        <v>59</v>
      </c>
    </row>
    <row r="7" spans="2:4" ht="18" customHeight="1" x14ac:dyDescent="0.25">
      <c r="B7" s="24" t="s">
        <v>60</v>
      </c>
      <c r="C7" s="20">
        <f>'Company Data'!C9</f>
        <v>60000</v>
      </c>
      <c r="D7" s="18" t="s">
        <v>61</v>
      </c>
    </row>
    <row r="8" spans="2:4" ht="18" customHeight="1" x14ac:dyDescent="0.25">
      <c r="B8" s="24" t="s">
        <v>62</v>
      </c>
      <c r="C8" s="20">
        <f>'Company Data'!C11</f>
        <v>4000</v>
      </c>
      <c r="D8" s="18" t="s">
        <v>63</v>
      </c>
    </row>
    <row r="9" spans="2:4" ht="18" customHeight="1" x14ac:dyDescent="0.25">
      <c r="B9" s="19" t="s">
        <v>64</v>
      </c>
      <c r="C9" s="25"/>
      <c r="D9" s="18" t="s">
        <v>65</v>
      </c>
    </row>
    <row r="10" spans="2:4" ht="18" customHeight="1" x14ac:dyDescent="0.25">
      <c r="B10" s="19" t="s">
        <v>66</v>
      </c>
      <c r="C10" s="25"/>
      <c r="D10" s="18" t="s">
        <v>67</v>
      </c>
    </row>
    <row r="12" spans="2:4" ht="21.75" customHeight="1" x14ac:dyDescent="0.25">
      <c r="B12" s="5" t="s">
        <v>68</v>
      </c>
      <c r="C12" s="5"/>
      <c r="D12" s="5"/>
    </row>
    <row r="13" spans="2:4" ht="18" customHeight="1" x14ac:dyDescent="0.25">
      <c r="B13" s="23" t="s">
        <v>69</v>
      </c>
      <c r="C13" s="23" t="s">
        <v>70</v>
      </c>
      <c r="D13" s="23" t="s">
        <v>71</v>
      </c>
    </row>
    <row r="14" spans="2:4" ht="18" customHeight="1" x14ac:dyDescent="0.25">
      <c r="B14" s="24" t="s">
        <v>72</v>
      </c>
      <c r="C14" s="26">
        <f>'Company Data'!C9*'Company Data'!C6</f>
        <v>60000</v>
      </c>
      <c r="D14" s="18" t="s">
        <v>73</v>
      </c>
    </row>
    <row r="15" spans="2:4" ht="18" customHeight="1" x14ac:dyDescent="0.25">
      <c r="B15" s="24" t="s">
        <v>74</v>
      </c>
      <c r="C15" s="26">
        <f>('Company Data'!C10-'Company Data'!C6)*'Company Data'!C9</f>
        <v>1020000</v>
      </c>
      <c r="D15" s="18" t="s">
        <v>75</v>
      </c>
    </row>
    <row r="16" spans="2:4" ht="18" customHeight="1" x14ac:dyDescent="0.25">
      <c r="B16" s="24" t="s">
        <v>76</v>
      </c>
      <c r="C16" s="26">
        <f>'Company Data'!C15</f>
        <v>485000</v>
      </c>
      <c r="D16" s="18" t="s">
        <v>77</v>
      </c>
    </row>
    <row r="17" spans="2:4" ht="18" customHeight="1" x14ac:dyDescent="0.25">
      <c r="B17" s="27" t="s">
        <v>78</v>
      </c>
      <c r="C17" s="26">
        <f>-('Company Data'!C11*'Company Data'!C12)</f>
        <v>-88000</v>
      </c>
      <c r="D17" s="18" t="s">
        <v>79</v>
      </c>
    </row>
    <row r="18" spans="2:4" ht="18" customHeight="1" x14ac:dyDescent="0.25">
      <c r="B18" s="19" t="s">
        <v>80</v>
      </c>
      <c r="C18" s="28"/>
      <c r="D18" s="18" t="s">
        <v>81</v>
      </c>
    </row>
    <row r="20" spans="2:4" ht="21.75" customHeight="1" x14ac:dyDescent="0.25">
      <c r="B20" s="4" t="s">
        <v>82</v>
      </c>
      <c r="C20" s="4"/>
      <c r="D20" s="4"/>
    </row>
    <row r="21" spans="2:4" ht="18" customHeight="1" x14ac:dyDescent="0.25">
      <c r="B21" s="19" t="s">
        <v>83</v>
      </c>
      <c r="C21" s="29"/>
      <c r="D21" s="18" t="s">
        <v>84</v>
      </c>
    </row>
    <row r="23" spans="2:4" ht="18" customHeight="1" x14ac:dyDescent="0.25">
      <c r="B23" s="3" t="s">
        <v>85</v>
      </c>
      <c r="C23" s="3"/>
      <c r="D23" s="3"/>
    </row>
  </sheetData>
  <mergeCells count="6">
    <mergeCell ref="B23:D23"/>
    <mergeCell ref="B1:D1"/>
    <mergeCell ref="B2:D2"/>
    <mergeCell ref="B4:D4"/>
    <mergeCell ref="B12:D12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AA520"/>
  </sheetPr>
  <dimension ref="B1:D23"/>
  <sheetViews>
    <sheetView showGridLines="0" zoomScaleNormal="100" workbookViewId="0">
      <selection activeCell="C21" sqref="C21"/>
    </sheetView>
  </sheetViews>
  <sheetFormatPr defaultColWidth="8.7109375" defaultRowHeight="15" x14ac:dyDescent="0.25"/>
  <cols>
    <col min="1" max="1" width="4" customWidth="1"/>
    <col min="2" max="2" width="40" customWidth="1"/>
    <col min="3" max="3" width="18" customWidth="1"/>
    <col min="4" max="4" width="41" customWidth="1"/>
  </cols>
  <sheetData>
    <row r="1" spans="2:4" ht="31.5" customHeight="1" x14ac:dyDescent="0.25">
      <c r="B1" s="7" t="s">
        <v>86</v>
      </c>
      <c r="C1" s="7"/>
      <c r="D1" s="7"/>
    </row>
    <row r="2" spans="2:4" ht="18" customHeight="1" x14ac:dyDescent="0.25">
      <c r="B2" s="6" t="s">
        <v>141</v>
      </c>
      <c r="C2" s="6"/>
      <c r="D2" s="6"/>
    </row>
    <row r="4" spans="2:4" ht="21.75" customHeight="1" x14ac:dyDescent="0.25">
      <c r="B4" s="5" t="s">
        <v>87</v>
      </c>
      <c r="C4" s="5"/>
      <c r="D4" s="5"/>
    </row>
    <row r="5" spans="2:4" ht="18" customHeight="1" x14ac:dyDescent="0.25">
      <c r="B5" s="23" t="s">
        <v>56</v>
      </c>
      <c r="C5" s="23" t="s">
        <v>57</v>
      </c>
      <c r="D5" s="23" t="s">
        <v>58</v>
      </c>
    </row>
    <row r="6" spans="2:4" ht="18" customHeight="1" x14ac:dyDescent="0.25">
      <c r="B6" s="24" t="s">
        <v>88</v>
      </c>
      <c r="C6" s="20">
        <f>'Company Data'!C9</f>
        <v>60000</v>
      </c>
      <c r="D6" s="18" t="s">
        <v>89</v>
      </c>
    </row>
    <row r="7" spans="2:4" ht="18" customHeight="1" x14ac:dyDescent="0.25">
      <c r="B7" s="24" t="s">
        <v>90</v>
      </c>
      <c r="C7" s="20">
        <f>'Company Data'!C18</f>
        <v>5000</v>
      </c>
      <c r="D7" s="18" t="s">
        <v>91</v>
      </c>
    </row>
    <row r="8" spans="2:4" ht="18" customHeight="1" x14ac:dyDescent="0.25">
      <c r="B8" s="19" t="s">
        <v>92</v>
      </c>
      <c r="C8" s="25"/>
      <c r="D8" s="18" t="s">
        <v>93</v>
      </c>
    </row>
    <row r="9" spans="2:4" ht="18" customHeight="1" x14ac:dyDescent="0.25">
      <c r="B9" s="24" t="s">
        <v>62</v>
      </c>
      <c r="C9" s="20">
        <f>'Company Data'!C11</f>
        <v>4000</v>
      </c>
      <c r="D9" s="18" t="s">
        <v>94</v>
      </c>
    </row>
    <row r="10" spans="2:4" ht="18" customHeight="1" x14ac:dyDescent="0.25">
      <c r="B10" s="19" t="s">
        <v>95</v>
      </c>
      <c r="C10" s="25"/>
      <c r="D10" s="18" t="s">
        <v>96</v>
      </c>
    </row>
    <row r="12" spans="2:4" ht="21.75" customHeight="1" x14ac:dyDescent="0.25">
      <c r="B12" s="5" t="s">
        <v>97</v>
      </c>
      <c r="C12" s="5"/>
      <c r="D12" s="5"/>
    </row>
    <row r="13" spans="2:4" ht="18" customHeight="1" x14ac:dyDescent="0.25">
      <c r="B13" s="23" t="s">
        <v>69</v>
      </c>
      <c r="C13" s="23" t="s">
        <v>70</v>
      </c>
      <c r="D13" s="23" t="s">
        <v>71</v>
      </c>
    </row>
    <row r="14" spans="2:4" ht="18" customHeight="1" x14ac:dyDescent="0.25">
      <c r="B14" s="24" t="s">
        <v>72</v>
      </c>
      <c r="C14" s="26">
        <f>C8*'Company Data'!C6</f>
        <v>0</v>
      </c>
      <c r="D14" s="18" t="s">
        <v>98</v>
      </c>
    </row>
    <row r="15" spans="2:4" ht="18" customHeight="1" x14ac:dyDescent="0.25">
      <c r="B15" s="24" t="s">
        <v>74</v>
      </c>
      <c r="C15" s="26">
        <f>('Company Data'!C10-'Company Data'!C6)*'Company Data'!C9+('Company Data'!C19-'Company Data'!C6)*'Company Data'!C18</f>
        <v>1140000</v>
      </c>
      <c r="D15" s="18" t="s">
        <v>99</v>
      </c>
    </row>
    <row r="16" spans="2:4" ht="18" customHeight="1" x14ac:dyDescent="0.25">
      <c r="B16" s="24" t="s">
        <v>76</v>
      </c>
      <c r="C16" s="26">
        <f>'Company Data'!C15</f>
        <v>485000</v>
      </c>
      <c r="D16" s="18" t="s">
        <v>94</v>
      </c>
    </row>
    <row r="17" spans="2:4" ht="18" customHeight="1" x14ac:dyDescent="0.25">
      <c r="B17" s="24" t="s">
        <v>78</v>
      </c>
      <c r="C17" s="26">
        <f>-('Company Data'!C11*'Company Data'!C12)</f>
        <v>-88000</v>
      </c>
      <c r="D17" s="18" t="s">
        <v>94</v>
      </c>
    </row>
    <row r="18" spans="2:4" ht="18" customHeight="1" x14ac:dyDescent="0.25">
      <c r="B18" s="19" t="s">
        <v>100</v>
      </c>
      <c r="C18" s="28"/>
      <c r="D18" s="18" t="s">
        <v>101</v>
      </c>
    </row>
    <row r="20" spans="2:4" ht="21.75" customHeight="1" x14ac:dyDescent="0.25">
      <c r="B20" s="4" t="s">
        <v>102</v>
      </c>
      <c r="C20" s="4"/>
      <c r="D20" s="4"/>
    </row>
    <row r="21" spans="2:4" ht="18" customHeight="1" x14ac:dyDescent="0.25">
      <c r="B21" s="19" t="s">
        <v>103</v>
      </c>
      <c r="C21" s="36"/>
      <c r="D21" s="18" t="s">
        <v>104</v>
      </c>
    </row>
    <row r="23" spans="2:4" ht="18" customHeight="1" x14ac:dyDescent="0.25">
      <c r="B23" s="2" t="s">
        <v>105</v>
      </c>
      <c r="C23" s="2"/>
      <c r="D23" s="2"/>
    </row>
  </sheetData>
  <mergeCells count="6">
    <mergeCell ref="B23:D23"/>
    <mergeCell ref="B1:D1"/>
    <mergeCell ref="B2:D2"/>
    <mergeCell ref="B4:D4"/>
    <mergeCell ref="B12:D12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AA520"/>
  </sheetPr>
  <dimension ref="B1:D23"/>
  <sheetViews>
    <sheetView showGridLines="0" zoomScaleNormal="100" workbookViewId="0">
      <selection activeCell="C28" sqref="C28"/>
    </sheetView>
  </sheetViews>
  <sheetFormatPr defaultColWidth="8.7109375" defaultRowHeight="15" x14ac:dyDescent="0.25"/>
  <cols>
    <col min="1" max="1" width="4" customWidth="1"/>
    <col min="2" max="2" width="40" customWidth="1"/>
    <col min="3" max="3" width="28.28515625" customWidth="1"/>
    <col min="4" max="4" width="42.5703125" customWidth="1"/>
  </cols>
  <sheetData>
    <row r="1" spans="2:4" ht="31.5" customHeight="1" x14ac:dyDescent="0.25">
      <c r="B1" s="7" t="s">
        <v>106</v>
      </c>
      <c r="C1" s="7"/>
      <c r="D1" s="7"/>
    </row>
    <row r="2" spans="2:4" ht="18" customHeight="1" x14ac:dyDescent="0.25">
      <c r="B2" s="6" t="s">
        <v>142</v>
      </c>
      <c r="C2" s="6"/>
      <c r="D2" s="6"/>
    </row>
    <row r="4" spans="2:4" ht="21.75" customHeight="1" x14ac:dyDescent="0.25">
      <c r="B4" s="5" t="s">
        <v>107</v>
      </c>
      <c r="C4" s="5"/>
      <c r="D4" s="5"/>
    </row>
    <row r="5" spans="2:4" ht="15" customHeight="1" x14ac:dyDescent="0.25">
      <c r="B5" s="23" t="s">
        <v>56</v>
      </c>
      <c r="C5" s="23" t="s">
        <v>57</v>
      </c>
      <c r="D5" s="23" t="s">
        <v>58</v>
      </c>
    </row>
    <row r="6" spans="2:4" ht="18" customHeight="1" x14ac:dyDescent="0.25">
      <c r="B6" s="24" t="s">
        <v>60</v>
      </c>
      <c r="C6" s="20">
        <f>'Company Data'!C9</f>
        <v>60000</v>
      </c>
      <c r="D6" s="18" t="s">
        <v>108</v>
      </c>
    </row>
    <row r="7" spans="2:4" ht="18" customHeight="1" x14ac:dyDescent="0.25">
      <c r="B7" s="24" t="s">
        <v>109</v>
      </c>
      <c r="C7" s="20">
        <f>'Company Data'!C11</f>
        <v>4000</v>
      </c>
      <c r="D7" s="18" t="s">
        <v>89</v>
      </c>
    </row>
    <row r="8" spans="2:4" ht="18" customHeight="1" x14ac:dyDescent="0.25">
      <c r="B8" s="24" t="s">
        <v>110</v>
      </c>
      <c r="C8" s="20">
        <f>'Company Data'!C20</f>
        <v>2000</v>
      </c>
      <c r="D8" s="18" t="s">
        <v>111</v>
      </c>
    </row>
    <row r="9" spans="2:4" ht="18" customHeight="1" x14ac:dyDescent="0.25">
      <c r="B9" s="19" t="s">
        <v>112</v>
      </c>
      <c r="C9" s="25"/>
      <c r="D9" s="18" t="s">
        <v>113</v>
      </c>
    </row>
    <row r="10" spans="2:4" ht="18" customHeight="1" x14ac:dyDescent="0.25">
      <c r="B10" s="19" t="s">
        <v>95</v>
      </c>
      <c r="C10" s="25"/>
      <c r="D10" s="18" t="s">
        <v>114</v>
      </c>
    </row>
    <row r="12" spans="2:4" ht="21.75" customHeight="1" x14ac:dyDescent="0.25">
      <c r="B12" s="5" t="s">
        <v>115</v>
      </c>
      <c r="C12" s="5"/>
      <c r="D12" s="5"/>
    </row>
    <row r="13" spans="2:4" ht="15" customHeight="1" x14ac:dyDescent="0.25">
      <c r="B13" s="23" t="s">
        <v>69</v>
      </c>
      <c r="C13" s="23" t="s">
        <v>70</v>
      </c>
      <c r="D13" s="23" t="s">
        <v>71</v>
      </c>
    </row>
    <row r="14" spans="2:4" ht="18" customHeight="1" x14ac:dyDescent="0.25">
      <c r="B14" s="24" t="s">
        <v>72</v>
      </c>
      <c r="C14" s="26">
        <f>'Company Data'!C9*'Company Data'!C6</f>
        <v>60000</v>
      </c>
      <c r="D14" s="18" t="s">
        <v>116</v>
      </c>
    </row>
    <row r="15" spans="2:4" ht="18" customHeight="1" x14ac:dyDescent="0.25">
      <c r="B15" s="24" t="s">
        <v>74</v>
      </c>
      <c r="C15" s="26">
        <f>('Company Data'!C10-'Company Data'!C6)*'Company Data'!C9</f>
        <v>1020000</v>
      </c>
      <c r="D15" s="18" t="s">
        <v>108</v>
      </c>
    </row>
    <row r="16" spans="2:4" ht="18" customHeight="1" x14ac:dyDescent="0.25">
      <c r="B16" s="24" t="s">
        <v>76</v>
      </c>
      <c r="C16" s="26">
        <f>'Company Data'!C15</f>
        <v>485000</v>
      </c>
      <c r="D16" s="18" t="s">
        <v>94</v>
      </c>
    </row>
    <row r="17" spans="2:4" ht="18" customHeight="1" x14ac:dyDescent="0.25">
      <c r="B17" s="24" t="s">
        <v>78</v>
      </c>
      <c r="C17" s="26">
        <f>-(C7*'Company Data'!C12+C8*'Company Data'!C21)</f>
        <v>-134000</v>
      </c>
      <c r="D17" s="18" t="s">
        <v>117</v>
      </c>
    </row>
    <row r="18" spans="2:4" ht="18" customHeight="1" x14ac:dyDescent="0.25">
      <c r="B18" s="19" t="s">
        <v>100</v>
      </c>
      <c r="C18" s="28"/>
      <c r="D18" s="18" t="s">
        <v>101</v>
      </c>
    </row>
    <row r="20" spans="2:4" ht="21.75" customHeight="1" x14ac:dyDescent="0.25">
      <c r="B20" s="4" t="s">
        <v>118</v>
      </c>
      <c r="C20" s="4"/>
      <c r="D20" s="4"/>
    </row>
    <row r="21" spans="2:4" ht="18" customHeight="1" x14ac:dyDescent="0.25">
      <c r="B21" s="19" t="s">
        <v>103</v>
      </c>
      <c r="C21" s="29"/>
      <c r="D21" s="18" t="s">
        <v>119</v>
      </c>
    </row>
    <row r="23" spans="2:4" ht="18" customHeight="1" x14ac:dyDescent="0.25">
      <c r="B23" s="2" t="s">
        <v>120</v>
      </c>
      <c r="C23" s="2"/>
      <c r="D23" s="2"/>
    </row>
  </sheetData>
  <mergeCells count="6">
    <mergeCell ref="B23:D23"/>
    <mergeCell ref="B1:D1"/>
    <mergeCell ref="B2:D2"/>
    <mergeCell ref="B4:D4"/>
    <mergeCell ref="B12:D12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AA520"/>
  </sheetPr>
  <dimension ref="B1:F14"/>
  <sheetViews>
    <sheetView showGridLines="0" zoomScaleNormal="100" workbookViewId="0">
      <selection activeCell="C5" sqref="C5:E11"/>
    </sheetView>
  </sheetViews>
  <sheetFormatPr defaultColWidth="8.7109375" defaultRowHeight="15" x14ac:dyDescent="0.25"/>
  <cols>
    <col min="1" max="1" width="4" customWidth="1"/>
    <col min="2" max="2" width="30" customWidth="1"/>
    <col min="3" max="5" width="15" customWidth="1"/>
    <col min="6" max="6" width="74.28515625" customWidth="1"/>
  </cols>
  <sheetData>
    <row r="1" spans="2:6" ht="31.5" customHeight="1" x14ac:dyDescent="0.25">
      <c r="B1" s="7" t="s">
        <v>121</v>
      </c>
      <c r="C1" s="7"/>
      <c r="D1" s="7"/>
      <c r="E1" s="7"/>
      <c r="F1" s="7"/>
    </row>
    <row r="2" spans="2:6" ht="18" customHeight="1" x14ac:dyDescent="0.25">
      <c r="B2" s="6" t="s">
        <v>122</v>
      </c>
      <c r="C2" s="6"/>
      <c r="D2" s="6"/>
      <c r="E2" s="6"/>
      <c r="F2" s="6"/>
    </row>
    <row r="4" spans="2:6" ht="36" customHeight="1" x14ac:dyDescent="0.25">
      <c r="B4" s="30" t="s">
        <v>123</v>
      </c>
      <c r="C4" s="30" t="s">
        <v>124</v>
      </c>
      <c r="D4" s="30" t="s">
        <v>125</v>
      </c>
      <c r="E4" s="30" t="s">
        <v>126</v>
      </c>
      <c r="F4" s="30" t="s">
        <v>127</v>
      </c>
    </row>
    <row r="5" spans="2:6" ht="19.5" customHeight="1" x14ac:dyDescent="0.25">
      <c r="B5" s="31" t="s">
        <v>64</v>
      </c>
      <c r="C5" s="32"/>
      <c r="D5" s="32"/>
      <c r="E5" s="32"/>
      <c r="F5" s="33" t="s">
        <v>128</v>
      </c>
    </row>
    <row r="6" spans="2:6" ht="19.5" customHeight="1" x14ac:dyDescent="0.25">
      <c r="B6" s="31" t="s">
        <v>72</v>
      </c>
      <c r="C6" s="26"/>
      <c r="D6" s="26"/>
      <c r="E6" s="26"/>
      <c r="F6" s="33" t="s">
        <v>129</v>
      </c>
    </row>
    <row r="7" spans="2:6" ht="19.5" customHeight="1" x14ac:dyDescent="0.25">
      <c r="B7" s="31" t="s">
        <v>74</v>
      </c>
      <c r="C7" s="26"/>
      <c r="D7" s="26"/>
      <c r="E7" s="26"/>
      <c r="F7" s="33" t="s">
        <v>130</v>
      </c>
    </row>
    <row r="8" spans="2:6" ht="19.5" customHeight="1" x14ac:dyDescent="0.25">
      <c r="B8" s="31" t="s">
        <v>76</v>
      </c>
      <c r="C8" s="26"/>
      <c r="D8" s="26"/>
      <c r="E8" s="26"/>
      <c r="F8" s="33" t="s">
        <v>131</v>
      </c>
    </row>
    <row r="9" spans="2:6" ht="19.5" customHeight="1" x14ac:dyDescent="0.25">
      <c r="B9" s="31" t="s">
        <v>78</v>
      </c>
      <c r="C9" s="26"/>
      <c r="D9" s="26"/>
      <c r="E9" s="26"/>
      <c r="F9" s="33" t="s">
        <v>132</v>
      </c>
    </row>
    <row r="10" spans="2:6" ht="19.5" customHeight="1" x14ac:dyDescent="0.25">
      <c r="B10" s="34" t="s">
        <v>133</v>
      </c>
      <c r="C10" s="28"/>
      <c r="D10" s="28"/>
      <c r="E10" s="28"/>
      <c r="F10" s="33" t="s">
        <v>134</v>
      </c>
    </row>
    <row r="11" spans="2:6" ht="19.5" customHeight="1" x14ac:dyDescent="0.25">
      <c r="B11" s="31" t="s">
        <v>83</v>
      </c>
      <c r="C11" s="35"/>
      <c r="D11" s="37"/>
      <c r="E11" s="35"/>
      <c r="F11" s="33" t="s">
        <v>143</v>
      </c>
    </row>
    <row r="13" spans="2:6" ht="30" customHeight="1" x14ac:dyDescent="0.25">
      <c r="B13" s="1" t="s">
        <v>135</v>
      </c>
      <c r="C13" s="1"/>
      <c r="D13" s="1"/>
      <c r="E13" s="1"/>
      <c r="F13" s="1"/>
    </row>
    <row r="14" spans="2:6" ht="30" customHeight="1" x14ac:dyDescent="0.25">
      <c r="B14" s="1"/>
      <c r="C14" s="1"/>
      <c r="D14" s="1"/>
      <c r="E14" s="1"/>
      <c r="F14" s="1"/>
    </row>
  </sheetData>
  <mergeCells count="3">
    <mergeCell ref="B1:F1"/>
    <mergeCell ref="B2:F2"/>
    <mergeCell ref="B13:F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Company Data</vt:lpstr>
      <vt:lpstr>Part 1 - Base Analysis</vt:lpstr>
      <vt:lpstr>Part 2 - New Issuance</vt:lpstr>
      <vt:lpstr>Part 3 - Buyback</vt:lpstr>
      <vt:lpstr>Part 4 -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Bethany Evitts</cp:lastModifiedBy>
  <cp:revision>0</cp:revision>
  <dcterms:created xsi:type="dcterms:W3CDTF">2026-04-05T10:16:47Z</dcterms:created>
  <dcterms:modified xsi:type="dcterms:W3CDTF">2026-04-08T17:30:22Z</dcterms:modified>
  <dc:language>en-US</dc:language>
</cp:coreProperties>
</file>