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17"/>
  <workbookPr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14 - Intro to Corporate Finance/"/>
    </mc:Choice>
  </mc:AlternateContent>
  <xr:revisionPtr revIDLastSave="5" documentId="8_{88EF0AF7-8EAF-43BE-A397-B93106415BF0}" xr6:coauthVersionLast="47" xr6:coauthVersionMax="47" xr10:uidLastSave="{9ED70DC1-619F-45A4-843A-806C368611B3}"/>
  <bookViews>
    <workbookView xWindow="-120" yWindow="-120" windowWidth="29040" windowHeight="15720" xr2:uid="{00000000-000D-0000-FFFF-FFFF00000000}"/>
  </bookViews>
  <sheets>
    <sheet name="Instructions" sheetId="1" r:id="rId1"/>
    <sheet name="Inputs" sheetId="2" r:id="rId2"/>
    <sheet name="Projects" sheetId="3" r:id="rId3"/>
    <sheet name="Sheet1" sheetId="4" r:id="rId4"/>
    <sheet name="Sensitivity" sheetId="5" r:id="rId5"/>
    <sheet name="Dashboard" sheetId="6" r:id="rId6"/>
  </sheets>
  <definedNames>
    <definedName name="WACC">Inputs!$B$25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6" l="1"/>
  <c r="D22" i="6"/>
  <c r="D23" i="6"/>
  <c r="F3" i="6"/>
  <c r="I5" i="5" a="1"/>
  <c r="I5" i="5"/>
  <c r="J5" i="5" a="1"/>
  <c r="J5" i="5"/>
  <c r="K5" i="5" a="1"/>
  <c r="K5" i="5"/>
  <c r="L5" i="5" a="1"/>
  <c r="L5" i="5"/>
  <c r="M5" i="5" a="1"/>
  <c r="M5" i="5"/>
  <c r="N5" i="5" a="1"/>
  <c r="N5" i="5"/>
  <c r="E3" i="5"/>
  <c r="E4" i="5"/>
  <c r="E5" i="5"/>
  <c r="E6" i="5"/>
  <c r="E7" i="5"/>
  <c r="B3" i="5"/>
  <c r="B4" i="5"/>
  <c r="B5" i="5"/>
  <c r="B6" i="5"/>
  <c r="B7" i="5"/>
  <c r="AA2" i="3"/>
  <c r="B8" i="6" s="1"/>
  <c r="AA3" i="3"/>
  <c r="AA4" i="3"/>
  <c r="Z2" i="3"/>
  <c r="B7" i="6" s="1"/>
  <c r="Z3" i="3"/>
  <c r="Z4" i="3"/>
  <c r="AB2" i="3"/>
  <c r="B9" i="6" s="1"/>
  <c r="AB3" i="3"/>
  <c r="AB4" i="3"/>
  <c r="Y2" i="3"/>
  <c r="Y3" i="3"/>
  <c r="E22" i="6" s="1"/>
  <c r="Y4" i="3"/>
  <c r="E23" i="6" s="1"/>
  <c r="S2" i="3"/>
  <c r="S3" i="3"/>
  <c r="S4" i="3"/>
  <c r="R2" i="3"/>
  <c r="R3" i="3"/>
  <c r="R4" i="3"/>
  <c r="Q2" i="3"/>
  <c r="Q3" i="3"/>
  <c r="Q4" i="3"/>
  <c r="P2" i="3"/>
  <c r="P3" i="3"/>
  <c r="P4" i="3"/>
  <c r="O2" i="3"/>
  <c r="O3" i="3"/>
  <c r="O4" i="3"/>
  <c r="N2" i="3"/>
  <c r="N3" i="3"/>
  <c r="N4" i="3"/>
  <c r="H2" i="3"/>
  <c r="H3" i="3"/>
  <c r="H4" i="3"/>
  <c r="B6" i="2"/>
  <c r="B10" i="2"/>
  <c r="B14" i="2"/>
  <c r="B19" i="2"/>
  <c r="B21" i="2"/>
  <c r="B22" i="2"/>
  <c r="B23" i="2"/>
  <c r="B25" i="2"/>
  <c r="B6" i="6" l="1"/>
  <c r="E21" i="6"/>
  <c r="AE4" i="3"/>
  <c r="AE3" i="3"/>
  <c r="AE2" i="3"/>
  <c r="B12" i="6" s="1"/>
  <c r="I4" i="3"/>
  <c r="J4" i="3" s="1"/>
  <c r="K4" i="3" s="1"/>
  <c r="L4" i="3" s="1"/>
  <c r="M4" i="3" s="1"/>
  <c r="AC4" i="3" a="1"/>
  <c r="AC4" i="3" s="1"/>
  <c r="I3" i="3"/>
  <c r="J3" i="3" s="1"/>
  <c r="K3" i="3" s="1"/>
  <c r="L3" i="3" s="1"/>
  <c r="M3" i="3" s="1"/>
  <c r="AC3" i="3" a="1"/>
  <c r="AC3" i="3" s="1"/>
  <c r="I2" i="3"/>
  <c r="J2" i="3" s="1"/>
  <c r="K2" i="3" s="1"/>
  <c r="L2" i="3" s="1"/>
  <c r="M2" i="3" s="1"/>
  <c r="AC2" i="3" a="1"/>
  <c r="AC2" i="3" s="1"/>
  <c r="B10" i="6" s="1"/>
  <c r="T4" i="3"/>
  <c r="T3" i="3"/>
  <c r="T2" i="3"/>
  <c r="U2" i="3" l="1"/>
  <c r="V2" i="3" s="1"/>
  <c r="W2" i="3" s="1"/>
  <c r="X2" i="3" s="1"/>
  <c r="AD2" i="3" a="1"/>
  <c r="AD2" i="3" s="1"/>
  <c r="B11" i="6" s="1"/>
  <c r="U3" i="3"/>
  <c r="V3" i="3" s="1"/>
  <c r="W3" i="3" s="1"/>
  <c r="X3" i="3" s="1"/>
  <c r="AD3" i="3" a="1"/>
  <c r="AD3" i="3" s="1"/>
  <c r="U4" i="3"/>
  <c r="V4" i="3" s="1"/>
  <c r="W4" i="3" s="1"/>
  <c r="X4" i="3" s="1"/>
  <c r="AD4" i="3" a="1"/>
  <c r="AD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<sst xmlns="http://schemas.openxmlformats.org/spreadsheetml/2006/main" count="97" uniqueCount="87">
  <si>
    <t>📘 Corporate Project Decision Activity (WACC &amp; Metrics)</t>
  </si>
  <si>
    <t>Objective</t>
  </si>
  <si>
    <t>Use weighted average cost of capital (WACC) and project appraisal metrics (NPV, IRR, MIRR, Payback, Discounted Payback, Profitability Index) to decide which project(s) a corporation should undertake.</t>
  </si>
  <si>
    <t>What you will do</t>
  </si>
  <si>
    <t>1) Go to the 'Inputs' sheet and set capital structure &amp; rate assumptions (risk‑free rate, beta, market risk premium, tax rate, etc.).</t>
  </si>
  <si>
    <t>2) Verify the WACC that is calculated automatically.</t>
  </si>
  <si>
    <t>4) The sheet computes NPV, IRR, MIRR, Payback, Discounted Payback and PI for each project using the WACC as the hurdle rate.</t>
  </si>
  <si>
    <t>5) Decide which project(s) to accept. Then perform sensitivity checks: change beta by +0.20, tax rate by +10pp, or market risk premium by +1pp and observe the impact on rankings.</t>
  </si>
  <si>
    <t>Deliverables (suggested)</t>
  </si>
  <si>
    <t>• Report the calculated WACC.</t>
  </si>
  <si>
    <t>• Identify which project(s) you accept and justify using at least two metrics (e.g., NPV and IRR).</t>
  </si>
  <si>
    <t>• Briefly explain how your decision changes under the sensitivity checks.</t>
  </si>
  <si>
    <t>Tips</t>
  </si>
  <si>
    <t>• Positive NPV (at the WACC) generally indicates value creation.</t>
  </si>
  <si>
    <t>• IRR should exceed WACC; PI &gt; 1 is desirable.</t>
  </si>
  <si>
    <t>• Payback emphasizes liquidity; discounted payback uses time‑value of money.</t>
  </si>
  <si>
    <t>• MIRR assumes reinvestment at the WACC and can be more realistic than IRR.</t>
  </si>
  <si>
    <t>Corporate Finance Inputs</t>
  </si>
  <si>
    <t>Risk-free rate (Rf)</t>
  </si>
  <si>
    <t>Market risk premium (MRP)</t>
  </si>
  <si>
    <t>Equity beta (β)</t>
  </si>
  <si>
    <t>Cost of Equity (k_e) = Rf + β×MRP</t>
  </si>
  <si>
    <t>Preferred dividend (per share)</t>
  </si>
  <si>
    <t>Preferred stock price</t>
  </si>
  <si>
    <t>Cost of Preferred (k_p) = Dividend / Price</t>
  </si>
  <si>
    <t>Pre-tax cost of debt (k_d)</t>
  </si>
  <si>
    <t>Tax rate (T)</t>
  </si>
  <si>
    <t>After-tax cost of debt k_d(1-T)</t>
  </si>
  <si>
    <t>Market value of Debt</t>
  </si>
  <si>
    <t>Market value of Equity</t>
  </si>
  <si>
    <t>Market value of Preferred</t>
  </si>
  <si>
    <t>Total market value</t>
  </si>
  <si>
    <t>Weight of Debt (wD)</t>
  </si>
  <si>
    <t>Weight of Equity (wE)</t>
  </si>
  <si>
    <t>Weight of Preferred (wP)</t>
  </si>
  <si>
    <t>WACC = wD*k_d(1-T) + wE*k_e + wP*k_p</t>
  </si>
  <si>
    <t>Project</t>
  </si>
  <si>
    <t>Initial Outlay</t>
  </si>
  <si>
    <t>Year1</t>
  </si>
  <si>
    <t>Year2</t>
  </si>
  <si>
    <t>Year3</t>
  </si>
  <si>
    <t>Year4</t>
  </si>
  <si>
    <t>Year5</t>
  </si>
  <si>
    <t>Cum0</t>
  </si>
  <si>
    <t>Cum1</t>
  </si>
  <si>
    <t>Cum2</t>
  </si>
  <si>
    <t>Cum3</t>
  </si>
  <si>
    <t>Cum4</t>
  </si>
  <si>
    <t>Cum5</t>
  </si>
  <si>
    <t>DCash1</t>
  </si>
  <si>
    <t>DCash2</t>
  </si>
  <si>
    <t>DCash3</t>
  </si>
  <si>
    <t>DCash4</t>
  </si>
  <si>
    <t>DCash5</t>
  </si>
  <si>
    <t>DCum0</t>
  </si>
  <si>
    <t>DCum1</t>
  </si>
  <si>
    <t>DCum2</t>
  </si>
  <si>
    <t>DCum3</t>
  </si>
  <si>
    <t>DCum4</t>
  </si>
  <si>
    <t>DCum5</t>
  </si>
  <si>
    <t>NPV</t>
  </si>
  <si>
    <t>IRR</t>
  </si>
  <si>
    <t>MIRR</t>
  </si>
  <si>
    <t>PI</t>
  </si>
  <si>
    <t>Payback</t>
  </si>
  <si>
    <t>DPayback</t>
  </si>
  <si>
    <t>Decision</t>
  </si>
  <si>
    <t>Project A</t>
  </si>
  <si>
    <t>Project B</t>
  </si>
  <si>
    <t>Project C</t>
  </si>
  <si>
    <r>
      <rPr>
        <b/>
        <sz val="11"/>
        <color rgb="FF242424"/>
        <rFont val="Segoe UI"/>
        <family val="2"/>
      </rPr>
      <t>Project A</t>
    </r>
    <r>
      <rPr>
        <sz val="11"/>
        <color rgb="FF242424"/>
        <rFont val="Segoe UI"/>
        <family val="2"/>
      </rPr>
      <t> → </t>
    </r>
    <r>
      <rPr>
        <b/>
        <sz val="11"/>
        <color rgb="FF242424"/>
        <rFont val="Segoe UI"/>
        <family val="2"/>
      </rPr>
      <t>NPV:</t>
    </r>
    <r>
      <rPr>
        <sz val="11"/>
        <color rgb="FF242424"/>
        <rFont val="Segoe UI"/>
        <family val="2"/>
      </rPr>
      <t> $36,913.67 | </t>
    </r>
    <r>
      <rPr>
        <b/>
        <sz val="11"/>
        <color rgb="FF242424"/>
        <rFont val="Segoe UI"/>
        <family val="2"/>
      </rPr>
      <t>IRR:</t>
    </r>
    <r>
      <rPr>
        <sz val="11"/>
        <color rgb="FF242424"/>
        <rFont val="Segoe UI"/>
        <family val="2"/>
      </rPr>
      <t> 19.71% | </t>
    </r>
    <r>
      <rPr>
        <b/>
        <sz val="11"/>
        <color rgb="FF242424"/>
        <rFont val="Segoe UI"/>
        <family val="2"/>
      </rPr>
      <t>MIRR:</t>
    </r>
    <r>
      <rPr>
        <sz val="11"/>
        <color rgb="FF242424"/>
        <rFont val="Segoe UI"/>
        <family val="2"/>
      </rPr>
      <t> 14.94% | </t>
    </r>
    <r>
      <rPr>
        <b/>
        <sz val="11"/>
        <color rgb="FF242424"/>
        <rFont val="Segoe UI"/>
        <family val="2"/>
      </rPr>
      <t>PI:</t>
    </r>
    <r>
      <rPr>
        <sz val="11"/>
        <color rgb="FF242424"/>
        <rFont val="Segoe UI"/>
        <family val="2"/>
      </rPr>
      <t> 1.37 | </t>
    </r>
    <r>
      <rPr>
        <b/>
        <sz val="11"/>
        <color rgb="FF242424"/>
        <rFont val="Segoe UI"/>
        <family val="2"/>
      </rPr>
      <t>Payback:</t>
    </r>
    <r>
      <rPr>
        <sz val="11"/>
        <color rgb="FF242424"/>
        <rFont val="Segoe UI"/>
        <family val="2"/>
      </rPr>
      <t> 4.25 yrs | </t>
    </r>
    <r>
      <rPr>
        <b/>
        <sz val="11"/>
        <color rgb="FF242424"/>
        <rFont val="Segoe UI"/>
        <family val="2"/>
      </rPr>
      <t>D-Payback:</t>
    </r>
    <r>
      <rPr>
        <sz val="11"/>
        <color rgb="FF242424"/>
        <rFont val="Segoe UI"/>
        <family val="2"/>
      </rPr>
      <t> 4.79 yrs | </t>
    </r>
    <r>
      <rPr>
        <b/>
        <sz val="11"/>
        <color rgb="FF242424"/>
        <rFont val="Segoe UI"/>
        <family val="2"/>
      </rPr>
      <t>Decision:</t>
    </r>
    <r>
      <rPr>
        <sz val="11"/>
        <color rgb="FF242424"/>
        <rFont val="Segoe UI"/>
        <family val="2"/>
      </rPr>
      <t> </t>
    </r>
    <r>
      <rPr>
        <b/>
        <sz val="11"/>
        <color rgb="FF242424"/>
        <rFont val="Segoe UI"/>
        <family val="2"/>
      </rPr>
      <t>ACCEPT</t>
    </r>
  </si>
  <si>
    <r>
      <t>Project B</t>
    </r>
    <r>
      <rPr>
        <sz val="11"/>
        <color rgb="FF242424"/>
        <rFont val="Segoe UI"/>
        <family val="2"/>
      </rPr>
      <t> → </t>
    </r>
    <r>
      <rPr>
        <sz val="11"/>
        <color rgb="FF242424"/>
        <rFont val="Segoe UI"/>
        <family val="2"/>
      </rPr>
      <t>NPV:</t>
    </r>
    <r>
      <rPr>
        <sz val="11"/>
        <color rgb="FF242424"/>
        <rFont val="Segoe UI"/>
        <family val="2"/>
      </rPr>
      <t> $30,447.90 | </t>
    </r>
    <r>
      <rPr>
        <sz val="11"/>
        <color rgb="FF242424"/>
        <rFont val="Segoe UI"/>
        <family val="2"/>
      </rPr>
      <t>IRR:</t>
    </r>
    <r>
      <rPr>
        <sz val="11"/>
        <color rgb="FF242424"/>
        <rFont val="Segoe UI"/>
        <family val="2"/>
      </rPr>
      <t> 15.69% | </t>
    </r>
    <r>
      <rPr>
        <sz val="11"/>
        <color rgb="FF242424"/>
        <rFont val="Segoe UI"/>
        <family val="2"/>
      </rPr>
      <t>MIRR:</t>
    </r>
    <r>
      <rPr>
        <sz val="11"/>
        <color rgb="FF242424"/>
        <rFont val="Segoe UI"/>
        <family val="2"/>
      </rPr>
      <t> 12.93% | </t>
    </r>
    <r>
      <rPr>
        <sz val="11"/>
        <color rgb="FF242424"/>
        <rFont val="Segoe UI"/>
        <family val="2"/>
      </rPr>
      <t>PI:</t>
    </r>
    <r>
      <rPr>
        <sz val="11"/>
        <color rgb="FF242424"/>
        <rFont val="Segoe UI"/>
        <family val="2"/>
      </rPr>
      <t> 1.25 | </t>
    </r>
    <r>
      <rPr>
        <sz val="11"/>
        <color rgb="FF242424"/>
        <rFont val="Segoe UI"/>
        <family val="2"/>
      </rPr>
      <t>Payback:</t>
    </r>
    <r>
      <rPr>
        <sz val="11"/>
        <color rgb="FF242424"/>
        <rFont val="Segoe UI"/>
        <family val="2"/>
      </rPr>
      <t> 4.60 yrs | </t>
    </r>
    <r>
      <rPr>
        <sz val="11"/>
        <color rgb="FF242424"/>
        <rFont val="Segoe UI"/>
        <family val="2"/>
      </rPr>
      <t>D-Payback:</t>
    </r>
    <r>
      <rPr>
        <sz val="11"/>
        <color rgb="FF242424"/>
        <rFont val="Segoe UI"/>
        <family val="2"/>
      </rPr>
      <t> 5.19 yrs | </t>
    </r>
    <r>
      <rPr>
        <sz val="11"/>
        <color rgb="FF242424"/>
        <rFont val="Segoe UI"/>
        <family val="2"/>
      </rPr>
      <t>Decision:</t>
    </r>
    <r>
      <rPr>
        <sz val="11"/>
        <color rgb="FF242424"/>
        <rFont val="Segoe UI"/>
        <family val="2"/>
      </rPr>
      <t> </t>
    </r>
    <r>
      <rPr>
        <sz val="11"/>
        <color rgb="FF242424"/>
        <rFont val="Segoe UI"/>
        <family val="2"/>
      </rPr>
      <t>ACCEPT</t>
    </r>
  </si>
  <si>
    <r>
      <t>Project C</t>
    </r>
    <r>
      <rPr>
        <sz val="11"/>
        <color rgb="FF242424"/>
        <rFont val="Segoe UI"/>
        <family val="2"/>
      </rPr>
      <t> → </t>
    </r>
    <r>
      <rPr>
        <sz val="11"/>
        <color rgb="FF242424"/>
        <rFont val="Segoe UI"/>
        <family val="2"/>
      </rPr>
      <t>NPV:</t>
    </r>
    <r>
      <rPr>
        <sz val="11"/>
        <color rgb="FF242424"/>
        <rFont val="Segoe UI"/>
        <family val="2"/>
      </rPr>
      <t> $27,637.83 | </t>
    </r>
    <r>
      <rPr>
        <sz val="11"/>
        <color rgb="FF242424"/>
        <rFont val="Segoe UI"/>
        <family val="2"/>
      </rPr>
      <t>IRR:</t>
    </r>
    <r>
      <rPr>
        <sz val="11"/>
        <color rgb="FF242424"/>
        <rFont val="Segoe UI"/>
        <family val="2"/>
      </rPr>
      <t> 19.25% | </t>
    </r>
    <r>
      <rPr>
        <sz val="11"/>
        <color rgb="FF242424"/>
        <rFont val="Segoe UI"/>
        <family val="2"/>
      </rPr>
      <t>MIRR:</t>
    </r>
    <r>
      <rPr>
        <sz val="11"/>
        <color rgb="FF242424"/>
        <rFont val="Segoe UI"/>
        <family val="2"/>
      </rPr>
      <t> 14.54% | </t>
    </r>
    <r>
      <rPr>
        <sz val="11"/>
        <color rgb="FF242424"/>
        <rFont val="Segoe UI"/>
        <family val="2"/>
      </rPr>
      <t>PI:</t>
    </r>
    <r>
      <rPr>
        <sz val="11"/>
        <color rgb="FF242424"/>
        <rFont val="Segoe UI"/>
        <family val="2"/>
      </rPr>
      <t> 1.35 | </t>
    </r>
    <r>
      <rPr>
        <sz val="11"/>
        <color rgb="FF242424"/>
        <rFont val="Segoe UI"/>
        <family val="2"/>
      </rPr>
      <t>Payback:</t>
    </r>
    <r>
      <rPr>
        <sz val="11"/>
        <color rgb="FF242424"/>
        <rFont val="Segoe UI"/>
        <family val="2"/>
      </rPr>
      <t> 4.27 yrs | </t>
    </r>
    <r>
      <rPr>
        <sz val="11"/>
        <color rgb="FF242424"/>
        <rFont val="Segoe UI"/>
        <family val="2"/>
      </rPr>
      <t>D-Payback:</t>
    </r>
    <r>
      <rPr>
        <sz val="11"/>
        <color rgb="FF242424"/>
        <rFont val="Segoe UI"/>
        <family val="2"/>
      </rPr>
      <t> 4.83 yrs | </t>
    </r>
    <r>
      <rPr>
        <sz val="11"/>
        <color rgb="FF242424"/>
        <rFont val="Segoe UI"/>
        <family val="2"/>
      </rPr>
      <t>Decision:</t>
    </r>
    <r>
      <rPr>
        <sz val="11"/>
        <color rgb="FF242424"/>
        <rFont val="Segoe UI"/>
        <family val="2"/>
      </rPr>
      <t> </t>
    </r>
    <r>
      <rPr>
        <sz val="11"/>
        <color rgb="FF242424"/>
        <rFont val="Segoe UI"/>
        <family val="2"/>
      </rPr>
      <t>ACCEPT</t>
    </r>
  </si>
  <si>
    <t>WACC vs Beta (holding other inputs constant)</t>
  </si>
  <si>
    <t>WACC vs Market Risk Premium</t>
  </si>
  <si>
    <t>NPV vs WACC (select project)</t>
  </si>
  <si>
    <t>β</t>
  </si>
  <si>
    <t>WACC</t>
  </si>
  <si>
    <t>MRP</t>
  </si>
  <si>
    <t>Project:</t>
  </si>
  <si>
    <t>WACC →</t>
  </si>
  <si>
    <t>📊 Project Decision Dashboard</t>
  </si>
  <si>
    <t>Select Project:</t>
  </si>
  <si>
    <t>WACC:</t>
  </si>
  <si>
    <t>Payback (yrs)</t>
  </si>
  <si>
    <t>D-Payback (yrs)</t>
  </si>
  <si>
    <t>3) Go to the 'Projects' sheet. Review three sample projects and their cash 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</si>
</sst>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242424"/>
      <name val="Segoe UI"/>
      <family val="2"/>
    </font>
    <font>
      <sz val="11"/>
      <color rgb="FF242424"/>
      <name val="Segoe UI"/>
      <family val="2"/>
    </font>
    <font>
      <b/>
      <sz val="11"/>
      <color rgb="FF242424"/>
      <name val="Segoe UI"/>
      <family val="2"/>
    </font>
    <font>
      <sz val="11"/>
      <color rgb="FF242424"/>
      <name val="Segoe UI"/>
      <family val="2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10" fontId="0" fillId="0" borderId="0" xfId="0" applyNumberFormat="1"/>
    <xf numFmtId="164" fontId="0" fillId="0" borderId="0" xfId="0" applyNumberFormat="1"/>
    <xf numFmtId="9" fontId="0" fillId="0" borderId="0" xfId="0" applyNumberFormat="1"/>
    <xf numFmtId="2" fontId="0" fillId="0" borderId="0" xfId="0" applyNumberFormat="1"/>
    <xf numFmtId="0" fontId="4" fillId="0" borderId="0" xfId="0" applyFont="1"/>
    <xf numFmtId="0" fontId="6" fillId="0" borderId="0" xfId="0" applyFont="1"/>
    <xf numFmtId="0" fontId="7" fillId="0" borderId="0" xfId="0" applyFont="1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26">
    <dxf>
      <font>
        <color rgb="FF9C1A1C"/>
      </font>
      <fill>
        <patternFill patternType="solid">
          <fgColor indexed="64"/>
          <bgColor rgb="FFFFEAEA"/>
        </patternFill>
      </fill>
    </dxf>
    <dxf>
      <font>
        <color rgb="FF127A1B"/>
      </font>
      <fill>
        <patternFill patternType="solid">
          <fgColor indexed="64"/>
          <bgColor rgb="FFE6FFEA"/>
        </patternFill>
      </fill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2" formatCode="&quot;$&quot;#,##0.00_);[Red]\(&quot;$&quot;#,##0.0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NPV by Project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Projects!$AA$1</c:f>
              <c:strCache>
                <c:ptCount val="1"/>
                <c:pt idx="0">
                  <c:v>MIRR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Projects!$Z$2:$Z$4</c:f>
              <c:numCache>
                <c:formatCode>0.00%</c:formatCode>
                <c:ptCount val="3"/>
                <c:pt idx="0">
                  <c:v>0.19711108389976184</c:v>
                </c:pt>
                <c:pt idx="1">
                  <c:v>0.15685673066177674</c:v>
                </c:pt>
                <c:pt idx="2">
                  <c:v>0.19253224646347067</c:v>
                </c:pt>
              </c:numCache>
            </c:numRef>
          </c:cat>
          <c:val>
            <c:numRef>
              <c:f>Projects!$AA$2:$AA$4</c:f>
              <c:numCache>
                <c:formatCode>0.00%</c:formatCode>
                <c:ptCount val="3"/>
                <c:pt idx="0">
                  <c:v>0.14941406536611113</c:v>
                </c:pt>
                <c:pt idx="1">
                  <c:v>0.12934887370530279</c:v>
                </c:pt>
                <c:pt idx="2">
                  <c:v>0.14541306731050119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B33-4FE0-8ED2-A0FF03A77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316039"/>
        <c:axId val="750249479"/>
      </c:barChart>
      <c:catAx>
        <c:axId val="750316039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249479"/>
        <c:crosses val="autoZero"/>
        <c:auto val="1"/>
        <c:lblAlgn val="ctr"/>
        <c:lblOffset val="100"/>
        <c:noMultiLvlLbl val="0"/>
      </c:catAx>
      <c:valAx>
        <c:axId val="750249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316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NPV vs WACC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Sensitivity!$I$4:$N$4</c:f>
              <c:numCache>
                <c:formatCode>0.00%</c:formatCode>
                <c:ptCount val="6"/>
                <c:pt idx="0">
                  <c:v>0.04</c:v>
                </c:pt>
                <c:pt idx="1">
                  <c:v>0.06</c:v>
                </c:pt>
                <c:pt idx="2">
                  <c:v>0.08</c:v>
                </c:pt>
                <c:pt idx="3">
                  <c:v>0.1</c:v>
                </c:pt>
                <c:pt idx="4">
                  <c:v>0.12</c:v>
                </c:pt>
                <c:pt idx="5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CE-466B-A7EA-DD440E43A1C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Sensitivity!$I$5:$N$5</c:f>
              <c:numCache>
                <c:formatCode>"$"#,##0</c:formatCode>
                <c:ptCount val="6"/>
                <c:pt idx="0">
                  <c:v>54068.907927835942</c:v>
                </c:pt>
                <c:pt idx="1">
                  <c:v>44981.838075428503</c:v>
                </c:pt>
                <c:pt idx="2">
                  <c:v>36679.879171284585</c:v>
                </c:pt>
                <c:pt idx="3">
                  <c:v>29078.676940844787</c:v>
                </c:pt>
                <c:pt idx="4">
                  <c:v>22104.485214958768</c:v>
                </c:pt>
                <c:pt idx="5">
                  <c:v>15692.654473582283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8CE-466B-A7EA-DD440E43A1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1505543"/>
        <c:axId val="1221507591"/>
      </c:lineChart>
      <c:catAx>
        <c:axId val="12215055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WACC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07591"/>
        <c:crosses val="autoZero"/>
        <c:auto val="1"/>
        <c:lblAlgn val="ctr"/>
        <c:lblOffset val="100"/>
        <c:noMultiLvlLbl val="0"/>
      </c:catAx>
      <c:valAx>
        <c:axId val="1221507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NPV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505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NPV vs WACC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Sensitivity!$I$4:$N$4</c:f>
              <c:numCache>
                <c:formatCode>0.00%</c:formatCode>
                <c:ptCount val="6"/>
                <c:pt idx="0">
                  <c:v>0.04</c:v>
                </c:pt>
                <c:pt idx="1">
                  <c:v>0.06</c:v>
                </c:pt>
                <c:pt idx="2">
                  <c:v>0.08</c:v>
                </c:pt>
                <c:pt idx="3">
                  <c:v>0.1</c:v>
                </c:pt>
                <c:pt idx="4">
                  <c:v>0.12</c:v>
                </c:pt>
                <c:pt idx="5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20B-4D29-90F4-CD13CE0C64D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Sensitivity!$I$5:$N$5</c:f>
              <c:numCache>
                <c:formatCode>"$"#,##0</c:formatCode>
                <c:ptCount val="6"/>
                <c:pt idx="0">
                  <c:v>54068.907927835942</c:v>
                </c:pt>
                <c:pt idx="1">
                  <c:v>44981.838075428503</c:v>
                </c:pt>
                <c:pt idx="2">
                  <c:v>36679.879171284585</c:v>
                </c:pt>
                <c:pt idx="3">
                  <c:v>29078.676940844787</c:v>
                </c:pt>
                <c:pt idx="4">
                  <c:v>22104.485214958768</c:v>
                </c:pt>
                <c:pt idx="5">
                  <c:v>15692.654473582283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20B-4D29-90F4-CD13CE0C6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9719431"/>
        <c:axId val="359721479"/>
      </c:lineChart>
      <c:catAx>
        <c:axId val="3597194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WACC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21479"/>
        <c:crosses val="autoZero"/>
        <c:auto val="1"/>
        <c:lblAlgn val="ctr"/>
        <c:lblOffset val="100"/>
        <c:noMultiLvlLbl val="0"/>
      </c:catAx>
      <c:valAx>
        <c:axId val="359721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NPV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719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NPV by Project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Dashboard!$E$20</c:f>
              <c:strCache>
                <c:ptCount val="1"/>
                <c:pt idx="0">
                  <c:v>NPV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Dashboard!$D$21:$D$23</c:f>
              <c:strCache>
                <c:ptCount val="3"/>
                <c:pt idx="0">
                  <c:v>Project A</c:v>
                </c:pt>
                <c:pt idx="1">
                  <c:v>Project B</c:v>
                </c:pt>
                <c:pt idx="2">
                  <c:v>Project C</c:v>
                </c:pt>
              </c:strCache>
            </c:strRef>
          </c:cat>
          <c:val>
            <c:numRef>
              <c:f>Dashboard!$E$21:$E$23</c:f>
              <c:numCache>
                <c:formatCode>General</c:formatCode>
                <c:ptCount val="3"/>
                <c:pt idx="0">
                  <c:v>36913.666347253282</c:v>
                </c:pt>
                <c:pt idx="1">
                  <c:v>30447.898366446927</c:v>
                </c:pt>
                <c:pt idx="2">
                  <c:v>27637.826094353484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184-4BB6-AD0A-445183197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3033095"/>
        <c:axId val="323039239"/>
      </c:barChart>
      <c:catAx>
        <c:axId val="3230330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039239"/>
        <c:crosses val="autoZero"/>
        <c:auto val="1"/>
        <c:lblAlgn val="ctr"/>
        <c:lblOffset val="100"/>
        <c:noMultiLvlLbl val="0"/>
      </c:catAx>
      <c:valAx>
        <c:axId val="323039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NPV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3033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NPV by Project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Dashboard!$E$20</c:f>
              <c:strCache>
                <c:ptCount val="1"/>
                <c:pt idx="0">
                  <c:v>NPV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Dashboard!$D$21:$D$23</c:f>
              <c:strCache>
                <c:ptCount val="3"/>
                <c:pt idx="0">
                  <c:v>Project A</c:v>
                </c:pt>
                <c:pt idx="1">
                  <c:v>Project B</c:v>
                </c:pt>
                <c:pt idx="2">
                  <c:v>Project C</c:v>
                </c:pt>
              </c:strCache>
            </c:strRef>
          </c:cat>
          <c:val>
            <c:numRef>
              <c:f>Dashboard!$E$21:$E$23</c:f>
              <c:numCache>
                <c:formatCode>General</c:formatCode>
                <c:ptCount val="3"/>
                <c:pt idx="0">
                  <c:v>36913.666347253282</c:v>
                </c:pt>
                <c:pt idx="1">
                  <c:v>30447.898366446927</c:v>
                </c:pt>
                <c:pt idx="2">
                  <c:v>27637.826094353484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78B-4164-84A4-04480DD35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8452487"/>
        <c:axId val="498454535"/>
      </c:barChart>
      <c:catAx>
        <c:axId val="498452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Project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54535"/>
        <c:crosses val="autoZero"/>
        <c:auto val="1"/>
        <c:lblAlgn val="ctr"/>
        <c:lblOffset val="100"/>
        <c:noMultiLvlLbl val="0"/>
      </c:catAx>
      <c:valAx>
        <c:axId val="498454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NPV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8452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133350</xdr:rowOff>
    </xdr:from>
    <xdr:to>
      <xdr:col>6</xdr:col>
      <xdr:colOff>114300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8B12A7-B557-ED26-5D0B-51573973F9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06402A-65AD-3660-AAE7-65F1B49FD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6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4F104F-14D5-5FFA-FB30-771463E77D5B}"/>
            </a:ext>
            <a:ext uri="{147F2762-F138-4A5C-976F-8EAC2B608ADB}">
              <a16:predDERef xmlns:a16="http://schemas.microsoft.com/office/drawing/2014/main" pred="{E406402A-65AD-3660-AAE7-65F1B49FD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49ACF9-65AA-A9AA-5226-DE783D7FB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E78C07-3257-4CF9-304C-98F349CB94B6}"/>
            </a:ext>
            <a:ext uri="{147F2762-F138-4A5C-976F-8EAC2B608ADB}">
              <a16:predDERef xmlns:a16="http://schemas.microsoft.com/office/drawing/2014/main" pred="{5449ACF9-65AA-A9AA-5226-DE783D7FB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D969FE-E789-40CA-9F30-DD95012BC3B2}" name="tblProjects" displayName="tblProjects" ref="A1:AE4" totalsRowShown="0">
  <autoFilter ref="A1:AE4" xr:uid="{B3D969FE-E789-40CA-9F30-DD95012BC3B2}"/>
  <tableColumns count="31">
    <tableColumn id="1" xr3:uid="{C87F376F-5FAE-462A-9547-48739E81082D}" name="Project"/>
    <tableColumn id="2" xr3:uid="{6608399B-2AFE-4FB6-B8B6-3FD4897041A0}" name="Initial Outlay"/>
    <tableColumn id="3" xr3:uid="{CC43F428-0D89-4230-A8BF-C690469B4DD1}" name="Year1"/>
    <tableColumn id="4" xr3:uid="{526C03D3-59FD-44C1-B87A-FF761B9B7532}" name="Year2"/>
    <tableColumn id="5" xr3:uid="{A67FFC28-9C7E-4A7B-91E2-84F8AC5DFCDC}" name="Year3"/>
    <tableColumn id="6" xr3:uid="{78724F38-9E29-4D5F-9352-DC82EE94ED6D}" name="Year4"/>
    <tableColumn id="7" xr3:uid="{6DA3ED5C-1A38-4548-AB41-82664BB188D2}" name="Year5"/>
    <tableColumn id="8" xr3:uid="{519294DC-2DF9-4C67-8812-9E82B3E8ED80}" name="Cum0" dataDxfId="25">
      <calculatedColumnFormula>tblProjects[[#This Row],[Initial Outlay]]</calculatedColumnFormula>
    </tableColumn>
    <tableColumn id="9" xr3:uid="{1B9F28A2-B424-49FF-9BFD-DFA49DFD71FA}" name="Cum1" dataDxfId="24">
      <calculatedColumnFormula>tblProjects[[#This Row],[Cum0]]+tblProjects[[#This Row],[Year1]]</calculatedColumnFormula>
    </tableColumn>
    <tableColumn id="10" xr3:uid="{60F1AE7D-D539-4B58-9C71-212323EE8754}" name="Cum2" dataDxfId="23">
      <calculatedColumnFormula>tblProjects[[#This Row],[Cum1]]+tblProjects[[#This Row],[Year2]]</calculatedColumnFormula>
    </tableColumn>
    <tableColumn id="11" xr3:uid="{C7B6AB75-4742-4EBD-BA4C-C57ADD0C9C61}" name="Cum3" dataDxfId="22">
      <calculatedColumnFormula>tblProjects[[#This Row],[Cum2]]+tblProjects[[#This Row],[Year3]]</calculatedColumnFormula>
    </tableColumn>
    <tableColumn id="12" xr3:uid="{BD8E70FF-2854-4966-AF05-411DDDCA18A9}" name="Cum4" dataDxfId="21">
      <calculatedColumnFormula>tblProjects[[#This Row],[Cum3]]+tblProjects[[#This Row],[Year4]]</calculatedColumnFormula>
    </tableColumn>
    <tableColumn id="13" xr3:uid="{22184DBC-E3D8-4138-8864-386AF3037AFD}" name="Cum5" dataDxfId="20">
      <calculatedColumnFormula>tblProjects[[#This Row],[Cum4]]+tblProjects[[#This Row],[Year5]]</calculatedColumnFormula>
    </tableColumn>
    <tableColumn id="14" xr3:uid="{AD6A1423-E651-4080-9E53-D58FE3FA7177}" name="DCash1" dataDxfId="19">
      <calculatedColumnFormula>tblProjects[[#This Row],[Year1]]/(1+WACC)^1</calculatedColumnFormula>
    </tableColumn>
    <tableColumn id="15" xr3:uid="{3A89D460-DE54-4EE0-8363-17F75447D65D}" name="DCash2" dataDxfId="18">
      <calculatedColumnFormula>tblProjects[[#This Row],[Year2]]/(1+WACC)^2</calculatedColumnFormula>
    </tableColumn>
    <tableColumn id="16" xr3:uid="{AD836CA0-48D3-4BE8-88FB-03F6D1940B0C}" name="DCash3" dataDxfId="17">
      <calculatedColumnFormula>tblProjects[[#This Row],[Year3]]/(1+WACC)^3</calculatedColumnFormula>
    </tableColumn>
    <tableColumn id="17" xr3:uid="{81933D8A-6F8C-4F11-B847-C89154160F7E}" name="DCash4" dataDxfId="16">
      <calculatedColumnFormula>tblProjects[[#This Row],[Year4]]/(1+WACC)^4</calculatedColumnFormula>
    </tableColumn>
    <tableColumn id="18" xr3:uid="{9D322698-F813-426B-AD4E-D0B80626DBC1}" name="DCash5" dataDxfId="15">
      <calculatedColumnFormula>tblProjects[[#This Row],[Year5]]/(1+WACC)^5</calculatedColumnFormula>
    </tableColumn>
    <tableColumn id="19" xr3:uid="{F6C28A76-E2B6-4E18-ACC9-821FB3D1F1A9}" name="DCum0" dataDxfId="14">
      <calculatedColumnFormula>tblProjects[[#This Row],[Initial Outlay]]</calculatedColumnFormula>
    </tableColumn>
    <tableColumn id="20" xr3:uid="{8EAECD28-5F43-4CEB-AAFC-3EBAD7D10247}" name="DCum1" dataDxfId="13">
      <calculatedColumnFormula>tblProjects[[#This Row],[DCum0]]+tblProjects[[#This Row],[DCash1]]</calculatedColumnFormula>
    </tableColumn>
    <tableColumn id="21" xr3:uid="{5993CAD7-0087-47B0-8991-CDC17D480854}" name="DCum2" dataDxfId="12">
      <calculatedColumnFormula>tblProjects[[#This Row],[DCum1]]+tblProjects[[#This Row],[DCash2]]</calculatedColumnFormula>
    </tableColumn>
    <tableColumn id="22" xr3:uid="{171DE95A-A8AE-4C4A-9204-B92FD67ABB0E}" name="DCum3" dataDxfId="11">
      <calculatedColumnFormula>tblProjects[[#This Row],[DCum2]]+tblProjects[[#This Row],[DCash3]]</calculatedColumnFormula>
    </tableColumn>
    <tableColumn id="23" xr3:uid="{E9A56403-AC8B-463A-9132-E28429775A4D}" name="DCum4" dataDxfId="10">
      <calculatedColumnFormula>tblProjects[[#This Row],[DCum3]]+tblProjects[[#This Row],[DCash4]]</calculatedColumnFormula>
    </tableColumn>
    <tableColumn id="24" xr3:uid="{E833568B-19E6-4FED-8EAC-D7989330CB3A}" name="DCum5" dataDxfId="9">
      <calculatedColumnFormula>tblProjects[[#This Row],[DCum4]]+tblProjects[[#This Row],[DCash5]]</calculatedColumnFormula>
    </tableColumn>
    <tableColumn id="25" xr3:uid="{7744EE22-E18D-4D16-99C8-8E17F681EF91}" name="NPV" dataDxfId="8">
      <calculatedColumnFormula>NPV(WACC, tblProjects[[#This Row],[Year1]]:tblProjects[[#This Row],[Year5]]) + tblProjects[[#This Row],[Initial Outlay]]</calculatedColumnFormula>
    </tableColumn>
    <tableColumn id="26" xr3:uid="{51FE36C0-BA11-4D86-BCEA-84F371E2DB0E}" name="IRR" dataDxfId="7">
      <calculatedColumnFormula>IRR(tblProjects[[#This Row],[Initial Outlay]]:tblProjects[[#This Row],[Year5]])</calculatedColumnFormula>
    </tableColumn>
    <tableColumn id="27" xr3:uid="{B0B314F7-823F-49B3-A7E3-208BBB90755B}" name="MIRR" dataDxfId="6">
      <calculatedColumnFormula>MIRR(tblProjects[[#This Row],[Initial Outlay]]:tblProjects[[#This Row],[Year5]], WACC, WACC)</calculatedColumnFormula>
    </tableColumn>
    <tableColumn id="28" xr3:uid="{B9305689-6209-4A84-99FE-09A5076A8587}" name="PI" dataDxfId="5">
      <calculatedColumnFormula>NPV(WACC, tblProjects[[#This Row],[Year1]]:tblProjects[[#This Row],[Year5]])/ABS(tblProjects[[#This Row],[Initial Outlay]])</calculatedColumnFormula>
    </tableColumn>
    <tableColumn id="29" xr3:uid="{42401C9B-B4CF-46CC-B409-FAE562F944DA}" name="Payback" dataDxfId="4">
      <calculatedColumnFormula array="1">_xlfn.LET(_xlpm.c, tblProjects[[#This Row],[Cum0]]:tblProjects[[#This Row],[Cum5]], _xlpm.k, _xlfn.XMATCH(TRUE, _xlpm.c&gt;=0, 0), IF(ISNUMBER(_xlpm.k), IF(_xlpm.k=1, 0, (_xlpm.k-1) + (-INDEX(_xlpm.c,1,_xlpm.k-1))/INDEX(tblProjects[[#This Row],[Year1]]:tblProjects[[#This Row],[Year5]],1,_xlpm.k-1)), "No PB"))</calculatedColumnFormula>
    </tableColumn>
    <tableColumn id="30" xr3:uid="{C1610CE1-6B03-4070-AD73-644E3FCEABDF}" name="DPayback" dataDxfId="3">
      <calculatedColumnFormula array="1">_xlfn.LET(_xlpm.c, tblProjects[[#This Row],[DCum0]]:tblProjects[[#This Row],[DCum5]], _xlpm.f, tblProjects[[#This Row],[DCash1]]:tblProjects[[#This Row],[DCash5]], _xlpm.k, _xlfn.XMATCH(TRUE, _xlpm.c&gt;=0, 0), IF(ISNUMBER(_xlpm.k), IF(_xlpm.k=1, 0, (_xlpm.k-1) + (-INDEX(_xlpm.c,1,_xlpm.k-1))/INDEX(_xlpm.f,1,_xlpm.k-1)), "No DPB"))</calculatedColumnFormula>
    </tableColumn>
    <tableColumn id="31" xr3:uid="{5CCBFFD0-7676-4A39-9829-77EEE540917C}" name="Decision" dataDxfId="2">
      <calculatedColumnFormula>IF(AND(tblProjects[[#This Row],[NPV]]&gt;0, tblProjects[[#This Row],[IRR]]&gt;WACC, tblProjects[[#This Row],[PI]]&gt;1), "ACCEPT", "REJECT")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A10" sqref="A10"/>
    </sheetView>
  </sheetViews>
  <sheetFormatPr defaultRowHeight="15" x14ac:dyDescent="0.25"/>
  <cols>
    <col min="1" max="1" width="98" customWidth="1"/>
  </cols>
  <sheetData>
    <row r="1" spans="1:1" ht="18.75" x14ac:dyDescent="0.3">
      <c r="A1" s="2" t="s">
        <v>0</v>
      </c>
    </row>
    <row r="3" spans="1:1" x14ac:dyDescent="0.25">
      <c r="A3" s="1" t="s">
        <v>1</v>
      </c>
    </row>
    <row r="4" spans="1:1" ht="42.75" customHeight="1" x14ac:dyDescent="0.25">
      <c r="A4" s="11" t="s">
        <v>2</v>
      </c>
    </row>
    <row r="6" spans="1:1" x14ac:dyDescent="0.25">
      <c r="A6" s="1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86</v>
      </c>
    </row>
    <row r="10" spans="1:1" x14ac:dyDescent="0.25">
      <c r="A10" t="s">
        <v>6</v>
      </c>
    </row>
    <row r="11" spans="1:1" x14ac:dyDescent="0.25">
      <c r="A11" t="s">
        <v>7</v>
      </c>
    </row>
    <row r="13" spans="1:1" x14ac:dyDescent="0.25">
      <c r="A13" s="1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  <row r="18" spans="1:1" x14ac:dyDescent="0.25">
      <c r="A18" s="1" t="s">
        <v>12</v>
      </c>
    </row>
    <row r="19" spans="1:1" x14ac:dyDescent="0.25">
      <c r="A19" t="s">
        <v>13</v>
      </c>
    </row>
    <row r="20" spans="1:1" x14ac:dyDescent="0.25">
      <c r="A20" t="s">
        <v>14</v>
      </c>
    </row>
    <row r="21" spans="1:1" x14ac:dyDescent="0.25">
      <c r="A21" t="s">
        <v>15</v>
      </c>
    </row>
    <row r="22" spans="1:1" x14ac:dyDescent="0.25">
      <c r="A2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21F53-AFDC-4575-A01C-5CE25E110BAE}">
  <dimension ref="A1:B25"/>
  <sheetViews>
    <sheetView workbookViewId="0">
      <selection activeCell="B23" sqref="B23"/>
    </sheetView>
  </sheetViews>
  <sheetFormatPr defaultRowHeight="15" x14ac:dyDescent="0.25"/>
  <cols>
    <col min="1" max="1" width="36.42578125" bestFit="1" customWidth="1"/>
    <col min="2" max="2" width="11.7109375" bestFit="1" customWidth="1"/>
  </cols>
  <sheetData>
    <row r="1" spans="1:2" x14ac:dyDescent="0.25">
      <c r="A1" s="1" t="s">
        <v>17</v>
      </c>
    </row>
    <row r="3" spans="1:2" x14ac:dyDescent="0.25">
      <c r="A3" s="1" t="s">
        <v>18</v>
      </c>
      <c r="B3" s="3">
        <v>0.04</v>
      </c>
    </row>
    <row r="4" spans="1:2" x14ac:dyDescent="0.25">
      <c r="A4" s="1" t="s">
        <v>19</v>
      </c>
      <c r="B4" s="3">
        <v>0.05</v>
      </c>
    </row>
    <row r="5" spans="1:2" x14ac:dyDescent="0.25">
      <c r="A5" s="1" t="s">
        <v>20</v>
      </c>
      <c r="B5">
        <v>1.2</v>
      </c>
    </row>
    <row r="6" spans="1:2" x14ac:dyDescent="0.25">
      <c r="A6" s="1" t="s">
        <v>21</v>
      </c>
      <c r="B6" s="3">
        <f>B3 + B5*B4</f>
        <v>0.1</v>
      </c>
    </row>
    <row r="8" spans="1:2" x14ac:dyDescent="0.25">
      <c r="A8" s="1" t="s">
        <v>22</v>
      </c>
      <c r="B8" s="4">
        <v>2</v>
      </c>
    </row>
    <row r="9" spans="1:2" x14ac:dyDescent="0.25">
      <c r="A9" s="1" t="s">
        <v>23</v>
      </c>
      <c r="B9" s="4">
        <v>25</v>
      </c>
    </row>
    <row r="10" spans="1:2" x14ac:dyDescent="0.25">
      <c r="A10" s="1" t="s">
        <v>24</v>
      </c>
      <c r="B10">
        <f>B8/B9</f>
        <v>0.08</v>
      </c>
    </row>
    <row r="12" spans="1:2" x14ac:dyDescent="0.25">
      <c r="A12" s="1" t="s">
        <v>25</v>
      </c>
      <c r="B12" s="3">
        <v>0.06</v>
      </c>
    </row>
    <row r="13" spans="1:2" x14ac:dyDescent="0.25">
      <c r="A13" s="1" t="s">
        <v>26</v>
      </c>
      <c r="B13" s="3">
        <v>0.25</v>
      </c>
    </row>
    <row r="14" spans="1:2" x14ac:dyDescent="0.25">
      <c r="A14" s="1" t="s">
        <v>27</v>
      </c>
      <c r="B14" s="3">
        <f>B12*(1-B13)</f>
        <v>4.4999999999999998E-2</v>
      </c>
    </row>
    <row r="16" spans="1:2" x14ac:dyDescent="0.25">
      <c r="A16" s="1" t="s">
        <v>28</v>
      </c>
      <c r="B16" s="4">
        <v>300000</v>
      </c>
    </row>
    <row r="17" spans="1:2" x14ac:dyDescent="0.25">
      <c r="A17" s="1" t="s">
        <v>29</v>
      </c>
      <c r="B17" s="4">
        <v>500000</v>
      </c>
    </row>
    <row r="18" spans="1:2" x14ac:dyDescent="0.25">
      <c r="A18" s="1" t="s">
        <v>30</v>
      </c>
      <c r="B18" s="4">
        <v>50000</v>
      </c>
    </row>
    <row r="19" spans="1:2" x14ac:dyDescent="0.25">
      <c r="A19" s="1" t="s">
        <v>31</v>
      </c>
      <c r="B19" s="4">
        <f>SUM(B16:B18)</f>
        <v>850000</v>
      </c>
    </row>
    <row r="21" spans="1:2" x14ac:dyDescent="0.25">
      <c r="A21" s="1" t="s">
        <v>32</v>
      </c>
      <c r="B21" s="3">
        <f>B16/B19</f>
        <v>0.35294117647058826</v>
      </c>
    </row>
    <row r="22" spans="1:2" x14ac:dyDescent="0.25">
      <c r="A22" s="1" t="s">
        <v>33</v>
      </c>
      <c r="B22" s="3">
        <f>B17/B19</f>
        <v>0.58823529411764708</v>
      </c>
    </row>
    <row r="23" spans="1:2" x14ac:dyDescent="0.25">
      <c r="A23" s="1" t="s">
        <v>34</v>
      </c>
      <c r="B23" s="3">
        <f>B18/B19</f>
        <v>5.8823529411764705E-2</v>
      </c>
    </row>
    <row r="25" spans="1:2" x14ac:dyDescent="0.25">
      <c r="A25" s="1" t="s">
        <v>35</v>
      </c>
      <c r="B25" s="3">
        <f>B21*B14 + B22*B6 + B23*B10</f>
        <v>7.9411764705882348E-2</v>
      </c>
    </row>
  </sheetData>
  <dataValidations count="10">
    <dataValidation type="decimal" allowBlank="1" showInputMessage="1" showErrorMessage="1" errorTitle="Invalid entry" error="Enter a value between 0 and 0.3." promptTitle="Risk-free rate" prompt="Enter 0% to 30% (as a percentage)" sqref="B3" xr:uid="{B3E325CD-A48D-4432-B00A-A9B944CEB29D}">
      <formula1>0</formula1>
      <formula2>0.3</formula2>
    </dataValidation>
    <dataValidation type="decimal" allowBlank="1" showInputMessage="1" showErrorMessage="1" errorTitle="Invalid entry" error="Enter a value between 0 and 0.3." promptTitle="Market risk premium" prompt="Enter 0% to 30% (as a percentage)" sqref="B4" xr:uid="{B439AB89-9E9D-4F40-B9BB-008FEBAE4F53}">
      <formula1>0</formula1>
      <formula2>0.3</formula2>
    </dataValidation>
    <dataValidation type="decimal" allowBlank="1" showInputMessage="1" showErrorMessage="1" errorTitle="Invalid entry" error="Enter a value between 0 and 3." promptTitle="Equity beta" prompt="Enter a beta between 0 and 3" sqref="B5" xr:uid="{CBC441A8-ACB4-44FF-A6FB-83E23D3AD586}">
      <formula1>0</formula1>
      <formula2>3</formula2>
    </dataValidation>
    <dataValidation type="decimal" allowBlank="1" showInputMessage="1" showErrorMessage="1" errorTitle="Invalid entry" error="Enter a value between 0 and 0.5." promptTitle="Pre-tax cost of debt" prompt="Enter 0% to 50% (as a percentage)" sqref="B12" xr:uid="{D6C0AC41-D67F-4AED-9ACA-5C98865CD983}">
      <formula1>0</formula1>
      <formula2>0.5</formula2>
    </dataValidation>
    <dataValidation type="decimal" allowBlank="1" showInputMessage="1" showErrorMessage="1" errorTitle="Invalid entry" error="Enter a value between 0 and 1." promptTitle="Tax rate" prompt="Enter 0% to 100% (as a percentage)" sqref="B13" xr:uid="{BAC50980-B10E-42C4-9F3C-F6294BE57E31}">
      <formula1>0</formula1>
      <formula2>1</formula2>
    </dataValidation>
    <dataValidation type="decimal" allowBlank="1" showInputMessage="1" showErrorMessage="1" errorTitle="Invalid entry" error="Enter a value between 0 and 1000000." promptTitle="Preferred dividend" prompt="Enter a non-negative dividend" sqref="B8" xr:uid="{729B2796-F563-4CE1-B77D-563BFEA7C3A8}">
      <formula1>0</formula1>
      <formula2>1000000</formula2>
    </dataValidation>
    <dataValidation type="decimal" allowBlank="1" showInputMessage="1" showErrorMessage="1" errorTitle="Invalid entry" error="Enter a value between 0.0001 and 100000000." promptTitle="Preferred price" prompt="Enter a positive price" sqref="B9" xr:uid="{56890982-068B-4C0E-B1C5-E6046CAA1940}">
      <formula1>0.0001</formula1>
      <formula2>100000000</formula2>
    </dataValidation>
    <dataValidation type="decimal" allowBlank="1" showInputMessage="1" showErrorMessage="1" errorTitle="Invalid entry" error="Enter a value between 0 and 1000000000000." promptTitle="Market value of Debt" prompt="Enter a non-negative amount" sqref="B16" xr:uid="{1DE4C89D-8E79-4D23-80CF-9FD2F0CBC053}">
      <formula1>0</formula1>
      <formula2>1000000000000</formula2>
    </dataValidation>
    <dataValidation type="decimal" allowBlank="1" showInputMessage="1" showErrorMessage="1" errorTitle="Invalid entry" error="Enter a value between 0 and 1000000000000." promptTitle="Market value of Equity" prompt="Enter a non-negative amount" sqref="B17" xr:uid="{D1407EEE-B944-4881-82C5-558D5B245BC9}">
      <formula1>0</formula1>
      <formula2>1000000000000</formula2>
    </dataValidation>
    <dataValidation type="decimal" allowBlank="1" showInputMessage="1" showErrorMessage="1" errorTitle="Invalid entry" error="Enter a value between 0 and 1000000000000." promptTitle="Market value of Preferred" prompt="Enter a non-negative amount" sqref="B18" xr:uid="{D928EDD6-6E7C-4965-AA26-A97CCB20A5E6}">
      <formula1>0</formula1>
      <formula2>1000000000000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40667-D310-4B2C-8A5F-7C84D3530ED0}">
  <dimension ref="A1:AE4"/>
  <sheetViews>
    <sheetView workbookViewId="0"/>
  </sheetViews>
  <sheetFormatPr defaultRowHeight="15" x14ac:dyDescent="0.25"/>
  <cols>
    <col min="1" max="1" width="9.5703125" bestFit="1" customWidth="1"/>
    <col min="2" max="2" width="14.42578125" bestFit="1" customWidth="1"/>
    <col min="3" max="7" width="10.7109375" bestFit="1" customWidth="1"/>
    <col min="8" max="9" width="12.42578125" bestFit="1" customWidth="1"/>
    <col min="10" max="11" width="11.28515625" bestFit="1" customWidth="1"/>
    <col min="12" max="18" width="10.7109375" bestFit="1" customWidth="1"/>
    <col min="19" max="20" width="12.42578125" bestFit="1" customWidth="1"/>
    <col min="21" max="22" width="11.28515625" bestFit="1" customWidth="1"/>
    <col min="23" max="23" width="10.28515625" bestFit="1" customWidth="1"/>
    <col min="24" max="25" width="10.7109375" bestFit="1" customWidth="1"/>
    <col min="26" max="26" width="7.42578125" bestFit="1" customWidth="1"/>
    <col min="27" max="27" width="10.7109375" bestFit="1" customWidth="1"/>
    <col min="28" max="28" width="4.85546875" bestFit="1" customWidth="1"/>
    <col min="29" max="29" width="10.5703125" bestFit="1" customWidth="1"/>
    <col min="30" max="30" width="12" bestFit="1" customWidth="1"/>
    <col min="31" max="31" width="11" bestFit="1" customWidth="1"/>
  </cols>
  <sheetData>
    <row r="1" spans="1:31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</row>
    <row r="2" spans="1:31" x14ac:dyDescent="0.25">
      <c r="A2" t="s">
        <v>67</v>
      </c>
      <c r="B2" s="4">
        <v>-100000</v>
      </c>
      <c r="C2" s="4">
        <v>25000</v>
      </c>
      <c r="D2" s="4">
        <v>30000</v>
      </c>
      <c r="E2" s="4">
        <v>35000</v>
      </c>
      <c r="F2" s="4">
        <v>40000</v>
      </c>
      <c r="G2" s="4">
        <v>45000</v>
      </c>
      <c r="H2" s="4">
        <f>tblProjects[[#This Row],[Initial Outlay]]</f>
        <v>-100000</v>
      </c>
      <c r="I2" s="4">
        <f>tblProjects[[#This Row],[Cum0]]+tblProjects[[#This Row],[Year1]]</f>
        <v>-75000</v>
      </c>
      <c r="J2" s="4">
        <f>tblProjects[[#This Row],[Cum1]]+tblProjects[[#This Row],[Year2]]</f>
        <v>-45000</v>
      </c>
      <c r="K2" s="4">
        <f>tblProjects[[#This Row],[Cum2]]+tblProjects[[#This Row],[Year3]]</f>
        <v>-10000</v>
      </c>
      <c r="L2" s="4">
        <f>tblProjects[[#This Row],[Cum3]]+tblProjects[[#This Row],[Year4]]</f>
        <v>30000</v>
      </c>
      <c r="M2" s="4">
        <f>tblProjects[[#This Row],[Cum4]]+tblProjects[[#This Row],[Year5]]</f>
        <v>75000</v>
      </c>
      <c r="N2" s="4">
        <f>tblProjects[[#This Row],[Year1]]/(1+WACC)^1</f>
        <v>23160.762942779293</v>
      </c>
      <c r="O2" s="4">
        <f>tblProjects[[#This Row],[Year2]]/(1+WACC)^2</f>
        <v>25748.205124397693</v>
      </c>
      <c r="P2" s="4">
        <f>tblProjects[[#This Row],[Year3]]/(1+WACC)^3</f>
        <v>27829.576837450732</v>
      </c>
      <c r="Q2" s="4">
        <f>tblProjects[[#This Row],[Year4]]/(1+WACC)^4</f>
        <v>29465.336316802648</v>
      </c>
      <c r="R2" s="4">
        <f>tblProjects[[#This Row],[Year5]]/(1+WACC)^5</f>
        <v>30709.785125822924</v>
      </c>
      <c r="S2" s="4">
        <f>tblProjects[[#This Row],[Initial Outlay]]</f>
        <v>-100000</v>
      </c>
      <c r="T2" s="4">
        <f>tblProjects[[#This Row],[DCum0]]+tblProjects[[#This Row],[DCash1]]</f>
        <v>-76839.237057220715</v>
      </c>
      <c r="U2" s="4">
        <f>tblProjects[[#This Row],[DCum1]]+tblProjects[[#This Row],[DCash2]]</f>
        <v>-51091.031932823025</v>
      </c>
      <c r="V2" s="4">
        <f>tblProjects[[#This Row],[DCum2]]+tblProjects[[#This Row],[DCash3]]</f>
        <v>-23261.455095372294</v>
      </c>
      <c r="W2" s="4">
        <f>tblProjects[[#This Row],[DCum3]]+tblProjects[[#This Row],[DCash4]]</f>
        <v>6203.8812214303543</v>
      </c>
      <c r="X2" s="4">
        <f>tblProjects[[#This Row],[DCum4]]+tblProjects[[#This Row],[DCash5]]</f>
        <v>36913.666347253282</v>
      </c>
      <c r="Y2" s="4">
        <f>NPV(WACC, tblProjects[[#This Row],[Year1]]:tblProjects[[#This Row],[Year5]]) + tblProjects[[#This Row],[Initial Outlay]]</f>
        <v>36913.666347253282</v>
      </c>
      <c r="Z2" s="3">
        <f>IRR(tblProjects[[#This Row],[Initial Outlay]]:tblProjects[[#This Row],[Year5]])</f>
        <v>0.19711108389976184</v>
      </c>
      <c r="AA2" s="3">
        <f>MIRR(tblProjects[[#This Row],[Initial Outlay]]:tblProjects[[#This Row],[Year5]], WACC, WACC)</f>
        <v>0.14941406536611113</v>
      </c>
      <c r="AB2" s="6">
        <f>NPV(WACC, tblProjects[[#This Row],[Year1]]:tblProjects[[#This Row],[Year5]])/ABS(tblProjects[[#This Row],[Initial Outlay]])</f>
        <v>1.3691366634725328</v>
      </c>
      <c r="AC2" s="6" cm="1">
        <f t="array" ref="AC2">_xlfn.LET(_xlpm.c, tblProjects[[#This Row],[Cum0]]:tblProjects[[#This Row],[Cum5]], _xlpm.k, _xlfn.XMATCH(TRUE, _xlpm.c&gt;=0, 0), IF(ISNUMBER(_xlpm.k), IF(_xlpm.k=1, 0, (_xlpm.k-1) + (-INDEX(_xlpm.c,1,_xlpm.k-1))/INDEX(tblProjects[[#This Row],[Year1]]:tblProjects[[#This Row],[Year5]],1,_xlpm.k-1)), "No PB"))</f>
        <v>4.25</v>
      </c>
      <c r="AD2" s="6" cm="1">
        <f t="array" ref="AD2">_xlfn.LET(_xlpm.c, tblProjects[[#This Row],[DCum0]]:tblProjects[[#This Row],[DCum5]], _xlpm.f, tblProjects[[#This Row],[DCash1]]:tblProjects[[#This Row],[DCash5]], _xlpm.k, _xlfn.XMATCH(TRUE, _xlpm.c&gt;=0, 0), IF(ISNUMBER(_xlpm.k), IF(_xlpm.k=1, 0, (_xlpm.k-1) + (-INDEX(_xlpm.c,1,_xlpm.k-1))/INDEX(_xlpm.f,1,_xlpm.k-1)), "No DPB"))</f>
        <v>4.789451538759713</v>
      </c>
      <c r="AE2" s="5" t="str">
        <f>IF(AND(tblProjects[[#This Row],[NPV]]&gt;0, tblProjects[[#This Row],[IRR]]&gt;WACC, tblProjects[[#This Row],[PI]]&gt;1), "ACCEPT", "REJECT")</f>
        <v>ACCEPT</v>
      </c>
    </row>
    <row r="3" spans="1:31" x14ac:dyDescent="0.25">
      <c r="A3" t="s">
        <v>68</v>
      </c>
      <c r="B3" s="4">
        <v>-120000</v>
      </c>
      <c r="C3" s="4">
        <v>20000</v>
      </c>
      <c r="D3" s="4">
        <v>30000</v>
      </c>
      <c r="E3" s="4">
        <v>40000</v>
      </c>
      <c r="F3" s="4">
        <v>50000</v>
      </c>
      <c r="G3" s="4">
        <v>55000</v>
      </c>
      <c r="H3" s="4">
        <f>tblProjects[[#This Row],[Initial Outlay]]</f>
        <v>-120000</v>
      </c>
      <c r="I3" s="4">
        <f>tblProjects[[#This Row],[Cum0]]+tblProjects[[#This Row],[Year1]]</f>
        <v>-100000</v>
      </c>
      <c r="J3" s="4">
        <f>tblProjects[[#This Row],[Cum1]]+tblProjects[[#This Row],[Year2]]</f>
        <v>-70000</v>
      </c>
      <c r="K3" s="4">
        <f>tblProjects[[#This Row],[Cum2]]+tblProjects[[#This Row],[Year3]]</f>
        <v>-30000</v>
      </c>
      <c r="L3" s="4">
        <f>tblProjects[[#This Row],[Cum3]]+tblProjects[[#This Row],[Year4]]</f>
        <v>20000</v>
      </c>
      <c r="M3" s="4">
        <f>tblProjects[[#This Row],[Cum4]]+tblProjects[[#This Row],[Year5]]</f>
        <v>75000</v>
      </c>
      <c r="N3" s="4">
        <f>tblProjects[[#This Row],[Year1]]/(1+WACC)^1</f>
        <v>18528.610354223434</v>
      </c>
      <c r="O3" s="4">
        <f>tblProjects[[#This Row],[Year2]]/(1+WACC)^2</f>
        <v>25748.205124397693</v>
      </c>
      <c r="P3" s="4">
        <f>tblProjects[[#This Row],[Year3]]/(1+WACC)^3</f>
        <v>31805.230671372265</v>
      </c>
      <c r="Q3" s="4">
        <f>tblProjects[[#This Row],[Year4]]/(1+WACC)^4</f>
        <v>36831.670396003312</v>
      </c>
      <c r="R3" s="4">
        <f>tblProjects[[#This Row],[Year5]]/(1+WACC)^5</f>
        <v>37534.181820450242</v>
      </c>
      <c r="S3" s="4">
        <f>tblProjects[[#This Row],[Initial Outlay]]</f>
        <v>-120000</v>
      </c>
      <c r="T3" s="4">
        <f>tblProjects[[#This Row],[DCum0]]+tblProjects[[#This Row],[DCash1]]</f>
        <v>-101471.38964577657</v>
      </c>
      <c r="U3" s="4">
        <f>tblProjects[[#This Row],[DCum1]]+tblProjects[[#This Row],[DCash2]]</f>
        <v>-75723.184521378877</v>
      </c>
      <c r="V3" s="4">
        <f>tblProjects[[#This Row],[DCum2]]+tblProjects[[#This Row],[DCash3]]</f>
        <v>-43917.953850006612</v>
      </c>
      <c r="W3" s="4">
        <f>tblProjects[[#This Row],[DCum3]]+tblProjects[[#This Row],[DCash4]]</f>
        <v>-7086.2834540033</v>
      </c>
      <c r="X3" s="4">
        <f>tblProjects[[#This Row],[DCum4]]+tblProjects[[#This Row],[DCash5]]</f>
        <v>30447.898366446942</v>
      </c>
      <c r="Y3" s="4">
        <f>NPV(WACC, tblProjects[[#This Row],[Year1]]:tblProjects[[#This Row],[Year5]]) + tblProjects[[#This Row],[Initial Outlay]]</f>
        <v>30447.898366446927</v>
      </c>
      <c r="Z3" s="3">
        <f>IRR(tblProjects[[#This Row],[Initial Outlay]]:tblProjects[[#This Row],[Year5]])</f>
        <v>0.15685673066177674</v>
      </c>
      <c r="AA3" s="3">
        <f>MIRR(tblProjects[[#This Row],[Initial Outlay]]:tblProjects[[#This Row],[Year5]], WACC, WACC)</f>
        <v>0.12934887370530279</v>
      </c>
      <c r="AB3" s="6">
        <f>NPV(WACC, tblProjects[[#This Row],[Year1]]:tblProjects[[#This Row],[Year5]])/ABS(tblProjects[[#This Row],[Initial Outlay]])</f>
        <v>1.2537324863870578</v>
      </c>
      <c r="AC3" s="6" cm="1">
        <f t="array" ref="AC3">_xlfn.LET(_xlpm.c, tblProjects[[#This Row],[Cum0]]:tblProjects[[#This Row],[Cum5]], _xlpm.k, _xlfn.XMATCH(TRUE, _xlpm.c&gt;=0, 0), IF(ISNUMBER(_xlpm.k), IF(_xlpm.k=1, 0, (_xlpm.k-1) + (-INDEX(_xlpm.c,1,_xlpm.k-1))/INDEX(tblProjects[[#This Row],[Year1]]:tblProjects[[#This Row],[Year5]],1,_xlpm.k-1)), "No PB"))</f>
        <v>4.5999999999999996</v>
      </c>
      <c r="AD3" s="6" cm="1">
        <f t="array" ref="AD3">_xlfn.LET(_xlpm.c, tblProjects[[#This Row],[DCum0]]:tblProjects[[#This Row],[DCum5]], _xlpm.f, tblProjects[[#This Row],[DCash1]]:tblProjects[[#This Row],[DCash5]], _xlpm.k, _xlfn.XMATCH(TRUE, _xlpm.c&gt;=0, 0), IF(ISNUMBER(_xlpm.k), IF(_xlpm.k=1, 0, (_xlpm.k-1) + (-INDEX(_xlpm.c,1,_xlpm.k-1))/INDEX(_xlpm.f,1,_xlpm.k-1)), "No DPB"))</f>
        <v>5.1887954688316231</v>
      </c>
      <c r="AE3" s="5" t="str">
        <f>IF(AND(tblProjects[[#This Row],[NPV]]&gt;0, tblProjects[[#This Row],[IRR]]&gt;WACC, tblProjects[[#This Row],[PI]]&gt;1), "ACCEPT", "REJECT")</f>
        <v>ACCEPT</v>
      </c>
    </row>
    <row r="4" spans="1:31" x14ac:dyDescent="0.25">
      <c r="A4" t="s">
        <v>69</v>
      </c>
      <c r="B4" s="4">
        <v>-80000</v>
      </c>
      <c r="C4" s="4">
        <v>22000</v>
      </c>
      <c r="D4" s="4">
        <v>24000</v>
      </c>
      <c r="E4" s="4">
        <v>26000</v>
      </c>
      <c r="F4" s="4">
        <v>30000</v>
      </c>
      <c r="G4" s="4">
        <v>35000</v>
      </c>
      <c r="H4" s="4">
        <f>tblProjects[[#This Row],[Initial Outlay]]</f>
        <v>-80000</v>
      </c>
      <c r="I4" s="4">
        <f>tblProjects[[#This Row],[Cum0]]+tblProjects[[#This Row],[Year1]]</f>
        <v>-58000</v>
      </c>
      <c r="J4" s="4">
        <f>tblProjects[[#This Row],[Cum1]]+tblProjects[[#This Row],[Year2]]</f>
        <v>-34000</v>
      </c>
      <c r="K4" s="4">
        <f>tblProjects[[#This Row],[Cum2]]+tblProjects[[#This Row],[Year3]]</f>
        <v>-8000</v>
      </c>
      <c r="L4" s="4">
        <f>tblProjects[[#This Row],[Cum3]]+tblProjects[[#This Row],[Year4]]</f>
        <v>22000</v>
      </c>
      <c r="M4" s="4">
        <f>tblProjects[[#This Row],[Cum4]]+tblProjects[[#This Row],[Year5]]</f>
        <v>57000</v>
      </c>
      <c r="N4" s="4">
        <f>tblProjects[[#This Row],[Year1]]/(1+WACC)^1</f>
        <v>20381.471389645776</v>
      </c>
      <c r="O4" s="4">
        <f>tblProjects[[#This Row],[Year2]]/(1+WACC)^2</f>
        <v>20598.564099518153</v>
      </c>
      <c r="P4" s="4">
        <f>tblProjects[[#This Row],[Year3]]/(1+WACC)^3</f>
        <v>20673.399936391972</v>
      </c>
      <c r="Q4" s="4">
        <f>tblProjects[[#This Row],[Year4]]/(1+WACC)^4</f>
        <v>22099.002237601988</v>
      </c>
      <c r="R4" s="4">
        <f>tblProjects[[#This Row],[Year5]]/(1+WACC)^5</f>
        <v>23885.38843119561</v>
      </c>
      <c r="S4" s="4">
        <f>tblProjects[[#This Row],[Initial Outlay]]</f>
        <v>-80000</v>
      </c>
      <c r="T4" s="4">
        <f>tblProjects[[#This Row],[DCum0]]+tblProjects[[#This Row],[DCash1]]</f>
        <v>-59618.528610354224</v>
      </c>
      <c r="U4" s="4">
        <f>tblProjects[[#This Row],[DCum1]]+tblProjects[[#This Row],[DCash2]]</f>
        <v>-39019.964510836071</v>
      </c>
      <c r="V4" s="4">
        <f>tblProjects[[#This Row],[DCum2]]+tblProjects[[#This Row],[DCash3]]</f>
        <v>-18346.564574444099</v>
      </c>
      <c r="W4" s="4">
        <f>tblProjects[[#This Row],[DCum3]]+tblProjects[[#This Row],[DCash4]]</f>
        <v>3752.4376631578889</v>
      </c>
      <c r="X4" s="4">
        <f>tblProjects[[#This Row],[DCum4]]+tblProjects[[#This Row],[DCash5]]</f>
        <v>27637.826094353499</v>
      </c>
      <c r="Y4" s="4">
        <f>NPV(WACC, tblProjects[[#This Row],[Year1]]:tblProjects[[#This Row],[Year5]]) + tblProjects[[#This Row],[Initial Outlay]]</f>
        <v>27637.826094353484</v>
      </c>
      <c r="Z4" s="3">
        <f>IRR(tblProjects[[#This Row],[Initial Outlay]]:tblProjects[[#This Row],[Year5]])</f>
        <v>0.19253224646347067</v>
      </c>
      <c r="AA4" s="3">
        <f>MIRR(tblProjects[[#This Row],[Initial Outlay]]:tblProjects[[#This Row],[Year5]], WACC, WACC)</f>
        <v>0.14541306731050119</v>
      </c>
      <c r="AB4" s="6">
        <f>NPV(WACC, tblProjects[[#This Row],[Year1]]:tblProjects[[#This Row],[Year5]])/ABS(tblProjects[[#This Row],[Initial Outlay]])</f>
        <v>1.3454728261794187</v>
      </c>
      <c r="AC4" s="6" cm="1">
        <f t="array" ref="AC4">_xlfn.LET(_xlpm.c, tblProjects[[#This Row],[Cum0]]:tblProjects[[#This Row],[Cum5]], _xlpm.k, _xlfn.XMATCH(TRUE, _xlpm.c&gt;=0, 0), IF(ISNUMBER(_xlpm.k), IF(_xlpm.k=1, 0, (_xlpm.k-1) + (-INDEX(_xlpm.c,1,_xlpm.k-1))/INDEX(tblProjects[[#This Row],[Year1]]:tblProjects[[#This Row],[Year5]],1,_xlpm.k-1)), "No PB"))</f>
        <v>4.2666666666666666</v>
      </c>
      <c r="AD4" s="6" cm="1">
        <f t="array" ref="AD4">_xlfn.LET(_xlpm.c, tblProjects[[#This Row],[DCum0]]:tblProjects[[#This Row],[DCum5]], _xlpm.f, tblProjects[[#This Row],[DCash1]]:tblProjects[[#This Row],[DCash5]], _xlpm.k, _xlfn.XMATCH(TRUE, _xlpm.c&gt;=0, 0), IF(ISNUMBER(_xlpm.k), IF(_xlpm.k=1, 0, (_xlpm.k-1) + (-INDEX(_xlpm.c,1,_xlpm.k-1))/INDEX(_xlpm.f,1,_xlpm.k-1)), "No DPB"))</f>
        <v>4.8301987744599151</v>
      </c>
      <c r="AE4" s="5" t="str">
        <f>IF(AND(tblProjects[[#This Row],[NPV]]&gt;0, tblProjects[[#This Row],[IRR]]&gt;WACC, tblProjects[[#This Row],[PI]]&gt;1), "ACCEPT", "REJECT")</f>
        <v>ACCEPT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18D7C-5587-429F-9A33-83FFA7ADB593}">
  <dimension ref="A1:A3"/>
  <sheetViews>
    <sheetView workbookViewId="0"/>
  </sheetViews>
  <sheetFormatPr defaultRowHeight="15" x14ac:dyDescent="0.25"/>
  <cols>
    <col min="1" max="1" width="36.5703125" bestFit="1" customWidth="1"/>
  </cols>
  <sheetData>
    <row r="1" spans="1:1" ht="16.5" x14ac:dyDescent="0.3">
      <c r="A1" s="8" t="s">
        <v>70</v>
      </c>
    </row>
    <row r="2" spans="1:1" ht="16.5" x14ac:dyDescent="0.3">
      <c r="A2" s="7" t="s">
        <v>71</v>
      </c>
    </row>
    <row r="3" spans="1:1" ht="16.5" x14ac:dyDescent="0.3">
      <c r="A3" s="7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8AA72-B6FC-4C5B-86A7-306628760E33}">
  <dimension ref="A1:N7"/>
  <sheetViews>
    <sheetView workbookViewId="0"/>
  </sheetViews>
  <sheetFormatPr defaultRowHeight="15" x14ac:dyDescent="0.25"/>
  <cols>
    <col min="1" max="1" width="41" bestFit="1" customWidth="1"/>
    <col min="2" max="2" width="6.5703125" bestFit="1" customWidth="1"/>
    <col min="4" max="4" width="28.140625" bestFit="1" customWidth="1"/>
    <col min="5" max="5" width="6.5703125" bestFit="1" customWidth="1"/>
    <col min="8" max="8" width="26.140625" bestFit="1" customWidth="1"/>
    <col min="9" max="9" width="8.42578125" bestFit="1" customWidth="1"/>
    <col min="10" max="14" width="8" bestFit="1" customWidth="1"/>
  </cols>
  <sheetData>
    <row r="1" spans="1:14" x14ac:dyDescent="0.25">
      <c r="A1" s="1" t="s">
        <v>73</v>
      </c>
      <c r="B1" s="1"/>
      <c r="C1" s="1"/>
      <c r="D1" s="1" t="s">
        <v>74</v>
      </c>
      <c r="E1" s="1"/>
      <c r="H1" t="s">
        <v>75</v>
      </c>
    </row>
    <row r="2" spans="1:14" x14ac:dyDescent="0.25">
      <c r="A2" s="1" t="s">
        <v>76</v>
      </c>
      <c r="B2" s="1" t="s">
        <v>77</v>
      </c>
      <c r="C2" s="1"/>
      <c r="D2" s="1" t="s">
        <v>78</v>
      </c>
      <c r="E2" s="1" t="s">
        <v>77</v>
      </c>
      <c r="H2" t="s">
        <v>79</v>
      </c>
      <c r="I2" t="s">
        <v>67</v>
      </c>
    </row>
    <row r="3" spans="1:14" x14ac:dyDescent="0.25">
      <c r="A3">
        <v>0.8</v>
      </c>
      <c r="B3" s="3">
        <f>Inputs!B21*Inputs!B14 + Inputs!B22*(Inputs!B3 + A3*Inputs!B4) + Inputs!B23*Inputs!B10</f>
        <v>6.7647058823529421E-2</v>
      </c>
      <c r="D3">
        <v>0.03</v>
      </c>
      <c r="E3" s="3">
        <f>Inputs!B21*Inputs!B14 + Inputs!B22*(Inputs!B3 + Inputs!B5*D3) + Inputs!B23*Inputs!B10</f>
        <v>6.5294117647058822E-2</v>
      </c>
    </row>
    <row r="4" spans="1:14" x14ac:dyDescent="0.25">
      <c r="A4">
        <v>1</v>
      </c>
      <c r="B4" s="3">
        <f>Inputs!B21*Inputs!B14 + Inputs!B22*(Inputs!B3 + A4*Inputs!B4) + Inputs!B23*Inputs!B10</f>
        <v>7.3529411764705871E-2</v>
      </c>
      <c r="D4">
        <v>0.04</v>
      </c>
      <c r="E4" s="3">
        <f>Inputs!B21*Inputs!B14 + Inputs!B22*(Inputs!B3 + Inputs!B5*D4) + Inputs!B23*Inputs!B10</f>
        <v>7.2352941176470592E-2</v>
      </c>
      <c r="H4" t="s">
        <v>80</v>
      </c>
      <c r="I4" s="3">
        <v>0.04</v>
      </c>
      <c r="J4" s="3">
        <v>0.06</v>
      </c>
      <c r="K4" s="3">
        <v>0.08</v>
      </c>
      <c r="L4" s="3">
        <v>0.1</v>
      </c>
      <c r="M4" s="3">
        <v>0.12</v>
      </c>
      <c r="N4" s="3">
        <v>0.14000000000000001</v>
      </c>
    </row>
    <row r="5" spans="1:14" x14ac:dyDescent="0.25">
      <c r="A5">
        <v>1.2</v>
      </c>
      <c r="B5" s="3">
        <f>Inputs!B21*Inputs!B14 + Inputs!B22*(Inputs!B3 + A5*Inputs!B4) + Inputs!B23*Inputs!B10</f>
        <v>7.9411764705882348E-2</v>
      </c>
      <c r="D5">
        <v>0.05</v>
      </c>
      <c r="E5" s="3">
        <f>Inputs!B21*Inputs!B14 + Inputs!B22*(Inputs!B3 + Inputs!B5*D5) + Inputs!B23*Inputs!B10</f>
        <v>7.9411764705882348E-2</v>
      </c>
      <c r="I5" s="10" cm="1">
        <f t="array" ref="I5">_xlfn.LET(_xlpm.p,$I$2, _xlpm.out, _xlfn.XLOOKUP(_xlpm.p, Projects!$A$2:$A$4, Projects!$B$2:$B$4), _xlpm.cf, _xlfn.XLOOKUP(_xlpm.p, Projects!$A$2:$A$4, Projects!$C$2:$G$4), NPV(I$4, _xlpm.cf)+ _xlpm.out)</f>
        <v>54068.907927835942</v>
      </c>
      <c r="J5" s="10" cm="1">
        <f t="array" ref="J5">_xlfn.LET(_xlpm.p,$I$2, _xlpm.out, _xlfn.XLOOKUP(_xlpm.p, Projects!$A$2:$A$4, Projects!$B$2:$B$4), _xlpm.cf, _xlfn.XLOOKUP(_xlpm.p, Projects!$A$2:$A$4, Projects!$C$2:$G$4), NPV(J$4, _xlpm.cf)+ _xlpm.out)</f>
        <v>44981.838075428503</v>
      </c>
      <c r="K5" s="10" cm="1">
        <f t="array" ref="K5">_xlfn.LET(_xlpm.p,$I$2, _xlpm.out, _xlfn.XLOOKUP(_xlpm.p, Projects!$A$2:$A$4, Projects!$B$2:$B$4), _xlpm.cf, _xlfn.XLOOKUP(_xlpm.p, Projects!$A$2:$A$4, Projects!$C$2:$G$4), NPV(K$4, _xlpm.cf)+ _xlpm.out)</f>
        <v>36679.879171284585</v>
      </c>
      <c r="L5" s="10" cm="1">
        <f t="array" ref="L5">_xlfn.LET(_xlpm.p,$I$2, _xlpm.out, _xlfn.XLOOKUP(_xlpm.p, Projects!$A$2:$A$4, Projects!$B$2:$B$4), _xlpm.cf, _xlfn.XLOOKUP(_xlpm.p, Projects!$A$2:$A$4, Projects!$C$2:$G$4), NPV(L$4, _xlpm.cf)+ _xlpm.out)</f>
        <v>29078.676940844787</v>
      </c>
      <c r="M5" s="10" cm="1">
        <f t="array" ref="M5">_xlfn.LET(_xlpm.p,$I$2, _xlpm.out, _xlfn.XLOOKUP(_xlpm.p, Projects!$A$2:$A$4, Projects!$B$2:$B$4), _xlpm.cf, _xlfn.XLOOKUP(_xlpm.p, Projects!$A$2:$A$4, Projects!$C$2:$G$4), NPV(M$4, _xlpm.cf)+ _xlpm.out)</f>
        <v>22104.485214958768</v>
      </c>
      <c r="N5" s="10" cm="1">
        <f t="array" ref="N5">_xlfn.LET(_xlpm.p,$I$2, _xlpm.out, _xlfn.XLOOKUP(_xlpm.p, Projects!$A$2:$A$4, Projects!$B$2:$B$4), _xlpm.cf, _xlfn.XLOOKUP(_xlpm.p, Projects!$A$2:$A$4, Projects!$C$2:$G$4), NPV(N$4, _xlpm.cf)+ _xlpm.out)</f>
        <v>15692.654473582283</v>
      </c>
    </row>
    <row r="6" spans="1:14" x14ac:dyDescent="0.25">
      <c r="A6">
        <v>1.4</v>
      </c>
      <c r="B6" s="3">
        <f>Inputs!B21*Inputs!B14 + Inputs!B22*(Inputs!B3 + A6*Inputs!B4) + Inputs!B23*Inputs!B10</f>
        <v>8.5294117647058812E-2</v>
      </c>
      <c r="D6">
        <v>0.06</v>
      </c>
      <c r="E6" s="3">
        <f>Inputs!B21*Inputs!B14 + Inputs!B22*(Inputs!B3 + Inputs!B5*D6) + Inputs!B23*Inputs!B10</f>
        <v>8.6470588235294105E-2</v>
      </c>
    </row>
    <row r="7" spans="1:14" x14ac:dyDescent="0.25">
      <c r="A7">
        <v>1.6</v>
      </c>
      <c r="B7" s="3">
        <f>Inputs!B21*Inputs!B14 + Inputs!B22*(Inputs!B3 + A7*Inputs!B4) + Inputs!B23*Inputs!B10</f>
        <v>9.1176470588235303E-2</v>
      </c>
      <c r="D7">
        <v>7.0000000000000007E-2</v>
      </c>
      <c r="E7" s="3">
        <f>Inputs!B21*Inputs!B14 + Inputs!B22*(Inputs!B3 + Inputs!B5*D7) + Inputs!B23*Inputs!B10</f>
        <v>9.3529411764705875E-2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Project" prompt="Choose a project for the NPV sensitivity curve." xr:uid="{4C149FC4-0DD6-485C-95ED-52709D2B9E08}">
          <x14:formula1>
            <xm:f>Projects!$A$2:$A$4</xm:f>
          </x14:formula1>
          <xm:sqref>I2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21FC-D5C7-4107-99DA-D7C72E36A048}">
  <dimension ref="A1:F23"/>
  <sheetViews>
    <sheetView workbookViewId="0"/>
  </sheetViews>
  <sheetFormatPr defaultRowHeight="15" x14ac:dyDescent="0.25"/>
  <cols>
    <col min="1" max="1" width="40.28515625" bestFit="1" customWidth="1"/>
    <col min="2" max="2" width="8.42578125" bestFit="1" customWidth="1"/>
    <col min="4" max="4" width="8.7109375" bestFit="1" customWidth="1"/>
    <col min="5" max="5" width="12.28515625" bestFit="1" customWidth="1"/>
    <col min="6" max="6" width="6.28515625" bestFit="1" customWidth="1"/>
  </cols>
  <sheetData>
    <row r="1" spans="1:6" ht="21" x14ac:dyDescent="0.35">
      <c r="A1" s="9" t="s">
        <v>81</v>
      </c>
    </row>
    <row r="3" spans="1:6" x14ac:dyDescent="0.25">
      <c r="A3" t="s">
        <v>82</v>
      </c>
      <c r="B3" t="s">
        <v>67</v>
      </c>
      <c r="E3" t="s">
        <v>83</v>
      </c>
      <c r="F3" s="3">
        <f>Inputs!B25</f>
        <v>7.9411764705882348E-2</v>
      </c>
    </row>
    <row r="6" spans="1:6" x14ac:dyDescent="0.25">
      <c r="A6" s="1" t="s">
        <v>60</v>
      </c>
      <c r="B6" s="10">
        <f>_xlfn.XLOOKUP($B$3, Projects!$A$2:$A$4, Projects!$Y$2:$Y$4)</f>
        <v>36913.666347253282</v>
      </c>
    </row>
    <row r="7" spans="1:6" x14ac:dyDescent="0.25">
      <c r="A7" s="1" t="s">
        <v>61</v>
      </c>
      <c r="B7" s="3">
        <f>_xlfn.XLOOKUP($B$3, Projects!$A$2:$A$4, Projects!$Z$2:$Z$4)</f>
        <v>0.19711108389976184</v>
      </c>
    </row>
    <row r="8" spans="1:6" x14ac:dyDescent="0.25">
      <c r="A8" s="1" t="s">
        <v>62</v>
      </c>
      <c r="B8" s="3">
        <f>_xlfn.XLOOKUP($B$3, Projects!$A$2:$A$4, Projects!$AA$2:$AA$4)</f>
        <v>0.14941406536611113</v>
      </c>
    </row>
    <row r="9" spans="1:6" x14ac:dyDescent="0.25">
      <c r="A9" s="1" t="s">
        <v>63</v>
      </c>
      <c r="B9" s="6">
        <f>_xlfn.XLOOKUP($B$3, Projects!$A$2:$A$4, Projects!$AB$2:$AB$4)</f>
        <v>1.3691366634725328</v>
      </c>
    </row>
    <row r="10" spans="1:6" x14ac:dyDescent="0.25">
      <c r="A10" s="1" t="s">
        <v>84</v>
      </c>
      <c r="B10" s="6">
        <f>_xlfn.XLOOKUP($B$3, Projects!$A$2:$A$4, Projects!$AC$2:$AC$4)</f>
        <v>4.25</v>
      </c>
    </row>
    <row r="11" spans="1:6" x14ac:dyDescent="0.25">
      <c r="A11" s="1" t="s">
        <v>85</v>
      </c>
      <c r="B11" s="6">
        <f>_xlfn.XLOOKUP($B$3, Projects!$A$2:$A$4, Projects!$AD$2:$AD$4)</f>
        <v>4.789451538759713</v>
      </c>
    </row>
    <row r="12" spans="1:6" x14ac:dyDescent="0.25">
      <c r="A12" s="1" t="s">
        <v>66</v>
      </c>
      <c r="B12" t="str">
        <f>_xlfn.XLOOKUP($B$3, Projects!$A$2:$A$4, Projects!$AE$2:$AE$4)</f>
        <v>ACCEPT</v>
      </c>
    </row>
    <row r="20" spans="4:5" x14ac:dyDescent="0.25">
      <c r="D20" t="s">
        <v>36</v>
      </c>
      <c r="E20" t="s">
        <v>60</v>
      </c>
    </row>
    <row r="21" spans="4:5" x14ac:dyDescent="0.25">
      <c r="D21" t="str">
        <f>Projects!A2</f>
        <v>Project A</v>
      </c>
      <c r="E21">
        <f>Projects!Y2</f>
        <v>36913.666347253282</v>
      </c>
    </row>
    <row r="22" spans="4:5" x14ac:dyDescent="0.25">
      <c r="D22" t="str">
        <f>Projects!A3</f>
        <v>Project B</v>
      </c>
      <c r="E22">
        <f>Projects!Y3</f>
        <v>30447.898366446927</v>
      </c>
    </row>
    <row r="23" spans="4:5" x14ac:dyDescent="0.25">
      <c r="D23" t="str">
        <f>Projects!A4</f>
        <v>Project C</v>
      </c>
      <c r="E23">
        <f>Projects!Y4</f>
        <v>27637.826094353484</v>
      </c>
    </row>
  </sheetData>
  <conditionalFormatting sqref="B12">
    <cfRule type="expression" dxfId="1" priority="1">
      <formula>B12="ACCEPT"</formula>
    </cfRule>
    <cfRule type="expression" dxfId="0" priority="2">
      <formula>B12="REJECT"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t Project" prompt="Choose a project to view KPIs." xr:uid="{18632828-8CCC-4DDA-84F5-FEDFF411297E}">
          <x14:formula1>
            <xm:f>Projects!$A$2:$A$4</xm:f>
          </x14:formula1>
          <xm:sqref>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Instructions</vt:lpstr>
      <vt:lpstr>Inputs</vt:lpstr>
      <vt:lpstr>Projects</vt:lpstr>
      <vt:lpstr>Sheet1</vt:lpstr>
      <vt:lpstr>Sensitivity</vt:lpstr>
      <vt:lpstr>Dashboard</vt:lpstr>
      <vt:lpstr>WACC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Bethany Evitts</dc:creator>
  <cp:keywords/>
  <dc:description/>
  <cp:lastModifiedBy>Bethany Evitts</cp:lastModifiedBy>
  <cp:revision/>
  <dcterms:created xsi:type="dcterms:W3CDTF">2025-10-31T17:45:34Z</dcterms:created>
  <dcterms:modified xsi:type="dcterms:W3CDTF">2025-11-02T13:51:13Z</dcterms:modified>
  <cp:category/>
  <cp:contentStatus/>
</cp:coreProperties>
</file>