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https://d.docs.live.net/58a91613f0104f47/EC_Teaching/BUS311 Corporate Finance_current/FA25- Teaching Materials - Brealey/Chapter 12 - Risk^J Return and Capital Budgeting/Spring 2026 Material and Activity/"/>
    </mc:Choice>
  </mc:AlternateContent>
  <xr:revisionPtr revIDLastSave="12" documentId="8_{3661BB17-B62A-4918-99F5-BE32383039D9}" xr6:coauthVersionLast="47" xr6:coauthVersionMax="47" xr10:uidLastSave="{329F0028-B420-1F44-BA6F-01471C1762A8}"/>
  <bookViews>
    <workbookView xWindow="0" yWindow="580" windowWidth="25600" windowHeight="15320" activeTab="4" xr2:uid="{00000000-000D-0000-FFFF-FFFF00000000}"/>
  </bookViews>
  <sheets>
    <sheet name="Instructions" sheetId="1" r:id="rId1"/>
    <sheet name="Return Data" sheetId="2" r:id="rId2"/>
    <sheet name="Beta Analysis" sheetId="3" r:id="rId3"/>
    <sheet name="CAPM" sheetId="4" r:id="rId4"/>
    <sheet name="Capital Budget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5" l="1"/>
  <c r="C25" i="5"/>
  <c r="D21" i="5"/>
  <c r="D20" i="5"/>
  <c r="D19" i="5"/>
  <c r="D18" i="5"/>
  <c r="D17" i="5"/>
  <c r="C23" i="4"/>
  <c r="C22" i="4"/>
  <c r="C21" i="4"/>
  <c r="C20" i="4"/>
  <c r="C19" i="4"/>
  <c r="C18" i="4"/>
  <c r="B14" i="4"/>
  <c r="B13" i="4"/>
  <c r="C9" i="4"/>
  <c r="C13" i="3"/>
  <c r="B16" i="3" s="1"/>
  <c r="C12" i="3"/>
  <c r="C8" i="3"/>
  <c r="B8" i="3"/>
  <c r="C7" i="3"/>
  <c r="B7" i="3"/>
</calcChain>
</file>

<file path=xl/sharedStrings.xml><?xml version="1.0" encoding="utf-8"?>
<sst xmlns="http://schemas.openxmlformats.org/spreadsheetml/2006/main" count="215" uniqueCount="210">
  <si>
    <t>Apex Technology Corporation — Beta Estimation &amp; CAPM Analysis</t>
  </si>
  <si>
    <t>BUS 311 Corporate Finance  |  Chapter 12: Risk, Return, and Capital Budgeting</t>
  </si>
  <si>
    <t>Estimated Time: 30–35 minutes  |  Use with the Chapter 12 slide deck</t>
  </si>
  <si>
    <t>Learning Objectives</t>
  </si>
  <si>
    <t>1.  Calculate beta (β) using Excel's SLOPE function on 60 months of return data</t>
  </si>
  <si>
    <t>2.  Measure the correlation between Apex Technology and the S&amp;P 500 using CORREL</t>
  </si>
  <si>
    <t>3.  Apply the Capital Asset Pricing Model (CAPM) to estimate Apex's cost of equity</t>
  </si>
  <si>
    <t>4.  Evaluate a capital investment using the CAPM-derived hurdle rate and NPV</t>
  </si>
  <si>
    <t>5.  Interpret beta and CAPM results in the context of real investment decisions</t>
  </si>
  <si>
    <t>Color Key</t>
  </si>
  <si>
    <t>Student Input Cell</t>
  </si>
  <si>
    <t>A formula or value YOU must enter. Yellow background, blue text.</t>
  </si>
  <si>
    <t>Given Data</t>
  </si>
  <si>
    <t>Data provided for you. Ice-blue background. Do not modify.</t>
  </si>
  <si>
    <t>Final Answer Cell</t>
  </si>
  <si>
    <t>Your key result — highlighted with a gold border for grading.</t>
  </si>
  <si>
    <t>Formula Hint</t>
  </si>
  <si>
    <t>Green cells contain hints to guide your formula entry (student version only).</t>
  </si>
  <si>
    <t>Workbook Navigation</t>
  </si>
  <si>
    <t>Tab 2:  Return Data</t>
  </si>
  <si>
    <t>60 months of S&amp;P 500 and Apex Technology monthly returns (given)</t>
  </si>
  <si>
    <t>Tab 3:  Beta Analysis</t>
  </si>
  <si>
    <t>Compute summary statistics, beta, and correlation</t>
  </si>
  <si>
    <t>Tab 4:  CAPM</t>
  </si>
  <si>
    <t>Enter CAPM inputs and calculate Apex's cost of equity</t>
  </si>
  <si>
    <t>Tab 5:  Capital Budgeting</t>
  </si>
  <si>
    <t>Use your hurdle rate to evaluate Apex's expansion project</t>
  </si>
  <si>
    <t>Data note: All return data is simulated for instructional purposes only.</t>
  </si>
  <si>
    <t>Historical Monthly Returns: S&amp;P 500 vs. Apex Technology Corporation</t>
  </si>
  <si>
    <t>January 2019 – December 2023  (60 months)  |  Simulated data for instructional purposes</t>
  </si>
  <si>
    <t>Month</t>
  </si>
  <si>
    <t>S&amp;P 500 Monthly Return</t>
  </si>
  <si>
    <t>Apex Technology Monthly Return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</si>
  <si>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</si>
  <si>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</si>
  <si>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</si>
  <si>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</si>
  <si>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</si>
  <si>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</si>
  <si>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</si>
  <si>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</si>
  <si>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</si>
  <si>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</si>
  <si>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</si>
  <si>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</si>
  <si>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</si>
  <si>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</si>
  <si>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</si>
  <si>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</si>
  <si>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</si>
  <si>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</si>
  <si>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</si>
  <si>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</si>
  <si>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</si>
  <si>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</si>
  <si>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</si>
  <si>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</si>
  <si>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</si>
  <si>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</si>
  <si>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</si>
  <si>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</si>
  <si>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</si>
  <si>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</si>
  <si>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</si>
  <si>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</si>
  <si>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</si>
  <si>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</si>
  <si>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</si>
  <si>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</si>
  <si>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</si>
  <si>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</si>
  <si>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</si>
  <si>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</si>
  <si>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</si>
  <si>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</si>
  <si>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</si>
  <si>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</si>
  <si>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</si>
  <si>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</si>
  <si>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</si>
  <si>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</si>
  <si>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</si>
  <si>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</si>
  <si>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</si>
  <si>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</si>
  <si>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</si>
  <si>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</si>
  <si>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</si>
  <si>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</si>
  <si>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</si>
  <si>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</si>
  <si>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</si>
  <si>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</si>
  <si>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Source: Simulated data. Apex Technology Corporation is a fictional company used for instructional purposes.</t>
  </si>
  <si>
    <t>Beta Analysis — Apex Technology Corporation</t>
  </si>
  <si>
    <t>SECTION 1 — Summary Statistics</t>
  </si>
  <si>
    <t>Metric</t>
  </si>
  <si>
    <t>S&amp;P 500 (Market)</t>
  </si>
  <si>
    <t>Apex Technology</t>
  </si>
  <si>
    <t>Average Monthly Return</t>
  </si>
  <si>
    <t>Hint: S&amp;P: =AVERAGE('Return Data'!B4:B63)  |  Apex: =AVERAGE('Return Data'!C4:C63)</t>
  </si>
  <si>
    <t>Std Dev of Monthly Returns</t>
  </si>
  <si>
    <t>Hint: S&amp;P: =STDEV('Return Data'!B4:B63)  |  Apex: =STDEV('Return Data'!C4:C63)</t>
  </si>
  <si>
    <t>Annualized Mean Return  (×12)</t>
  </si>
  <si>
    <t>← Pre-built formula. Do not modify.</t>
  </si>
  <si>
    <t>Annualized Std Dev  (×√12)</t>
  </si>
  <si>
    <t>SECTION 2 — Beta &amp; Correlation Estimates</t>
  </si>
  <si>
    <t>Your Formula Result</t>
  </si>
  <si>
    <t>Excel Function to Use</t>
  </si>
  <si>
    <t>Notes</t>
  </si>
  <si>
    <t>Beta  (β)  — Market Risk of Apex Technology</t>
  </si>
  <si>
    <t>y = Apex returns (col C), x = S&amp;P 500 returns (col B) — data in rows 4:63 of Return Data tab</t>
  </si>
  <si>
    <t>Correlation  (ρ)  — Apex vs. S&amp;P 500</t>
  </si>
  <si>
    <t>Measures strength of linear relationship between Apex and the market. Range: -1 to +1.</t>
  </si>
  <si>
    <t>SECTION 3 — Beta Verification Check</t>
  </si>
  <si>
    <t>Beta check:  ρ × (σ_Apex ÷ σ_SP500)</t>
  </si>
  <si>
    <t>(Should match beta above)</t>
  </si>
  <si>
    <t>The two formulas (SLOPE and ρ×σ/σ) are algebraically equivalent — use this to verify your work.</t>
  </si>
  <si>
    <t>SECTION 4 — Interpretation</t>
  </si>
  <si>
    <t>Beta &gt; 1.0 indicates:</t>
  </si>
  <si>
    <t>Apex Technology is MORE volatile than the S&amp;P 500 — higher market risk.</t>
  </si>
  <si>
    <t>Practical meaning:</t>
  </si>
  <si>
    <t>If the market rises 1%, Apex is expected to rise by approximately β%.</t>
  </si>
  <si>
    <t>For CAPM:</t>
  </si>
  <si>
    <t>This beta is what you will use in the next tab to estimate Apex's cost of equity.</t>
  </si>
  <si>
    <t>Capital Asset Pricing Model (CAPM) — Apex Technology Corporation</t>
  </si>
  <si>
    <t>CAPM Formula:   r  =  rƒ  +  β  ×  (rₘ − rƒ)</t>
  </si>
  <si>
    <t>SECTION 1 — CAPM Inputs</t>
  </si>
  <si>
    <t>Input</t>
  </si>
  <si>
    <t>Symbol</t>
  </si>
  <si>
    <t>Value</t>
  </si>
  <si>
    <t>Risk-Free Rate</t>
  </si>
  <si>
    <t>rƒ</t>
  </si>
  <si>
    <t>Use the 10-year U.S. Treasury yield. Enter as decimal (e.g., 0.045 for 4.5%)</t>
  </si>
  <si>
    <t>Market Risk Premium</t>
  </si>
  <si>
    <t>(rₘ−rƒ)</t>
  </si>
  <si>
    <t>Extra return of the market over T-bills. BUS 311 default = 7.0%. Enter as decimal.</t>
  </si>
  <si>
    <t>Beta  (β)</t>
  </si>
  <si>
    <t>β</t>
  </si>
  <si>
    <t>← Automatically pulled from your Beta Analysis tab (SLOPE result).</t>
  </si>
  <si>
    <t>SECTION 2 — CAPM Result: Cost of Equity</t>
  </si>
  <si>
    <t>Cost of Equity  =  rƒ  +  β × (rₘ − rƒ)</t>
  </si>
  <si>
    <t>← YOUR ANSWER</t>
  </si>
  <si>
    <t>Build the CAPM formula here: =rƒ + β × (rₘ − rƒ). Reference the cells above (B7, B8, B9).</t>
  </si>
  <si>
    <t>Risk-Free Rate Component  (rƒ)</t>
  </si>
  <si>
    <t>Risk Premium Component  (β × MRP)</t>
  </si>
  <si>
    <t>SECTION 3 — Sensitivity: How Beta Affects Required Return</t>
  </si>
  <si>
    <t>Scenario</t>
  </si>
  <si>
    <t>Assumed Beta (β)</t>
  </si>
  <si>
    <t>Cost of Equity</t>
  </si>
  <si>
    <t>Interpretation</t>
  </si>
  <si>
    <t>Low Risk (Utility-like)</t>
  </si>
  <si>
    <t>Very low — close to risk-free rate</t>
  </si>
  <si>
    <t>Defensive (Healthcare)</t>
  </si>
  <si>
    <t>Below-market required return</t>
  </si>
  <si>
    <t>Market-Average</t>
  </si>
  <si>
    <t>Same as market expected return</t>
  </si>
  <si>
    <t>Moderate Growth</t>
  </si>
  <si>
    <t>Apex Technology approximate beta</t>
  </si>
  <si>
    <t>High Growth (Tech)</t>
  </si>
  <si>
    <t>Well above market — investors demand more</t>
  </si>
  <si>
    <t>Aggressive (High Volatility)</t>
  </si>
  <si>
    <t>Very high required return — risky stock</t>
  </si>
  <si>
    <t>Capital Budgeting Decision — Apex Technology Cloud Infrastructure Expansion</t>
  </si>
  <si>
    <t>Apply your CAPM-derived hurdle rate to evaluate whether this project should be accepted.</t>
  </si>
  <si>
    <t>PROJECT DESCRIPTION</t>
  </si>
  <si>
    <t>Company</t>
  </si>
  <si>
    <t>Apex Technology Corporation</t>
  </si>
  <si>
    <t>Project</t>
  </si>
  <si>
    <t>New cloud data center infrastructure — East Coast Expansion</t>
  </si>
  <si>
    <t>Project Risk</t>
  </si>
  <si>
    <t>Comparable to Apex's existing technology operations (use Apex's beta)</t>
  </si>
  <si>
    <t>Initial Outlay</t>
  </si>
  <si>
    <t>$(45,000,000) invested at Year 0</t>
  </si>
  <si>
    <t>Project Life</t>
  </si>
  <si>
    <t>5 years</t>
  </si>
  <si>
    <t>STEP 1 — Enter Your Hurdle Rate</t>
  </si>
  <si>
    <t>CAPM Hurdle Rate (from your CAPM tab)</t>
  </si>
  <si>
    <t>← Enter your CAPM result</t>
  </si>
  <si>
    <t>After completing the CAPM tab, enter (or link) your cost of equity here as the hurdle rate.</t>
  </si>
  <si>
    <t>STEP 2 — Project Cash Flows (Given)</t>
  </si>
  <si>
    <t>Period</t>
  </si>
  <si>
    <t>Cash Flow ($)</t>
  </si>
  <si>
    <t>Description</t>
  </si>
  <si>
    <t>Present Value (auto-calculated)</t>
  </si>
  <si>
    <t>Year 0 (Today)</t>
  </si>
  <si>
    <t>Initial capital investment (outflow)</t>
  </si>
  <si>
    <t>N/A — invested today</t>
  </si>
  <si>
    <t>Year 1</t>
  </si>
  <si>
    <t>Infrastructure deployment &amp; early revenue</t>
  </si>
  <si>
    <t>Year 2</t>
  </si>
  <si>
    <t>Ramp-up — growing client base</t>
  </si>
  <si>
    <t>Year 3</t>
  </si>
  <si>
    <t>Full capacity — cloud services revenue</t>
  </si>
  <si>
    <t>Year 4</t>
  </si>
  <si>
    <t>Mature operations — cost efficiencies</t>
  </si>
  <si>
    <t>Year 5</t>
  </si>
  <si>
    <t>Peak revenue + residual value</t>
  </si>
  <si>
    <t>STEP 3 — Calculate NPV and IRR</t>
  </si>
  <si>
    <t>Your Formula</t>
  </si>
  <si>
    <t>Excel Function Hint</t>
  </si>
  <si>
    <t>Net Present Value (NPV)</t>
  </si>
  <si>
    <t>C16 = Year 0 cash flow (negative). NPV function covers years 1–5. Add Year 0 separately.</t>
  </si>
  <si>
    <t>Internal Rate of Return (IRR)</t>
  </si>
  <si>
    <t>Include all cash flows (Year 0 through Year 5). IRR is the rate that makes NPV = 0.</t>
  </si>
  <si>
    <t>STEP 4 — Investment Decision</t>
  </si>
  <si>
    <t>Accept or Reject the Project?</t>
  </si>
  <si>
    <t>(Type ACCEPT or REJECT)</t>
  </si>
  <si>
    <t>Accept if NPV &gt; 0 (project earns more than the hurdle rate). Reject if NPV &lt; 0.</t>
  </si>
  <si>
    <t>Justify your decision in one sentence: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</si>
</sst>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"/>
    <numFmt numFmtId="167" formatCode="_(\$* #,##0_);_(\$* \(#,##0\);_(\$* &quot;-&quot;_);_(@_)"/>
  </numFmts>
  <fonts count="3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color rgb="FFCADCFC"/>
      <name val="Arial"/>
      <family val="2"/>
    </font>
    <font>
      <b/>
      <sz val="11"/>
      <color rgb="FF1E2761"/>
      <name val="Arial"/>
      <family val="2"/>
    </font>
    <font>
      <b/>
      <sz val="12"/>
      <color rgb="FFFFFFFF"/>
      <name val="Arial"/>
      <family val="2"/>
    </font>
    <font>
      <sz val="11"/>
      <color rgb="FF1A1A2E"/>
      <name val="Arial"/>
      <family val="2"/>
    </font>
    <font>
      <b/>
      <sz val="11"/>
      <color rgb="FF0070C0"/>
      <name val="Arial"/>
      <family val="2"/>
    </font>
    <font>
      <sz val="10"/>
      <color rgb="FF1A1A2E"/>
      <name val="Arial"/>
      <family val="2"/>
    </font>
    <font>
      <b/>
      <sz val="11"/>
      <color rgb="FF1A1A2E"/>
      <name val="Arial"/>
      <family val="2"/>
    </font>
    <font>
      <b/>
      <sz val="11"/>
      <color rgb="FF1A6B2E"/>
      <name val="Arial"/>
      <family val="2"/>
    </font>
    <font>
      <b/>
      <sz val="11"/>
      <color rgb="FFCADCFC"/>
      <name val="Arial"/>
      <family val="2"/>
    </font>
    <font>
      <i/>
      <sz val="9"/>
      <color rgb="FF6B7280"/>
      <name val="Arial"/>
      <family val="2"/>
    </font>
    <font>
      <b/>
      <sz val="13"/>
      <color rgb="FFFFFFFF"/>
      <name val="Arial"/>
      <family val="2"/>
    </font>
    <font>
      <sz val="10"/>
      <color rgb="FFCADCFC"/>
      <name val="Arial"/>
      <family val="2"/>
    </font>
    <font>
      <b/>
      <sz val="11"/>
      <color rgb="FFFFFFFF"/>
      <name val="Arial"/>
      <family val="2"/>
    </font>
    <font>
      <sz val="11"/>
      <color rgb="FF0070C0"/>
      <name val="Arial"/>
      <family val="2"/>
    </font>
    <font>
      <i/>
      <sz val="9"/>
      <color rgb="FF1A6B2E"/>
      <name val="Arial"/>
      <family val="2"/>
    </font>
    <font>
      <sz val="12"/>
      <color rgb="FF0070C0"/>
      <name val="Arial"/>
      <family val="2"/>
    </font>
    <font>
      <i/>
      <sz val="10"/>
      <color rgb="FF1A6B2E"/>
      <name val="Arial"/>
      <family val="2"/>
    </font>
    <font>
      <i/>
      <sz val="10"/>
      <color rgb="FF6B7280"/>
      <name val="Arial"/>
      <family val="2"/>
    </font>
    <font>
      <b/>
      <sz val="14"/>
      <color rgb="FF1E2761"/>
      <name val="Arial"/>
      <family val="2"/>
    </font>
    <font>
      <b/>
      <sz val="13"/>
      <color rgb="FF1E2761"/>
      <name val="Arial"/>
      <family val="2"/>
    </font>
    <font>
      <b/>
      <sz val="12"/>
      <color rgb="FF0070C0"/>
      <name val="Arial"/>
      <family val="2"/>
    </font>
    <font>
      <b/>
      <sz val="12"/>
      <color rgb="FF1A1A2E"/>
      <name val="Arial"/>
      <family val="2"/>
    </font>
    <font>
      <b/>
      <sz val="12"/>
      <color rgb="FF1E2761"/>
      <name val="Arial"/>
      <family val="2"/>
    </font>
    <font>
      <b/>
      <sz val="14"/>
      <color rgb="FF0070C0"/>
      <name val="Arial"/>
      <family val="2"/>
    </font>
    <font>
      <b/>
      <sz val="11"/>
      <color rgb="FFDAA520"/>
      <name val="Arial"/>
      <family val="2"/>
    </font>
    <font>
      <b/>
      <sz val="10"/>
      <color rgb="FFDAA520"/>
      <name val="Arial"/>
      <family val="2"/>
    </font>
    <font>
      <b/>
      <sz val="11"/>
      <color rgb="FFC0392B"/>
      <name val="Arial"/>
      <family val="2"/>
    </font>
    <font>
      <b/>
      <sz val="13"/>
      <color rgb="FF0070C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1A2455"/>
      </patternFill>
    </fill>
    <fill>
      <patternFill patternType="solid">
        <fgColor rgb="FFDAA520"/>
      </patternFill>
    </fill>
    <fill>
      <patternFill patternType="solid">
        <fgColor rgb="FFF8F9FA"/>
      </patternFill>
    </fill>
    <fill>
      <patternFill patternType="solid">
        <fgColor rgb="FFFFFF00"/>
      </patternFill>
    </fill>
    <fill>
      <patternFill patternType="solid">
        <fgColor rgb="FFDDEEFF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EAF4FF"/>
      </patternFill>
    </fill>
  </fills>
  <borders count="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AA520"/>
      </left>
      <right style="thin">
        <color rgb="FFDAA520"/>
      </right>
      <top style="thin">
        <color rgb="FFDAA520"/>
      </top>
      <bottom style="thin">
        <color rgb="FFDAA520"/>
      </bottom>
      <diagonal/>
    </border>
    <border>
      <left style="thin">
        <color rgb="FF1E2761"/>
      </left>
      <right style="thin">
        <color rgb="FF1E2761"/>
      </right>
      <top style="thin">
        <color rgb="FF1E2761"/>
      </top>
      <bottom style="thin">
        <color rgb="FF1E276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AA520"/>
      </left>
      <right style="medium">
        <color rgb="FFDAA520"/>
      </right>
      <top style="medium">
        <color rgb="FFDAA520"/>
      </top>
      <bottom style="medium">
        <color rgb="FFDAA520"/>
      </bottom>
      <diagonal/>
    </border>
    <border>
      <left style="thin">
        <color rgb="FFAACCFF"/>
      </left>
      <right style="thin">
        <color rgb="FFAACCFF"/>
      </right>
      <top style="thin">
        <color rgb="FFAACCFF"/>
      </top>
      <bottom style="thin">
        <color rgb="FFAACCFF"/>
      </bottom>
      <diagonal/>
    </border>
    <border>
      <left/>
      <right/>
      <top style="medium">
        <color rgb="FFDAA520"/>
      </top>
      <bottom style="medium">
        <color rgb="FFDAA520"/>
      </bottom>
      <diagonal/>
    </border>
    <border>
      <left/>
      <right style="medium">
        <color rgb="FFDAA520"/>
      </right>
      <top style="medium">
        <color rgb="FFDAA520"/>
      </top>
      <bottom style="medium">
        <color rgb="FFDAA52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0" fontId="7" fillId="7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0" fontId="7" fillId="11" borderId="1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10" fontId="15" fillId="6" borderId="5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left" vertical="center" wrapText="1"/>
    </xf>
    <xf numFmtId="10" fontId="5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164" fontId="17" fillId="6" borderId="5" xfId="0" applyNumberFormat="1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21" fillId="5" borderId="4" xfId="0" applyFont="1" applyFill="1" applyBorder="1" applyAlignment="1">
      <alignment horizontal="center" vertical="center"/>
    </xf>
    <xf numFmtId="165" fontId="22" fillId="6" borderId="5" xfId="0" applyNumberFormat="1" applyFont="1" applyFill="1" applyBorder="1" applyAlignment="1">
      <alignment horizontal="center" vertical="center"/>
    </xf>
    <xf numFmtId="0" fontId="18" fillId="9" borderId="0" xfId="0" applyFont="1" applyFill="1" applyAlignment="1">
      <alignment horizontal="left" vertical="center" wrapText="1"/>
    </xf>
    <xf numFmtId="164" fontId="23" fillId="5" borderId="4" xfId="0" applyNumberFormat="1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left" vertical="center"/>
    </xf>
    <xf numFmtId="10" fontId="25" fillId="6" borderId="5" xfId="0" applyNumberFormat="1" applyFont="1" applyFill="1" applyBorder="1" applyAlignment="1">
      <alignment horizontal="center" vertical="center"/>
    </xf>
    <xf numFmtId="0" fontId="26" fillId="8" borderId="0" xfId="0" applyFont="1" applyFill="1" applyAlignment="1">
      <alignment horizontal="left" vertical="center"/>
    </xf>
    <xf numFmtId="165" fontId="5" fillId="5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166" fontId="5" fillId="7" borderId="4" xfId="0" applyNumberFormat="1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horizontal="left" vertical="center" wrapText="1"/>
    </xf>
    <xf numFmtId="166" fontId="5" fillId="5" borderId="4" xfId="0" applyNumberFormat="1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167" fontId="28" fillId="7" borderId="4" xfId="0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horizontal="left" vertical="center"/>
    </xf>
    <xf numFmtId="167" fontId="5" fillId="5" borderId="4" xfId="0" applyNumberFormat="1" applyFont="1" applyFill="1" applyBorder="1" applyAlignment="1">
      <alignment horizontal="center" vertical="center"/>
    </xf>
    <xf numFmtId="167" fontId="5" fillId="7" borderId="4" xfId="0" applyNumberFormat="1" applyFont="1" applyFill="1" applyBorder="1" applyAlignment="1">
      <alignment horizontal="center" vertical="center"/>
    </xf>
    <xf numFmtId="167" fontId="29" fillId="6" borderId="5" xfId="0" applyNumberFormat="1" applyFont="1" applyFill="1" applyBorder="1" applyAlignment="1">
      <alignment horizontal="center" vertical="center"/>
    </xf>
    <xf numFmtId="10" fontId="29" fillId="6" borderId="5" xfId="0" applyNumberFormat="1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0" fillId="0" borderId="0" xfId="0"/>
    <xf numFmtId="0" fontId="7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center" vertical="center"/>
    </xf>
    <xf numFmtId="0" fontId="15" fillId="6" borderId="5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A1:C24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28" customWidth="1"/>
    <col min="2" max="2" width="42" customWidth="1"/>
    <col min="3" max="3" width="40" customWidth="1"/>
  </cols>
  <sheetData>
    <row r="1" spans="1:3" ht="32" customHeight="1" x14ac:dyDescent="0.2">
      <c r="A1" s="50" t="s">
        <v>0</v>
      </c>
      <c r="B1" s="48"/>
      <c r="C1" s="48"/>
    </row>
    <row r="2" spans="1:3" ht="20" customHeight="1" x14ac:dyDescent="0.2">
      <c r="A2" s="52" t="s">
        <v>1</v>
      </c>
      <c r="B2" s="48"/>
      <c r="C2" s="48"/>
    </row>
    <row r="3" spans="1:3" ht="18" customHeight="1" x14ac:dyDescent="0.2">
      <c r="A3" s="54" t="s">
        <v>2</v>
      </c>
      <c r="B3" s="48"/>
      <c r="C3" s="48"/>
    </row>
    <row r="5" spans="1:3" ht="22" customHeight="1" x14ac:dyDescent="0.2">
      <c r="A5" s="53" t="s">
        <v>3</v>
      </c>
      <c r="B5" s="48"/>
      <c r="C5" s="48"/>
    </row>
    <row r="6" spans="1:3" ht="18" customHeight="1" x14ac:dyDescent="0.2">
      <c r="A6" s="51" t="s">
        <v>4</v>
      </c>
      <c r="B6" s="48"/>
      <c r="C6" s="48"/>
    </row>
    <row r="7" spans="1:3" ht="18" customHeight="1" x14ac:dyDescent="0.2">
      <c r="A7" s="51" t="s">
        <v>5</v>
      </c>
      <c r="B7" s="48"/>
      <c r="C7" s="48"/>
    </row>
    <row r="8" spans="1:3" ht="18" customHeight="1" x14ac:dyDescent="0.2">
      <c r="A8" s="51" t="s">
        <v>6</v>
      </c>
      <c r="B8" s="48"/>
      <c r="C8" s="48"/>
    </row>
    <row r="9" spans="1:3" ht="18" customHeight="1" x14ac:dyDescent="0.2">
      <c r="A9" s="51" t="s">
        <v>7</v>
      </c>
      <c r="B9" s="48"/>
      <c r="C9" s="48"/>
    </row>
    <row r="10" spans="1:3" ht="18" customHeight="1" x14ac:dyDescent="0.2">
      <c r="A10" s="51" t="s">
        <v>8</v>
      </c>
      <c r="B10" s="48"/>
      <c r="C10" s="48"/>
    </row>
    <row r="12" spans="1:3" ht="22" customHeight="1" x14ac:dyDescent="0.2">
      <c r="A12" s="53" t="s">
        <v>9</v>
      </c>
      <c r="B12" s="48"/>
      <c r="C12" s="48"/>
    </row>
    <row r="13" spans="1:3" ht="20" customHeight="1" x14ac:dyDescent="0.2">
      <c r="A13" s="1" t="s">
        <v>10</v>
      </c>
      <c r="B13" s="49" t="s">
        <v>11</v>
      </c>
      <c r="C13" s="48"/>
    </row>
    <row r="14" spans="1:3" ht="20" customHeight="1" x14ac:dyDescent="0.2">
      <c r="A14" s="2" t="s">
        <v>12</v>
      </c>
      <c r="B14" s="49" t="s">
        <v>13</v>
      </c>
      <c r="C14" s="48"/>
    </row>
    <row r="15" spans="1:3" ht="20" customHeight="1" x14ac:dyDescent="0.2">
      <c r="A15" s="3" t="s">
        <v>14</v>
      </c>
      <c r="B15" s="49" t="s">
        <v>15</v>
      </c>
      <c r="C15" s="48"/>
    </row>
    <row r="16" spans="1:3" ht="20" customHeight="1" x14ac:dyDescent="0.2">
      <c r="A16" s="4" t="s">
        <v>16</v>
      </c>
      <c r="B16" s="49" t="s">
        <v>17</v>
      </c>
      <c r="C16" s="48"/>
    </row>
    <row r="18" spans="1:3" ht="22" customHeight="1" x14ac:dyDescent="0.2">
      <c r="A18" s="53" t="s">
        <v>18</v>
      </c>
      <c r="B18" s="48"/>
      <c r="C18" s="48"/>
    </row>
    <row r="19" spans="1:3" ht="20" customHeight="1" x14ac:dyDescent="0.2">
      <c r="A19" s="5" t="s">
        <v>19</v>
      </c>
      <c r="B19" s="49" t="s">
        <v>20</v>
      </c>
      <c r="C19" s="48"/>
    </row>
    <row r="20" spans="1:3" ht="20" customHeight="1" x14ac:dyDescent="0.2">
      <c r="A20" s="5" t="s">
        <v>21</v>
      </c>
      <c r="B20" s="49" t="s">
        <v>22</v>
      </c>
      <c r="C20" s="48"/>
    </row>
    <row r="21" spans="1:3" ht="20" customHeight="1" x14ac:dyDescent="0.2">
      <c r="A21" s="5" t="s">
        <v>23</v>
      </c>
      <c r="B21" s="49" t="s">
        <v>24</v>
      </c>
      <c r="C21" s="48"/>
    </row>
    <row r="22" spans="1:3" ht="20" customHeight="1" x14ac:dyDescent="0.2">
      <c r="A22" s="5" t="s">
        <v>25</v>
      </c>
      <c r="B22" s="49" t="s">
        <v>26</v>
      </c>
      <c r="C22" s="48"/>
    </row>
    <row r="24" spans="1:3" x14ac:dyDescent="0.2">
      <c r="A24" s="47" t="s">
        <v>27</v>
      </c>
      <c r="B24" s="48"/>
      <c r="C24" s="48"/>
    </row>
  </sheetData>
  <mergeCells count="20">
    <mergeCell ref="A18:C18"/>
    <mergeCell ref="B22:C22"/>
    <mergeCell ref="A3:C3"/>
    <mergeCell ref="A12:C12"/>
    <mergeCell ref="A24:C24"/>
    <mergeCell ref="B15:C15"/>
    <mergeCell ref="A1:C1"/>
    <mergeCell ref="B20:C20"/>
    <mergeCell ref="A6:C6"/>
    <mergeCell ref="A7:C7"/>
    <mergeCell ref="A2:C2"/>
    <mergeCell ref="B21:C21"/>
    <mergeCell ref="A5:C5"/>
    <mergeCell ref="A8:C8"/>
    <mergeCell ref="B14:C14"/>
    <mergeCell ref="A10:C10"/>
    <mergeCell ref="B13:C13"/>
    <mergeCell ref="B19:C19"/>
    <mergeCell ref="A9:C9"/>
    <mergeCell ref="B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C65"/>
  <sheetViews>
    <sheetView workbookViewId="0">
      <selection activeCell="B3" sqref="B1:B1048576"/>
    </sheetView>
  </sheetViews>
  <sheetFormatPr baseColWidth="10" defaultColWidth="8.83203125" defaultRowHeight="15" x14ac:dyDescent="0.2"/>
  <cols>
    <col min="1" max="1" width="24.6640625" customWidth="1"/>
    <col min="2" max="2" width="26.1640625" bestFit="1" customWidth="1"/>
    <col min="3" max="3" width="35.5" bestFit="1" customWidth="1"/>
  </cols>
  <sheetData>
    <row r="1" spans="1:3" ht="28" customHeight="1" x14ac:dyDescent="0.2">
      <c r="A1" s="55" t="s">
        <v>28</v>
      </c>
      <c r="B1" s="48"/>
      <c r="C1" s="48"/>
    </row>
    <row r="2" spans="1:3" x14ac:dyDescent="0.2">
      <c r="A2" s="56" t="s">
        <v>29</v>
      </c>
      <c r="B2" s="48"/>
      <c r="C2" s="48"/>
    </row>
    <row r="3" spans="1:3" ht="22" customHeight="1" x14ac:dyDescent="0.2">
      <c r="A3" s="7" t="s">
        <v>30</v>
      </c>
      <c r="B3" s="7" t="s">
        <v>31</v>
      </c>
      <c r="C3" s="7" t="s">
        <v>32</v>
      </c>
    </row>
    <row r="4" spans="1:3" x14ac:dyDescent="0.2">
      <c r="A4" s="8" t="s">
        <v>33</v>
      </c>
      <c r="B4" s="9">
        <v>3.0352000000000001E-2</v>
      </c>
      <c r="C4" s="9">
        <v>2.2447000000000002E-2</v>
      </c>
    </row>
    <row r="5" spans="1:3" x14ac:dyDescent="0.2">
      <c r="A5" s="10" t="s">
        <v>34</v>
      </c>
      <c r="B5" s="11">
        <v>1.7780000000000001E-3</v>
      </c>
      <c r="C5" s="11">
        <v>-3.0360000000000001E-3</v>
      </c>
    </row>
    <row r="6" spans="1:3" x14ac:dyDescent="0.2">
      <c r="A6" s="8" t="s">
        <v>35</v>
      </c>
      <c r="B6" s="9">
        <v>3.7145999999999998E-2</v>
      </c>
      <c r="C6" s="9">
        <v>1.1785E-2</v>
      </c>
    </row>
    <row r="7" spans="1:3" x14ac:dyDescent="0.2">
      <c r="A7" s="10" t="s">
        <v>36</v>
      </c>
      <c r="B7" s="11">
        <v>7.6536000000000007E-2</v>
      </c>
      <c r="C7" s="11">
        <v>5.6356999999999997E-2</v>
      </c>
    </row>
    <row r="8" spans="1:3" x14ac:dyDescent="0.2">
      <c r="A8" s="8" t="s">
        <v>37</v>
      </c>
      <c r="B8" s="9">
        <v>-2.5370000000000002E-3</v>
      </c>
      <c r="C8" s="9">
        <v>2.1731E-2</v>
      </c>
    </row>
    <row r="9" spans="1:3" x14ac:dyDescent="0.2">
      <c r="A9" s="10" t="s">
        <v>38</v>
      </c>
      <c r="B9" s="11">
        <v>-2.5360000000000001E-3</v>
      </c>
      <c r="C9" s="11">
        <v>3.8044000000000001E-2</v>
      </c>
    </row>
    <row r="10" spans="1:3" x14ac:dyDescent="0.2">
      <c r="A10" s="8" t="s">
        <v>39</v>
      </c>
      <c r="B10" s="9">
        <v>7.9064999999999996E-2</v>
      </c>
      <c r="C10" s="9">
        <v>9.3117000000000005E-2</v>
      </c>
    </row>
    <row r="11" spans="1:3" x14ac:dyDescent="0.2">
      <c r="A11" s="10" t="s">
        <v>40</v>
      </c>
      <c r="B11" s="11">
        <v>4.2535000000000003E-2</v>
      </c>
      <c r="C11" s="11">
        <v>8.1546999999999994E-2</v>
      </c>
    </row>
    <row r="12" spans="1:3" x14ac:dyDescent="0.2">
      <c r="A12" s="8" t="s">
        <v>41</v>
      </c>
      <c r="B12" s="9">
        <v>-1.3126000000000001E-2</v>
      </c>
      <c r="C12" s="9">
        <v>-4.5030000000000001E-3</v>
      </c>
    </row>
    <row r="13" spans="1:3" x14ac:dyDescent="0.2">
      <c r="A13" s="10" t="s">
        <v>42</v>
      </c>
      <c r="B13" s="11">
        <v>3.2414999999999999E-2</v>
      </c>
      <c r="C13" s="11">
        <v>1.9945000000000001E-2</v>
      </c>
    </row>
    <row r="14" spans="1:3" x14ac:dyDescent="0.2">
      <c r="A14" s="8" t="s">
        <v>43</v>
      </c>
      <c r="B14" s="9">
        <v>-1.2854000000000001E-2</v>
      </c>
      <c r="C14" s="9">
        <v>-4.1830000000000001E-3</v>
      </c>
    </row>
    <row r="15" spans="1:3" x14ac:dyDescent="0.2">
      <c r="A15" s="10" t="s">
        <v>44</v>
      </c>
      <c r="B15" s="11">
        <v>-1.2958000000000001E-2</v>
      </c>
      <c r="C15" s="11">
        <v>3.0991999999999999E-2</v>
      </c>
    </row>
    <row r="16" spans="1:3" x14ac:dyDescent="0.2">
      <c r="A16" s="8" t="s">
        <v>45</v>
      </c>
      <c r="B16" s="9">
        <v>1.8887999999999999E-2</v>
      </c>
      <c r="C16" s="9">
        <v>2.1991E-2</v>
      </c>
    </row>
    <row r="17" spans="1:3" x14ac:dyDescent="0.2">
      <c r="A17" s="10" t="s">
        <v>46</v>
      </c>
      <c r="B17" s="11">
        <v>-7.8098000000000001E-2</v>
      </c>
      <c r="C17" s="11">
        <v>-4.6378000000000003E-2</v>
      </c>
    </row>
    <row r="18" spans="1:3" x14ac:dyDescent="0.2">
      <c r="A18" s="8" t="s">
        <v>47</v>
      </c>
      <c r="B18" s="9">
        <v>-6.9621000000000002E-2</v>
      </c>
      <c r="C18" s="9">
        <v>-0.16173799999999999</v>
      </c>
    </row>
    <row r="19" spans="1:3" x14ac:dyDescent="0.2">
      <c r="A19" s="10" t="s">
        <v>48</v>
      </c>
      <c r="B19" s="11">
        <v>-1.7302999999999999E-2</v>
      </c>
      <c r="C19" s="11">
        <v>4.2940000000000001E-3</v>
      </c>
    </row>
    <row r="20" spans="1:3" x14ac:dyDescent="0.2">
      <c r="A20" s="8" t="s">
        <v>49</v>
      </c>
      <c r="B20" s="9">
        <v>-3.7576999999999999E-2</v>
      </c>
      <c r="C20" s="9">
        <v>-4.2081E-2</v>
      </c>
    </row>
    <row r="21" spans="1:3" x14ac:dyDescent="0.2">
      <c r="A21" s="10" t="s">
        <v>50</v>
      </c>
      <c r="B21" s="11">
        <v>2.2141000000000001E-2</v>
      </c>
      <c r="C21" s="11">
        <v>1.7999000000000001E-2</v>
      </c>
    </row>
    <row r="22" spans="1:3" x14ac:dyDescent="0.2">
      <c r="A22" s="8" t="s">
        <v>51</v>
      </c>
      <c r="B22" s="9">
        <v>-3.2861000000000001E-2</v>
      </c>
      <c r="C22" s="9">
        <v>-3.628E-2</v>
      </c>
    </row>
    <row r="23" spans="1:3" x14ac:dyDescent="0.2">
      <c r="A23" s="10" t="s">
        <v>52</v>
      </c>
      <c r="B23" s="11">
        <v>-5.5553999999999999E-2</v>
      </c>
      <c r="C23" s="11">
        <v>-0.125891</v>
      </c>
    </row>
    <row r="24" spans="1:3" x14ac:dyDescent="0.2">
      <c r="A24" s="8" t="s">
        <v>53</v>
      </c>
      <c r="B24" s="9">
        <v>7.3954000000000006E-2</v>
      </c>
      <c r="C24" s="9">
        <v>8.2555000000000003E-2</v>
      </c>
    </row>
    <row r="25" spans="1:3" x14ac:dyDescent="0.2">
      <c r="A25" s="10" t="s">
        <v>54</v>
      </c>
      <c r="B25" s="11">
        <v>-2.16E-3</v>
      </c>
      <c r="C25" s="11">
        <v>8.5210000000000008E-3</v>
      </c>
    </row>
    <row r="26" spans="1:3" x14ac:dyDescent="0.2">
      <c r="A26" s="8" t="s">
        <v>55</v>
      </c>
      <c r="B26" s="9">
        <v>1.1039E-2</v>
      </c>
      <c r="C26" s="9">
        <v>5.7983E-2</v>
      </c>
    </row>
    <row r="27" spans="1:3" x14ac:dyDescent="0.2">
      <c r="A27" s="10" t="s">
        <v>56</v>
      </c>
      <c r="B27" s="11">
        <v>-5.6113999999999997E-2</v>
      </c>
      <c r="C27" s="11">
        <v>-8.2485000000000003E-2</v>
      </c>
    </row>
    <row r="28" spans="1:3" x14ac:dyDescent="0.2">
      <c r="A28" s="8" t="s">
        <v>57</v>
      </c>
      <c r="B28" s="9">
        <v>-1.6497000000000001E-2</v>
      </c>
      <c r="C28" s="9">
        <v>-4.3651000000000002E-2</v>
      </c>
    </row>
    <row r="29" spans="1:3" x14ac:dyDescent="0.2">
      <c r="A29" s="10" t="s">
        <v>58</v>
      </c>
      <c r="B29" s="11">
        <v>1.2992E-2</v>
      </c>
      <c r="C29" s="11">
        <v>9.3700000000000001E-4</v>
      </c>
    </row>
    <row r="30" spans="1:3" x14ac:dyDescent="0.2">
      <c r="A30" s="8" t="s">
        <v>59</v>
      </c>
      <c r="B30" s="9">
        <v>-4.3795000000000001E-2</v>
      </c>
      <c r="C30" s="9">
        <v>-2.4691999999999999E-2</v>
      </c>
    </row>
    <row r="31" spans="1:3" x14ac:dyDescent="0.2">
      <c r="A31" s="10" t="s">
        <v>60</v>
      </c>
      <c r="B31" s="11">
        <v>2.4906000000000001E-2</v>
      </c>
      <c r="C31" s="11">
        <v>4.0149999999999998E-2</v>
      </c>
    </row>
    <row r="32" spans="1:3" x14ac:dyDescent="0.2">
      <c r="A32" s="8" t="s">
        <v>61</v>
      </c>
      <c r="B32" s="9">
        <v>-1.9029000000000001E-2</v>
      </c>
      <c r="C32" s="9">
        <v>-3.8327E-2</v>
      </c>
    </row>
    <row r="33" spans="1:3" x14ac:dyDescent="0.2">
      <c r="A33" s="10" t="s">
        <v>62</v>
      </c>
      <c r="B33" s="11">
        <v>-5.1260000000000003E-3</v>
      </c>
      <c r="C33" s="11">
        <v>9.6469999999999993E-3</v>
      </c>
    </row>
    <row r="34" spans="1:3" x14ac:dyDescent="0.2">
      <c r="A34" s="8" t="s">
        <v>63</v>
      </c>
      <c r="B34" s="9">
        <v>-1.9077E-2</v>
      </c>
      <c r="C34" s="9">
        <v>-1.958E-2</v>
      </c>
    </row>
    <row r="35" spans="1:3" x14ac:dyDescent="0.2">
      <c r="A35" s="10" t="s">
        <v>64</v>
      </c>
      <c r="B35" s="11">
        <v>9.1353000000000004E-2</v>
      </c>
      <c r="C35" s="11">
        <v>0.13908200000000001</v>
      </c>
    </row>
    <row r="36" spans="1:3" x14ac:dyDescent="0.2">
      <c r="A36" s="8" t="s">
        <v>65</v>
      </c>
      <c r="B36" s="9">
        <v>7.3930000000000003E-3</v>
      </c>
      <c r="C36" s="9">
        <v>-1.179E-2</v>
      </c>
    </row>
    <row r="37" spans="1:3" x14ac:dyDescent="0.2">
      <c r="A37" s="10" t="s">
        <v>66</v>
      </c>
      <c r="B37" s="11">
        <v>-3.9597E-2</v>
      </c>
      <c r="C37" s="11">
        <v>-5.6945999999999997E-2</v>
      </c>
    </row>
    <row r="38" spans="1:3" x14ac:dyDescent="0.2">
      <c r="A38" s="8" t="s">
        <v>67</v>
      </c>
      <c r="B38" s="9">
        <v>4.5014999999999999E-2</v>
      </c>
      <c r="C38" s="9">
        <v>4.2653999999999997E-2</v>
      </c>
    </row>
    <row r="39" spans="1:3" x14ac:dyDescent="0.2">
      <c r="A39" s="10" t="s">
        <v>68</v>
      </c>
      <c r="B39" s="11">
        <v>-4.6938000000000001E-2</v>
      </c>
      <c r="C39" s="11">
        <v>-9.9831000000000003E-2</v>
      </c>
    </row>
    <row r="40" spans="1:3" x14ac:dyDescent="0.2">
      <c r="A40" s="8" t="s">
        <v>69</v>
      </c>
      <c r="B40" s="9">
        <v>1.7399000000000001E-2</v>
      </c>
      <c r="C40" s="9">
        <v>3.0162000000000001E-2</v>
      </c>
    </row>
    <row r="41" spans="1:3" x14ac:dyDescent="0.2">
      <c r="A41" s="10" t="s">
        <v>70</v>
      </c>
      <c r="B41" s="11">
        <v>-8.0185000000000006E-2</v>
      </c>
      <c r="C41" s="11">
        <v>-8.7991E-2</v>
      </c>
    </row>
    <row r="42" spans="1:3" x14ac:dyDescent="0.2">
      <c r="A42" s="8" t="s">
        <v>71</v>
      </c>
      <c r="B42" s="9">
        <v>-5.1768000000000002E-2</v>
      </c>
      <c r="C42" s="9">
        <v>-6.1568999999999999E-2</v>
      </c>
    </row>
    <row r="43" spans="1:3" x14ac:dyDescent="0.2">
      <c r="A43" s="10" t="s">
        <v>72</v>
      </c>
      <c r="B43" s="11">
        <v>1.6858999999999999E-2</v>
      </c>
      <c r="C43" s="11">
        <v>1.3592999999999999E-2</v>
      </c>
    </row>
    <row r="44" spans="1:3" x14ac:dyDescent="0.2">
      <c r="A44" s="8" t="s">
        <v>73</v>
      </c>
      <c r="B44" s="9">
        <v>4.1230999999999997E-2</v>
      </c>
      <c r="C44" s="9">
        <v>7.4159999999999998E-3</v>
      </c>
    </row>
    <row r="45" spans="1:3" x14ac:dyDescent="0.2">
      <c r="A45" s="10" t="s">
        <v>74</v>
      </c>
      <c r="B45" s="11">
        <v>1.5712E-2</v>
      </c>
      <c r="C45" s="11">
        <v>6.6350000000000003E-3</v>
      </c>
    </row>
    <row r="46" spans="1:3" x14ac:dyDescent="0.2">
      <c r="A46" s="8" t="s">
        <v>75</v>
      </c>
      <c r="B46" s="9">
        <v>2.7959999999999999E-3</v>
      </c>
      <c r="C46" s="9">
        <v>-6.5259999999999997E-3</v>
      </c>
    </row>
    <row r="47" spans="1:3" x14ac:dyDescent="0.2">
      <c r="A47" s="10" t="s">
        <v>76</v>
      </c>
      <c r="B47" s="11">
        <v>-5.5500000000000002E-3</v>
      </c>
      <c r="C47" s="11">
        <v>-3.0328000000000001E-2</v>
      </c>
    </row>
    <row r="48" spans="1:3" x14ac:dyDescent="0.2">
      <c r="A48" s="8" t="s">
        <v>77</v>
      </c>
      <c r="B48" s="9">
        <v>-5.8533000000000002E-2</v>
      </c>
      <c r="C48" s="9">
        <v>-7.4678999999999995E-2</v>
      </c>
    </row>
    <row r="49" spans="1:3" x14ac:dyDescent="0.2">
      <c r="A49" s="10" t="s">
        <v>78</v>
      </c>
      <c r="B49" s="11">
        <v>-2.4393000000000001E-2</v>
      </c>
      <c r="C49" s="11">
        <v>-1.6750000000000001E-2</v>
      </c>
    </row>
    <row r="50" spans="1:3" x14ac:dyDescent="0.2">
      <c r="A50" s="8" t="s">
        <v>79</v>
      </c>
      <c r="B50" s="9">
        <v>-1.2729000000000001E-2</v>
      </c>
      <c r="C50" s="9">
        <v>4.1710999999999998E-2</v>
      </c>
    </row>
    <row r="51" spans="1:3" x14ac:dyDescent="0.2">
      <c r="A51" s="10" t="s">
        <v>80</v>
      </c>
      <c r="B51" s="11">
        <v>5.5571000000000002E-2</v>
      </c>
      <c r="C51" s="11">
        <v>7.2321999999999997E-2</v>
      </c>
    </row>
    <row r="52" spans="1:3" x14ac:dyDescent="0.2">
      <c r="A52" s="8" t="s">
        <v>81</v>
      </c>
      <c r="B52" s="9">
        <v>2.3463000000000001E-2</v>
      </c>
      <c r="C52" s="9">
        <v>3.6282000000000002E-2</v>
      </c>
    </row>
    <row r="53" spans="1:3" x14ac:dyDescent="0.2">
      <c r="A53" s="10" t="s">
        <v>82</v>
      </c>
      <c r="B53" s="11">
        <v>-7.1336999999999998E-2</v>
      </c>
      <c r="C53" s="11">
        <v>-8.7438000000000002E-2</v>
      </c>
    </row>
    <row r="54" spans="1:3" x14ac:dyDescent="0.2">
      <c r="A54" s="8" t="s">
        <v>83</v>
      </c>
      <c r="B54" s="9">
        <v>2.2584E-2</v>
      </c>
      <c r="C54" s="9">
        <v>-3.0062999999999999E-2</v>
      </c>
    </row>
    <row r="55" spans="1:3" x14ac:dyDescent="0.2">
      <c r="A55" s="10" t="s">
        <v>84</v>
      </c>
      <c r="B55" s="11">
        <v>-9.3290000000000005E-3</v>
      </c>
      <c r="C55" s="11">
        <v>-1.159E-2</v>
      </c>
    </row>
    <row r="56" spans="1:3" x14ac:dyDescent="0.2">
      <c r="A56" s="8" t="s">
        <v>85</v>
      </c>
      <c r="B56" s="9">
        <v>-2.2460999999999998E-2</v>
      </c>
      <c r="C56" s="9">
        <v>-2.4747000000000002E-2</v>
      </c>
    </row>
    <row r="57" spans="1:3" x14ac:dyDescent="0.2">
      <c r="A57" s="10" t="s">
        <v>86</v>
      </c>
      <c r="B57" s="11">
        <v>3.5525000000000001E-2</v>
      </c>
      <c r="C57" s="11">
        <v>0.116928</v>
      </c>
    </row>
    <row r="58" spans="1:3" x14ac:dyDescent="0.2">
      <c r="A58" s="8" t="s">
        <v>87</v>
      </c>
      <c r="B58" s="9">
        <v>5.4394999999999999E-2</v>
      </c>
      <c r="C58" s="9">
        <v>5.9902999999999998E-2</v>
      </c>
    </row>
    <row r="59" spans="1:3" x14ac:dyDescent="0.2">
      <c r="A59" s="10" t="s">
        <v>88</v>
      </c>
      <c r="B59" s="11">
        <v>4.9908000000000001E-2</v>
      </c>
      <c r="C59" s="11">
        <v>6.9335999999999995E-2</v>
      </c>
    </row>
    <row r="60" spans="1:3" x14ac:dyDescent="0.2">
      <c r="A60" s="8" t="s">
        <v>89</v>
      </c>
      <c r="B60" s="9">
        <v>-2.9765E-2</v>
      </c>
      <c r="C60" s="9">
        <v>-3.6359000000000002E-2</v>
      </c>
    </row>
    <row r="61" spans="1:3" x14ac:dyDescent="0.2">
      <c r="A61" s="10" t="s">
        <v>90</v>
      </c>
      <c r="B61" s="11">
        <v>-5.9150000000000001E-3</v>
      </c>
      <c r="C61" s="11">
        <v>-4.1758000000000003E-2</v>
      </c>
    </row>
    <row r="62" spans="1:3" x14ac:dyDescent="0.2">
      <c r="A62" s="8" t="s">
        <v>91</v>
      </c>
      <c r="B62" s="9">
        <v>2.2907E-2</v>
      </c>
      <c r="C62" s="9">
        <v>6.2172999999999999E-2</v>
      </c>
    </row>
    <row r="63" spans="1:3" x14ac:dyDescent="0.2">
      <c r="A63" s="10" t="s">
        <v>92</v>
      </c>
      <c r="B63" s="11">
        <v>5.1900000000000002E-2</v>
      </c>
      <c r="C63" s="11">
        <v>8.5236999999999993E-2</v>
      </c>
    </row>
    <row r="65" spans="1:3" x14ac:dyDescent="0.2">
      <c r="A65" s="47" t="s">
        <v>93</v>
      </c>
      <c r="B65" s="48"/>
      <c r="C65" s="48"/>
    </row>
  </sheetData>
  <mergeCells count="3">
    <mergeCell ref="A1:C1"/>
    <mergeCell ref="A65:C6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A520"/>
  </sheetPr>
  <dimension ref="A1:D21"/>
  <sheetViews>
    <sheetView topLeftCell="A2" workbookViewId="0">
      <selection activeCell="B5" sqref="B5"/>
    </sheetView>
  </sheetViews>
  <sheetFormatPr baseColWidth="10" defaultColWidth="8.83203125" defaultRowHeight="15" x14ac:dyDescent="0.2"/>
  <cols>
    <col min="1" max="1" width="59.33203125" customWidth="1"/>
    <col min="2" max="3" width="24" customWidth="1"/>
    <col min="4" max="4" width="42" customWidth="1"/>
  </cols>
  <sheetData>
    <row r="1" spans="1:4" ht="28" customHeight="1" x14ac:dyDescent="0.2">
      <c r="A1" s="55" t="s">
        <v>94</v>
      </c>
      <c r="B1" s="48"/>
      <c r="C1" s="48"/>
      <c r="D1" s="48"/>
    </row>
    <row r="3" spans="1:4" ht="22" customHeight="1" x14ac:dyDescent="0.2">
      <c r="A3" s="53" t="s">
        <v>95</v>
      </c>
      <c r="B3" s="48"/>
      <c r="C3" s="48"/>
      <c r="D3" s="48"/>
    </row>
    <row r="4" spans="1:4" x14ac:dyDescent="0.2">
      <c r="A4" s="12" t="s">
        <v>96</v>
      </c>
      <c r="B4" s="12" t="s">
        <v>97</v>
      </c>
      <c r="C4" s="12" t="s">
        <v>98</v>
      </c>
    </row>
    <row r="5" spans="1:4" ht="35.25" customHeight="1" x14ac:dyDescent="0.2">
      <c r="A5" s="13" t="s">
        <v>99</v>
      </c>
      <c r="B5" s="14"/>
      <c r="C5" s="14"/>
      <c r="D5" s="15" t="s">
        <v>100</v>
      </c>
    </row>
    <row r="6" spans="1:4" ht="36" customHeight="1" x14ac:dyDescent="0.2">
      <c r="A6" s="13" t="s">
        <v>101</v>
      </c>
      <c r="B6" s="14"/>
      <c r="C6" s="14"/>
      <c r="D6" s="15" t="s">
        <v>102</v>
      </c>
    </row>
    <row r="7" spans="1:4" ht="20" customHeight="1" x14ac:dyDescent="0.2">
      <c r="A7" s="13" t="s">
        <v>103</v>
      </c>
      <c r="B7" s="16">
        <f>B5*12</f>
        <v>0</v>
      </c>
      <c r="C7" s="16">
        <f>C5*12</f>
        <v>0</v>
      </c>
      <c r="D7" s="6" t="s">
        <v>104</v>
      </c>
    </row>
    <row r="8" spans="1:4" ht="32.25" customHeight="1" x14ac:dyDescent="0.2">
      <c r="A8" s="13" t="s">
        <v>105</v>
      </c>
      <c r="B8" s="16">
        <f>B6*SQRT(12)</f>
        <v>0</v>
      </c>
      <c r="C8" s="16">
        <f>C6*SQRT(12)</f>
        <v>0</v>
      </c>
      <c r="D8" s="6" t="s">
        <v>104</v>
      </c>
    </row>
    <row r="10" spans="1:4" ht="22" customHeight="1" x14ac:dyDescent="0.2">
      <c r="A10" s="53" t="s">
        <v>106</v>
      </c>
      <c r="B10" s="48"/>
      <c r="C10" s="48"/>
      <c r="D10" s="48"/>
    </row>
    <row r="11" spans="1:4" x14ac:dyDescent="0.2">
      <c r="A11" s="12" t="s">
        <v>96</v>
      </c>
      <c r="B11" s="12" t="s">
        <v>107</v>
      </c>
      <c r="C11" s="12" t="s">
        <v>108</v>
      </c>
      <c r="D11" s="12" t="s">
        <v>109</v>
      </c>
    </row>
    <row r="12" spans="1:4" ht="38.25" customHeight="1" x14ac:dyDescent="0.2">
      <c r="A12" s="17" t="s">
        <v>110</v>
      </c>
      <c r="B12" s="18"/>
      <c r="C12" s="19" t="e">
        <f>SLOPE(y_vals, x_vals)</f>
        <v>#NAME?</v>
      </c>
      <c r="D12" s="20" t="s">
        <v>111</v>
      </c>
    </row>
    <row r="13" spans="1:4" ht="46.5" customHeight="1" x14ac:dyDescent="0.2">
      <c r="A13" s="17" t="s">
        <v>112</v>
      </c>
      <c r="B13" s="18"/>
      <c r="C13" s="19" t="e">
        <f>CORREL(y_vals, x_vals)</f>
        <v>#NAME?</v>
      </c>
      <c r="D13" s="20" t="s">
        <v>113</v>
      </c>
    </row>
    <row r="15" spans="1:4" ht="22" customHeight="1" x14ac:dyDescent="0.2">
      <c r="A15" s="53" t="s">
        <v>114</v>
      </c>
      <c r="B15" s="48"/>
      <c r="C15" s="48"/>
      <c r="D15" s="48"/>
    </row>
    <row r="16" spans="1:4" ht="22" customHeight="1" x14ac:dyDescent="0.2">
      <c r="A16" s="13" t="s">
        <v>115</v>
      </c>
      <c r="B16" s="21" t="e">
        <f>C13*(C6/B6)</f>
        <v>#NAME?</v>
      </c>
      <c r="C16" s="22" t="s">
        <v>116</v>
      </c>
      <c r="D16" s="15" t="s">
        <v>117</v>
      </c>
    </row>
    <row r="18" spans="1:4" ht="22" customHeight="1" x14ac:dyDescent="0.2">
      <c r="A18" s="53" t="s">
        <v>118</v>
      </c>
      <c r="B18" s="48"/>
      <c r="C18" s="48"/>
      <c r="D18" s="48"/>
    </row>
    <row r="19" spans="1:4" ht="20" customHeight="1" x14ac:dyDescent="0.2">
      <c r="A19" s="23" t="s">
        <v>119</v>
      </c>
      <c r="B19" s="57" t="s">
        <v>120</v>
      </c>
      <c r="C19" s="48"/>
      <c r="D19" s="48"/>
    </row>
    <row r="20" spans="1:4" ht="20" customHeight="1" x14ac:dyDescent="0.2">
      <c r="A20" s="23" t="s">
        <v>121</v>
      </c>
      <c r="B20" s="57" t="s">
        <v>122</v>
      </c>
      <c r="C20" s="48"/>
      <c r="D20" s="48"/>
    </row>
    <row r="21" spans="1:4" ht="20" customHeight="1" x14ac:dyDescent="0.2">
      <c r="A21" s="23" t="s">
        <v>123</v>
      </c>
      <c r="B21" s="57" t="s">
        <v>124</v>
      </c>
      <c r="C21" s="48"/>
      <c r="D21" s="48"/>
    </row>
  </sheetData>
  <mergeCells count="8">
    <mergeCell ref="B21:D21"/>
    <mergeCell ref="A10:D10"/>
    <mergeCell ref="B20:D20"/>
    <mergeCell ref="A1:D1"/>
    <mergeCell ref="A18:D18"/>
    <mergeCell ref="B19:D19"/>
    <mergeCell ref="A3:D3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D23"/>
  <sheetViews>
    <sheetView workbookViewId="0">
      <selection sqref="A1:D1"/>
    </sheetView>
  </sheetViews>
  <sheetFormatPr baseColWidth="10" defaultColWidth="8.83203125" defaultRowHeight="15" x14ac:dyDescent="0.2"/>
  <cols>
    <col min="1" max="1" width="38" customWidth="1"/>
    <col min="2" max="3" width="20" customWidth="1"/>
    <col min="4" max="4" width="38" customWidth="1"/>
  </cols>
  <sheetData>
    <row r="1" spans="1:4" ht="28" customHeight="1" x14ac:dyDescent="0.2">
      <c r="A1" s="55" t="s">
        <v>125</v>
      </c>
      <c r="B1" s="48"/>
      <c r="C1" s="48"/>
      <c r="D1" s="48"/>
    </row>
    <row r="3" spans="1:4" ht="30" customHeight="1" x14ac:dyDescent="0.2">
      <c r="A3" s="58" t="s">
        <v>126</v>
      </c>
      <c r="B3" s="48"/>
      <c r="C3" s="48"/>
      <c r="D3" s="48"/>
    </row>
    <row r="5" spans="1:4" ht="22" customHeight="1" x14ac:dyDescent="0.2">
      <c r="A5" s="53" t="s">
        <v>127</v>
      </c>
      <c r="B5" s="48"/>
      <c r="C5" s="48"/>
      <c r="D5" s="48"/>
    </row>
    <row r="6" spans="1:4" x14ac:dyDescent="0.2">
      <c r="A6" s="12" t="s">
        <v>128</v>
      </c>
      <c r="B6" s="12" t="s">
        <v>129</v>
      </c>
      <c r="C6" s="12" t="s">
        <v>130</v>
      </c>
      <c r="D6" s="12" t="s">
        <v>109</v>
      </c>
    </row>
    <row r="7" spans="1:4" ht="24" customHeight="1" x14ac:dyDescent="0.2">
      <c r="A7" s="13" t="s">
        <v>131</v>
      </c>
      <c r="B7" s="24" t="s">
        <v>132</v>
      </c>
      <c r="C7" s="25"/>
      <c r="D7" s="26" t="s">
        <v>133</v>
      </c>
    </row>
    <row r="8" spans="1:4" ht="24" customHeight="1" x14ac:dyDescent="0.2">
      <c r="A8" s="13" t="s">
        <v>134</v>
      </c>
      <c r="B8" s="24" t="s">
        <v>135</v>
      </c>
      <c r="C8" s="25"/>
      <c r="D8" s="26" t="s">
        <v>136</v>
      </c>
    </row>
    <row r="9" spans="1:4" ht="22" customHeight="1" x14ac:dyDescent="0.2">
      <c r="A9" s="13" t="s">
        <v>137</v>
      </c>
      <c r="B9" s="24" t="s">
        <v>138</v>
      </c>
      <c r="C9" s="27">
        <f>'Beta Analysis'!B12</f>
        <v>0</v>
      </c>
      <c r="D9" s="20" t="s">
        <v>139</v>
      </c>
    </row>
    <row r="11" spans="1:4" ht="22" customHeight="1" x14ac:dyDescent="0.2">
      <c r="A11" s="53" t="s">
        <v>140</v>
      </c>
      <c r="B11" s="48"/>
      <c r="C11" s="48"/>
      <c r="D11" s="48"/>
    </row>
    <row r="12" spans="1:4" ht="28" customHeight="1" x14ac:dyDescent="0.2">
      <c r="A12" s="28" t="s">
        <v>141</v>
      </c>
      <c r="B12" s="29"/>
      <c r="C12" s="30" t="s">
        <v>142</v>
      </c>
      <c r="D12" s="26" t="s">
        <v>143</v>
      </c>
    </row>
    <row r="13" spans="1:4" ht="18" customHeight="1" x14ac:dyDescent="0.2">
      <c r="A13" s="13" t="s">
        <v>144</v>
      </c>
      <c r="B13" s="31" t="str">
        <f>B7</f>
        <v>rƒ</v>
      </c>
    </row>
    <row r="14" spans="1:4" ht="18" customHeight="1" x14ac:dyDescent="0.2">
      <c r="A14" s="13" t="s">
        <v>145</v>
      </c>
      <c r="B14" s="31" t="e">
        <f>B9*B8</f>
        <v>#VALUE!</v>
      </c>
    </row>
    <row r="16" spans="1:4" ht="22" customHeight="1" x14ac:dyDescent="0.2">
      <c r="A16" s="53" t="s">
        <v>146</v>
      </c>
      <c r="B16" s="48"/>
      <c r="C16" s="48"/>
      <c r="D16" s="48"/>
    </row>
    <row r="17" spans="1:4" x14ac:dyDescent="0.2">
      <c r="A17" s="12" t="s">
        <v>147</v>
      </c>
      <c r="B17" s="12" t="s">
        <v>148</v>
      </c>
      <c r="C17" s="12" t="s">
        <v>149</v>
      </c>
      <c r="D17" s="12" t="s">
        <v>150</v>
      </c>
    </row>
    <row r="18" spans="1:4" ht="18" customHeight="1" x14ac:dyDescent="0.2">
      <c r="A18" s="32" t="s">
        <v>151</v>
      </c>
      <c r="B18" s="33">
        <v>0.4</v>
      </c>
      <c r="C18" s="34" t="e">
        <f>$B$7+0.4*$B$8</f>
        <v>#VALUE!</v>
      </c>
      <c r="D18" s="35" t="s">
        <v>152</v>
      </c>
    </row>
    <row r="19" spans="1:4" ht="18" customHeight="1" x14ac:dyDescent="0.2">
      <c r="A19" s="13" t="s">
        <v>153</v>
      </c>
      <c r="B19" s="36">
        <v>0.7</v>
      </c>
      <c r="C19" s="31" t="e">
        <f>$B$7+0.7*$B$8</f>
        <v>#VALUE!</v>
      </c>
      <c r="D19" s="20" t="s">
        <v>154</v>
      </c>
    </row>
    <row r="20" spans="1:4" ht="18" customHeight="1" x14ac:dyDescent="0.2">
      <c r="A20" s="32" t="s">
        <v>155</v>
      </c>
      <c r="B20" s="33">
        <v>1</v>
      </c>
      <c r="C20" s="34" t="e">
        <f>$B$7+1*$B$8</f>
        <v>#VALUE!</v>
      </c>
      <c r="D20" s="35" t="s">
        <v>156</v>
      </c>
    </row>
    <row r="21" spans="1:4" ht="18" customHeight="1" x14ac:dyDescent="0.2">
      <c r="A21" s="13" t="s">
        <v>157</v>
      </c>
      <c r="B21" s="36">
        <v>1.2</v>
      </c>
      <c r="C21" s="31" t="e">
        <f>$B$7+1.2*$B$8</f>
        <v>#VALUE!</v>
      </c>
      <c r="D21" s="20" t="s">
        <v>158</v>
      </c>
    </row>
    <row r="22" spans="1:4" ht="18" customHeight="1" x14ac:dyDescent="0.2">
      <c r="A22" s="32" t="s">
        <v>159</v>
      </c>
      <c r="B22" s="33">
        <v>1.5</v>
      </c>
      <c r="C22" s="34" t="e">
        <f>$B$7+1.5*$B$8</f>
        <v>#VALUE!</v>
      </c>
      <c r="D22" s="35" t="s">
        <v>160</v>
      </c>
    </row>
    <row r="23" spans="1:4" ht="18" customHeight="1" x14ac:dyDescent="0.2">
      <c r="A23" s="13" t="s">
        <v>161</v>
      </c>
      <c r="B23" s="36">
        <v>1.8</v>
      </c>
      <c r="C23" s="31" t="e">
        <f>$B$7+1.8*$B$8</f>
        <v>#VALUE!</v>
      </c>
      <c r="D23" s="20" t="s">
        <v>162</v>
      </c>
    </row>
  </sheetData>
  <mergeCells count="5">
    <mergeCell ref="A1:D1"/>
    <mergeCell ref="A5:D5"/>
    <mergeCell ref="A3:D3"/>
    <mergeCell ref="A16:D16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D30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38" customWidth="1"/>
    <col min="2" max="2" width="20" customWidth="1"/>
    <col min="3" max="3" width="40.1640625" customWidth="1"/>
    <col min="4" max="4" width="38" customWidth="1"/>
  </cols>
  <sheetData>
    <row r="1" spans="1:4" ht="28" customHeight="1" x14ac:dyDescent="0.2">
      <c r="A1" s="55" t="s">
        <v>163</v>
      </c>
      <c r="B1" s="48"/>
      <c r="C1" s="48"/>
      <c r="D1" s="48"/>
    </row>
    <row r="2" spans="1:4" x14ac:dyDescent="0.2">
      <c r="A2" s="52" t="s">
        <v>164</v>
      </c>
      <c r="B2" s="48"/>
      <c r="C2" s="48"/>
      <c r="D2" s="48"/>
    </row>
    <row r="4" spans="1:4" ht="22" customHeight="1" x14ac:dyDescent="0.2">
      <c r="A4" s="53" t="s">
        <v>165</v>
      </c>
      <c r="B4" s="48"/>
      <c r="C4" s="48"/>
      <c r="D4" s="48"/>
    </row>
    <row r="5" spans="1:4" ht="20" customHeight="1" x14ac:dyDescent="0.2">
      <c r="A5" s="23" t="s">
        <v>166</v>
      </c>
      <c r="B5" s="57" t="s">
        <v>167</v>
      </c>
      <c r="C5" s="48"/>
      <c r="D5" s="48"/>
    </row>
    <row r="6" spans="1:4" ht="20" customHeight="1" x14ac:dyDescent="0.2">
      <c r="A6" s="23" t="s">
        <v>168</v>
      </c>
      <c r="B6" s="57" t="s">
        <v>169</v>
      </c>
      <c r="C6" s="48"/>
      <c r="D6" s="48"/>
    </row>
    <row r="7" spans="1:4" ht="20" customHeight="1" x14ac:dyDescent="0.2">
      <c r="A7" s="23" t="s">
        <v>170</v>
      </c>
      <c r="B7" s="57" t="s">
        <v>171</v>
      </c>
      <c r="C7" s="48"/>
      <c r="D7" s="48"/>
    </row>
    <row r="8" spans="1:4" ht="20" customHeight="1" x14ac:dyDescent="0.2">
      <c r="A8" s="23" t="s">
        <v>172</v>
      </c>
      <c r="B8" s="57" t="s">
        <v>173</v>
      </c>
      <c r="C8" s="48"/>
      <c r="D8" s="48"/>
    </row>
    <row r="9" spans="1:4" ht="20" customHeight="1" x14ac:dyDescent="0.2">
      <c r="A9" s="23" t="s">
        <v>174</v>
      </c>
      <c r="B9" s="57" t="s">
        <v>175</v>
      </c>
      <c r="C9" s="48"/>
      <c r="D9" s="48"/>
    </row>
    <row r="11" spans="1:4" ht="22" customHeight="1" x14ac:dyDescent="0.2">
      <c r="A11" s="53" t="s">
        <v>176</v>
      </c>
      <c r="B11" s="48"/>
      <c r="C11" s="48"/>
      <c r="D11" s="48"/>
    </row>
    <row r="12" spans="1:4" ht="26" customHeight="1" x14ac:dyDescent="0.2">
      <c r="A12" s="37" t="s">
        <v>177</v>
      </c>
      <c r="B12" s="29"/>
      <c r="C12" s="38" t="s">
        <v>178</v>
      </c>
      <c r="D12" s="26" t="s">
        <v>179</v>
      </c>
    </row>
    <row r="14" spans="1:4" ht="22" customHeight="1" x14ac:dyDescent="0.2">
      <c r="A14" s="53" t="s">
        <v>180</v>
      </c>
      <c r="B14" s="48"/>
      <c r="C14" s="48"/>
      <c r="D14" s="48"/>
    </row>
    <row r="15" spans="1:4" x14ac:dyDescent="0.2">
      <c r="A15" s="12" t="s">
        <v>181</v>
      </c>
      <c r="B15" s="12" t="s">
        <v>182</v>
      </c>
      <c r="C15" s="12" t="s">
        <v>183</v>
      </c>
      <c r="D15" s="12" t="s">
        <v>184</v>
      </c>
    </row>
    <row r="16" spans="1:4" ht="20" customHeight="1" x14ac:dyDescent="0.2">
      <c r="A16" s="32" t="s">
        <v>185</v>
      </c>
      <c r="B16" s="39">
        <v>-45000000</v>
      </c>
      <c r="C16" s="35" t="s">
        <v>186</v>
      </c>
      <c r="D16" s="40" t="s">
        <v>187</v>
      </c>
    </row>
    <row r="17" spans="1:4" ht="20" customHeight="1" x14ac:dyDescent="0.2">
      <c r="A17" s="13" t="s">
        <v>188</v>
      </c>
      <c r="B17" s="41">
        <v>9000000</v>
      </c>
      <c r="C17" s="20" t="s">
        <v>189</v>
      </c>
      <c r="D17" s="41" t="e">
        <f>C17/(1+$B$12)^1</f>
        <v>#VALUE!</v>
      </c>
    </row>
    <row r="18" spans="1:4" ht="20" customHeight="1" x14ac:dyDescent="0.2">
      <c r="A18" s="32" t="s">
        <v>190</v>
      </c>
      <c r="B18" s="42">
        <v>11000000</v>
      </c>
      <c r="C18" s="35" t="s">
        <v>191</v>
      </c>
      <c r="D18" s="42" t="e">
        <f>C18/(1+$B$12)^2</f>
        <v>#VALUE!</v>
      </c>
    </row>
    <row r="19" spans="1:4" ht="20" customHeight="1" x14ac:dyDescent="0.2">
      <c r="A19" s="13" t="s">
        <v>192</v>
      </c>
      <c r="B19" s="41">
        <v>14000000</v>
      </c>
      <c r="C19" s="20" t="s">
        <v>193</v>
      </c>
      <c r="D19" s="41" t="e">
        <f>C19/(1+$B$12)^3</f>
        <v>#VALUE!</v>
      </c>
    </row>
    <row r="20" spans="1:4" ht="20" customHeight="1" x14ac:dyDescent="0.2">
      <c r="A20" s="32" t="s">
        <v>194</v>
      </c>
      <c r="B20" s="42">
        <v>16000000</v>
      </c>
      <c r="C20" s="35" t="s">
        <v>195</v>
      </c>
      <c r="D20" s="42" t="e">
        <f>C20/(1+$B$12)^4</f>
        <v>#VALUE!</v>
      </c>
    </row>
    <row r="21" spans="1:4" ht="20" customHeight="1" x14ac:dyDescent="0.2">
      <c r="A21" s="13" t="s">
        <v>196</v>
      </c>
      <c r="B21" s="41">
        <v>20000000</v>
      </c>
      <c r="C21" s="20" t="s">
        <v>197</v>
      </c>
      <c r="D21" s="41" t="e">
        <f>C21/(1+$B$12)^5</f>
        <v>#VALUE!</v>
      </c>
    </row>
    <row r="23" spans="1:4" ht="22" customHeight="1" x14ac:dyDescent="0.2">
      <c r="A23" s="53" t="s">
        <v>198</v>
      </c>
      <c r="B23" s="48"/>
      <c r="C23" s="48"/>
      <c r="D23" s="48"/>
    </row>
    <row r="24" spans="1:4" x14ac:dyDescent="0.2">
      <c r="A24" s="12" t="s">
        <v>96</v>
      </c>
      <c r="B24" s="12" t="s">
        <v>199</v>
      </c>
      <c r="C24" s="12" t="s">
        <v>200</v>
      </c>
      <c r="D24" s="12" t="s">
        <v>109</v>
      </c>
    </row>
    <row r="25" spans="1:4" ht="24" customHeight="1" x14ac:dyDescent="0.2">
      <c r="A25" s="17" t="s">
        <v>201</v>
      </c>
      <c r="B25" s="43"/>
      <c r="C25" s="19" t="e">
        <f>C16+NPV(rate, C17:C21)</f>
        <v>#VALUE!</v>
      </c>
      <c r="D25" s="20" t="s">
        <v>202</v>
      </c>
    </row>
    <row r="26" spans="1:4" ht="24" customHeight="1" x14ac:dyDescent="0.2">
      <c r="A26" s="17" t="s">
        <v>203</v>
      </c>
      <c r="B26" s="44"/>
      <c r="C26" s="19" t="e">
        <f>IRR(C16:C21)</f>
        <v>#NUM!</v>
      </c>
      <c r="D26" s="20" t="s">
        <v>204</v>
      </c>
    </row>
    <row r="28" spans="1:4" ht="22" customHeight="1" x14ac:dyDescent="0.2">
      <c r="A28" s="53" t="s">
        <v>205</v>
      </c>
      <c r="B28" s="48"/>
      <c r="C28" s="48"/>
      <c r="D28" s="48"/>
    </row>
    <row r="29" spans="1:4" ht="24" customHeight="1" x14ac:dyDescent="0.2">
      <c r="A29" s="37" t="s">
        <v>206</v>
      </c>
      <c r="B29" s="45"/>
      <c r="C29" s="46" t="s">
        <v>207</v>
      </c>
      <c r="D29" s="20" t="s">
        <v>208</v>
      </c>
    </row>
    <row r="30" spans="1:4" ht="40" customHeight="1" x14ac:dyDescent="0.2">
      <c r="A30" s="13" t="s">
        <v>209</v>
      </c>
      <c r="B30" s="59"/>
      <c r="C30" s="60"/>
      <c r="D30" s="61"/>
    </row>
  </sheetData>
  <mergeCells count="13">
    <mergeCell ref="A1:D1"/>
    <mergeCell ref="A23:D23"/>
    <mergeCell ref="B5:D5"/>
    <mergeCell ref="A4:D4"/>
    <mergeCell ref="B8:D8"/>
    <mergeCell ref="B9:D9"/>
    <mergeCell ref="B30:D30"/>
    <mergeCell ref="A2:D2"/>
    <mergeCell ref="A11:D11"/>
    <mergeCell ref="B7:D7"/>
    <mergeCell ref="A28:D28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Return Data</vt:lpstr>
      <vt:lpstr>Beta Analysis</vt:lpstr>
      <vt:lpstr>CAPM</vt:lpstr>
      <vt:lpstr>Capital Budgeting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Bethany Evitts</cp:lastModifiedBy>
  <dcterms:created xsi:type="dcterms:W3CDTF">2026-03-30T19:03:24Z</dcterms:created>
  <dcterms:modified xsi:type="dcterms:W3CDTF">2026-10-26T18:30:40Z</dcterms:modified>
</cp:coreProperties>
</file>