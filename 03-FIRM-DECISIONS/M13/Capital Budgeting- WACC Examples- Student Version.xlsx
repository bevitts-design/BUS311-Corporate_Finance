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13 - WACC/"/>
    </mc:Choice>
  </mc:AlternateContent>
  <xr:revisionPtr revIDLastSave="182" documentId="8_{81998EFC-8C74-46FB-8855-06B74AD0542E}" xr6:coauthVersionLast="47" xr6:coauthVersionMax="47" xr10:uidLastSave="{81E26599-D15F-4FA0-9818-8E353F888CE9}"/>
  <bookViews>
    <workbookView xWindow="-120" yWindow="-120" windowWidth="29040" windowHeight="15720" tabRatio="775" activeTab="6" xr2:uid="{D99623D6-8D4D-47CC-940E-07CD17D96697}"/>
  </bookViews>
  <sheets>
    <sheet name="Average Cost of Equity" sheetId="10" r:id="rId1"/>
    <sheet name="Cost of Preferred Stock" sheetId="11" r:id="rId2"/>
    <sheet name="Cost of Debt" sheetId="12" r:id="rId3"/>
    <sheet name="WACC- Ratio" sheetId="1" r:id="rId4"/>
    <sheet name="ADK- Rates WACC" sheetId="2" r:id="rId5"/>
    <sheet name="ADK-FullWACC" sheetId="4" r:id="rId6"/>
    <sheet name="Homework Problem" sheetId="14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4" l="1"/>
  <c r="B10" i="4"/>
  <c r="B8" i="4"/>
  <c r="H5" i="2"/>
  <c r="H10" i="2"/>
  <c r="B18" i="4" l="1"/>
  <c r="B6" i="1" l="1"/>
</calcChain>
</file>

<file path=xl/sharedStrings.xml><?xml version="1.0" encoding="utf-8"?>
<sst xmlns="http://schemas.openxmlformats.org/spreadsheetml/2006/main" count="117" uniqueCount="98">
  <si>
    <t>Equity</t>
  </si>
  <si>
    <t>Debt</t>
  </si>
  <si>
    <t>Preferrred Stock</t>
  </si>
  <si>
    <t>Total Firm Capital</t>
  </si>
  <si>
    <t>Cost of Equity</t>
  </si>
  <si>
    <t>Cost of Debt</t>
  </si>
  <si>
    <t>Cost of Preferred Stock</t>
  </si>
  <si>
    <t xml:space="preserve">WACC </t>
  </si>
  <si>
    <t>Firm Funding Ratios</t>
  </si>
  <si>
    <t>$$$ Funding Amts</t>
  </si>
  <si>
    <t>Price</t>
  </si>
  <si>
    <t>D1</t>
  </si>
  <si>
    <t>Growth</t>
  </si>
  <si>
    <t>Risk Free Rate</t>
  </si>
  <si>
    <t>Return on Market</t>
  </si>
  <si>
    <t>Beta</t>
  </si>
  <si>
    <t>CAPM</t>
  </si>
  <si>
    <t>Constant -Growth</t>
  </si>
  <si>
    <t>Average Cost of Equity</t>
  </si>
  <si>
    <t>Cost of Equity Calculations</t>
  </si>
  <si>
    <t>Cost of equity (i)</t>
  </si>
  <si>
    <t>Cost of Preferred Stock (i)</t>
  </si>
  <si>
    <t>Cost</t>
  </si>
  <si>
    <t>Maturity</t>
  </si>
  <si>
    <t>Coupon Rate</t>
  </si>
  <si>
    <t># Coupons</t>
  </si>
  <si>
    <t>Bond Price</t>
  </si>
  <si>
    <t>Bond $$ Value</t>
  </si>
  <si>
    <t>Tax Rate</t>
  </si>
  <si>
    <t xml:space="preserve"> Before Tax Cost of Debt -YTM</t>
  </si>
  <si>
    <t>After Tax Cost of Debt</t>
  </si>
  <si>
    <t>Shares of Common Equity</t>
  </si>
  <si>
    <t>Price of Common Equity</t>
  </si>
  <si>
    <t>Share of Preferred Stock</t>
  </si>
  <si>
    <t>Price of Preferred Stock</t>
  </si>
  <si>
    <t>Preferred Stock</t>
  </si>
  <si>
    <t>WACC</t>
  </si>
  <si>
    <t>Before Tax Cost of Debt</t>
  </si>
  <si>
    <t>WACC (full tax adv)</t>
  </si>
  <si>
    <t>Par Value (FV)</t>
  </si>
  <si>
    <t>Coupon Payment</t>
  </si>
  <si>
    <t>Level of Debt determines the ability to use or not use tax shield</t>
  </si>
  <si>
    <t>Information will be given to you</t>
  </si>
  <si>
    <t>Total Firm Value</t>
  </si>
  <si>
    <t>Find Firm's Total Market Value</t>
  </si>
  <si>
    <t>Determine the Weighting of each funding source</t>
  </si>
  <si>
    <t xml:space="preserve">Determine the Weighted Average Cost of Capital </t>
  </si>
  <si>
    <t>% of Equity =E/(E+P+D)</t>
  </si>
  <si>
    <t>% of Pref Stock = P/(E+P+D)</t>
  </si>
  <si>
    <t>% of Debt = D/(E+P+D)</t>
  </si>
  <si>
    <t>Current Price</t>
  </si>
  <si>
    <t xml:space="preserve">Preferred Stock </t>
  </si>
  <si>
    <t xml:space="preserve"> Common Equity </t>
  </si>
  <si>
    <t xml:space="preserve"> Bonds /Debt</t>
  </si>
  <si>
    <t>The firm needs to issue new common stock to fund the purchase of a new machine.</t>
  </si>
  <si>
    <t>The CFO would like to see the average of cost of equity using both the between CAPM and DDM- CGM methods</t>
  </si>
  <si>
    <t>Outstanding Shares/Total Part Value</t>
  </si>
  <si>
    <t>Input Area:</t>
  </si>
  <si>
    <t>Market risk premium</t>
  </si>
  <si>
    <t>T-bill rate</t>
  </si>
  <si>
    <t>Dividend per share</t>
  </si>
  <si>
    <t>Growth rate</t>
  </si>
  <si>
    <t>Stock price</t>
  </si>
  <si>
    <t>Output Area:</t>
  </si>
  <si>
    <r>
      <rPr>
        <i/>
        <sz val="12"/>
        <color indexed="8"/>
        <rFont val="Arial"/>
        <family val="2"/>
      </rPr>
      <t>R</t>
    </r>
    <r>
      <rPr>
        <vertAlign val="subscript"/>
        <sz val="12"/>
        <color indexed="8"/>
        <rFont val="Arial"/>
        <family val="2"/>
      </rPr>
      <t>E</t>
    </r>
    <r>
      <rPr>
        <sz val="12"/>
        <color indexed="8"/>
        <rFont val="Arial"/>
        <family val="2"/>
      </rPr>
      <t>: CAPM</t>
    </r>
  </si>
  <si>
    <r>
      <rPr>
        <i/>
        <sz val="12"/>
        <color indexed="8"/>
        <rFont val="Arial"/>
        <family val="2"/>
      </rPr>
      <t>R</t>
    </r>
    <r>
      <rPr>
        <vertAlign val="subscript"/>
        <sz val="12"/>
        <color indexed="8"/>
        <rFont val="Arial"/>
        <family val="2"/>
      </rPr>
      <t>E</t>
    </r>
    <r>
      <rPr>
        <sz val="12"/>
        <color indexed="8"/>
        <rFont val="Arial"/>
        <family val="2"/>
      </rPr>
      <t>: DCF</t>
    </r>
  </si>
  <si>
    <r>
      <rPr>
        <i/>
        <sz val="12"/>
        <color indexed="8"/>
        <rFont val="Arial"/>
        <family val="2"/>
      </rPr>
      <t>R</t>
    </r>
    <r>
      <rPr>
        <vertAlign val="subscript"/>
        <sz val="12"/>
        <color indexed="8"/>
        <rFont val="Arial"/>
        <family val="2"/>
      </rPr>
      <t>E</t>
    </r>
  </si>
  <si>
    <r>
      <t>R</t>
    </r>
    <r>
      <rPr>
        <i/>
        <vertAlign val="subscript"/>
        <sz val="12"/>
        <color indexed="8"/>
        <rFont val="Arial"/>
        <family val="2"/>
      </rPr>
      <t>P</t>
    </r>
  </si>
  <si>
    <t>Price (% of par)</t>
  </si>
  <si>
    <t>Coupon rate</t>
  </si>
  <si>
    <t>Payments per year</t>
  </si>
  <si>
    <t>Tax rate</t>
  </si>
  <si>
    <t>Pretax cost</t>
  </si>
  <si>
    <t>Aftertax cost of debt</t>
  </si>
  <si>
    <t>Par Value</t>
  </si>
  <si>
    <t>Calculate the Required Return on Equity using the CAPM Model</t>
  </si>
  <si>
    <t>Calculate the Required Return on Equity using the DDM</t>
  </si>
  <si>
    <t>Take the Average of the 2 models</t>
  </si>
  <si>
    <t>Calculate the Cost of debt before tax</t>
  </si>
  <si>
    <t>Calcualte the Cost of debt after tax</t>
  </si>
  <si>
    <t>Determine the Captial Structure of this Firm</t>
  </si>
  <si>
    <t>Using these rates - what is the WACC?</t>
  </si>
  <si>
    <t>Calculate the WACC (full tax advantage) of XYZ Corp  given the following information:</t>
  </si>
  <si>
    <t>The per share equity dividend (D1) next period is expected to be $3.00</t>
  </si>
  <si>
    <t>The per share preferred stock dividend (D1) next period is expected to be $5.00</t>
  </si>
  <si>
    <t>XYZ expects future dividends to grow  indefinitely (g) by 5.00%</t>
  </si>
  <si>
    <t>The risk-free rate (RfR) is 4.00%</t>
  </si>
  <si>
    <t>The expected return on the market (Rm) is 10.00%</t>
  </si>
  <si>
    <t>XYZ has a beta of 1.40</t>
  </si>
  <si>
    <t>XYZ debt has a coupon rate of 7.50%</t>
  </si>
  <si>
    <t>XYZ debt has a maturity in years of 30</t>
  </si>
  <si>
    <t>XYZ tax rate is 21.00%</t>
  </si>
  <si>
    <t>`</t>
  </si>
  <si>
    <t>Fill in the cells in Yellow</t>
  </si>
  <si>
    <t>Market Bond Quote</t>
  </si>
  <si>
    <t>Number of Bonds ($1,000 par per bond)</t>
  </si>
  <si>
    <t>Find the required rate of return for preferred stock</t>
  </si>
  <si>
    <t>Use the numbers from the last tab - ADK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</si>
</sst>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_(* #,##0_);_(* \(#,##0\);_(* &quot;-&quot;??_);_(@_)"/>
    <numFmt numFmtId="167" formatCode="0.0%"/>
    <numFmt numFmtId="168" formatCode="mm/dd/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sz val="12"/>
      <color indexed="48"/>
      <name val="Arial"/>
      <family val="2"/>
    </font>
    <font>
      <sz val="12"/>
      <color indexed="8"/>
      <name val="Arial"/>
      <family val="2"/>
    </font>
    <font>
      <sz val="12"/>
      <color rgb="FF0050C7"/>
      <name val="Arial"/>
      <family val="2"/>
    </font>
    <font>
      <i/>
      <sz val="12"/>
      <color indexed="8"/>
      <name val="Arial"/>
      <family val="2"/>
    </font>
    <font>
      <vertAlign val="subscript"/>
      <sz val="12"/>
      <color indexed="8"/>
      <name val="Arial"/>
      <family val="2"/>
    </font>
    <font>
      <sz val="12"/>
      <color rgb="FFB80000"/>
      <name val="Arial"/>
      <family val="2"/>
    </font>
    <font>
      <sz val="12"/>
      <color indexed="10"/>
      <name val="Arial"/>
      <family val="2"/>
    </font>
    <font>
      <b/>
      <sz val="12"/>
      <color rgb="FF007A37"/>
      <name val="Arial"/>
      <family val="2"/>
    </font>
    <font>
      <i/>
      <vertAlign val="subscript"/>
      <sz val="12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25.7"/>
      <color rgb="FFE1A60D"/>
      <name val="Georgia Pro Bold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/>
    <xf numFmtId="10" fontId="0" fillId="0" borderId="0" xfId="3" applyNumberFormat="1" applyFont="1"/>
    <xf numFmtId="0" fontId="0" fillId="0" borderId="0" xfId="0" applyAlignment="1">
      <alignment horizontal="right"/>
    </xf>
    <xf numFmtId="44" fontId="0" fillId="0" borderId="0" xfId="2" applyFont="1"/>
    <xf numFmtId="0" fontId="0" fillId="0" borderId="0" xfId="0" applyAlignment="1">
      <alignment horizontal="center"/>
    </xf>
    <xf numFmtId="10" fontId="0" fillId="0" borderId="0" xfId="3" applyNumberFormat="1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/>
    <xf numFmtId="164" fontId="0" fillId="0" borderId="0" xfId="2" applyNumberFormat="1" applyFont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10" fontId="0" fillId="0" borderId="0" xfId="0" applyNumberFormat="1"/>
    <xf numFmtId="6" fontId="0" fillId="0" borderId="0" xfId="0" applyNumberFormat="1"/>
    <xf numFmtId="8" fontId="0" fillId="0" borderId="0" xfId="0" applyNumberFormat="1"/>
    <xf numFmtId="0" fontId="0" fillId="0" borderId="2" xfId="0" applyBorder="1"/>
    <xf numFmtId="0" fontId="5" fillId="0" borderId="0" xfId="0" applyFont="1"/>
    <xf numFmtId="0" fontId="2" fillId="2" borderId="0" xfId="0" applyFont="1" applyFill="1" applyAlignment="1">
      <alignment horizontal="right"/>
    </xf>
    <xf numFmtId="10" fontId="0" fillId="0" borderId="0" xfId="3" applyNumberFormat="1" applyFont="1" applyFill="1" applyBorder="1" applyAlignment="1">
      <alignment horizontal="right"/>
    </xf>
    <xf numFmtId="166" fontId="0" fillId="0" borderId="0" xfId="1" applyNumberFormat="1" applyFont="1" applyFill="1" applyBorder="1" applyAlignment="1">
      <alignment horizontal="right"/>
    </xf>
    <xf numFmtId="44" fontId="0" fillId="0" borderId="0" xfId="2" applyFont="1" applyFill="1" applyBorder="1" applyAlignment="1">
      <alignment horizontal="right"/>
    </xf>
    <xf numFmtId="164" fontId="0" fillId="0" borderId="0" xfId="2" applyNumberFormat="1" applyFont="1" applyFill="1" applyBorder="1" applyAlignment="1">
      <alignment horizontal="right"/>
    </xf>
    <xf numFmtId="164" fontId="0" fillId="0" borderId="0" xfId="2" applyNumberFormat="1" applyFont="1" applyAlignment="1">
      <alignment horizontal="right"/>
    </xf>
    <xf numFmtId="10" fontId="0" fillId="0" borderId="0" xfId="3" applyNumberFormat="1" applyFont="1" applyAlignment="1">
      <alignment horizontal="right"/>
    </xf>
    <xf numFmtId="10" fontId="0" fillId="0" borderId="3" xfId="0" applyNumberFormat="1" applyBorder="1" applyAlignment="1">
      <alignment horizontal="right"/>
    </xf>
    <xf numFmtId="0" fontId="2" fillId="2" borderId="2" xfId="0" applyFont="1" applyFill="1" applyBorder="1"/>
    <xf numFmtId="44" fontId="0" fillId="0" borderId="0" xfId="0" applyNumberFormat="1"/>
    <xf numFmtId="0" fontId="6" fillId="0" borderId="0" xfId="0" applyFont="1"/>
    <xf numFmtId="44" fontId="6" fillId="0" borderId="0" xfId="2" applyFont="1"/>
    <xf numFmtId="165" fontId="6" fillId="0" borderId="0" xfId="3" applyNumberFormat="1" applyFont="1"/>
    <xf numFmtId="164" fontId="0" fillId="0" borderId="0" xfId="0" applyNumberFormat="1" applyAlignment="1">
      <alignment horizontal="right"/>
    </xf>
    <xf numFmtId="0" fontId="0" fillId="0" borderId="4" xfId="0" applyBorder="1"/>
    <xf numFmtId="164" fontId="0" fillId="0" borderId="4" xfId="2" applyNumberFormat="1" applyFont="1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164" fontId="0" fillId="0" borderId="5" xfId="0" applyNumberFormat="1" applyBorder="1" applyAlignment="1">
      <alignment horizontal="right"/>
    </xf>
    <xf numFmtId="166" fontId="0" fillId="0" borderId="0" xfId="0" applyNumberFormat="1"/>
    <xf numFmtId="0" fontId="7" fillId="0" borderId="0" xfId="0" applyFont="1"/>
    <xf numFmtId="0" fontId="8" fillId="0" borderId="0" xfId="0" applyFont="1"/>
    <xf numFmtId="0" fontId="9" fillId="3" borderId="6" xfId="0" applyFont="1" applyFill="1" applyBorder="1"/>
    <xf numFmtId="0" fontId="9" fillId="3" borderId="7" xfId="0" applyFont="1" applyFill="1" applyBorder="1"/>
    <xf numFmtId="0" fontId="9" fillId="3" borderId="8" xfId="0" applyFont="1" applyFill="1" applyBorder="1"/>
    <xf numFmtId="0" fontId="9" fillId="3" borderId="9" xfId="0" applyFont="1" applyFill="1" applyBorder="1"/>
    <xf numFmtId="0" fontId="10" fillId="3" borderId="0" xfId="0" applyFont="1" applyFill="1"/>
    <xf numFmtId="39" fontId="11" fillId="3" borderId="0" xfId="0" applyNumberFormat="1" applyFont="1" applyFill="1"/>
    <xf numFmtId="0" fontId="9" fillId="3" borderId="10" xfId="0" applyFont="1" applyFill="1" applyBorder="1"/>
    <xf numFmtId="167" fontId="11" fillId="3" borderId="0" xfId="0" applyNumberFormat="1" applyFont="1" applyFill="1"/>
    <xf numFmtId="44" fontId="11" fillId="3" borderId="0" xfId="0" applyNumberFormat="1" applyFont="1" applyFill="1"/>
    <xf numFmtId="42" fontId="11" fillId="3" borderId="0" xfId="0" applyNumberFormat="1" applyFont="1" applyFill="1"/>
    <xf numFmtId="0" fontId="9" fillId="3" borderId="11" xfId="0" applyFont="1" applyFill="1" applyBorder="1"/>
    <xf numFmtId="0" fontId="10" fillId="3" borderId="4" xfId="0" applyFont="1" applyFill="1" applyBorder="1"/>
    <xf numFmtId="0" fontId="9" fillId="3" borderId="4" xfId="0" applyFont="1" applyFill="1" applyBorder="1"/>
    <xf numFmtId="0" fontId="9" fillId="3" borderId="12" xfId="0" applyFont="1" applyFill="1" applyBorder="1"/>
    <xf numFmtId="0" fontId="10" fillId="4" borderId="6" xfId="0" applyFont="1" applyFill="1" applyBorder="1"/>
    <xf numFmtId="0" fontId="10" fillId="4" borderId="7" xfId="0" applyFont="1" applyFill="1" applyBorder="1"/>
    <xf numFmtId="0" fontId="10" fillId="4" borderId="8" xfId="0" applyFont="1" applyFill="1" applyBorder="1"/>
    <xf numFmtId="0" fontId="10" fillId="4" borderId="9" xfId="0" applyFont="1" applyFill="1" applyBorder="1"/>
    <xf numFmtId="0" fontId="10" fillId="4" borderId="0" xfId="0" applyFont="1" applyFill="1"/>
    <xf numFmtId="0" fontId="10" fillId="4" borderId="10" xfId="0" applyFont="1" applyFill="1" applyBorder="1"/>
    <xf numFmtId="10" fontId="15" fillId="4" borderId="0" xfId="0" applyNumberFormat="1" applyFont="1" applyFill="1" applyAlignment="1">
      <alignment vertical="center"/>
    </xf>
    <xf numFmtId="10" fontId="16" fillId="4" borderId="13" xfId="0" applyNumberFormat="1" applyFont="1" applyFill="1" applyBorder="1" applyAlignment="1">
      <alignment vertical="center"/>
    </xf>
    <xf numFmtId="0" fontId="10" fillId="4" borderId="11" xfId="0" applyFont="1" applyFill="1" applyBorder="1"/>
    <xf numFmtId="0" fontId="10" fillId="4" borderId="4" xfId="0" applyFont="1" applyFill="1" applyBorder="1"/>
    <xf numFmtId="0" fontId="10" fillId="4" borderId="12" xfId="0" applyFont="1" applyFill="1" applyBorder="1"/>
    <xf numFmtId="0" fontId="12" fillId="4" borderId="0" xfId="0" applyFont="1" applyFill="1"/>
    <xf numFmtId="10" fontId="16" fillId="4" borderId="13" xfId="0" applyNumberFormat="1" applyFont="1" applyFill="1" applyBorder="1"/>
    <xf numFmtId="0" fontId="7" fillId="3" borderId="0" xfId="0" applyFont="1" applyFill="1"/>
    <xf numFmtId="168" fontId="11" fillId="3" borderId="0" xfId="0" applyNumberFormat="1" applyFont="1" applyFill="1"/>
    <xf numFmtId="41" fontId="11" fillId="3" borderId="0" xfId="0" applyNumberFormat="1" applyFont="1" applyFill="1"/>
    <xf numFmtId="9" fontId="11" fillId="3" borderId="0" xfId="0" applyNumberFormat="1" applyFont="1" applyFill="1"/>
    <xf numFmtId="10" fontId="16" fillId="4" borderId="14" xfId="0" applyNumberFormat="1" applyFont="1" applyFill="1" applyBorder="1"/>
    <xf numFmtId="10" fontId="7" fillId="0" borderId="0" xfId="0" applyNumberFormat="1" applyFont="1"/>
    <xf numFmtId="1" fontId="11" fillId="3" borderId="0" xfId="0" applyNumberFormat="1" applyFont="1" applyFill="1"/>
    <xf numFmtId="6" fontId="11" fillId="3" borderId="0" xfId="0" applyNumberFormat="1" applyFont="1" applyFill="1"/>
    <xf numFmtId="0" fontId="19" fillId="0" borderId="0" xfId="0" applyFont="1"/>
    <xf numFmtId="0" fontId="21" fillId="0" borderId="0" xfId="0" applyFont="1" applyAlignment="1">
      <alignment vertical="center"/>
    </xf>
    <xf numFmtId="10" fontId="0" fillId="5" borderId="0" xfId="3" applyNumberFormat="1" applyFont="1" applyFill="1" applyAlignment="1">
      <alignment horizontal="center"/>
    </xf>
    <xf numFmtId="10" fontId="0" fillId="5" borderId="0" xfId="0" applyNumberFormat="1" applyFill="1"/>
    <xf numFmtId="10" fontId="0" fillId="5" borderId="0" xfId="3" applyNumberFormat="1" applyFont="1" applyFill="1"/>
    <xf numFmtId="10" fontId="0" fillId="5" borderId="3" xfId="0" applyNumberFormat="1" applyFill="1" applyBorder="1"/>
    <xf numFmtId="10" fontId="0" fillId="5" borderId="3" xfId="3" applyNumberFormat="1" applyFont="1" applyFill="1" applyBorder="1"/>
    <xf numFmtId="0" fontId="18" fillId="0" borderId="0" xfId="0" applyFont="1"/>
    <xf numFmtId="0" fontId="20" fillId="0" borderId="0" xfId="0" applyFont="1"/>
    <xf numFmtId="166" fontId="0" fillId="0" borderId="0" xfId="0" applyNumberFormat="1" applyAlignment="1">
      <alignment horizontal="left" indent="2"/>
    </xf>
    <xf numFmtId="10" fontId="14" fillId="4" borderId="13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/>
    </xf>
    <xf numFmtId="0" fontId="22" fillId="0" borderId="0" xfId="0" applyFont="1"/>
    <xf numFmtId="0" fontId="7" fillId="0" borderId="0" xfId="0" applyFont="1" applyFill="1"/>
    <xf numFmtId="10" fontId="0" fillId="6" borderId="0" xfId="3" applyNumberFormat="1" applyFont="1" applyFill="1" applyBorder="1" applyAlignment="1">
      <alignment horizontal="right"/>
    </xf>
    <xf numFmtId="9" fontId="0" fillId="6" borderId="0" xfId="3" applyFont="1" applyFill="1" applyBorder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0</xdr:rowOff>
    </xdr:from>
    <xdr:to>
      <xdr:col>18</xdr:col>
      <xdr:colOff>300201</xdr:colOff>
      <xdr:row>26</xdr:row>
      <xdr:rowOff>78741</xdr:rowOff>
    </xdr:to>
    <xdr:sp macro="" textlink="">
      <xdr:nvSpPr>
        <xdr:cNvPr id="2" name="TextBox 6">
          <a:extLst>
            <a:ext uri="{FF2B5EF4-FFF2-40B4-BE49-F238E27FC236}">
              <a16:creationId xmlns:a16="http://schemas.microsoft.com/office/drawing/2014/main" id="{01271B2A-62F2-90AE-EDF2-B8B76BAD4F58}"/>
            </a:ext>
          </a:extLst>
        </xdr:cNvPr>
        <xdr:cNvSpPr txBox="1"/>
      </xdr:nvSpPr>
      <xdr:spPr>
        <a:xfrm>
          <a:off x="1219200" y="4933950"/>
          <a:ext cx="11425401" cy="459741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09630">
            <a:lnSpc>
              <a:spcPts val="3847"/>
            </a:lnSpc>
          </a:pPr>
          <a:r>
            <a:rPr lang="en-US" sz="2748">
              <a:solidFill>
                <a:srgbClr val="000000"/>
              </a:solidFill>
              <a:latin typeface="Georgia Pro"/>
              <a:ea typeface="Georgia Pro"/>
              <a:cs typeface="Georgia Pro"/>
              <a:sym typeface="Georgia Pro"/>
            </a:rPr>
            <a:t>Rate of Return = Risk Free Rate + Beta ( Market Return - Risk Free Rate)</a:t>
          </a:r>
        </a:p>
      </xdr:txBody>
    </xdr:sp>
    <xdr:clientData/>
  </xdr:twoCellAnchor>
  <xdr:twoCellAnchor>
    <xdr:from>
      <xdr:col>2</xdr:col>
      <xdr:colOff>0</xdr:colOff>
      <xdr:row>28</xdr:row>
      <xdr:rowOff>0</xdr:rowOff>
    </xdr:from>
    <xdr:to>
      <xdr:col>7</xdr:col>
      <xdr:colOff>346652</xdr:colOff>
      <xdr:row>31</xdr:row>
      <xdr:rowOff>68547</xdr:rowOff>
    </xdr:to>
    <xdr:sp macro="" textlink="">
      <xdr:nvSpPr>
        <xdr:cNvPr id="3" name="TextBox 8">
          <a:extLst>
            <a:ext uri="{FF2B5EF4-FFF2-40B4-BE49-F238E27FC236}">
              <a16:creationId xmlns:a16="http://schemas.microsoft.com/office/drawing/2014/main" id="{ADB9212C-1357-92E6-DF49-BF80713EF973}"/>
            </a:ext>
          </a:extLst>
        </xdr:cNvPr>
        <xdr:cNvSpPr txBox="1"/>
      </xdr:nvSpPr>
      <xdr:spPr>
        <a:xfrm>
          <a:off x="1219200" y="5695950"/>
          <a:ext cx="4766252" cy="640047"/>
        </a:xfrm>
        <a:prstGeom prst="rect">
          <a:avLst/>
        </a:prstGeom>
      </xdr:spPr>
      <xdr:txBody>
        <a:bodyPr wrap="square" lIns="0" tIns="0" rIns="0" bIns="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609630">
            <a:lnSpc>
              <a:spcPts val="5320"/>
            </a:lnSpc>
          </a:pPr>
          <a:r>
            <a:rPr lang="en-US" sz="3800">
              <a:solidFill>
                <a:srgbClr val="CC2A2C"/>
              </a:solidFill>
              <a:latin typeface="Georgia Pro"/>
              <a:ea typeface="Georgia Pro"/>
              <a:cs typeface="Georgia Pro"/>
              <a:sym typeface="Georgia Pro"/>
            </a:rPr>
            <a:t>R = (D1/P0)+g)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333375</xdr:colOff>
      <xdr:row>11</xdr:row>
      <xdr:rowOff>38100</xdr:rowOff>
    </xdr:from>
    <xdr:to>
      <xdr:col>10</xdr:col>
      <xdr:colOff>95472</xdr:colOff>
      <xdr:row>14</xdr:row>
      <xdr:rowOff>57238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570156-1F8F-9FC0-B532-5927ABD99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7050" y="2314575"/>
          <a:ext cx="1590897" cy="628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2680-7B55-4DB3-BD91-28CAC6D3FAD0}">
  <sheetPr>
    <tabColor rgb="FF002060"/>
  </sheetPr>
  <dimension ref="A1:J19"/>
  <sheetViews>
    <sheetView topLeftCell="A3" workbookViewId="0">
      <selection activeCell="H31" sqref="H31"/>
    </sheetView>
  </sheetViews>
  <sheetFormatPr defaultRowHeight="15" x14ac:dyDescent="0.25"/>
  <cols>
    <col min="3" max="3" width="25" customWidth="1"/>
    <col min="4" max="4" width="13.85546875" customWidth="1"/>
  </cols>
  <sheetData>
    <row r="1" spans="1:10" ht="15.75" x14ac:dyDescent="0.25">
      <c r="A1" s="38"/>
      <c r="B1" s="38"/>
      <c r="C1" s="39" t="s">
        <v>57</v>
      </c>
      <c r="D1" s="38"/>
      <c r="E1" s="38"/>
      <c r="F1" s="38"/>
      <c r="G1" s="38"/>
      <c r="H1" s="38"/>
      <c r="I1" s="38"/>
      <c r="J1" s="38"/>
    </row>
    <row r="2" spans="1:10" ht="16.5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5.75" x14ac:dyDescent="0.25">
      <c r="A3" s="38"/>
      <c r="B3" s="40"/>
      <c r="C3" s="41"/>
      <c r="D3" s="41"/>
      <c r="E3" s="42"/>
      <c r="F3" s="38"/>
      <c r="G3" s="38"/>
      <c r="H3" s="38"/>
      <c r="I3" s="38"/>
      <c r="J3" s="38"/>
    </row>
    <row r="4" spans="1:10" ht="15.75" x14ac:dyDescent="0.25">
      <c r="A4" s="38"/>
      <c r="B4" s="43"/>
      <c r="C4" s="44" t="s">
        <v>15</v>
      </c>
      <c r="D4" s="45">
        <v>1.1000000000000001</v>
      </c>
      <c r="E4" s="46"/>
      <c r="F4" s="38"/>
      <c r="G4" s="38"/>
      <c r="H4" s="38"/>
      <c r="I4" s="38"/>
      <c r="J4" s="38"/>
    </row>
    <row r="5" spans="1:10" ht="15.75" x14ac:dyDescent="0.25">
      <c r="A5" s="38"/>
      <c r="B5" s="43"/>
      <c r="C5" s="44" t="s">
        <v>58</v>
      </c>
      <c r="D5" s="47">
        <v>7.0000000000000007E-2</v>
      </c>
      <c r="E5" s="46"/>
      <c r="F5" s="38"/>
      <c r="G5" s="38"/>
      <c r="H5" s="38"/>
      <c r="I5" s="38"/>
      <c r="J5" s="38"/>
    </row>
    <row r="6" spans="1:10" ht="15.75" x14ac:dyDescent="0.25">
      <c r="A6" s="38"/>
      <c r="B6" s="43"/>
      <c r="C6" s="44" t="s">
        <v>59</v>
      </c>
      <c r="D6" s="47">
        <v>4.7E-2</v>
      </c>
      <c r="E6" s="46"/>
      <c r="F6" s="38"/>
      <c r="G6" s="38"/>
      <c r="H6" s="38"/>
      <c r="I6" s="38"/>
      <c r="J6" s="38"/>
    </row>
    <row r="7" spans="1:10" ht="15.75" x14ac:dyDescent="0.25">
      <c r="A7" s="38"/>
      <c r="B7" s="43"/>
      <c r="C7" s="44" t="s">
        <v>60</v>
      </c>
      <c r="D7" s="48">
        <v>3.15</v>
      </c>
      <c r="E7" s="46"/>
      <c r="F7" s="38"/>
      <c r="G7" s="38"/>
      <c r="H7" s="38"/>
      <c r="I7" s="38"/>
      <c r="J7" s="38"/>
    </row>
    <row r="8" spans="1:10" ht="15.75" x14ac:dyDescent="0.25">
      <c r="A8" s="38"/>
      <c r="B8" s="43"/>
      <c r="C8" s="44" t="s">
        <v>61</v>
      </c>
      <c r="D8" s="47">
        <v>4.1000000000000002E-2</v>
      </c>
      <c r="E8" s="46"/>
      <c r="F8" s="38"/>
      <c r="G8" s="38"/>
      <c r="H8" s="38"/>
      <c r="I8" s="38"/>
      <c r="J8" s="38"/>
    </row>
    <row r="9" spans="1:10" ht="15.75" x14ac:dyDescent="0.25">
      <c r="A9" s="38"/>
      <c r="B9" s="43"/>
      <c r="C9" s="44" t="s">
        <v>62</v>
      </c>
      <c r="D9" s="49">
        <v>49</v>
      </c>
      <c r="E9" s="46"/>
      <c r="F9" s="38"/>
      <c r="G9" s="38"/>
      <c r="H9" s="38"/>
      <c r="I9" s="38"/>
      <c r="J9" s="38"/>
    </row>
    <row r="10" spans="1:10" ht="16.5" thickBot="1" x14ac:dyDescent="0.3">
      <c r="A10" s="38"/>
      <c r="B10" s="50"/>
      <c r="C10" s="51"/>
      <c r="D10" s="52"/>
      <c r="E10" s="53"/>
      <c r="F10" s="38"/>
      <c r="G10" s="38"/>
      <c r="H10" s="38"/>
      <c r="I10" s="38"/>
      <c r="J10" s="38"/>
    </row>
    <row r="11" spans="1:10" ht="15.75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</row>
    <row r="12" spans="1:10" ht="15.75" x14ac:dyDescent="0.25">
      <c r="A12" s="38"/>
      <c r="B12" s="38"/>
      <c r="C12" s="38" t="s">
        <v>92</v>
      </c>
      <c r="D12" s="38"/>
      <c r="E12" s="38"/>
      <c r="F12" s="38"/>
      <c r="G12" s="38"/>
      <c r="H12" s="38"/>
      <c r="I12" s="38"/>
      <c r="J12" s="38"/>
    </row>
    <row r="13" spans="1:10" ht="16.5" thickBot="1" x14ac:dyDescent="0.3">
      <c r="A13" s="38"/>
      <c r="B13" s="38"/>
      <c r="C13" s="38"/>
      <c r="D13" s="38"/>
      <c r="E13" s="38"/>
      <c r="F13" s="38"/>
      <c r="G13" s="38"/>
      <c r="H13" s="38"/>
      <c r="I13" s="38"/>
      <c r="J13" s="38"/>
    </row>
    <row r="14" spans="1:10" ht="15.75" x14ac:dyDescent="0.25">
      <c r="A14" s="38"/>
      <c r="B14" s="54"/>
      <c r="C14" s="55"/>
      <c r="D14" s="55"/>
      <c r="E14" s="56"/>
      <c r="F14" s="38"/>
      <c r="G14" s="38"/>
      <c r="H14" s="38"/>
      <c r="I14" s="38"/>
      <c r="J14" s="38"/>
    </row>
    <row r="15" spans="1:10" ht="19.5" x14ac:dyDescent="0.35">
      <c r="A15" s="38"/>
      <c r="B15" s="57"/>
      <c r="C15" s="58" t="s">
        <v>64</v>
      </c>
      <c r="D15" s="85"/>
      <c r="E15" s="59"/>
      <c r="F15" s="38"/>
      <c r="G15" s="38" t="s">
        <v>75</v>
      </c>
      <c r="H15" s="38"/>
      <c r="I15" s="38"/>
      <c r="J15" s="38"/>
    </row>
    <row r="16" spans="1:10" ht="19.5" x14ac:dyDescent="0.35">
      <c r="A16" s="38"/>
      <c r="B16" s="57"/>
      <c r="C16" s="58" t="s">
        <v>65</v>
      </c>
      <c r="D16" s="85"/>
      <c r="E16" s="59"/>
      <c r="F16" s="38"/>
      <c r="G16" s="38" t="s">
        <v>76</v>
      </c>
      <c r="H16" s="38"/>
      <c r="I16" s="38"/>
      <c r="J16" s="38"/>
    </row>
    <row r="17" spans="1:10" ht="15.75" x14ac:dyDescent="0.25">
      <c r="A17" s="38"/>
      <c r="B17" s="57"/>
      <c r="C17" s="58"/>
      <c r="D17" s="60"/>
      <c r="E17" s="59"/>
      <c r="F17" s="38"/>
      <c r="H17" s="38"/>
      <c r="I17" s="38"/>
      <c r="J17" s="38"/>
    </row>
    <row r="18" spans="1:10" ht="19.5" x14ac:dyDescent="0.35">
      <c r="A18" s="38"/>
      <c r="B18" s="57"/>
      <c r="C18" s="58" t="s">
        <v>66</v>
      </c>
      <c r="D18" s="61"/>
      <c r="E18" s="59"/>
      <c r="F18" s="38"/>
      <c r="G18" s="38" t="s">
        <v>77</v>
      </c>
      <c r="H18" s="38"/>
      <c r="I18" s="38"/>
      <c r="J18" s="38"/>
    </row>
    <row r="19" spans="1:10" ht="16.5" thickBot="1" x14ac:dyDescent="0.3">
      <c r="A19" s="38"/>
      <c r="B19" s="62"/>
      <c r="C19" s="63"/>
      <c r="D19" s="63"/>
      <c r="E19" s="64"/>
      <c r="F19" s="38"/>
      <c r="G19" s="38"/>
      <c r="H19" s="38"/>
      <c r="I19" s="38"/>
      <c r="J19" s="3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9987-6258-407B-B4B8-312C7D5E1877}">
  <sheetPr>
    <tabColor rgb="FF002060"/>
  </sheetPr>
  <dimension ref="A1:G15"/>
  <sheetViews>
    <sheetView workbookViewId="0">
      <selection activeCell="D23" sqref="D23"/>
    </sheetView>
  </sheetViews>
  <sheetFormatPr defaultRowHeight="15" x14ac:dyDescent="0.25"/>
  <cols>
    <col min="3" max="3" width="32.42578125" customWidth="1"/>
    <col min="4" max="4" width="20" customWidth="1"/>
  </cols>
  <sheetData>
    <row r="1" spans="1:7" ht="15.75" x14ac:dyDescent="0.25">
      <c r="A1" s="38"/>
      <c r="B1" s="38"/>
      <c r="C1" s="39" t="s">
        <v>57</v>
      </c>
      <c r="D1" s="38"/>
      <c r="E1" s="38"/>
      <c r="F1" s="38"/>
      <c r="G1" s="38"/>
    </row>
    <row r="2" spans="1:7" ht="16.5" thickBot="1" x14ac:dyDescent="0.3">
      <c r="A2" s="38"/>
      <c r="B2" s="38"/>
      <c r="C2" s="38"/>
      <c r="D2" s="38"/>
      <c r="E2" s="38"/>
      <c r="F2" s="38"/>
      <c r="G2" s="38"/>
    </row>
    <row r="3" spans="1:7" ht="15.75" x14ac:dyDescent="0.25">
      <c r="A3" s="38"/>
      <c r="B3" s="40"/>
      <c r="C3" s="41"/>
      <c r="D3" s="41"/>
      <c r="E3" s="42"/>
      <c r="F3" s="38"/>
      <c r="G3" s="38"/>
    </row>
    <row r="4" spans="1:7" ht="15.75" x14ac:dyDescent="0.25">
      <c r="A4" s="38"/>
      <c r="B4" s="43"/>
      <c r="C4" s="44" t="s">
        <v>60</v>
      </c>
      <c r="D4" s="48">
        <v>3.95</v>
      </c>
      <c r="E4" s="46"/>
      <c r="F4" s="38"/>
      <c r="G4" s="38"/>
    </row>
    <row r="5" spans="1:7" ht="15.75" x14ac:dyDescent="0.25">
      <c r="A5" s="38"/>
      <c r="B5" s="43"/>
      <c r="C5" s="44" t="s">
        <v>62</v>
      </c>
      <c r="D5" s="48">
        <v>73</v>
      </c>
      <c r="E5" s="46"/>
      <c r="F5" s="38"/>
      <c r="G5" s="38"/>
    </row>
    <row r="6" spans="1:7" ht="16.5" thickBot="1" x14ac:dyDescent="0.3">
      <c r="A6" s="38"/>
      <c r="B6" s="50"/>
      <c r="C6" s="51"/>
      <c r="D6" s="52"/>
      <c r="E6" s="53"/>
      <c r="F6" s="38"/>
      <c r="G6" s="38"/>
    </row>
    <row r="7" spans="1:7" ht="15.75" x14ac:dyDescent="0.25">
      <c r="A7" s="38"/>
      <c r="B7" s="38"/>
      <c r="C7" s="38"/>
      <c r="D7" s="38"/>
      <c r="E7" s="38"/>
      <c r="F7" s="38"/>
      <c r="G7" s="38"/>
    </row>
    <row r="8" spans="1:7" ht="15.75" x14ac:dyDescent="0.25">
      <c r="A8" s="38"/>
      <c r="B8" s="38"/>
      <c r="C8" s="39" t="s">
        <v>63</v>
      </c>
      <c r="D8" s="38"/>
      <c r="E8" s="38"/>
      <c r="F8" s="38"/>
      <c r="G8" s="38"/>
    </row>
    <row r="9" spans="1:7" ht="16.5" thickBot="1" x14ac:dyDescent="0.3">
      <c r="A9" s="38"/>
      <c r="B9" s="38"/>
      <c r="C9" s="38"/>
      <c r="D9" s="38"/>
      <c r="E9" s="38"/>
      <c r="F9" s="38"/>
      <c r="G9" s="38"/>
    </row>
    <row r="10" spans="1:7" ht="15.75" x14ac:dyDescent="0.25">
      <c r="A10" s="38"/>
      <c r="B10" s="54"/>
      <c r="C10" s="55"/>
      <c r="D10" s="55"/>
      <c r="E10" s="56"/>
      <c r="F10" s="38"/>
      <c r="G10" s="38"/>
    </row>
    <row r="11" spans="1:7" ht="19.5" x14ac:dyDescent="0.35">
      <c r="A11" s="38"/>
      <c r="B11" s="57"/>
      <c r="C11" s="65" t="s">
        <v>67</v>
      </c>
      <c r="D11" s="66"/>
      <c r="E11" s="59"/>
      <c r="F11" s="38"/>
      <c r="G11" s="38" t="s">
        <v>96</v>
      </c>
    </row>
    <row r="12" spans="1:7" ht="16.5" thickBot="1" x14ac:dyDescent="0.3">
      <c r="A12" s="38"/>
      <c r="B12" s="62"/>
      <c r="C12" s="63"/>
      <c r="D12" s="63"/>
      <c r="E12" s="64"/>
      <c r="F12" s="38"/>
      <c r="G12" s="38"/>
    </row>
    <row r="13" spans="1:7" ht="15.75" x14ac:dyDescent="0.25">
      <c r="A13" s="38"/>
      <c r="B13" s="38"/>
      <c r="C13" s="38"/>
      <c r="D13" s="38"/>
      <c r="E13" s="38"/>
      <c r="F13" s="38"/>
      <c r="G13" s="38"/>
    </row>
    <row r="14" spans="1:7" ht="15.75" x14ac:dyDescent="0.25">
      <c r="A14" s="38"/>
      <c r="B14" s="38"/>
      <c r="C14" s="38"/>
      <c r="D14" s="38"/>
      <c r="E14" s="38"/>
      <c r="F14" s="38"/>
      <c r="G14" s="38"/>
    </row>
    <row r="15" spans="1:7" ht="15.75" x14ac:dyDescent="0.25">
      <c r="A15" s="38"/>
      <c r="B15" s="38"/>
      <c r="C15" s="38"/>
      <c r="D15" s="38"/>
      <c r="E15" s="38"/>
      <c r="F15" s="38"/>
      <c r="G15" s="3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ECA8-53EA-42B4-AA1E-3D35BCCC809C}">
  <sheetPr>
    <tabColor rgb="FF002060"/>
  </sheetPr>
  <dimension ref="A1:J25"/>
  <sheetViews>
    <sheetView workbookViewId="0">
      <selection activeCell="H12" sqref="H12"/>
    </sheetView>
  </sheetViews>
  <sheetFormatPr defaultRowHeight="15" x14ac:dyDescent="0.25"/>
  <cols>
    <col min="3" max="3" width="24.140625" bestFit="1" customWidth="1"/>
    <col min="4" max="4" width="20" customWidth="1"/>
  </cols>
  <sheetData>
    <row r="1" spans="1:10" ht="15.75" x14ac:dyDescent="0.25">
      <c r="A1" s="38"/>
      <c r="B1" s="38"/>
      <c r="C1" s="39" t="s">
        <v>57</v>
      </c>
      <c r="D1" s="38"/>
      <c r="E1" s="38"/>
      <c r="F1" s="38"/>
      <c r="G1" s="38"/>
      <c r="H1" s="38"/>
      <c r="I1" s="38"/>
      <c r="J1" s="38"/>
    </row>
    <row r="2" spans="1:10" ht="16.5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15.75" x14ac:dyDescent="0.25">
      <c r="A3" s="38"/>
      <c r="B3" s="40"/>
      <c r="C3" s="41"/>
      <c r="D3" s="41"/>
      <c r="E3" s="42"/>
      <c r="F3" s="38"/>
      <c r="G3" s="38"/>
      <c r="H3" s="38"/>
      <c r="I3" s="38"/>
      <c r="J3" s="38"/>
    </row>
    <row r="4" spans="1:10" ht="15.75" x14ac:dyDescent="0.25">
      <c r="A4" s="38"/>
      <c r="B4" s="43"/>
      <c r="C4" s="67"/>
      <c r="D4" s="68"/>
      <c r="E4" s="46"/>
      <c r="F4" s="38"/>
      <c r="G4" s="38"/>
      <c r="H4" s="38"/>
      <c r="I4" s="38"/>
      <c r="J4" s="38"/>
    </row>
    <row r="5" spans="1:10" ht="15.75" x14ac:dyDescent="0.25">
      <c r="A5" s="38"/>
      <c r="B5" s="43"/>
      <c r="C5" s="67" t="s">
        <v>23</v>
      </c>
      <c r="D5" s="73">
        <v>19</v>
      </c>
      <c r="E5" s="46"/>
      <c r="F5" s="38"/>
      <c r="G5" s="38"/>
      <c r="H5" s="38"/>
      <c r="I5" s="38"/>
      <c r="J5" s="38"/>
    </row>
    <row r="6" spans="1:10" ht="15.75" x14ac:dyDescent="0.25">
      <c r="A6" s="38"/>
      <c r="B6" s="43"/>
      <c r="C6" s="44" t="s">
        <v>68</v>
      </c>
      <c r="D6" s="70">
        <v>0.94</v>
      </c>
      <c r="E6" s="46"/>
      <c r="F6" s="38"/>
      <c r="G6" s="38"/>
      <c r="H6" s="38"/>
      <c r="I6" s="38"/>
      <c r="J6" s="38"/>
    </row>
    <row r="7" spans="1:10" ht="15.75" x14ac:dyDescent="0.25">
      <c r="A7" s="38"/>
      <c r="B7" s="43"/>
      <c r="C7" s="44" t="s">
        <v>74</v>
      </c>
      <c r="D7" s="74">
        <v>1000</v>
      </c>
      <c r="E7" s="46"/>
      <c r="F7" s="38"/>
      <c r="G7" s="38"/>
      <c r="H7" s="38"/>
      <c r="I7" s="38"/>
      <c r="J7" s="38"/>
    </row>
    <row r="8" spans="1:10" ht="15.75" x14ac:dyDescent="0.25">
      <c r="A8" s="38"/>
      <c r="B8" s="43"/>
      <c r="C8" s="44" t="s">
        <v>69</v>
      </c>
      <c r="D8" s="70">
        <v>0.05</v>
      </c>
      <c r="E8" s="46"/>
      <c r="F8" s="38"/>
      <c r="G8" s="38"/>
      <c r="H8" s="38"/>
      <c r="I8" s="38"/>
      <c r="J8" s="38"/>
    </row>
    <row r="9" spans="1:10" ht="15.75" x14ac:dyDescent="0.25">
      <c r="A9" s="38"/>
      <c r="B9" s="43"/>
      <c r="C9" s="44" t="s">
        <v>70</v>
      </c>
      <c r="D9" s="69">
        <v>2</v>
      </c>
      <c r="E9" s="46"/>
      <c r="F9" s="38"/>
      <c r="G9" s="38"/>
      <c r="H9" s="38"/>
      <c r="I9" s="38"/>
      <c r="J9" s="38"/>
    </row>
    <row r="10" spans="1:10" ht="15.75" x14ac:dyDescent="0.25">
      <c r="A10" s="38"/>
      <c r="B10" s="43"/>
      <c r="C10" s="44" t="s">
        <v>71</v>
      </c>
      <c r="D10" s="70">
        <v>0.21</v>
      </c>
      <c r="E10" s="46"/>
      <c r="F10" s="38"/>
      <c r="G10" s="38"/>
      <c r="H10" s="38"/>
      <c r="I10" s="38"/>
      <c r="J10" s="38"/>
    </row>
    <row r="11" spans="1:10" ht="16.5" thickBot="1" x14ac:dyDescent="0.3">
      <c r="A11" s="38"/>
      <c r="B11" s="50"/>
      <c r="C11" s="51"/>
      <c r="D11" s="52"/>
      <c r="E11" s="53"/>
      <c r="F11" s="38"/>
      <c r="G11" s="38"/>
      <c r="H11" s="38"/>
      <c r="I11" s="38"/>
      <c r="J11" s="38"/>
    </row>
    <row r="12" spans="1:10" ht="15.75" x14ac:dyDescent="0.25">
      <c r="A12" s="38"/>
      <c r="B12" s="88"/>
      <c r="C12" s="88" t="s">
        <v>92</v>
      </c>
      <c r="D12" s="38"/>
      <c r="E12" s="38"/>
      <c r="F12" s="38"/>
      <c r="G12" s="38"/>
      <c r="H12" s="38"/>
      <c r="I12" s="38"/>
      <c r="J12" s="38"/>
    </row>
    <row r="13" spans="1:10" ht="15.75" x14ac:dyDescent="0.25">
      <c r="A13" s="38"/>
      <c r="B13" s="38"/>
      <c r="C13" s="39" t="s">
        <v>63</v>
      </c>
      <c r="D13" s="38"/>
      <c r="E13" s="38"/>
      <c r="F13" s="38"/>
      <c r="G13" s="38"/>
      <c r="H13" s="38"/>
      <c r="I13" s="38"/>
      <c r="J13" s="38"/>
    </row>
    <row r="14" spans="1:10" ht="16.5" thickBot="1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</row>
    <row r="15" spans="1:10" ht="15.75" x14ac:dyDescent="0.25">
      <c r="A15" s="38"/>
      <c r="B15" s="54"/>
      <c r="C15" s="55"/>
      <c r="D15" s="55"/>
      <c r="E15" s="56"/>
      <c r="F15" s="38"/>
      <c r="G15" s="38"/>
      <c r="H15" s="38"/>
      <c r="I15" s="38"/>
      <c r="J15" s="38"/>
    </row>
    <row r="16" spans="1:10" ht="15.75" x14ac:dyDescent="0.25">
      <c r="A16" s="38"/>
      <c r="B16" s="57"/>
      <c r="C16" s="58" t="s">
        <v>72</v>
      </c>
      <c r="D16" s="66"/>
      <c r="E16" s="59"/>
      <c r="F16" s="38"/>
      <c r="G16" s="72" t="s">
        <v>78</v>
      </c>
      <c r="H16" s="38"/>
      <c r="I16" s="38"/>
      <c r="J16" s="38"/>
    </row>
    <row r="17" spans="1:10" ht="15.75" x14ac:dyDescent="0.25">
      <c r="A17" s="38"/>
      <c r="B17" s="57"/>
      <c r="C17" s="58"/>
      <c r="D17" s="71"/>
      <c r="E17" s="59"/>
      <c r="F17" s="38"/>
      <c r="G17" s="38"/>
      <c r="H17" s="38"/>
      <c r="I17" s="38"/>
      <c r="J17" s="38"/>
    </row>
    <row r="18" spans="1:10" ht="15.75" x14ac:dyDescent="0.25">
      <c r="A18" s="38"/>
      <c r="B18" s="57"/>
      <c r="C18" s="58" t="s">
        <v>73</v>
      </c>
      <c r="D18" s="66"/>
      <c r="E18" s="59"/>
      <c r="F18" s="38"/>
      <c r="G18" s="38" t="s">
        <v>79</v>
      </c>
      <c r="H18" s="38"/>
      <c r="I18" s="38"/>
      <c r="J18" s="38"/>
    </row>
    <row r="19" spans="1:10" ht="16.5" thickBot="1" x14ac:dyDescent="0.3">
      <c r="A19" s="38"/>
      <c r="B19" s="62"/>
      <c r="C19" s="63"/>
      <c r="D19" s="63"/>
      <c r="E19" s="64"/>
      <c r="F19" s="38"/>
      <c r="G19" s="38"/>
      <c r="H19" s="38"/>
      <c r="I19" s="38"/>
      <c r="J19" s="38"/>
    </row>
    <row r="20" spans="1:10" ht="15.75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</row>
    <row r="21" spans="1:10" ht="15.75" x14ac:dyDescent="0.25">
      <c r="A21" s="38"/>
      <c r="B21" s="38"/>
      <c r="C21" s="38"/>
      <c r="D21" s="38"/>
      <c r="E21" s="38"/>
      <c r="F21" s="38"/>
      <c r="H21" s="38"/>
      <c r="I21" s="38"/>
      <c r="J21" s="38"/>
    </row>
    <row r="22" spans="1:10" ht="15.75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</row>
    <row r="23" spans="1:10" ht="15.75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</row>
    <row r="24" spans="1:10" ht="15.75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</row>
    <row r="25" spans="1:10" ht="15.75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47BD-7EA6-4DB1-9E1E-2B96A5E52682}">
  <sheetPr>
    <tabColor rgb="FF002060"/>
  </sheetPr>
  <dimension ref="A2:D17"/>
  <sheetViews>
    <sheetView zoomScaleNormal="100" workbookViewId="0">
      <selection activeCell="E14" sqref="E14"/>
    </sheetView>
  </sheetViews>
  <sheetFormatPr defaultRowHeight="15" x14ac:dyDescent="0.25"/>
  <cols>
    <col min="1" max="1" width="21" customWidth="1"/>
    <col min="2" max="2" width="16.7109375" bestFit="1" customWidth="1"/>
    <col min="3" max="3" width="16.28515625" style="5" customWidth="1"/>
  </cols>
  <sheetData>
    <row r="2" spans="1:4" ht="30" x14ac:dyDescent="0.25">
      <c r="A2" s="7"/>
      <c r="B2" s="8" t="s">
        <v>9</v>
      </c>
      <c r="C2" s="9" t="s">
        <v>8</v>
      </c>
    </row>
    <row r="3" spans="1:4" x14ac:dyDescent="0.25">
      <c r="A3" t="s">
        <v>0</v>
      </c>
      <c r="B3" s="11">
        <v>5000</v>
      </c>
      <c r="C3" s="6"/>
      <c r="D3" t="s">
        <v>80</v>
      </c>
    </row>
    <row r="4" spans="1:4" x14ac:dyDescent="0.25">
      <c r="A4" t="s">
        <v>1</v>
      </c>
      <c r="B4" s="11">
        <v>10000</v>
      </c>
      <c r="C4" s="6"/>
    </row>
    <row r="5" spans="1:4" ht="15.75" thickBot="1" x14ac:dyDescent="0.3">
      <c r="A5" t="s">
        <v>2</v>
      </c>
      <c r="B5" s="12">
        <v>1000</v>
      </c>
      <c r="C5" s="6"/>
    </row>
    <row r="6" spans="1:4" ht="15.75" thickTop="1" x14ac:dyDescent="0.25">
      <c r="A6" t="s">
        <v>3</v>
      </c>
      <c r="B6" s="11">
        <f>SUM(B3:B5)</f>
        <v>16000</v>
      </c>
    </row>
    <row r="8" spans="1:4" x14ac:dyDescent="0.25">
      <c r="A8" t="s">
        <v>4</v>
      </c>
      <c r="B8" s="6">
        <v>0.08</v>
      </c>
      <c r="C8" s="6"/>
      <c r="D8" t="s">
        <v>81</v>
      </c>
    </row>
    <row r="9" spans="1:4" x14ac:dyDescent="0.25">
      <c r="A9" t="s">
        <v>5</v>
      </c>
      <c r="B9" s="6">
        <v>0.05</v>
      </c>
      <c r="C9" s="6"/>
    </row>
    <row r="10" spans="1:4" x14ac:dyDescent="0.25">
      <c r="A10" t="s">
        <v>6</v>
      </c>
      <c r="B10" s="6">
        <v>0.09</v>
      </c>
      <c r="C10" s="6"/>
    </row>
    <row r="11" spans="1:4" x14ac:dyDescent="0.25">
      <c r="B11" s="5"/>
    </row>
    <row r="12" spans="1:4" ht="15.75" x14ac:dyDescent="0.25">
      <c r="A12" s="10" t="s">
        <v>7</v>
      </c>
      <c r="B12" s="77"/>
      <c r="C12" s="77" t="s">
        <v>92</v>
      </c>
    </row>
    <row r="17" spans="1:1" ht="31.5" x14ac:dyDescent="0.4">
      <c r="A17" s="7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27D3-70FE-4E8D-ADDC-F9AEA4227DBB}">
  <dimension ref="A1:H23"/>
  <sheetViews>
    <sheetView workbookViewId="0">
      <selection activeCell="D26" sqref="D26"/>
    </sheetView>
  </sheetViews>
  <sheetFormatPr defaultRowHeight="15" x14ac:dyDescent="0.25"/>
  <cols>
    <col min="1" max="1" width="25.7109375" customWidth="1"/>
    <col min="2" max="2" width="11" customWidth="1"/>
    <col min="4" max="4" width="24.28515625" customWidth="1"/>
    <col min="7" max="7" width="29.7109375" customWidth="1"/>
    <col min="8" max="8" width="35.42578125" customWidth="1"/>
    <col min="9" max="9" width="35.140625" customWidth="1"/>
  </cols>
  <sheetData>
    <row r="1" spans="1:8" ht="18.75" x14ac:dyDescent="0.3">
      <c r="A1" s="7" t="s">
        <v>19</v>
      </c>
      <c r="D1" s="7" t="s">
        <v>6</v>
      </c>
      <c r="G1" s="86" t="s">
        <v>5</v>
      </c>
      <c r="H1" s="86"/>
    </row>
    <row r="2" spans="1:8" x14ac:dyDescent="0.25">
      <c r="G2" t="s">
        <v>39</v>
      </c>
      <c r="H2" s="14">
        <v>1000</v>
      </c>
    </row>
    <row r="3" spans="1:8" x14ac:dyDescent="0.25">
      <c r="G3" t="s">
        <v>23</v>
      </c>
      <c r="H3">
        <v>20</v>
      </c>
    </row>
    <row r="4" spans="1:8" x14ac:dyDescent="0.25">
      <c r="A4" s="28" t="s">
        <v>10</v>
      </c>
      <c r="B4" s="29">
        <v>32.75</v>
      </c>
      <c r="D4" s="28" t="s">
        <v>10</v>
      </c>
      <c r="E4" s="29">
        <v>72</v>
      </c>
      <c r="G4" t="s">
        <v>24</v>
      </c>
      <c r="H4" s="2">
        <v>0.08</v>
      </c>
    </row>
    <row r="5" spans="1:8" x14ac:dyDescent="0.25">
      <c r="A5" t="s">
        <v>11</v>
      </c>
      <c r="B5" s="4">
        <v>1.54</v>
      </c>
      <c r="D5" t="s">
        <v>11</v>
      </c>
      <c r="E5" s="4">
        <v>7</v>
      </c>
      <c r="G5" t="s">
        <v>40</v>
      </c>
      <c r="H5" s="15">
        <f>H4*H2</f>
        <v>80</v>
      </c>
    </row>
    <row r="6" spans="1:8" x14ac:dyDescent="0.25">
      <c r="A6" t="s">
        <v>12</v>
      </c>
      <c r="B6" s="2">
        <v>0.06</v>
      </c>
      <c r="G6" t="s">
        <v>25</v>
      </c>
      <c r="H6">
        <v>2</v>
      </c>
    </row>
    <row r="7" spans="1:8" x14ac:dyDescent="0.25">
      <c r="A7" t="s">
        <v>13</v>
      </c>
      <c r="B7" s="2">
        <v>0.03</v>
      </c>
      <c r="G7" s="28" t="s">
        <v>26</v>
      </c>
      <c r="H7" s="30">
        <v>0.97499999999999998</v>
      </c>
    </row>
    <row r="8" spans="1:8" x14ac:dyDescent="0.25">
      <c r="A8" t="s">
        <v>14</v>
      </c>
      <c r="B8" s="2">
        <v>0.09</v>
      </c>
      <c r="G8" t="s">
        <v>28</v>
      </c>
      <c r="H8" s="2">
        <v>0.21</v>
      </c>
    </row>
    <row r="9" spans="1:8" x14ac:dyDescent="0.25">
      <c r="A9" t="s">
        <v>15</v>
      </c>
      <c r="B9">
        <v>1.3</v>
      </c>
    </row>
    <row r="10" spans="1:8" x14ac:dyDescent="0.25">
      <c r="G10" t="s">
        <v>27</v>
      </c>
      <c r="H10" s="15">
        <f>H7*H2</f>
        <v>975</v>
      </c>
    </row>
    <row r="11" spans="1:8" ht="15.75" thickBot="1" x14ac:dyDescent="0.3">
      <c r="A11" s="1" t="s">
        <v>20</v>
      </c>
      <c r="B11" s="1"/>
      <c r="D11" s="1" t="s">
        <v>21</v>
      </c>
      <c r="H11" s="15"/>
    </row>
    <row r="12" spans="1:8" ht="15.75" thickTop="1" x14ac:dyDescent="0.25">
      <c r="A12" t="s">
        <v>16</v>
      </c>
      <c r="B12" s="78"/>
      <c r="D12" t="s">
        <v>22</v>
      </c>
      <c r="E12" s="79"/>
      <c r="G12" s="16" t="s">
        <v>29</v>
      </c>
      <c r="H12" s="80"/>
    </row>
    <row r="13" spans="1:8" x14ac:dyDescent="0.25">
      <c r="A13" t="s">
        <v>17</v>
      </c>
      <c r="B13" s="78"/>
    </row>
    <row r="15" spans="1:8" x14ac:dyDescent="0.25">
      <c r="A15" t="s">
        <v>18</v>
      </c>
      <c r="B15" s="78"/>
      <c r="G15" s="16" t="s">
        <v>30</v>
      </c>
      <c r="H15" s="81"/>
    </row>
    <row r="18" spans="1:7" x14ac:dyDescent="0.25">
      <c r="G18" t="s">
        <v>41</v>
      </c>
    </row>
    <row r="19" spans="1:7" x14ac:dyDescent="0.25">
      <c r="G19" t="s">
        <v>42</v>
      </c>
    </row>
    <row r="23" spans="1:7" x14ac:dyDescent="0.25">
      <c r="A23" s="83" t="s">
        <v>93</v>
      </c>
    </row>
  </sheetData>
  <mergeCells count="1"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AEE0-1E38-4493-A485-C155377BE26C}">
  <dimension ref="A1:D28"/>
  <sheetViews>
    <sheetView workbookViewId="0">
      <selection activeCell="D11" sqref="D11"/>
    </sheetView>
  </sheetViews>
  <sheetFormatPr defaultRowHeight="15" x14ac:dyDescent="0.25"/>
  <cols>
    <col min="1" max="1" width="28.140625" customWidth="1"/>
    <col min="2" max="2" width="35.28515625" style="3" customWidth="1"/>
    <col min="3" max="3" width="31.140625" customWidth="1"/>
    <col min="4" max="4" width="19.42578125" customWidth="1"/>
  </cols>
  <sheetData>
    <row r="1" spans="1:4" x14ac:dyDescent="0.25">
      <c r="A1" s="7" t="s">
        <v>36</v>
      </c>
      <c r="B1" s="18"/>
    </row>
    <row r="2" spans="1:4" x14ac:dyDescent="0.25">
      <c r="A2" t="s">
        <v>4</v>
      </c>
      <c r="B2" s="89"/>
    </row>
    <row r="3" spans="1:4" ht="26.25" x14ac:dyDescent="0.4">
      <c r="A3" t="s">
        <v>6</v>
      </c>
      <c r="B3" s="89"/>
      <c r="C3" s="87" t="s">
        <v>97</v>
      </c>
    </row>
    <row r="4" spans="1:4" x14ac:dyDescent="0.25">
      <c r="A4" t="s">
        <v>37</v>
      </c>
      <c r="B4" s="89"/>
    </row>
    <row r="5" spans="1:4" x14ac:dyDescent="0.25">
      <c r="A5" t="s">
        <v>28</v>
      </c>
      <c r="B5" s="90"/>
    </row>
    <row r="7" spans="1:4" x14ac:dyDescent="0.25">
      <c r="A7" t="s">
        <v>31</v>
      </c>
      <c r="B7" s="20">
        <v>3000000</v>
      </c>
    </row>
    <row r="8" spans="1:4" x14ac:dyDescent="0.25">
      <c r="A8" t="s">
        <v>32</v>
      </c>
      <c r="B8" s="21">
        <f>'ADK- Rates WACC'!B4</f>
        <v>32.75</v>
      </c>
    </row>
    <row r="9" spans="1:4" x14ac:dyDescent="0.25">
      <c r="A9" t="s">
        <v>33</v>
      </c>
      <c r="B9" s="20">
        <v>1000000</v>
      </c>
      <c r="D9" s="37"/>
    </row>
    <row r="10" spans="1:4" x14ac:dyDescent="0.25">
      <c r="A10" t="s">
        <v>34</v>
      </c>
      <c r="B10" s="21">
        <f>'ADK- Rates WACC'!E4</f>
        <v>72</v>
      </c>
      <c r="D10" s="37"/>
    </row>
    <row r="11" spans="1:4" ht="15.75" x14ac:dyDescent="0.25">
      <c r="A11" s="17" t="s">
        <v>95</v>
      </c>
      <c r="B11" s="20">
        <v>30000</v>
      </c>
      <c r="D11" s="2"/>
    </row>
    <row r="12" spans="1:4" x14ac:dyDescent="0.25">
      <c r="A12" t="s">
        <v>94</v>
      </c>
      <c r="B12" s="19">
        <f>'ADK- Rates WACC'!H7</f>
        <v>0.97499999999999998</v>
      </c>
      <c r="D12" s="84"/>
    </row>
    <row r="13" spans="1:4" x14ac:dyDescent="0.25">
      <c r="B13" s="22"/>
    </row>
    <row r="14" spans="1:4" x14ac:dyDescent="0.25">
      <c r="A14" s="34" t="s">
        <v>44</v>
      </c>
      <c r="B14" s="35"/>
    </row>
    <row r="15" spans="1:4" x14ac:dyDescent="0.25">
      <c r="A15" t="s">
        <v>0</v>
      </c>
      <c r="B15" s="23"/>
    </row>
    <row r="16" spans="1:4" x14ac:dyDescent="0.25">
      <c r="A16" t="s">
        <v>35</v>
      </c>
      <c r="B16" s="23"/>
    </row>
    <row r="17" spans="1:2" ht="15.75" thickBot="1" x14ac:dyDescent="0.3">
      <c r="A17" s="32" t="s">
        <v>1</v>
      </c>
      <c r="B17" s="33"/>
    </row>
    <row r="18" spans="1:2" x14ac:dyDescent="0.25">
      <c r="A18" t="s">
        <v>43</v>
      </c>
      <c r="B18" s="31">
        <f>SUM(B15:B17)</f>
        <v>0</v>
      </c>
    </row>
    <row r="19" spans="1:2" x14ac:dyDescent="0.25">
      <c r="B19" s="31"/>
    </row>
    <row r="20" spans="1:2" x14ac:dyDescent="0.25">
      <c r="A20" s="34" t="s">
        <v>45</v>
      </c>
      <c r="B20" s="36"/>
    </row>
    <row r="21" spans="1:2" x14ac:dyDescent="0.25">
      <c r="A21" t="s">
        <v>47</v>
      </c>
      <c r="B21" s="24"/>
    </row>
    <row r="22" spans="1:2" x14ac:dyDescent="0.25">
      <c r="A22" t="s">
        <v>48</v>
      </c>
      <c r="B22" s="24"/>
    </row>
    <row r="23" spans="1:2" ht="16.5" customHeight="1" x14ac:dyDescent="0.25">
      <c r="A23" t="s">
        <v>49</v>
      </c>
      <c r="B23" s="24"/>
    </row>
    <row r="24" spans="1:2" ht="16.5" customHeight="1" x14ac:dyDescent="0.25">
      <c r="B24" s="24"/>
    </row>
    <row r="25" spans="1:2" x14ac:dyDescent="0.25">
      <c r="A25" t="s">
        <v>46</v>
      </c>
    </row>
    <row r="26" spans="1:2" x14ac:dyDescent="0.25">
      <c r="A26" s="26" t="s">
        <v>38</v>
      </c>
      <c r="B26" s="25"/>
    </row>
    <row r="28" spans="1:2" x14ac:dyDescent="0.25">
      <c r="A28" s="82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883C-9CDB-4610-A9C8-4FF4BAB6ADFB}">
  <sheetPr>
    <tabColor rgb="FFEE0000"/>
  </sheetPr>
  <dimension ref="A1:F18"/>
  <sheetViews>
    <sheetView tabSelected="1" workbookViewId="0">
      <selection activeCell="H21" sqref="H21"/>
    </sheetView>
  </sheetViews>
  <sheetFormatPr defaultRowHeight="15" x14ac:dyDescent="0.25"/>
  <cols>
    <col min="1" max="1" width="18.85546875" customWidth="1"/>
    <col min="2" max="2" width="33.85546875" bestFit="1" customWidth="1"/>
    <col min="3" max="3" width="18.5703125" customWidth="1"/>
  </cols>
  <sheetData>
    <row r="1" spans="1:6" ht="54" customHeight="1" x14ac:dyDescent="0.25">
      <c r="A1" s="76" t="s">
        <v>82</v>
      </c>
      <c r="B1" s="76"/>
      <c r="C1" s="76"/>
      <c r="D1" s="76"/>
      <c r="E1" s="76"/>
      <c r="F1" s="76"/>
    </row>
    <row r="2" spans="1:6" x14ac:dyDescent="0.25">
      <c r="B2" t="s">
        <v>56</v>
      </c>
      <c r="C2" t="s">
        <v>50</v>
      </c>
    </row>
    <row r="3" spans="1:6" x14ac:dyDescent="0.25">
      <c r="A3" t="s">
        <v>52</v>
      </c>
      <c r="B3" s="37">
        <v>2000000</v>
      </c>
      <c r="C3" s="27">
        <v>45</v>
      </c>
    </row>
    <row r="4" spans="1:6" x14ac:dyDescent="0.25">
      <c r="A4" t="s">
        <v>51</v>
      </c>
      <c r="B4" s="37">
        <v>750000</v>
      </c>
      <c r="C4" s="27">
        <v>52</v>
      </c>
    </row>
    <row r="5" spans="1:6" x14ac:dyDescent="0.25">
      <c r="A5" t="s">
        <v>53</v>
      </c>
      <c r="B5" s="37">
        <v>20000000</v>
      </c>
      <c r="C5" s="13">
        <v>1.01</v>
      </c>
    </row>
    <row r="6" spans="1:6" x14ac:dyDescent="0.25">
      <c r="B6" s="37"/>
      <c r="C6" s="13"/>
    </row>
    <row r="7" spans="1:6" x14ac:dyDescent="0.25">
      <c r="A7" t="s">
        <v>54</v>
      </c>
    </row>
    <row r="8" spans="1:6" x14ac:dyDescent="0.25">
      <c r="A8" t="s">
        <v>55</v>
      </c>
    </row>
    <row r="10" spans="1:6" x14ac:dyDescent="0.25">
      <c r="A10" t="s">
        <v>83</v>
      </c>
    </row>
    <row r="11" spans="1:6" x14ac:dyDescent="0.25">
      <c r="A11" t="s">
        <v>84</v>
      </c>
    </row>
    <row r="12" spans="1:6" x14ac:dyDescent="0.25">
      <c r="A12" t="s">
        <v>85</v>
      </c>
    </row>
    <row r="13" spans="1:6" x14ac:dyDescent="0.25">
      <c r="A13" t="s">
        <v>86</v>
      </c>
    </row>
    <row r="14" spans="1:6" x14ac:dyDescent="0.25">
      <c r="A14" t="s">
        <v>87</v>
      </c>
    </row>
    <row r="15" spans="1:6" x14ac:dyDescent="0.25">
      <c r="A15" t="s">
        <v>88</v>
      </c>
    </row>
    <row r="16" spans="1:6" x14ac:dyDescent="0.25">
      <c r="A16" t="s">
        <v>89</v>
      </c>
    </row>
    <row r="17" spans="1:1" x14ac:dyDescent="0.25">
      <c r="A17" t="s">
        <v>90</v>
      </c>
    </row>
    <row r="18" spans="1:1" x14ac:dyDescent="0.25">
      <c r="A1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Average Cost of Equity</vt:lpstr>
      <vt:lpstr>Cost of Preferred Stock</vt:lpstr>
      <vt:lpstr>Cost of Debt</vt:lpstr>
      <vt:lpstr>WACC- Ratio</vt:lpstr>
      <vt:lpstr>ADK- Rates WACC</vt:lpstr>
      <vt:lpstr>ADK-FullWACC</vt:lpstr>
      <vt:lpstr>Homework 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 bev12481</dc:creator>
  <cp:lastModifiedBy>Bethany Evitts</cp:lastModifiedBy>
  <dcterms:created xsi:type="dcterms:W3CDTF">2024-06-19T23:28:25Z</dcterms:created>
  <dcterms:modified xsi:type="dcterms:W3CDTF">2026-04-05T15:29:33Z</dcterms:modified>
</cp:coreProperties>
</file>