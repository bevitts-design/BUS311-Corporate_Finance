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13 - WACC/"/>
    </mc:Choice>
  </mc:AlternateContent>
  <xr:revisionPtr revIDLastSave="244" documentId="8_{DF262BB3-F9D9-460A-B224-4A64888F0553}" xr6:coauthVersionLast="47" xr6:coauthVersionMax="47" xr10:uidLastSave="{18691FAC-98DD-40D8-9F50-A5CF59340080}"/>
  <bookViews>
    <workbookView minimized="1" xWindow="2550" yWindow="440" windowWidth="14400" windowHeight="8170" tabRatio="775" firstSheet="2" activeTab="10" xr2:uid="{D99623D6-8D4D-47CC-940E-07CD17D96697}"/>
  </bookViews>
  <sheets>
    <sheet name="Average Cost of Equity" sheetId="10" r:id="rId1"/>
    <sheet name="Cost of Preferred Stock" sheetId="11" r:id="rId2"/>
    <sheet name="Cost of Debt" sheetId="12" r:id="rId3"/>
    <sheet name="WACC- Ratio" sheetId="1" r:id="rId4"/>
    <sheet name="ADK - Rates WACC" sheetId="2" r:id="rId5"/>
    <sheet name="ADK-Full WACC" sheetId="4" r:id="rId6"/>
    <sheet name="Sheet1" sheetId="15" r:id="rId7"/>
    <sheet name="Flotation-Adj Cost of Eq" sheetId="7" r:id="rId8"/>
    <sheet name="Problem" sheetId="14" r:id="rId9"/>
    <sheet name="New Problem with Flotation Cost" sheetId="9" r:id="rId10"/>
    <sheet name="Book #30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7" l="1"/>
  <c r="D15" i="10"/>
  <c r="D18" i="10"/>
  <c r="G18" i="10"/>
  <c r="F21" i="9"/>
  <c r="C23" i="7"/>
  <c r="C22" i="7"/>
  <c r="C18" i="7"/>
  <c r="C12" i="7"/>
  <c r="G15" i="10"/>
  <c r="G11" i="11"/>
  <c r="D11" i="4"/>
  <c r="D12" i="4" s="1"/>
  <c r="B24" i="4"/>
  <c r="B25" i="4"/>
  <c r="B23" i="4"/>
  <c r="B17" i="4"/>
  <c r="C17" i="4"/>
  <c r="C16" i="4"/>
  <c r="B16" i="4"/>
  <c r="C15" i="4"/>
  <c r="B15" i="4"/>
  <c r="B18" i="4" s="1"/>
  <c r="G16" i="1"/>
  <c r="G16" i="12"/>
  <c r="D95" i="13"/>
  <c r="D88" i="13"/>
  <c r="D92" i="13" s="1"/>
  <c r="D87" i="13"/>
  <c r="D86" i="13"/>
  <c r="D85" i="13"/>
  <c r="D89" i="13" s="1"/>
  <c r="D82" i="13"/>
  <c r="D83" i="13" s="1"/>
  <c r="D77" i="13"/>
  <c r="D76" i="13"/>
  <c r="D74" i="13"/>
  <c r="D75" i="13" s="1"/>
  <c r="D69" i="13"/>
  <c r="D61" i="13"/>
  <c r="D60" i="13"/>
  <c r="D65" i="13" s="1"/>
  <c r="D59" i="13"/>
  <c r="D64" i="13" s="1"/>
  <c r="D58" i="13"/>
  <c r="D18" i="12"/>
  <c r="D16" i="12"/>
  <c r="G18" i="12"/>
  <c r="D11" i="11"/>
  <c r="G16" i="10"/>
  <c r="D16" i="10"/>
  <c r="C34" i="9"/>
  <c r="A43" i="9"/>
  <c r="A61" i="9"/>
  <c r="A60" i="9"/>
  <c r="A59" i="9"/>
  <c r="A58" i="9"/>
  <c r="A57" i="9"/>
  <c r="A54" i="9"/>
  <c r="C8" i="9"/>
  <c r="C7" i="9"/>
  <c r="C6" i="9"/>
  <c r="C5" i="9"/>
  <c r="C4" i="9"/>
  <c r="C3" i="9"/>
  <c r="C2" i="9"/>
  <c r="I20" i="9"/>
  <c r="I21" i="9" s="1"/>
  <c r="B5" i="9" s="1"/>
  <c r="F20" i="9"/>
  <c r="C47" i="9"/>
  <c r="B47" i="9"/>
  <c r="C46" i="9"/>
  <c r="B46" i="9"/>
  <c r="C45" i="9"/>
  <c r="B45" i="9"/>
  <c r="A56" i="9"/>
  <c r="A55" i="9"/>
  <c r="A53" i="9"/>
  <c r="A52" i="9"/>
  <c r="C31" i="9"/>
  <c r="C28" i="9"/>
  <c r="C27" i="9"/>
  <c r="C26" i="9"/>
  <c r="C22" i="9"/>
  <c r="C21" i="9"/>
  <c r="C20" i="9"/>
  <c r="C17" i="9"/>
  <c r="M14" i="9"/>
  <c r="C16" i="9"/>
  <c r="B16" i="9"/>
  <c r="F14" i="9"/>
  <c r="C15" i="9"/>
  <c r="B15" i="9"/>
  <c r="I13" i="9"/>
  <c r="B4" i="9" s="1"/>
  <c r="F13" i="9"/>
  <c r="C14" i="9"/>
  <c r="B14" i="9"/>
  <c r="L11" i="9"/>
  <c r="C13" i="9"/>
  <c r="B13" i="9"/>
  <c r="C12" i="9"/>
  <c r="B12" i="9"/>
  <c r="B21" i="9" s="1"/>
  <c r="C11" i="9"/>
  <c r="B11" i="9"/>
  <c r="C10" i="9"/>
  <c r="B10" i="9"/>
  <c r="B20" i="9" s="1"/>
  <c r="L6" i="9"/>
  <c r="B7" i="9"/>
  <c r="D9" i="4"/>
  <c r="D10" i="4" s="1"/>
  <c r="B23" i="7"/>
  <c r="B22" i="7"/>
  <c r="C15" i="7"/>
  <c r="C16" i="7"/>
  <c r="B18" i="7"/>
  <c r="H5" i="2"/>
  <c r="H12" i="2" s="1"/>
  <c r="I13" i="2"/>
  <c r="C25" i="4"/>
  <c r="C24" i="4"/>
  <c r="C23" i="4"/>
  <c r="C28" i="4"/>
  <c r="H10" i="2"/>
  <c r="B15" i="7"/>
  <c r="B16" i="7" s="1"/>
  <c r="B12" i="7"/>
  <c r="D90" i="13" l="1"/>
  <c r="D91" i="13"/>
  <c r="D93" i="13" s="1"/>
  <c r="D63" i="13"/>
  <c r="D67" i="13" s="1"/>
  <c r="D78" i="13"/>
  <c r="D80" i="13" s="1"/>
  <c r="B22" i="9"/>
  <c r="B27" i="9" s="1"/>
  <c r="L13" i="9"/>
  <c r="F23" i="9"/>
  <c r="F25" i="9" s="1"/>
  <c r="F27" i="9" s="1"/>
  <c r="B3" i="9" s="1"/>
  <c r="B17" i="9"/>
  <c r="F16" i="9"/>
  <c r="B2" i="9" s="1"/>
  <c r="D99" i="13" l="1"/>
  <c r="D100" i="13"/>
  <c r="D101" i="13"/>
  <c r="D102" i="13"/>
  <c r="D103" i="13"/>
  <c r="D71" i="13"/>
  <c r="D70" i="13"/>
  <c r="B28" i="9"/>
  <c r="B26" i="9"/>
  <c r="B23" i="9"/>
  <c r="L16" i="9"/>
  <c r="B8" i="9" s="1"/>
  <c r="B6" i="9"/>
  <c r="B28" i="4"/>
  <c r="E12" i="2"/>
  <c r="B13" i="2"/>
  <c r="B12" i="2"/>
  <c r="B6" i="1"/>
  <c r="B12" i="1" l="1"/>
  <c r="C5" i="1"/>
  <c r="C4" i="1"/>
  <c r="C3" i="1"/>
  <c r="B34" i="9"/>
  <c r="B31" i="9"/>
  <c r="D106" i="13"/>
  <c r="D72" i="13"/>
  <c r="D98" i="13" s="1"/>
  <c r="D105" i="13" s="1"/>
</calcChain>
</file>

<file path=xl/sharedStrings.xml><?xml version="1.0" encoding="utf-8"?>
<sst xmlns="http://schemas.openxmlformats.org/spreadsheetml/2006/main" count="314" uniqueCount="209">
  <si>
    <t>Equity</t>
  </si>
  <si>
    <t>Debt</t>
  </si>
  <si>
    <t>Preferrred Stock</t>
  </si>
  <si>
    <t>Total Firm Capital</t>
  </si>
  <si>
    <t>Cost of Equity</t>
  </si>
  <si>
    <t>Cost of Debt</t>
  </si>
  <si>
    <t>Cost of Preferred Stock</t>
  </si>
  <si>
    <t xml:space="preserve">WACC </t>
  </si>
  <si>
    <t>Firm Funding Ratios</t>
  </si>
  <si>
    <t>$$$ Funding Amts</t>
  </si>
  <si>
    <t>Price</t>
  </si>
  <si>
    <t>D1</t>
  </si>
  <si>
    <t>Growth</t>
  </si>
  <si>
    <t>Risk Free Rate</t>
  </si>
  <si>
    <t>Return on Market</t>
  </si>
  <si>
    <t>Beta</t>
  </si>
  <si>
    <t>CAPM</t>
  </si>
  <si>
    <t>Constant -Growth</t>
  </si>
  <si>
    <t>Average Cost of Equity</t>
  </si>
  <si>
    <t>Cost of Equity Calculations</t>
  </si>
  <si>
    <t>Cost of equity (i)</t>
  </si>
  <si>
    <t>Cost of Preferred Stock (i)</t>
  </si>
  <si>
    <t>Cost</t>
  </si>
  <si>
    <t>Maturity</t>
  </si>
  <si>
    <t>Coupon Rate</t>
  </si>
  <si>
    <t># Coupons</t>
  </si>
  <si>
    <t>Bond Price</t>
  </si>
  <si>
    <t>Bond $$ Value</t>
  </si>
  <si>
    <t>Tax Rate</t>
  </si>
  <si>
    <t>RATE(nper, pmt, pv, [fv])</t>
  </si>
  <si>
    <t xml:space="preserve"> Before Tax Cost of Debt -YTM</t>
  </si>
  <si>
    <t>After Tax Cost of Debt</t>
  </si>
  <si>
    <t>YTM*(1-tax rate)</t>
  </si>
  <si>
    <t>Shares of Common Equity</t>
  </si>
  <si>
    <t>Price of Common Equity</t>
  </si>
  <si>
    <t>Share of Preferred Stock</t>
  </si>
  <si>
    <t>Price of Preferred Stock</t>
  </si>
  <si>
    <t>Number of Bonds</t>
  </si>
  <si>
    <t>Price of Bonds</t>
  </si>
  <si>
    <t>Preferred Stock</t>
  </si>
  <si>
    <t>WACC</t>
  </si>
  <si>
    <t>Before Tax Cost of Debt</t>
  </si>
  <si>
    <t>WACC (full tax adv)</t>
  </si>
  <si>
    <t>Cost of equity (i) w/Flotation Costs</t>
  </si>
  <si>
    <t>Flotation %</t>
  </si>
  <si>
    <t>Flotation Cost $$</t>
  </si>
  <si>
    <t>Par Value (FV)</t>
  </si>
  <si>
    <t>Coupon Payment</t>
  </si>
  <si>
    <t>Level of Debt determines the ability to use or not use tax shield</t>
  </si>
  <si>
    <t>Information will be given to you</t>
  </si>
  <si>
    <t>Total Firm Value</t>
  </si>
  <si>
    <t>Find Firm's Total Market Value</t>
  </si>
  <si>
    <t>Determine the Weighting of each funding source</t>
  </si>
  <si>
    <t xml:space="preserve">Determine the Weighted Average Cost of Capital </t>
  </si>
  <si>
    <t>% of Equity =E/(E+P+D)</t>
  </si>
  <si>
    <t>% of Pref Stock = P/(E+P+D)</t>
  </si>
  <si>
    <t>% of Debt = D/(E+P+D)</t>
  </si>
  <si>
    <t>Est Flotation Cost</t>
  </si>
  <si>
    <t>Cost of equity (i)- CAPM w/Flotation Cost</t>
  </si>
  <si>
    <t>Cost of New Equity</t>
  </si>
  <si>
    <t>Dollar Value of each Bond</t>
  </si>
  <si>
    <t>Par Value each Bond</t>
  </si>
  <si>
    <t>Total Par Value of Bonds Outstanding</t>
  </si>
  <si>
    <t>Quoted Bond Price</t>
  </si>
  <si>
    <t>Div Growth Rate (g)</t>
  </si>
  <si>
    <t>Par Value per bond(FV)</t>
  </si>
  <si>
    <t>Current Price</t>
  </si>
  <si>
    <t xml:space="preserve">Preferred Stock </t>
  </si>
  <si>
    <t xml:space="preserve"> Common Equity </t>
  </si>
  <si>
    <t xml:space="preserve"> Bonds /Debt</t>
  </si>
  <si>
    <t>Total Bond Par Value Outstanding</t>
  </si>
  <si>
    <t>Price of Quoted Bond</t>
  </si>
  <si>
    <t>Market Value of Debt</t>
  </si>
  <si>
    <t>Flotation Cost</t>
  </si>
  <si>
    <t xml:space="preserve">Flotation Cost </t>
  </si>
  <si>
    <t>Cost of equity - w/o flotation cost</t>
  </si>
  <si>
    <t>Cost of Preferred Stock (rp)- w/o flotation cost</t>
  </si>
  <si>
    <t>Cost of equity - with flotation cost</t>
  </si>
  <si>
    <t>Cost of Preferred Stock (rp)- with  flotation cost</t>
  </si>
  <si>
    <t>Flotation Cost in $$</t>
  </si>
  <si>
    <t>Cost Equity (DDM-CG) with flotation cost</t>
  </si>
  <si>
    <t>Flotation cost %</t>
  </si>
  <si>
    <t>CAPM with Flotation cost</t>
  </si>
  <si>
    <t>Average Cost of Equity- with flotation costs</t>
  </si>
  <si>
    <t>Avg Cost of Equity - CAPM &amp; CGM- without flotation cost</t>
  </si>
  <si>
    <t>Avg Cost of Equity - CAPM &amp; CGM with flotation costs</t>
  </si>
  <si>
    <t>Cost of Preferred Stock without flotation cost</t>
  </si>
  <si>
    <t>Cost of Preferred Stock with flotation costs</t>
  </si>
  <si>
    <t>Cost of Pref Equity -w/o flotation</t>
  </si>
  <si>
    <t>Cost of Pref Equity -w/flotation</t>
  </si>
  <si>
    <t>Name:</t>
  </si>
  <si>
    <t>XYZ Corp</t>
  </si>
  <si>
    <t>Ticker</t>
  </si>
  <si>
    <t>XYZ</t>
  </si>
  <si>
    <t>Question:</t>
  </si>
  <si>
    <t>The firm needs to issue new common stock to fund the purchase of a new machine.</t>
  </si>
  <si>
    <t>The CFO would like to see the average of cost of equity using both the between CAPM and DDM- CGM methods</t>
  </si>
  <si>
    <t>Outstanding Shares/Total Part Value</t>
  </si>
  <si>
    <t>WACC (full tax adv) without flotation costs</t>
  </si>
  <si>
    <t>WACC (full tax adv) with flotation cost on common equity</t>
  </si>
  <si>
    <t>Input Area:</t>
  </si>
  <si>
    <t>Market risk premium</t>
  </si>
  <si>
    <t>T-bill rate</t>
  </si>
  <si>
    <t>Dividend per share</t>
  </si>
  <si>
    <t>Growth rate</t>
  </si>
  <si>
    <t>Stock price</t>
  </si>
  <si>
    <t>Output Area:</t>
  </si>
  <si>
    <r>
      <rPr>
        <i/>
        <sz val="12"/>
        <color indexed="8"/>
        <rFont val="Arial"/>
        <family val="2"/>
      </rPr>
      <t>R</t>
    </r>
    <r>
      <rPr>
        <vertAlign val="subscript"/>
        <sz val="12"/>
        <color indexed="8"/>
        <rFont val="Arial"/>
        <family val="2"/>
      </rPr>
      <t>E</t>
    </r>
    <r>
      <rPr>
        <sz val="12"/>
        <color indexed="8"/>
        <rFont val="Arial"/>
        <family val="2"/>
      </rPr>
      <t>: CAPM</t>
    </r>
  </si>
  <si>
    <r>
      <rPr>
        <i/>
        <sz val="12"/>
        <color indexed="8"/>
        <rFont val="Arial"/>
        <family val="2"/>
      </rPr>
      <t>R</t>
    </r>
    <r>
      <rPr>
        <vertAlign val="subscript"/>
        <sz val="12"/>
        <color indexed="8"/>
        <rFont val="Arial"/>
        <family val="2"/>
      </rPr>
      <t>E</t>
    </r>
    <r>
      <rPr>
        <sz val="12"/>
        <color indexed="8"/>
        <rFont val="Arial"/>
        <family val="2"/>
      </rPr>
      <t>: DCF</t>
    </r>
  </si>
  <si>
    <r>
      <rPr>
        <i/>
        <sz val="12"/>
        <color indexed="8"/>
        <rFont val="Arial"/>
        <family val="2"/>
      </rPr>
      <t>R</t>
    </r>
    <r>
      <rPr>
        <vertAlign val="subscript"/>
        <sz val="12"/>
        <color indexed="8"/>
        <rFont val="Arial"/>
        <family val="2"/>
      </rPr>
      <t>E</t>
    </r>
  </si>
  <si>
    <r>
      <t>R</t>
    </r>
    <r>
      <rPr>
        <i/>
        <vertAlign val="subscript"/>
        <sz val="12"/>
        <color indexed="8"/>
        <rFont val="Arial"/>
        <family val="2"/>
      </rPr>
      <t>P</t>
    </r>
  </si>
  <si>
    <t>Price (% of par)</t>
  </si>
  <si>
    <t>Redemption (% of par)</t>
  </si>
  <si>
    <t>Coupon rate</t>
  </si>
  <si>
    <t>Payments per year</t>
  </si>
  <si>
    <t>Tax rate</t>
  </si>
  <si>
    <t>Pretax cost</t>
  </si>
  <si>
    <t>Aftertax cost of debt</t>
  </si>
  <si>
    <t>Par Value</t>
  </si>
  <si>
    <t>Chapter 14</t>
  </si>
  <si>
    <t>Question 30</t>
  </si>
  <si>
    <t>Original land price</t>
  </si>
  <si>
    <t>Current land value</t>
  </si>
  <si>
    <t>Land value in Year 5</t>
  </si>
  <si>
    <t>Plant &amp; Equipment cost</t>
  </si>
  <si>
    <t>Bonds outstanding</t>
  </si>
  <si>
    <t>Settlement date</t>
  </si>
  <si>
    <t>Maturity date</t>
  </si>
  <si>
    <t>Annual coupon rate</t>
  </si>
  <si>
    <t>Coupons per year</t>
  </si>
  <si>
    <t>Bond price (% of par)</t>
  </si>
  <si>
    <t>Par value ($)</t>
  </si>
  <si>
    <t xml:space="preserve">Common stock </t>
  </si>
  <si>
    <t>Shares outstanding</t>
  </si>
  <si>
    <t>Share price</t>
  </si>
  <si>
    <t>Preferred stock outstanding</t>
  </si>
  <si>
    <t>Par value</t>
  </si>
  <si>
    <t>Market</t>
  </si>
  <si>
    <t>Risk-free rate</t>
  </si>
  <si>
    <t>Equity floatation cost</t>
  </si>
  <si>
    <t>Preferred floatation cost</t>
  </si>
  <si>
    <t>Debt floatation cost</t>
  </si>
  <si>
    <t>Net working capital</t>
  </si>
  <si>
    <t>Does the NWC require</t>
  </si>
  <si>
    <t>floatation costs (Yes/No)</t>
  </si>
  <si>
    <t>Yes</t>
  </si>
  <si>
    <t>b.</t>
  </si>
  <si>
    <t>Adjustment factor</t>
  </si>
  <si>
    <t>c.</t>
  </si>
  <si>
    <t>Life of plant (years)</t>
  </si>
  <si>
    <t>Life of project (years)</t>
  </si>
  <si>
    <t>Plant salvage value</t>
  </si>
  <si>
    <t>d.</t>
  </si>
  <si>
    <t>Annual fixed costs</t>
  </si>
  <si>
    <t>Units sold</t>
  </si>
  <si>
    <t>Sale price per unit</t>
  </si>
  <si>
    <t>Variable costs per unit</t>
  </si>
  <si>
    <t>Market value of debt</t>
  </si>
  <si>
    <t>Market value of equity</t>
  </si>
  <si>
    <t>Market value of preferred</t>
  </si>
  <si>
    <t>Market value of firm</t>
  </si>
  <si>
    <t>D/V</t>
  </si>
  <si>
    <t>E/V</t>
  </si>
  <si>
    <t>P/V</t>
  </si>
  <si>
    <t>a.</t>
  </si>
  <si>
    <t>Floatation costs</t>
  </si>
  <si>
    <t>Land</t>
  </si>
  <si>
    <t>Plant (including floatation)</t>
  </si>
  <si>
    <t>Pretax cost of debt</t>
  </si>
  <si>
    <t>Cost of equity</t>
  </si>
  <si>
    <t>Cost of preferred</t>
  </si>
  <si>
    <t>Discount rate for project</t>
  </si>
  <si>
    <t>Book value in Year 5</t>
  </si>
  <si>
    <t>Aftertax salvage value</t>
  </si>
  <si>
    <t>Sales</t>
  </si>
  <si>
    <t>Variable costs</t>
  </si>
  <si>
    <t>Fixed costs</t>
  </si>
  <si>
    <t>Depreciation</t>
  </si>
  <si>
    <t>EBIT</t>
  </si>
  <si>
    <t>Taxes</t>
  </si>
  <si>
    <t>Net income</t>
  </si>
  <si>
    <t>Operating cash flow</t>
  </si>
  <si>
    <t>e.</t>
  </si>
  <si>
    <t>Accounting breakeven</t>
  </si>
  <si>
    <t>f.</t>
  </si>
  <si>
    <t>Year</t>
  </si>
  <si>
    <t>Cash Flow</t>
  </si>
  <si>
    <t>IRR</t>
  </si>
  <si>
    <t>NPV</t>
  </si>
  <si>
    <t>Calculate the WACC (full tax advantage) of XYZ Corp  given the following information:</t>
  </si>
  <si>
    <t>The per share equity dividend (D1) next period is expected to be $3.00</t>
  </si>
  <si>
    <t>The per share preferred stock dividend (D1) next period is expected to be $5.00</t>
  </si>
  <si>
    <t>XYZ expects future dividends to grow  indefinitely (g) by 5.00%</t>
  </si>
  <si>
    <t>The risk-free rate (RfR) is 4.00%</t>
  </si>
  <si>
    <t>The expected return on the market (Rm) is 10.00%</t>
  </si>
  <si>
    <t>XYZ has a beta of 1.40</t>
  </si>
  <si>
    <t>XYZ debt has a coupon rate of 7.50%</t>
  </si>
  <si>
    <t>XYZ debt has a maturity in years of 30</t>
  </si>
  <si>
    <t>XYZ tax rate is 21.00%</t>
  </si>
  <si>
    <t>XYZ flotation cost for common equity is 20.00% of its current traded price</t>
  </si>
  <si>
    <t>WACC = ( E/V ) x R       + ( D/V ) x R      x (1- Tax Rate)</t>
  </si>
  <si>
    <t>Calculate the Required Return on Equity using the DDM</t>
  </si>
  <si>
    <t>Calculate the Cost of debt before tax</t>
  </si>
  <si>
    <t>Calculate the Required Return on Equity using the CAPM Model</t>
  </si>
  <si>
    <t>Use the numbers from the last tab</t>
  </si>
  <si>
    <t>=Price/Div Per share</t>
  </si>
  <si>
    <t>Past Dividend per share</t>
  </si>
  <si>
    <t>=D1/(P-float) +g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</si>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</sst>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_(* #,##0_);_(* \(#,##0\);_(* &quot;-&quot;??_);_(@_)"/>
    <numFmt numFmtId="167" formatCode="&quot;$&quot;#,##0.00"/>
    <numFmt numFmtId="168" formatCode="0.0%"/>
    <numFmt numFmtId="169" formatCode="mm/dd/yy;@"/>
    <numFmt numFmtId="170" formatCode="0.00_);\(0.00\)"/>
    <numFmt numFmtId="171" formatCode="_(* #,##0.0000_);_(* \(#,##0.0000\);_(* &quot;-&quot;????_);_(@_)"/>
    <numFmt numFmtId="172" formatCode="0.00000"/>
    <numFmt numFmtId="173" formatCode="_(* #,##0.00_);_(* \(#,##0.00\);_(* &quot;-&quot;_);_(@_)"/>
    <numFmt numFmtId="174" formatCode="0.0000%"/>
    <numFmt numFmtId="175" formatCode="0.0000000000000000%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rgb="FF002E60"/>
      <name val="Arial"/>
      <family val="2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sz val="12"/>
      <color indexed="48"/>
      <name val="Arial"/>
      <family val="2"/>
    </font>
    <font>
      <sz val="12"/>
      <color indexed="8"/>
      <name val="Arial"/>
      <family val="2"/>
    </font>
    <font>
      <sz val="12"/>
      <color rgb="FF0050C7"/>
      <name val="Arial"/>
      <family val="2"/>
    </font>
    <font>
      <i/>
      <sz val="12"/>
      <color indexed="8"/>
      <name val="Arial"/>
      <family val="2"/>
    </font>
    <font>
      <vertAlign val="subscript"/>
      <sz val="12"/>
      <color indexed="8"/>
      <name val="Arial"/>
      <family val="2"/>
    </font>
    <font>
      <sz val="12"/>
      <color rgb="FFB80000"/>
      <name val="Arial"/>
      <family val="2"/>
    </font>
    <font>
      <sz val="12"/>
      <color indexed="10"/>
      <name val="Arial"/>
      <family val="2"/>
    </font>
    <font>
      <b/>
      <sz val="12"/>
      <color rgb="FF007A37"/>
      <name val="Arial"/>
      <family val="2"/>
    </font>
    <font>
      <i/>
      <vertAlign val="subscript"/>
      <sz val="12"/>
      <color indexed="8"/>
      <name val="Arial"/>
      <family val="2"/>
    </font>
    <font>
      <b/>
      <sz val="14"/>
      <name val="Arial"/>
      <family val="2"/>
    </font>
    <font>
      <b/>
      <sz val="12"/>
      <color indexed="57"/>
      <name val="Arial"/>
      <family val="2"/>
    </font>
    <font>
      <i/>
      <u/>
      <sz val="12"/>
      <color indexed="8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25.7"/>
      <color rgb="FFE1A60D"/>
      <name val="Georgia Pro Bold"/>
    </font>
    <font>
      <b/>
      <sz val="22"/>
      <color rgb="FFFF0000"/>
      <name val="Calibri"/>
      <family val="2"/>
      <scheme val="minor"/>
    </font>
    <font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0" fillId="0" borderId="1" xfId="0" applyBorder="1"/>
    <xf numFmtId="10" fontId="0" fillId="0" borderId="0" xfId="3" applyNumberFormat="1" applyFont="1"/>
    <xf numFmtId="0" fontId="0" fillId="0" borderId="0" xfId="0" applyAlignment="1">
      <alignment horizontal="right"/>
    </xf>
    <xf numFmtId="44" fontId="0" fillId="0" borderId="0" xfId="2" applyFont="1"/>
    <xf numFmtId="0" fontId="0" fillId="0" borderId="0" xfId="0" applyAlignment="1">
      <alignment horizontal="center"/>
    </xf>
    <xf numFmtId="10" fontId="0" fillId="0" borderId="0" xfId="3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/>
    <xf numFmtId="164" fontId="0" fillId="0" borderId="0" xfId="2" applyNumberFormat="1" applyFont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10" fontId="0" fillId="0" borderId="0" xfId="0" applyNumberFormat="1"/>
    <xf numFmtId="6" fontId="0" fillId="0" borderId="0" xfId="0" applyNumberFormat="1"/>
    <xf numFmtId="8" fontId="0" fillId="0" borderId="0" xfId="0" applyNumberFormat="1"/>
    <xf numFmtId="0" fontId="0" fillId="0" borderId="2" xfId="0" applyBorder="1"/>
    <xf numFmtId="10" fontId="0" fillId="0" borderId="3" xfId="0" applyNumberFormat="1" applyBorder="1"/>
    <xf numFmtId="10" fontId="0" fillId="0" borderId="3" xfId="3" applyNumberFormat="1" applyFont="1" applyBorder="1"/>
    <xf numFmtId="0" fontId="5" fillId="0" borderId="0" xfId="0" applyFont="1"/>
    <xf numFmtId="0" fontId="2" fillId="2" borderId="0" xfId="0" applyFont="1" applyFill="1" applyAlignment="1">
      <alignment horizontal="right"/>
    </xf>
    <xf numFmtId="10" fontId="0" fillId="0" borderId="0" xfId="3" applyNumberFormat="1" applyFont="1" applyFill="1" applyBorder="1" applyAlignment="1">
      <alignment horizontal="right"/>
    </xf>
    <xf numFmtId="9" fontId="0" fillId="0" borderId="0" xfId="3" applyFont="1" applyFill="1" applyBorder="1" applyAlignment="1">
      <alignment horizontal="right"/>
    </xf>
    <xf numFmtId="166" fontId="0" fillId="0" borderId="0" xfId="1" applyNumberFormat="1" applyFont="1" applyFill="1" applyBorder="1" applyAlignment="1">
      <alignment horizontal="right"/>
    </xf>
    <xf numFmtId="44" fontId="0" fillId="0" borderId="0" xfId="2" applyFont="1" applyFill="1" applyBorder="1" applyAlignment="1">
      <alignment horizontal="right"/>
    </xf>
    <xf numFmtId="164" fontId="0" fillId="0" borderId="0" xfId="2" applyNumberFormat="1" applyFont="1" applyFill="1" applyBorder="1" applyAlignment="1">
      <alignment horizontal="right"/>
    </xf>
    <xf numFmtId="164" fontId="0" fillId="0" borderId="0" xfId="2" applyNumberFormat="1" applyFont="1" applyAlignment="1">
      <alignment horizontal="right"/>
    </xf>
    <xf numFmtId="10" fontId="0" fillId="0" borderId="0" xfId="3" applyNumberFormat="1" applyFont="1" applyAlignment="1">
      <alignment horizontal="right"/>
    </xf>
    <xf numFmtId="0" fontId="2" fillId="2" borderId="2" xfId="0" applyFont="1" applyFill="1" applyBorder="1"/>
    <xf numFmtId="44" fontId="0" fillId="0" borderId="0" xfId="0" applyNumberFormat="1"/>
    <xf numFmtId="10" fontId="0" fillId="0" borderId="1" xfId="0" applyNumberFormat="1" applyBorder="1"/>
    <xf numFmtId="0" fontId="6" fillId="0" borderId="0" xfId="0" applyFont="1"/>
    <xf numFmtId="44" fontId="6" fillId="0" borderId="0" xfId="2" applyFont="1"/>
    <xf numFmtId="165" fontId="6" fillId="0" borderId="0" xfId="3" applyNumberFormat="1" applyFont="1"/>
    <xf numFmtId="164" fontId="0" fillId="0" borderId="0" xfId="0" applyNumberFormat="1" applyAlignment="1">
      <alignment horizontal="right"/>
    </xf>
    <xf numFmtId="0" fontId="0" fillId="0" borderId="4" xfId="0" applyBorder="1"/>
    <xf numFmtId="164" fontId="0" fillId="0" borderId="4" xfId="2" applyNumberFormat="1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9" fontId="0" fillId="0" borderId="0" xfId="0" applyNumberFormat="1"/>
    <xf numFmtId="10" fontId="0" fillId="0" borderId="5" xfId="0" applyNumberFormat="1" applyBorder="1"/>
    <xf numFmtId="0" fontId="0" fillId="3" borderId="0" xfId="0" applyFill="1"/>
    <xf numFmtId="166" fontId="0" fillId="3" borderId="0" xfId="1" applyNumberFormat="1" applyFont="1" applyFill="1" applyBorder="1" applyAlignment="1">
      <alignment horizontal="right"/>
    </xf>
    <xf numFmtId="44" fontId="0" fillId="3" borderId="0" xfId="2" applyFont="1" applyFill="1" applyBorder="1" applyAlignment="1">
      <alignment horizontal="right"/>
    </xf>
    <xf numFmtId="0" fontId="5" fillId="3" borderId="0" xfId="0" applyFont="1" applyFill="1"/>
    <xf numFmtId="10" fontId="0" fillId="3" borderId="0" xfId="3" applyNumberFormat="1" applyFont="1" applyFill="1" applyBorder="1" applyAlignment="1">
      <alignment horizontal="right"/>
    </xf>
    <xf numFmtId="9" fontId="0" fillId="3" borderId="0" xfId="3" applyFont="1" applyFill="1" applyBorder="1" applyAlignment="1">
      <alignment horizontal="right"/>
    </xf>
    <xf numFmtId="164" fontId="0" fillId="3" borderId="0" xfId="2" applyNumberFormat="1" applyFont="1" applyFill="1" applyBorder="1" applyAlignment="1">
      <alignment horizontal="right"/>
    </xf>
    <xf numFmtId="0" fontId="0" fillId="4" borderId="0" xfId="0" applyFill="1"/>
    <xf numFmtId="164" fontId="0" fillId="4" borderId="0" xfId="2" applyNumberFormat="1" applyFont="1" applyFill="1" applyBorder="1" applyAlignment="1">
      <alignment horizontal="right"/>
    </xf>
    <xf numFmtId="10" fontId="0" fillId="4" borderId="0" xfId="3" applyNumberFormat="1" applyFont="1" applyFill="1" applyBorder="1" applyAlignment="1">
      <alignment horizontal="right"/>
    </xf>
    <xf numFmtId="10" fontId="0" fillId="5" borderId="3" xfId="0" applyNumberFormat="1" applyFill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166" fontId="11" fillId="0" borderId="0" xfId="0" applyNumberFormat="1" applyFont="1" applyAlignment="1">
      <alignment horizontal="right"/>
    </xf>
    <xf numFmtId="166" fontId="6" fillId="0" borderId="0" xfId="1" applyNumberFormat="1" applyFont="1" applyFill="1" applyBorder="1" applyAlignment="1">
      <alignment horizontal="right"/>
    </xf>
    <xf numFmtId="166" fontId="6" fillId="0" borderId="0" xfId="1" applyNumberFormat="1" applyFont="1" applyFill="1"/>
    <xf numFmtId="0" fontId="6" fillId="0" borderId="0" xfId="0" applyFont="1" applyAlignment="1">
      <alignment wrapText="1"/>
    </xf>
    <xf numFmtId="44" fontId="11" fillId="0" borderId="0" xfId="0" applyNumberFormat="1" applyFont="1"/>
    <xf numFmtId="10" fontId="11" fillId="0" borderId="0" xfId="0" applyNumberFormat="1" applyFont="1"/>
    <xf numFmtId="0" fontId="11" fillId="0" borderId="1" xfId="0" applyFont="1" applyBorder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4" fontId="6" fillId="0" borderId="0" xfId="2" applyNumberFormat="1" applyFont="1" applyFill="1" applyAlignment="1">
      <alignment wrapText="1"/>
    </xf>
    <xf numFmtId="0" fontId="12" fillId="4" borderId="0" xfId="0" applyFont="1" applyFill="1"/>
    <xf numFmtId="10" fontId="12" fillId="4" borderId="0" xfId="0" applyNumberFormat="1" applyFont="1" applyFill="1"/>
    <xf numFmtId="0" fontId="0" fillId="6" borderId="0" xfId="0" applyFill="1"/>
    <xf numFmtId="10" fontId="0" fillId="6" borderId="0" xfId="0" applyNumberFormat="1" applyFill="1"/>
    <xf numFmtId="10" fontId="0" fillId="6" borderId="0" xfId="3" applyNumberFormat="1" applyFont="1" applyFill="1" applyBorder="1" applyAlignment="1">
      <alignment horizontal="right"/>
    </xf>
    <xf numFmtId="10" fontId="0" fillId="4" borderId="0" xfId="3" applyNumberFormat="1" applyFont="1" applyFill="1"/>
    <xf numFmtId="10" fontId="0" fillId="6" borderId="0" xfId="3" applyNumberFormat="1" applyFont="1" applyFill="1"/>
    <xf numFmtId="167" fontId="0" fillId="0" borderId="0" xfId="3" applyNumberFormat="1" applyFont="1" applyFill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 applyAlignment="1">
      <alignment horizontal="right"/>
    </xf>
    <xf numFmtId="0" fontId="13" fillId="0" borderId="0" xfId="0" applyFont="1"/>
    <xf numFmtId="0" fontId="14" fillId="0" borderId="0" xfId="0" applyFont="1"/>
    <xf numFmtId="0" fontId="11" fillId="0" borderId="1" xfId="0" applyFont="1" applyBorder="1" applyAlignment="1">
      <alignment horizontal="right" wrapText="1"/>
    </xf>
    <xf numFmtId="10" fontId="6" fillId="0" borderId="0" xfId="3" applyNumberFormat="1" applyFont="1"/>
    <xf numFmtId="0" fontId="0" fillId="0" borderId="12" xfId="0" applyBorder="1" applyAlignment="1">
      <alignment horizontal="right"/>
    </xf>
    <xf numFmtId="0" fontId="0" fillId="0" borderId="12" xfId="0" applyBorder="1"/>
    <xf numFmtId="0" fontId="0" fillId="0" borderId="7" xfId="0" applyBorder="1"/>
    <xf numFmtId="0" fontId="0" fillId="0" borderId="11" xfId="0" applyBorder="1"/>
    <xf numFmtId="0" fontId="15" fillId="0" borderId="0" xfId="0" applyFont="1"/>
    <xf numFmtId="0" fontId="16" fillId="0" borderId="0" xfId="0" applyFont="1"/>
    <xf numFmtId="0" fontId="17" fillId="7" borderId="13" xfId="0" applyFont="1" applyFill="1" applyBorder="1"/>
    <xf numFmtId="0" fontId="17" fillId="7" borderId="14" xfId="0" applyFont="1" applyFill="1" applyBorder="1"/>
    <xf numFmtId="0" fontId="17" fillId="7" borderId="15" xfId="0" applyFont="1" applyFill="1" applyBorder="1"/>
    <xf numFmtId="0" fontId="17" fillId="7" borderId="16" xfId="0" applyFont="1" applyFill="1" applyBorder="1"/>
    <xf numFmtId="0" fontId="18" fillId="7" borderId="0" xfId="0" applyFont="1" applyFill="1"/>
    <xf numFmtId="39" fontId="19" fillId="7" borderId="0" xfId="0" applyNumberFormat="1" applyFont="1" applyFill="1"/>
    <xf numFmtId="0" fontId="17" fillId="7" borderId="17" xfId="0" applyFont="1" applyFill="1" applyBorder="1"/>
    <xf numFmtId="168" fontId="19" fillId="7" borderId="0" xfId="0" applyNumberFormat="1" applyFont="1" applyFill="1"/>
    <xf numFmtId="44" fontId="19" fillId="7" borderId="0" xfId="0" applyNumberFormat="1" applyFont="1" applyFill="1"/>
    <xf numFmtId="42" fontId="19" fillId="7" borderId="0" xfId="0" applyNumberFormat="1" applyFont="1" applyFill="1"/>
    <xf numFmtId="0" fontId="17" fillId="7" borderId="18" xfId="0" applyFont="1" applyFill="1" applyBorder="1"/>
    <xf numFmtId="0" fontId="18" fillId="7" borderId="4" xfId="0" applyFont="1" applyFill="1" applyBorder="1"/>
    <xf numFmtId="0" fontId="17" fillId="7" borderId="4" xfId="0" applyFont="1" applyFill="1" applyBorder="1"/>
    <xf numFmtId="0" fontId="17" fillId="7" borderId="19" xfId="0" applyFont="1" applyFill="1" applyBorder="1"/>
    <xf numFmtId="0" fontId="18" fillId="8" borderId="13" xfId="0" applyFont="1" applyFill="1" applyBorder="1"/>
    <xf numFmtId="0" fontId="18" fillId="8" borderId="14" xfId="0" applyFont="1" applyFill="1" applyBorder="1"/>
    <xf numFmtId="0" fontId="18" fillId="8" borderId="15" xfId="0" applyFont="1" applyFill="1" applyBorder="1"/>
    <xf numFmtId="0" fontId="18" fillId="8" borderId="16" xfId="0" applyFont="1" applyFill="1" applyBorder="1"/>
    <xf numFmtId="0" fontId="18" fillId="8" borderId="0" xfId="0" applyFont="1" applyFill="1"/>
    <xf numFmtId="10" fontId="22" fillId="8" borderId="0" xfId="0" applyNumberFormat="1" applyFont="1" applyFill="1" applyAlignment="1">
      <alignment vertical="center"/>
    </xf>
    <xf numFmtId="0" fontId="18" fillId="8" borderId="17" xfId="0" applyFont="1" applyFill="1" applyBorder="1"/>
    <xf numFmtId="10" fontId="23" fillId="8" borderId="0" xfId="0" applyNumberFormat="1" applyFont="1" applyFill="1" applyAlignment="1">
      <alignment vertical="center"/>
    </xf>
    <xf numFmtId="10" fontId="24" fillId="8" borderId="20" xfId="0" applyNumberFormat="1" applyFont="1" applyFill="1" applyBorder="1" applyAlignment="1">
      <alignment vertical="center"/>
    </xf>
    <xf numFmtId="0" fontId="18" fillId="8" borderId="18" xfId="0" applyFont="1" applyFill="1" applyBorder="1"/>
    <xf numFmtId="0" fontId="18" fillId="8" borderId="4" xfId="0" applyFont="1" applyFill="1" applyBorder="1"/>
    <xf numFmtId="0" fontId="18" fillId="8" borderId="19" xfId="0" applyFont="1" applyFill="1" applyBorder="1"/>
    <xf numFmtId="0" fontId="20" fillId="8" borderId="0" xfId="0" applyFont="1" applyFill="1"/>
    <xf numFmtId="10" fontId="24" fillId="8" borderId="20" xfId="0" applyNumberFormat="1" applyFont="1" applyFill="1" applyBorder="1"/>
    <xf numFmtId="0" fontId="15" fillId="7" borderId="0" xfId="0" applyFont="1" applyFill="1"/>
    <xf numFmtId="169" fontId="19" fillId="7" borderId="0" xfId="0" applyNumberFormat="1" applyFont="1" applyFill="1"/>
    <xf numFmtId="41" fontId="19" fillId="7" borderId="0" xfId="0" applyNumberFormat="1" applyFont="1" applyFill="1"/>
    <xf numFmtId="9" fontId="19" fillId="7" borderId="0" xfId="0" applyNumberFormat="1" applyFont="1" applyFill="1"/>
    <xf numFmtId="10" fontId="24" fillId="8" borderId="21" xfId="0" applyNumberFormat="1" applyFont="1" applyFill="1" applyBorder="1"/>
    <xf numFmtId="10" fontId="15" fillId="0" borderId="0" xfId="0" applyNumberFormat="1" applyFont="1"/>
    <xf numFmtId="1" fontId="19" fillId="7" borderId="0" xfId="0" applyNumberFormat="1" applyFont="1" applyFill="1"/>
    <xf numFmtId="6" fontId="19" fillId="7" borderId="0" xfId="0" applyNumberFormat="1" applyFont="1" applyFill="1"/>
    <xf numFmtId="0" fontId="26" fillId="0" borderId="0" xfId="0" applyFont="1"/>
    <xf numFmtId="0" fontId="18" fillId="7" borderId="0" xfId="0" applyFont="1" applyFill="1" applyAlignment="1">
      <alignment horizontal="left"/>
    </xf>
    <xf numFmtId="164" fontId="19" fillId="7" borderId="0" xfId="2" applyNumberFormat="1" applyFont="1" applyFill="1" applyBorder="1" applyAlignment="1">
      <alignment horizontal="right"/>
    </xf>
    <xf numFmtId="0" fontId="18" fillId="7" borderId="1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0" fillId="7" borderId="0" xfId="0" applyFont="1" applyFill="1"/>
    <xf numFmtId="166" fontId="19" fillId="7" borderId="0" xfId="1" applyNumberFormat="1" applyFont="1" applyFill="1" applyBorder="1"/>
    <xf numFmtId="0" fontId="17" fillId="7" borderId="17" xfId="0" applyFont="1" applyFill="1" applyBorder="1" applyAlignment="1">
      <alignment horizontal="right"/>
    </xf>
    <xf numFmtId="9" fontId="17" fillId="0" borderId="0" xfId="3" applyFont="1" applyFill="1" applyBorder="1" applyAlignment="1">
      <alignment horizontal="right"/>
    </xf>
    <xf numFmtId="10" fontId="19" fillId="7" borderId="0" xfId="0" applyNumberFormat="1" applyFont="1" applyFill="1"/>
    <xf numFmtId="164" fontId="19" fillId="7" borderId="0" xfId="0" applyNumberFormat="1" applyFont="1" applyFill="1"/>
    <xf numFmtId="170" fontId="19" fillId="7" borderId="0" xfId="0" applyNumberFormat="1" applyFont="1" applyFill="1"/>
    <xf numFmtId="5" fontId="19" fillId="7" borderId="0" xfId="0" applyNumberFormat="1" applyFont="1" applyFill="1"/>
    <xf numFmtId="10" fontId="19" fillId="7" borderId="0" xfId="3" applyNumberFormat="1" applyFont="1" applyFill="1" applyBorder="1" applyAlignment="1">
      <alignment horizontal="right"/>
    </xf>
    <xf numFmtId="9" fontId="19" fillId="7" borderId="0" xfId="3" applyFont="1" applyFill="1" applyBorder="1" applyAlignment="1">
      <alignment horizontal="right"/>
    </xf>
    <xf numFmtId="42" fontId="19" fillId="7" borderId="0" xfId="3" applyNumberFormat="1" applyFont="1" applyFill="1" applyBorder="1" applyAlignment="1">
      <alignment horizontal="right"/>
    </xf>
    <xf numFmtId="0" fontId="16" fillId="7" borderId="16" xfId="0" applyFont="1" applyFill="1" applyBorder="1"/>
    <xf numFmtId="41" fontId="19" fillId="7" borderId="0" xfId="3" applyNumberFormat="1" applyFont="1" applyFill="1" applyBorder="1" applyAlignment="1">
      <alignment horizontal="right"/>
    </xf>
    <xf numFmtId="166" fontId="19" fillId="7" borderId="0" xfId="1" applyNumberFormat="1" applyFont="1" applyFill="1" applyBorder="1" applyAlignment="1">
      <alignment horizontal="right"/>
    </xf>
    <xf numFmtId="0" fontId="18" fillId="7" borderId="4" xfId="0" applyFont="1" applyFill="1" applyBorder="1" applyAlignment="1">
      <alignment horizontal="left"/>
    </xf>
    <xf numFmtId="5" fontId="17" fillId="7" borderId="4" xfId="0" applyNumberFormat="1" applyFont="1" applyFill="1" applyBorder="1"/>
    <xf numFmtId="0" fontId="18" fillId="0" borderId="0" xfId="0" applyFont="1"/>
    <xf numFmtId="9" fontId="17" fillId="0" borderId="0" xfId="0" applyNumberFormat="1" applyFont="1"/>
    <xf numFmtId="0" fontId="20" fillId="8" borderId="16" xfId="0" applyFont="1" applyFill="1" applyBorder="1"/>
    <xf numFmtId="42" fontId="22" fillId="8" borderId="0" xfId="0" applyNumberFormat="1" applyFont="1" applyFill="1"/>
    <xf numFmtId="41" fontId="22" fillId="8" borderId="0" xfId="0" applyNumberFormat="1" applyFont="1" applyFill="1"/>
    <xf numFmtId="41" fontId="22" fillId="8" borderId="5" xfId="0" applyNumberFormat="1" applyFont="1" applyFill="1" applyBorder="1"/>
    <xf numFmtId="171" fontId="22" fillId="8" borderId="0" xfId="0" applyNumberFormat="1" applyFont="1" applyFill="1"/>
    <xf numFmtId="10" fontId="22" fillId="8" borderId="0" xfId="3" applyNumberFormat="1" applyFont="1" applyFill="1" applyBorder="1"/>
    <xf numFmtId="42" fontId="22" fillId="8" borderId="0" xfId="3" applyNumberFormat="1" applyFont="1" applyFill="1" applyBorder="1"/>
    <xf numFmtId="41" fontId="22" fillId="8" borderId="0" xfId="3" applyNumberFormat="1" applyFont="1" applyFill="1" applyBorder="1"/>
    <xf numFmtId="42" fontId="24" fillId="8" borderId="20" xfId="3" applyNumberFormat="1" applyFont="1" applyFill="1" applyBorder="1"/>
    <xf numFmtId="42" fontId="23" fillId="8" borderId="0" xfId="0" applyNumberFormat="1" applyFont="1" applyFill="1"/>
    <xf numFmtId="10" fontId="22" fillId="8" borderId="0" xfId="0" applyNumberFormat="1" applyFont="1" applyFill="1"/>
    <xf numFmtId="165" fontId="15" fillId="0" borderId="0" xfId="3" applyNumberFormat="1" applyFont="1"/>
    <xf numFmtId="172" fontId="15" fillId="0" borderId="0" xfId="0" applyNumberFormat="1" applyFont="1"/>
    <xf numFmtId="10" fontId="15" fillId="0" borderId="0" xfId="3" applyNumberFormat="1" applyFont="1"/>
    <xf numFmtId="10" fontId="23" fillId="8" borderId="0" xfId="0" applyNumberFormat="1" applyFont="1" applyFill="1"/>
    <xf numFmtId="10" fontId="27" fillId="8" borderId="0" xfId="0" applyNumberFormat="1" applyFont="1" applyFill="1"/>
    <xf numFmtId="164" fontId="22" fillId="8" borderId="0" xfId="2" applyNumberFormat="1" applyFont="1" applyFill="1" applyBorder="1"/>
    <xf numFmtId="164" fontId="24" fillId="8" borderId="20" xfId="2" applyNumberFormat="1" applyFont="1" applyFill="1" applyBorder="1"/>
    <xf numFmtId="164" fontId="27" fillId="8" borderId="0" xfId="2" applyNumberFormat="1" applyFont="1" applyFill="1" applyBorder="1"/>
    <xf numFmtId="42" fontId="22" fillId="8" borderId="0" xfId="2" applyNumberFormat="1" applyFont="1" applyFill="1" applyBorder="1"/>
    <xf numFmtId="41" fontId="22" fillId="8" borderId="0" xfId="2" applyNumberFormat="1" applyFont="1" applyFill="1" applyBorder="1"/>
    <xf numFmtId="41" fontId="22" fillId="8" borderId="5" xfId="2" applyNumberFormat="1" applyFont="1" applyFill="1" applyBorder="1"/>
    <xf numFmtId="173" fontId="24" fillId="8" borderId="20" xfId="2" applyNumberFormat="1" applyFont="1" applyFill="1" applyBorder="1"/>
    <xf numFmtId="164" fontId="18" fillId="8" borderId="0" xfId="2" applyNumberFormat="1" applyFont="1" applyFill="1" applyBorder="1"/>
    <xf numFmtId="0" fontId="28" fillId="8" borderId="0" xfId="0" applyFont="1" applyFill="1" applyAlignment="1">
      <alignment horizontal="center"/>
    </xf>
    <xf numFmtId="164" fontId="28" fillId="8" borderId="0" xfId="2" applyNumberFormat="1" applyFont="1" applyFill="1" applyBorder="1" applyAlignment="1">
      <alignment horizontal="center"/>
    </xf>
    <xf numFmtId="0" fontId="18" fillId="8" borderId="0" xfId="0" applyFont="1" applyFill="1" applyAlignment="1">
      <alignment horizontal="center"/>
    </xf>
    <xf numFmtId="164" fontId="22" fillId="8" borderId="0" xfId="2" applyNumberFormat="1" applyFont="1" applyFill="1" applyBorder="1" applyAlignment="1">
      <alignment horizontal="center"/>
    </xf>
    <xf numFmtId="10" fontId="24" fillId="8" borderId="20" xfId="2" applyNumberFormat="1" applyFont="1" applyFill="1" applyBorder="1"/>
    <xf numFmtId="44" fontId="24" fillId="8" borderId="20" xfId="2" applyFont="1" applyFill="1" applyBorder="1"/>
    <xf numFmtId="0" fontId="20" fillId="8" borderId="18" xfId="0" applyFont="1" applyFill="1" applyBorder="1"/>
    <xf numFmtId="174" fontId="18" fillId="8" borderId="4" xfId="0" applyNumberFormat="1" applyFont="1" applyFill="1" applyBorder="1"/>
    <xf numFmtId="0" fontId="30" fillId="0" borderId="0" xfId="0" applyFont="1" applyAlignment="1">
      <alignment horizontal="justify" vertical="center"/>
    </xf>
    <xf numFmtId="0" fontId="29" fillId="0" borderId="0" xfId="0" applyFont="1" applyAlignment="1">
      <alignment horizontal="justify" vertical="center"/>
    </xf>
    <xf numFmtId="0" fontId="31" fillId="0" borderId="0" xfId="0" applyFont="1" applyAlignment="1">
      <alignment horizontal="justify" vertical="center"/>
    </xf>
    <xf numFmtId="0" fontId="29" fillId="0" borderId="0" xfId="0" applyFont="1" applyAlignment="1">
      <alignment horizontal="left" vertical="center" indent="6"/>
    </xf>
    <xf numFmtId="0" fontId="32" fillId="0" borderId="0" xfId="0" applyFont="1" applyAlignment="1">
      <alignment horizontal="justify" vertical="center"/>
    </xf>
    <xf numFmtId="3" fontId="29" fillId="0" borderId="0" xfId="0" applyNumberFormat="1" applyFont="1" applyAlignment="1">
      <alignment horizontal="justify" vertical="center"/>
    </xf>
    <xf numFmtId="0" fontId="34" fillId="0" borderId="0" xfId="0" applyFont="1"/>
    <xf numFmtId="10" fontId="0" fillId="0" borderId="3" xfId="3" applyNumberFormat="1" applyFont="1" applyBorder="1" applyAlignment="1">
      <alignment horizontal="right"/>
    </xf>
    <xf numFmtId="0" fontId="33" fillId="0" borderId="0" xfId="0" applyFont="1"/>
    <xf numFmtId="0" fontId="0" fillId="0" borderId="0" xfId="0" quotePrefix="1"/>
    <xf numFmtId="10" fontId="0" fillId="3" borderId="0" xfId="3" applyNumberFormat="1" applyFont="1" applyFill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175" fontId="0" fillId="0" borderId="0" xfId="0" applyNumberFormat="1"/>
    <xf numFmtId="0" fontId="4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27</xdr:row>
      <xdr:rowOff>0</xdr:rowOff>
    </xdr:from>
    <xdr:to>
      <xdr:col>19</xdr:col>
      <xdr:colOff>300201</xdr:colOff>
      <xdr:row>29</xdr:row>
      <xdr:rowOff>78741</xdr:rowOff>
    </xdr:to>
    <xdr:sp macro="" textlink="">
      <xdr:nvSpPr>
        <xdr:cNvPr id="2" name="TextBox 6">
          <a:extLst>
            <a:ext uri="{FF2B5EF4-FFF2-40B4-BE49-F238E27FC236}">
              <a16:creationId xmlns:a16="http://schemas.microsoft.com/office/drawing/2014/main" id="{3470D2EE-62C6-4919-92DD-D9FBF899A8F6}"/>
            </a:ext>
          </a:extLst>
        </xdr:cNvPr>
        <xdr:cNvSpPr txBox="1"/>
      </xdr:nvSpPr>
      <xdr:spPr>
        <a:xfrm>
          <a:off x="1219200" y="4933950"/>
          <a:ext cx="11425401" cy="45974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09630">
            <a:lnSpc>
              <a:spcPts val="3847"/>
            </a:lnSpc>
          </a:pPr>
          <a:r>
            <a:rPr lang="en-US" sz="2748">
              <a:solidFill>
                <a:srgbClr val="000000"/>
              </a:solidFill>
              <a:latin typeface="Georgia Pro"/>
              <a:ea typeface="Georgia Pro"/>
              <a:cs typeface="Georgia Pro"/>
              <a:sym typeface="Georgia Pro"/>
            </a:rPr>
            <a:t>Rate of Return = Risk Free Rate + Beta ( Market Return - Risk Free Rate)</a:t>
          </a: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8</xdr:col>
      <xdr:colOff>346652</xdr:colOff>
      <xdr:row>34</xdr:row>
      <xdr:rowOff>68547</xdr:rowOff>
    </xdr:to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719D01E7-49F8-4772-868E-0A65EE285DA2}"/>
            </a:ext>
          </a:extLst>
        </xdr:cNvPr>
        <xdr:cNvSpPr txBox="1"/>
      </xdr:nvSpPr>
      <xdr:spPr>
        <a:xfrm>
          <a:off x="1219200" y="5695950"/>
          <a:ext cx="4766252" cy="6400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09630">
            <a:lnSpc>
              <a:spcPts val="5320"/>
            </a:lnSpc>
          </a:pPr>
          <a:r>
            <a:rPr lang="en-US" sz="3800">
              <a:solidFill>
                <a:srgbClr val="CC2A2C"/>
              </a:solidFill>
              <a:latin typeface="Georgia Pro"/>
              <a:ea typeface="Georgia Pro"/>
              <a:cs typeface="Georgia Pro"/>
              <a:sym typeface="Georgia Pro"/>
            </a:rPr>
            <a:t>R = (D1/P0)+g)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5</xdr:col>
      <xdr:colOff>399164</xdr:colOff>
      <xdr:row>12</xdr:row>
      <xdr:rowOff>140939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A4FA3739-2DAA-ED6C-7FCC-30900F3BDF1C}"/>
            </a:ext>
          </a:extLst>
        </xdr:cNvPr>
        <xdr:cNvSpPr txBox="1"/>
      </xdr:nvSpPr>
      <xdr:spPr>
        <a:xfrm>
          <a:off x="7343775" y="381000"/>
          <a:ext cx="5295014" cy="206498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ADK Industries Example:</a:t>
          </a:r>
        </a:p>
        <a:p>
          <a:r>
            <a:rPr lang="en-US"/>
            <a:t>= $1.54 / ($32.75 – (20%*$32.75)) +6.00%</a:t>
          </a:r>
        </a:p>
        <a:p>
          <a:r>
            <a:rPr lang="en-US"/>
            <a:t>=11.88%</a:t>
          </a:r>
        </a:p>
        <a:p>
          <a:endParaRPr lang="en-US"/>
        </a:p>
        <a:p>
          <a:r>
            <a:rPr lang="en-US"/>
            <a:t>Non-Flotation cost (DDM) =10.7%</a:t>
          </a:r>
        </a:p>
        <a:p>
          <a:r>
            <a:rPr lang="en-US"/>
            <a:t>Est Flotation cost = 1.18%</a:t>
          </a:r>
        </a:p>
        <a:p>
          <a:r>
            <a:rPr lang="en-US"/>
            <a:t>CAPM with Floatation Cost = 10.8 %+1.18% = 11.98%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2680-7B55-4DB3-BD91-28CAC6D3FAD0}">
  <sheetPr>
    <tabColor rgb="FF002060"/>
  </sheetPr>
  <dimension ref="A1:J23"/>
  <sheetViews>
    <sheetView topLeftCell="A14" workbookViewId="0">
      <selection activeCell="D16" sqref="D16"/>
    </sheetView>
  </sheetViews>
  <sheetFormatPr defaultRowHeight="14.5"/>
  <cols>
    <col min="3" max="3" width="25" customWidth="1"/>
    <col min="4" max="4" width="13.81640625" customWidth="1"/>
  </cols>
  <sheetData>
    <row r="1" spans="1:10" ht="15.5">
      <c r="A1" s="93"/>
      <c r="B1" s="93"/>
      <c r="C1" s="94" t="s">
        <v>100</v>
      </c>
      <c r="D1" s="93"/>
      <c r="E1" s="93"/>
      <c r="F1" s="93"/>
      <c r="G1" s="93"/>
      <c r="H1" s="93"/>
      <c r="I1" s="93"/>
      <c r="J1" s="93"/>
    </row>
    <row r="2" spans="1:10" ht="16" thickBot="1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0" ht="15.5">
      <c r="A3" s="93"/>
      <c r="B3" s="95"/>
      <c r="C3" s="96"/>
      <c r="D3" s="96"/>
      <c r="E3" s="97"/>
      <c r="F3" s="93"/>
      <c r="G3" s="93"/>
      <c r="H3" s="93"/>
      <c r="I3" s="93"/>
      <c r="J3" s="93"/>
    </row>
    <row r="4" spans="1:10" ht="15.5">
      <c r="A4" s="93"/>
      <c r="B4" s="98"/>
      <c r="C4" s="99" t="s">
        <v>15</v>
      </c>
      <c r="D4" s="100">
        <v>1.1000000000000001</v>
      </c>
      <c r="E4" s="101"/>
      <c r="F4" s="93"/>
      <c r="G4" s="93"/>
      <c r="H4" s="93"/>
      <c r="I4" s="93"/>
      <c r="J4" s="93"/>
    </row>
    <row r="5" spans="1:10" ht="15.5">
      <c r="A5" s="93"/>
      <c r="B5" s="98"/>
      <c r="C5" s="99" t="s">
        <v>101</v>
      </c>
      <c r="D5" s="102">
        <v>7.0000000000000007E-2</v>
      </c>
      <c r="E5" s="101"/>
      <c r="F5" s="93"/>
      <c r="G5" s="93"/>
      <c r="H5" s="93"/>
      <c r="I5" s="93"/>
      <c r="J5" s="93"/>
    </row>
    <row r="6" spans="1:10" ht="15.5">
      <c r="A6" s="93"/>
      <c r="B6" s="98"/>
      <c r="C6" s="99" t="s">
        <v>102</v>
      </c>
      <c r="D6" s="102">
        <v>4.7E-2</v>
      </c>
      <c r="E6" s="101"/>
      <c r="F6" s="93"/>
      <c r="G6" s="93"/>
      <c r="H6" s="93"/>
      <c r="I6" s="93"/>
      <c r="J6" s="93"/>
    </row>
    <row r="7" spans="1:10" ht="15.5">
      <c r="A7" s="93"/>
      <c r="B7" s="98"/>
      <c r="C7" s="99" t="s">
        <v>206</v>
      </c>
      <c r="D7" s="103">
        <v>3.15</v>
      </c>
      <c r="E7" s="101"/>
      <c r="F7" s="93"/>
      <c r="G7" s="93"/>
      <c r="H7" s="93"/>
      <c r="I7" s="93"/>
      <c r="J7" s="93"/>
    </row>
    <row r="8" spans="1:10" ht="15.5">
      <c r="A8" s="93"/>
      <c r="B8" s="98"/>
      <c r="C8" s="99" t="s">
        <v>104</v>
      </c>
      <c r="D8" s="102">
        <v>4.1000000000000002E-2</v>
      </c>
      <c r="E8" s="101"/>
      <c r="F8" s="93"/>
      <c r="G8" s="93"/>
      <c r="H8" s="93"/>
      <c r="I8" s="93"/>
      <c r="J8" s="93"/>
    </row>
    <row r="9" spans="1:10" ht="15.5">
      <c r="A9" s="93"/>
      <c r="B9" s="98"/>
      <c r="C9" s="99" t="s">
        <v>105</v>
      </c>
      <c r="D9" s="104">
        <v>49</v>
      </c>
      <c r="E9" s="101"/>
      <c r="F9" s="93"/>
      <c r="G9" s="93"/>
      <c r="H9" s="93"/>
      <c r="I9" s="93"/>
      <c r="J9" s="93"/>
    </row>
    <row r="10" spans="1:10" ht="16" thickBot="1">
      <c r="A10" s="93"/>
      <c r="B10" s="105"/>
      <c r="C10" s="106"/>
      <c r="D10" s="107"/>
      <c r="E10" s="108"/>
      <c r="F10" s="93"/>
      <c r="G10" s="93"/>
      <c r="H10" s="93"/>
      <c r="I10" s="93"/>
      <c r="J10" s="93"/>
    </row>
    <row r="11" spans="1:10" ht="15.5">
      <c r="A11" s="93"/>
      <c r="B11" s="93"/>
      <c r="C11" s="93"/>
      <c r="D11" s="93"/>
      <c r="E11" s="93"/>
      <c r="F11" s="93"/>
      <c r="G11" s="93"/>
      <c r="H11" s="93"/>
      <c r="I11" s="93"/>
      <c r="J11" s="93"/>
    </row>
    <row r="12" spans="1:10" ht="15.5">
      <c r="A12" s="93"/>
      <c r="B12" s="93"/>
      <c r="C12" s="94" t="s">
        <v>106</v>
      </c>
      <c r="D12" s="93"/>
      <c r="E12" s="93"/>
      <c r="F12" s="93"/>
      <c r="G12" s="93"/>
      <c r="H12" s="93"/>
      <c r="I12" s="93"/>
      <c r="J12" s="93"/>
    </row>
    <row r="13" spans="1:10" ht="16" thickBot="1">
      <c r="A13" s="93"/>
      <c r="B13" s="93"/>
      <c r="C13" s="93"/>
      <c r="D13" s="93"/>
      <c r="E13" s="93"/>
      <c r="F13" s="93"/>
      <c r="G13" s="93"/>
      <c r="H13" s="93"/>
      <c r="I13" s="93"/>
      <c r="J13" s="93"/>
    </row>
    <row r="14" spans="1:10" ht="15.5">
      <c r="A14" s="93"/>
      <c r="B14" s="109"/>
      <c r="C14" s="110"/>
      <c r="D14" s="110"/>
      <c r="E14" s="111"/>
      <c r="F14" s="93"/>
      <c r="G14" s="93"/>
      <c r="H14" s="93"/>
      <c r="I14" s="93"/>
      <c r="J14" s="93"/>
    </row>
    <row r="15" spans="1:10" ht="16.5">
      <c r="A15" s="93"/>
      <c r="B15" s="112"/>
      <c r="C15" s="113" t="s">
        <v>107</v>
      </c>
      <c r="D15" s="114">
        <f>D6+(D4*(D5))</f>
        <v>0.12400000000000001</v>
      </c>
      <c r="E15" s="115"/>
      <c r="F15" s="93"/>
      <c r="G15" s="93" t="str">
        <f ca="1">_xlfn.FORMULATEXT(D15)</f>
        <v>=D6+(D4*(D5))</v>
      </c>
      <c r="H15" s="93"/>
      <c r="I15" s="93"/>
      <c r="J15" s="93"/>
    </row>
    <row r="16" spans="1:10" ht="16.5">
      <c r="A16" s="93"/>
      <c r="B16" s="112"/>
      <c r="C16" s="113" t="s">
        <v>108</v>
      </c>
      <c r="D16" s="114">
        <f>((D7*(1+D8))/D9)+D8</f>
        <v>0.10792142857142856</v>
      </c>
      <c r="E16" s="115"/>
      <c r="F16" s="93"/>
      <c r="G16" s="93" t="str">
        <f ca="1">_xlfn.FORMULATEXT(D16)</f>
        <v>=((D7*(1+D8))/D9)+D8</v>
      </c>
      <c r="H16" s="93"/>
      <c r="I16" s="93"/>
      <c r="J16" s="93"/>
    </row>
    <row r="17" spans="1:10" ht="15.5">
      <c r="A17" s="93"/>
      <c r="B17" s="112"/>
      <c r="C17" s="113"/>
      <c r="D17" s="116"/>
      <c r="E17" s="115"/>
      <c r="F17" s="93"/>
      <c r="G17" s="93"/>
      <c r="H17" s="93"/>
      <c r="I17" s="93"/>
      <c r="J17" s="93"/>
    </row>
    <row r="18" spans="1:10" ht="16.5">
      <c r="A18" s="93"/>
      <c r="B18" s="112"/>
      <c r="C18" s="113" t="s">
        <v>109</v>
      </c>
      <c r="D18" s="117">
        <f>AVERAGE(D15:D16)</f>
        <v>0.11596071428571428</v>
      </c>
      <c r="E18" s="115"/>
      <c r="F18" s="93"/>
      <c r="G18" s="93" t="str">
        <f ca="1">_xlfn.FORMULATEXT(D18)</f>
        <v>=AVERAGE(D15:D16)</v>
      </c>
      <c r="H18" s="93"/>
      <c r="I18" s="93"/>
      <c r="J18" s="93"/>
    </row>
    <row r="19" spans="1:10" ht="16" thickBot="1">
      <c r="A19" s="93"/>
      <c r="B19" s="118"/>
      <c r="C19" s="119"/>
      <c r="D19" s="119"/>
      <c r="E19" s="120"/>
      <c r="F19" s="93"/>
      <c r="G19" s="93"/>
      <c r="H19" s="93"/>
      <c r="I19" s="93"/>
      <c r="J19" s="93"/>
    </row>
    <row r="22" spans="1:10" ht="15.5">
      <c r="G22" s="93" t="s">
        <v>203</v>
      </c>
      <c r="H22" s="93"/>
      <c r="I22" s="93"/>
      <c r="J22" s="93"/>
    </row>
    <row r="23" spans="1:10" ht="15.5">
      <c r="G23" s="93" t="s">
        <v>201</v>
      </c>
      <c r="H23" s="93"/>
      <c r="I23" s="93"/>
      <c r="J23" s="9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9987-6258-407B-B4B8-312C7D5E1877}">
  <sheetPr>
    <tabColor rgb="FF002060"/>
  </sheetPr>
  <dimension ref="A1:J15"/>
  <sheetViews>
    <sheetView workbookViewId="0">
      <selection activeCell="E18" sqref="E18"/>
    </sheetView>
  </sheetViews>
  <sheetFormatPr defaultRowHeight="14.5"/>
  <cols>
    <col min="3" max="3" width="24.1796875" customWidth="1"/>
    <col min="4" max="4" width="22.54296875" customWidth="1"/>
    <col min="7" max="7" width="10.453125" bestFit="1" customWidth="1"/>
  </cols>
  <sheetData>
    <row r="1" spans="1:10" ht="15.5">
      <c r="A1" s="93"/>
      <c r="B1" s="93"/>
      <c r="C1" s="94" t="s">
        <v>100</v>
      </c>
      <c r="D1" s="93"/>
      <c r="E1" s="93"/>
      <c r="F1" s="93"/>
      <c r="G1" s="93"/>
    </row>
    <row r="2" spans="1:10" ht="16" thickBot="1">
      <c r="A2" s="93"/>
      <c r="B2" s="93"/>
      <c r="C2" s="93"/>
      <c r="D2" s="93"/>
      <c r="E2" s="93"/>
      <c r="F2" s="93"/>
      <c r="G2" s="93"/>
    </row>
    <row r="3" spans="1:10" ht="15.5">
      <c r="A3" s="93"/>
      <c r="B3" s="95"/>
      <c r="C3" s="96"/>
      <c r="D3" s="96"/>
      <c r="E3" s="97"/>
      <c r="F3" s="93"/>
      <c r="G3" s="93"/>
    </row>
    <row r="4" spans="1:10" ht="15.5">
      <c r="A4" s="93"/>
      <c r="B4" s="98"/>
      <c r="C4" s="99" t="s">
        <v>103</v>
      </c>
      <c r="D4" s="103">
        <v>3.95</v>
      </c>
      <c r="E4" s="101"/>
      <c r="F4" s="93"/>
      <c r="G4" s="93"/>
    </row>
    <row r="5" spans="1:10" ht="15.5">
      <c r="A5" s="93"/>
      <c r="B5" s="98"/>
      <c r="C5" s="99" t="s">
        <v>105</v>
      </c>
      <c r="D5" s="103">
        <v>73</v>
      </c>
      <c r="E5" s="101"/>
      <c r="F5" s="93"/>
      <c r="G5" s="93"/>
    </row>
    <row r="6" spans="1:10" ht="16" thickBot="1">
      <c r="A6" s="93"/>
      <c r="B6" s="105"/>
      <c r="C6" s="106"/>
      <c r="D6" s="107"/>
      <c r="E6" s="108"/>
      <c r="F6" s="93"/>
      <c r="G6" s="93"/>
    </row>
    <row r="7" spans="1:10" ht="15.5">
      <c r="A7" s="93"/>
      <c r="B7" s="93"/>
      <c r="C7" s="93"/>
      <c r="D7" s="93"/>
      <c r="E7" s="93"/>
      <c r="F7" s="93"/>
      <c r="G7" s="93"/>
    </row>
    <row r="8" spans="1:10" ht="15.5">
      <c r="A8" s="93"/>
      <c r="B8" s="93"/>
      <c r="C8" s="94" t="s">
        <v>106</v>
      </c>
      <c r="D8" s="93"/>
      <c r="E8" s="93"/>
      <c r="F8" s="93"/>
      <c r="G8" s="93"/>
    </row>
    <row r="9" spans="1:10" ht="16" thickBot="1">
      <c r="A9" s="93"/>
      <c r="B9" s="93"/>
      <c r="C9" s="93"/>
      <c r="D9" s="93"/>
      <c r="E9" s="93"/>
      <c r="F9" s="93"/>
      <c r="G9" s="93"/>
    </row>
    <row r="10" spans="1:10" ht="15.5">
      <c r="A10" s="93"/>
      <c r="B10" s="109"/>
      <c r="C10" s="110"/>
      <c r="D10" s="110"/>
      <c r="E10" s="111"/>
      <c r="F10" s="93"/>
      <c r="G10" s="93"/>
    </row>
    <row r="11" spans="1:10" ht="16.5">
      <c r="A11" s="93"/>
      <c r="B11" s="112"/>
      <c r="C11" s="121" t="s">
        <v>110</v>
      </c>
      <c r="D11" s="122">
        <f>D4/D5</f>
        <v>5.410958904109589E-2</v>
      </c>
      <c r="E11" s="115"/>
      <c r="F11" s="93"/>
      <c r="G11" s="93" t="str">
        <f ca="1">_xlfn.FORMULATEXT(D11)</f>
        <v>=D4/D5</v>
      </c>
      <c r="J11" s="195" t="s">
        <v>205</v>
      </c>
    </row>
    <row r="12" spans="1:10" ht="16" thickBot="1">
      <c r="A12" s="93"/>
      <c r="B12" s="118"/>
      <c r="C12" s="119"/>
      <c r="D12" s="119"/>
      <c r="E12" s="120"/>
      <c r="F12" s="93"/>
      <c r="G12" s="93"/>
    </row>
    <row r="13" spans="1:10" ht="15.5">
      <c r="A13" s="93"/>
      <c r="B13" s="93"/>
      <c r="C13" s="93"/>
      <c r="D13" s="93"/>
      <c r="E13" s="93"/>
      <c r="F13" s="93"/>
      <c r="G13" s="93"/>
    </row>
    <row r="14" spans="1:10" ht="15.5">
      <c r="A14" s="93"/>
      <c r="B14" s="93"/>
      <c r="C14" s="93"/>
      <c r="D14" s="93"/>
      <c r="E14" s="93"/>
      <c r="F14" s="93"/>
      <c r="G14" s="93"/>
    </row>
    <row r="15" spans="1:10" ht="15.5">
      <c r="A15" s="93"/>
      <c r="B15" s="93"/>
      <c r="C15" s="93"/>
      <c r="D15" s="93"/>
      <c r="E15" s="93"/>
      <c r="F15" s="93"/>
      <c r="G15" s="9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ECA8-53EA-42B4-AA1E-3D35BCCC809C}">
  <sheetPr>
    <tabColor rgb="FF002060"/>
  </sheetPr>
  <dimension ref="A1:J25"/>
  <sheetViews>
    <sheetView workbookViewId="0">
      <selection activeCell="D37" sqref="D37"/>
    </sheetView>
  </sheetViews>
  <sheetFormatPr defaultRowHeight="14.5"/>
  <cols>
    <col min="3" max="3" width="24.1796875" bestFit="1" customWidth="1"/>
    <col min="4" max="4" width="20" customWidth="1"/>
  </cols>
  <sheetData>
    <row r="1" spans="1:10" ht="15.5">
      <c r="A1" s="93"/>
      <c r="B1" s="93"/>
      <c r="C1" s="94" t="s">
        <v>100</v>
      </c>
      <c r="D1" s="93"/>
      <c r="E1" s="93"/>
      <c r="F1" s="93"/>
      <c r="G1" s="93"/>
      <c r="H1" s="93"/>
      <c r="I1" s="93"/>
      <c r="J1" s="93"/>
    </row>
    <row r="2" spans="1:10" ht="16" thickBot="1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0" ht="15.5">
      <c r="A3" s="93"/>
      <c r="B3" s="95"/>
      <c r="C3" s="96"/>
      <c r="D3" s="96"/>
      <c r="E3" s="97"/>
      <c r="F3" s="93"/>
      <c r="G3" s="93"/>
      <c r="H3" s="93"/>
      <c r="I3" s="93"/>
      <c r="J3" s="93"/>
    </row>
    <row r="4" spans="1:10" ht="15.5">
      <c r="A4" s="93"/>
      <c r="B4" s="98"/>
      <c r="C4" s="123"/>
      <c r="D4" s="124"/>
      <c r="E4" s="101"/>
      <c r="F4" s="93"/>
      <c r="G4" s="93"/>
      <c r="H4" s="93"/>
      <c r="I4" s="93"/>
      <c r="J4" s="93"/>
    </row>
    <row r="5" spans="1:10" ht="15.5">
      <c r="A5" s="93"/>
      <c r="B5" s="98"/>
      <c r="C5" s="123" t="s">
        <v>23</v>
      </c>
      <c r="D5" s="129">
        <v>19</v>
      </c>
      <c r="E5" s="101"/>
      <c r="F5" s="93"/>
      <c r="G5" s="93"/>
      <c r="H5" s="93"/>
      <c r="I5" s="93"/>
      <c r="J5" s="93"/>
    </row>
    <row r="6" spans="1:10" ht="15.5">
      <c r="A6" s="93"/>
      <c r="B6" s="98"/>
      <c r="C6" s="99" t="s">
        <v>111</v>
      </c>
      <c r="D6" s="126">
        <v>0.94</v>
      </c>
      <c r="E6" s="101"/>
      <c r="F6" s="93"/>
      <c r="G6" s="93"/>
      <c r="H6" s="93"/>
      <c r="I6" s="93"/>
      <c r="J6" s="93"/>
    </row>
    <row r="7" spans="1:10" ht="15.5">
      <c r="A7" s="93"/>
      <c r="B7" s="98"/>
      <c r="C7" s="99" t="s">
        <v>118</v>
      </c>
      <c r="D7" s="130">
        <v>1000</v>
      </c>
      <c r="E7" s="101"/>
      <c r="F7" s="93"/>
      <c r="G7" s="93"/>
      <c r="H7" s="93"/>
      <c r="I7" s="93"/>
      <c r="J7" s="93"/>
    </row>
    <row r="8" spans="1:10" ht="15.5">
      <c r="A8" s="93"/>
      <c r="B8" s="98"/>
      <c r="C8" s="99" t="s">
        <v>113</v>
      </c>
      <c r="D8" s="126">
        <v>0.05</v>
      </c>
      <c r="E8" s="101"/>
      <c r="F8" s="93"/>
      <c r="G8" s="93"/>
      <c r="H8" s="93"/>
      <c r="I8" s="93"/>
      <c r="J8" s="93"/>
    </row>
    <row r="9" spans="1:10" ht="15.5">
      <c r="A9" s="93"/>
      <c r="B9" s="98"/>
      <c r="C9" s="99" t="s">
        <v>114</v>
      </c>
      <c r="D9" s="125">
        <v>2</v>
      </c>
      <c r="E9" s="101"/>
      <c r="F9" s="93"/>
      <c r="G9" s="93"/>
      <c r="H9" s="93"/>
      <c r="I9" s="93"/>
      <c r="J9" s="93"/>
    </row>
    <row r="10" spans="1:10" ht="15.5">
      <c r="A10" s="93"/>
      <c r="B10" s="98"/>
      <c r="C10" s="99" t="s">
        <v>115</v>
      </c>
      <c r="D10" s="126">
        <v>0.21</v>
      </c>
      <c r="E10" s="101"/>
      <c r="F10" s="93"/>
      <c r="G10" s="93"/>
      <c r="H10" s="93"/>
      <c r="I10" s="93"/>
      <c r="J10" s="93"/>
    </row>
    <row r="11" spans="1:10" ht="16" thickBot="1">
      <c r="A11" s="93"/>
      <c r="B11" s="105"/>
      <c r="C11" s="106"/>
      <c r="D11" s="107"/>
      <c r="E11" s="108"/>
      <c r="F11" s="93"/>
      <c r="G11" s="93"/>
      <c r="H11" s="93"/>
      <c r="I11" s="93"/>
      <c r="J11" s="93"/>
    </row>
    <row r="12" spans="1:10" ht="15.5">
      <c r="A12" s="93"/>
      <c r="B12" s="93"/>
      <c r="C12" s="93"/>
      <c r="D12" s="93"/>
      <c r="E12" s="93"/>
      <c r="F12" s="93"/>
      <c r="G12" s="93"/>
      <c r="H12" s="93"/>
      <c r="I12" s="93"/>
      <c r="J12" s="93"/>
    </row>
    <row r="13" spans="1:10" ht="15.5">
      <c r="A13" s="93"/>
      <c r="B13" s="93"/>
      <c r="C13" s="94" t="s">
        <v>106</v>
      </c>
      <c r="D13" s="93"/>
      <c r="E13" s="93"/>
      <c r="F13" s="93"/>
      <c r="G13" s="93"/>
      <c r="H13" s="93"/>
      <c r="I13" s="93"/>
      <c r="J13" s="93"/>
    </row>
    <row r="14" spans="1:10" ht="16" thickBot="1">
      <c r="A14" s="93"/>
      <c r="B14" s="93"/>
      <c r="C14" s="93"/>
      <c r="D14" s="93"/>
      <c r="E14" s="93"/>
      <c r="F14" s="93"/>
      <c r="G14" s="93"/>
      <c r="H14" s="93"/>
      <c r="I14" s="93"/>
      <c r="J14" s="93"/>
    </row>
    <row r="15" spans="1:10" ht="15.5">
      <c r="A15" s="93"/>
      <c r="B15" s="109"/>
      <c r="C15" s="110"/>
      <c r="D15" s="110"/>
      <c r="E15" s="111"/>
      <c r="F15" s="93" t="s">
        <v>201</v>
      </c>
      <c r="G15" s="93"/>
      <c r="H15" s="93"/>
      <c r="I15" s="93"/>
      <c r="J15" s="93"/>
    </row>
    <row r="16" spans="1:10" ht="15.5">
      <c r="A16" s="93"/>
      <c r="B16" s="112"/>
      <c r="C16" s="113" t="s">
        <v>116</v>
      </c>
      <c r="D16" s="122">
        <f>RATE(D5*D9,-D8/2*D7,D6*D7,-D7)*2</f>
        <v>5.5135217801914674E-2</v>
      </c>
      <c r="E16" s="115"/>
      <c r="F16" s="93"/>
      <c r="G16" s="93" t="str">
        <f ca="1">_xlfn.FORMULATEXT(D16)</f>
        <v>=RATE(D5*D9,-D8/2*D7,D6*D7,-D7)*2</v>
      </c>
      <c r="H16" s="93"/>
      <c r="I16" s="93"/>
      <c r="J16" s="93"/>
    </row>
    <row r="17" spans="1:10" ht="15.5">
      <c r="A17" s="93"/>
      <c r="B17" s="112"/>
      <c r="C17" s="113"/>
      <c r="D17" s="127"/>
      <c r="E17" s="115"/>
      <c r="F17" s="93"/>
      <c r="G17" s="93"/>
      <c r="H17" s="93"/>
      <c r="I17" s="93"/>
      <c r="J17" s="93"/>
    </row>
    <row r="18" spans="1:10" ht="15.5">
      <c r="A18" s="93"/>
      <c r="B18" s="112"/>
      <c r="C18" s="113" t="s">
        <v>117</v>
      </c>
      <c r="D18" s="122">
        <f>D16*((1-D10))</f>
        <v>4.3556822063512593E-2</v>
      </c>
      <c r="E18" s="115"/>
      <c r="F18" s="93"/>
      <c r="G18" s="93" t="str">
        <f ca="1">_xlfn.FORMULATEXT(D18)</f>
        <v>=D16*((1-D10))</v>
      </c>
      <c r="H18" s="93"/>
      <c r="I18" s="93"/>
      <c r="J18" s="93"/>
    </row>
    <row r="19" spans="1:10" ht="16" thickBot="1">
      <c r="A19" s="93"/>
      <c r="B19" s="118"/>
      <c r="C19" s="119"/>
      <c r="D19" s="119"/>
      <c r="E19" s="120"/>
      <c r="F19" s="93"/>
      <c r="G19" s="93"/>
      <c r="H19" s="93"/>
      <c r="I19" s="93"/>
      <c r="J19" s="93"/>
    </row>
    <row r="20" spans="1:10" ht="15.5">
      <c r="A20" s="93"/>
      <c r="B20" s="93"/>
      <c r="C20" s="93"/>
      <c r="D20" s="93"/>
      <c r="E20" s="93"/>
      <c r="F20" s="93"/>
      <c r="G20" s="93"/>
      <c r="H20" s="93"/>
      <c r="I20" s="93"/>
      <c r="J20" s="93"/>
    </row>
    <row r="21" spans="1:10" ht="15.5">
      <c r="A21" s="93"/>
      <c r="B21" s="93"/>
      <c r="C21" s="93"/>
      <c r="D21" s="93"/>
      <c r="E21" s="93"/>
      <c r="F21" s="93"/>
      <c r="H21" s="93"/>
      <c r="I21" s="93"/>
      <c r="J21" s="93"/>
    </row>
    <row r="22" spans="1:10" ht="15.5">
      <c r="A22" s="93"/>
      <c r="B22" s="93"/>
      <c r="C22" s="93"/>
      <c r="D22" s="93"/>
      <c r="E22" s="93"/>
      <c r="F22" s="93"/>
      <c r="G22" s="93"/>
      <c r="H22" s="93"/>
      <c r="I22" s="93"/>
      <c r="J22" s="93"/>
    </row>
    <row r="23" spans="1:10" ht="15.5">
      <c r="A23" s="93"/>
      <c r="B23" s="93"/>
      <c r="C23" s="93"/>
      <c r="D23" s="93"/>
      <c r="E23" s="93"/>
      <c r="F23" s="93"/>
      <c r="G23" s="128" t="s">
        <v>202</v>
      </c>
      <c r="H23" s="93"/>
      <c r="I23" s="93"/>
      <c r="J23" s="93"/>
    </row>
    <row r="24" spans="1:10" ht="15.5">
      <c r="A24" s="93"/>
      <c r="B24" s="93"/>
      <c r="C24" s="93"/>
      <c r="D24" s="93"/>
      <c r="E24" s="93"/>
      <c r="F24" s="93"/>
      <c r="G24" s="93"/>
      <c r="H24" s="93"/>
      <c r="I24" s="93"/>
      <c r="J24" s="93"/>
    </row>
    <row r="25" spans="1:10" ht="15.5">
      <c r="A25" s="93"/>
      <c r="B25" s="93"/>
      <c r="C25" s="93"/>
      <c r="D25" s="93"/>
      <c r="E25" s="93"/>
      <c r="F25" s="93"/>
      <c r="G25" s="93"/>
      <c r="H25" s="93"/>
      <c r="I25" s="93"/>
      <c r="J25" s="9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47BD-7EA6-4DB1-9E1E-2B96A5E52682}">
  <sheetPr>
    <tabColor rgb="FF002060"/>
  </sheetPr>
  <dimension ref="A2:J17"/>
  <sheetViews>
    <sheetView workbookViewId="0">
      <selection activeCell="C3" sqref="C3"/>
    </sheetView>
  </sheetViews>
  <sheetFormatPr defaultRowHeight="14.5"/>
  <cols>
    <col min="1" max="1" width="21" customWidth="1"/>
    <col min="2" max="2" width="16.7265625" bestFit="1" customWidth="1"/>
    <col min="3" max="3" width="16.26953125" style="5" customWidth="1"/>
  </cols>
  <sheetData>
    <row r="2" spans="1:10" ht="29">
      <c r="A2" s="8"/>
      <c r="B2" s="9" t="s">
        <v>9</v>
      </c>
      <c r="C2" s="10" t="s">
        <v>8</v>
      </c>
    </row>
    <row r="3" spans="1:10">
      <c r="A3" t="s">
        <v>0</v>
      </c>
      <c r="B3" s="12">
        <v>5000</v>
      </c>
      <c r="C3" s="6">
        <f>B3/B6</f>
        <v>0.3125</v>
      </c>
    </row>
    <row r="4" spans="1:10">
      <c r="A4" t="s">
        <v>1</v>
      </c>
      <c r="B4" s="12">
        <v>10000</v>
      </c>
      <c r="C4" s="6">
        <f>B4/B6</f>
        <v>0.625</v>
      </c>
    </row>
    <row r="5" spans="1:10" ht="15" thickBot="1">
      <c r="A5" t="s">
        <v>2</v>
      </c>
      <c r="B5" s="13">
        <v>1000</v>
      </c>
      <c r="C5" s="6">
        <f>B5/B6</f>
        <v>6.25E-2</v>
      </c>
    </row>
    <row r="6" spans="1:10" ht="15" thickTop="1">
      <c r="A6" t="s">
        <v>3</v>
      </c>
      <c r="B6" s="12">
        <f>SUM(B3:B5)</f>
        <v>16000</v>
      </c>
    </row>
    <row r="8" spans="1:10">
      <c r="A8" t="s">
        <v>4</v>
      </c>
      <c r="B8" s="6">
        <v>0.11600000000000001</v>
      </c>
      <c r="C8" s="6"/>
    </row>
    <row r="9" spans="1:10">
      <c r="A9" t="s">
        <v>31</v>
      </c>
      <c r="B9" s="6">
        <v>4.36E-2</v>
      </c>
      <c r="C9" s="6"/>
    </row>
    <row r="10" spans="1:10">
      <c r="A10" t="s">
        <v>6</v>
      </c>
      <c r="B10" s="6">
        <v>5.4100000000000002E-2</v>
      </c>
      <c r="C10" s="6"/>
    </row>
    <row r="11" spans="1:10">
      <c r="B11" s="5"/>
    </row>
    <row r="12" spans="1:10" ht="15.5">
      <c r="A12" s="11" t="s">
        <v>7</v>
      </c>
      <c r="B12" s="6">
        <f>((B3/B6)*B8)+((B4/B6)*B9)+((B5/B6)*B10)</f>
        <v>6.6881250000000003E-2</v>
      </c>
      <c r="C12" s="7"/>
    </row>
    <row r="14" spans="1:10" ht="15.5">
      <c r="B14" s="93"/>
    </row>
    <row r="15" spans="1:10" ht="15.5">
      <c r="F15" s="128" t="s">
        <v>202</v>
      </c>
      <c r="G15" s="128"/>
      <c r="H15" s="93"/>
      <c r="I15" s="93"/>
      <c r="J15" s="93"/>
    </row>
    <row r="16" spans="1:10" ht="15.5">
      <c r="G16" t="e">
        <f ca="1">_xlfn.FORMULATEXT(D16)</f>
        <v>#N/A</v>
      </c>
      <c r="H16" s="93"/>
      <c r="I16" s="93"/>
      <c r="J16" s="93"/>
    </row>
    <row r="17" spans="2:10" ht="15.5">
      <c r="B17" t="s">
        <v>200</v>
      </c>
      <c r="G17" s="93"/>
      <c r="H17" s="93"/>
      <c r="I17" s="93"/>
      <c r="J17" s="9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27D3-70FE-4E8D-ADDC-F9AEA4227DBB}">
  <sheetPr>
    <tabColor rgb="FFEE0000"/>
  </sheetPr>
  <dimension ref="A1:I17"/>
  <sheetViews>
    <sheetView workbookViewId="0">
      <selection activeCell="G20" sqref="G20"/>
    </sheetView>
  </sheetViews>
  <sheetFormatPr defaultRowHeight="14.5"/>
  <cols>
    <col min="1" max="1" width="25.7265625" customWidth="1"/>
    <col min="2" max="2" width="11" customWidth="1"/>
    <col min="4" max="4" width="24.26953125" customWidth="1"/>
    <col min="7" max="7" width="29.7265625" customWidth="1"/>
    <col min="8" max="8" width="35.453125" customWidth="1"/>
    <col min="9" max="9" width="35.1796875" customWidth="1"/>
  </cols>
  <sheetData>
    <row r="1" spans="1:9" ht="18.5">
      <c r="A1" s="8" t="s">
        <v>19</v>
      </c>
      <c r="D1" s="8" t="s">
        <v>6</v>
      </c>
      <c r="G1" s="200" t="s">
        <v>5</v>
      </c>
      <c r="H1" s="200"/>
    </row>
    <row r="2" spans="1:9">
      <c r="G2" t="s">
        <v>46</v>
      </c>
      <c r="H2" s="15">
        <v>1000</v>
      </c>
    </row>
    <row r="3" spans="1:9">
      <c r="G3" t="s">
        <v>23</v>
      </c>
      <c r="H3">
        <v>20</v>
      </c>
    </row>
    <row r="4" spans="1:9">
      <c r="A4" s="32" t="s">
        <v>10</v>
      </c>
      <c r="B4" s="33">
        <v>32.75</v>
      </c>
      <c r="D4" s="32" t="s">
        <v>10</v>
      </c>
      <c r="E4" s="33">
        <v>72</v>
      </c>
      <c r="G4" t="s">
        <v>24</v>
      </c>
      <c r="H4" s="2">
        <v>0.08</v>
      </c>
    </row>
    <row r="5" spans="1:9">
      <c r="A5" t="s">
        <v>11</v>
      </c>
      <c r="B5" s="4">
        <v>1.54</v>
      </c>
      <c r="D5" t="s">
        <v>11</v>
      </c>
      <c r="E5" s="4">
        <v>7</v>
      </c>
      <c r="G5" t="s">
        <v>47</v>
      </c>
      <c r="H5" s="16">
        <f>H4*H2</f>
        <v>80</v>
      </c>
    </row>
    <row r="6" spans="1:9">
      <c r="A6" t="s">
        <v>12</v>
      </c>
      <c r="B6" s="2">
        <v>0.06</v>
      </c>
      <c r="G6" t="s">
        <v>25</v>
      </c>
      <c r="H6">
        <v>2</v>
      </c>
    </row>
    <row r="7" spans="1:9">
      <c r="A7" t="s">
        <v>13</v>
      </c>
      <c r="B7" s="2">
        <v>0.03</v>
      </c>
      <c r="G7" s="32" t="s">
        <v>26</v>
      </c>
      <c r="H7" s="34">
        <v>0.97499999999999998</v>
      </c>
    </row>
    <row r="8" spans="1:9">
      <c r="A8" t="s">
        <v>14</v>
      </c>
      <c r="B8" s="2">
        <v>0.09</v>
      </c>
      <c r="G8" t="s">
        <v>28</v>
      </c>
      <c r="H8" s="2">
        <v>0.21</v>
      </c>
    </row>
    <row r="9" spans="1:9">
      <c r="A9" t="s">
        <v>15</v>
      </c>
      <c r="B9">
        <v>1.3</v>
      </c>
    </row>
    <row r="10" spans="1:9">
      <c r="G10" t="s">
        <v>27</v>
      </c>
      <c r="H10" s="16">
        <f>H7*H2</f>
        <v>975</v>
      </c>
    </row>
    <row r="11" spans="1:9" ht="15" thickBot="1">
      <c r="A11" s="1" t="s">
        <v>20</v>
      </c>
      <c r="B11" s="1"/>
      <c r="D11" s="1" t="s">
        <v>21</v>
      </c>
      <c r="H11" s="16"/>
    </row>
    <row r="12" spans="1:9" ht="15" thickTop="1">
      <c r="A12" t="s">
        <v>16</v>
      </c>
      <c r="B12" s="14">
        <f>B7+B9*(B8-B7)</f>
        <v>0.108</v>
      </c>
      <c r="D12" t="s">
        <v>22</v>
      </c>
      <c r="E12" s="2">
        <f>E5/E4</f>
        <v>9.7222222222222224E-2</v>
      </c>
      <c r="G12" s="17" t="s">
        <v>30</v>
      </c>
      <c r="H12" s="18">
        <f>H6*RATE(H3*H6,(-H5/H6),H10,-H2)</f>
        <v>8.257477426624224E-2</v>
      </c>
      <c r="I12" t="s">
        <v>29</v>
      </c>
    </row>
    <row r="13" spans="1:9">
      <c r="A13" t="s">
        <v>17</v>
      </c>
      <c r="B13" s="14">
        <f>B5/B4+B6</f>
        <v>0.10702290076335877</v>
      </c>
      <c r="I13" t="str">
        <f ca="1">_xlfn.FORMULATEXT(H12)</f>
        <v>=H6*RATE(H3*H6,(-H5/H6),H10,-H2)</v>
      </c>
    </row>
    <row r="14" spans="1:9" ht="15.5">
      <c r="B14" s="93"/>
      <c r="G14" t="s">
        <v>49</v>
      </c>
    </row>
    <row r="17" spans="2:2">
      <c r="B17" t="s">
        <v>200</v>
      </c>
    </row>
  </sheetData>
  <mergeCells count="1"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AEE0-1E38-4493-A485-C155377BE26C}">
  <sheetPr>
    <tabColor rgb="FFEE0000"/>
  </sheetPr>
  <dimension ref="A1:E33"/>
  <sheetViews>
    <sheetView workbookViewId="0">
      <selection activeCell="C1" sqref="C1"/>
    </sheetView>
  </sheetViews>
  <sheetFormatPr defaultRowHeight="14.5"/>
  <cols>
    <col min="1" max="1" width="28.1796875" customWidth="1"/>
    <col min="2" max="2" width="44" style="3" customWidth="1"/>
    <col min="3" max="3" width="31.1796875" customWidth="1"/>
    <col min="4" max="4" width="19.453125" customWidth="1"/>
  </cols>
  <sheetData>
    <row r="1" spans="1:5">
      <c r="A1" s="8" t="s">
        <v>40</v>
      </c>
      <c r="B1" s="21"/>
      <c r="C1" s="194" t="s">
        <v>204</v>
      </c>
    </row>
    <row r="2" spans="1:5">
      <c r="A2" t="s">
        <v>4</v>
      </c>
      <c r="B2" s="22">
        <v>0.1075</v>
      </c>
    </row>
    <row r="3" spans="1:5">
      <c r="A3" t="s">
        <v>6</v>
      </c>
      <c r="B3" s="22">
        <v>9.7199999999999995E-2</v>
      </c>
    </row>
    <row r="4" spans="1:5">
      <c r="A4" t="s">
        <v>41</v>
      </c>
      <c r="B4" s="22">
        <v>8.2600000000000007E-2</v>
      </c>
    </row>
    <row r="5" spans="1:5">
      <c r="A5" t="s">
        <v>28</v>
      </c>
      <c r="B5" s="23">
        <v>0.21</v>
      </c>
    </row>
    <row r="7" spans="1:5">
      <c r="A7" t="s">
        <v>33</v>
      </c>
      <c r="B7" s="24">
        <v>3000000</v>
      </c>
    </row>
    <row r="8" spans="1:5">
      <c r="A8" t="s">
        <v>34</v>
      </c>
      <c r="B8" s="25">
        <v>32.75</v>
      </c>
    </row>
    <row r="9" spans="1:5">
      <c r="A9" t="s">
        <v>35</v>
      </c>
      <c r="B9" s="24">
        <v>1000000</v>
      </c>
      <c r="D9" s="67">
        <f>B11</f>
        <v>30000</v>
      </c>
      <c r="E9">
        <v>1000</v>
      </c>
    </row>
    <row r="10" spans="1:5">
      <c r="A10" t="s">
        <v>36</v>
      </c>
      <c r="B10" s="25">
        <v>72</v>
      </c>
      <c r="D10" s="67">
        <f>D9*E9</f>
        <v>30000000</v>
      </c>
      <c r="E10" t="s">
        <v>70</v>
      </c>
    </row>
    <row r="11" spans="1:5" ht="15.5">
      <c r="A11" s="20" t="s">
        <v>37</v>
      </c>
      <c r="B11" s="24">
        <v>30000</v>
      </c>
      <c r="D11" s="2">
        <f>B12</f>
        <v>0.97499999999999998</v>
      </c>
      <c r="E11" t="s">
        <v>71</v>
      </c>
    </row>
    <row r="12" spans="1:5">
      <c r="A12" t="s">
        <v>38</v>
      </c>
      <c r="B12" s="22">
        <v>0.97499999999999998</v>
      </c>
      <c r="D12" s="67">
        <f>D11*D10</f>
        <v>29250000</v>
      </c>
      <c r="E12" t="s">
        <v>72</v>
      </c>
    </row>
    <row r="13" spans="1:5">
      <c r="B13" s="26"/>
    </row>
    <row r="14" spans="1:5">
      <c r="A14" s="38" t="s">
        <v>51</v>
      </c>
    </row>
    <row r="15" spans="1:5">
      <c r="A15" t="s">
        <v>0</v>
      </c>
      <c r="B15" s="27">
        <f>B7*B8</f>
        <v>98250000</v>
      </c>
      <c r="C15" t="str">
        <f t="shared" ref="C15:C17" ca="1" si="0">_xlfn.FORMULATEXT(B15)</f>
        <v>=B7*B8</v>
      </c>
    </row>
    <row r="16" spans="1:5">
      <c r="A16" t="s">
        <v>39</v>
      </c>
      <c r="B16" s="27">
        <f>B9*B10</f>
        <v>72000000</v>
      </c>
      <c r="C16" t="str">
        <f t="shared" ca="1" si="0"/>
        <v>=B9*B10</v>
      </c>
    </row>
    <row r="17" spans="1:3" ht="15" thickBot="1">
      <c r="A17" s="36" t="s">
        <v>1</v>
      </c>
      <c r="B17" s="37">
        <f>B12*B11*1000</f>
        <v>29250000</v>
      </c>
      <c r="C17" t="str">
        <f t="shared" ca="1" si="0"/>
        <v>=B12*B11*1000</v>
      </c>
    </row>
    <row r="18" spans="1:3">
      <c r="A18" t="s">
        <v>50</v>
      </c>
      <c r="B18" s="35">
        <f>SUM(B15:B17)</f>
        <v>199500000</v>
      </c>
    </row>
    <row r="22" spans="1:3">
      <c r="A22" s="38" t="s">
        <v>52</v>
      </c>
      <c r="B22" s="40"/>
    </row>
    <row r="23" spans="1:3">
      <c r="A23" t="s">
        <v>54</v>
      </c>
      <c r="B23" s="28">
        <f>B15/$B$18</f>
        <v>0.4924812030075188</v>
      </c>
      <c r="C23" t="str">
        <f t="shared" ref="C23:C25" ca="1" si="1">_xlfn.FORMULATEXT(B23)</f>
        <v>=B15/$B$18</v>
      </c>
    </row>
    <row r="24" spans="1:3">
      <c r="A24" t="s">
        <v>55</v>
      </c>
      <c r="B24" s="28">
        <f t="shared" ref="B24:B25" si="2">B16/$B$18</f>
        <v>0.36090225563909772</v>
      </c>
      <c r="C24" t="str">
        <f t="shared" ca="1" si="1"/>
        <v>=B16/$B$18</v>
      </c>
    </row>
    <row r="25" spans="1:3" ht="16.5" customHeight="1">
      <c r="A25" t="s">
        <v>56</v>
      </c>
      <c r="B25" s="28">
        <f t="shared" si="2"/>
        <v>0.14661654135338345</v>
      </c>
      <c r="C25" t="str">
        <f t="shared" ca="1" si="1"/>
        <v>=B17/$B$18</v>
      </c>
    </row>
    <row r="26" spans="1:3" ht="16.5" customHeight="1">
      <c r="B26" s="28"/>
    </row>
    <row r="27" spans="1:3">
      <c r="A27" t="s">
        <v>53</v>
      </c>
    </row>
    <row r="28" spans="1:3">
      <c r="A28" s="29" t="s">
        <v>42</v>
      </c>
      <c r="B28" s="193">
        <f>(B2*B23)+(B3*B24)+(B4*(1-B5)*B25)</f>
        <v>9.7588744360902244E-2</v>
      </c>
      <c r="C28" t="str">
        <f ca="1">_xlfn.FORMULATEXT(B28)</f>
        <v>=(B2*B23)+(B3*B24)+(B4*(1-B5)*B25)</v>
      </c>
    </row>
    <row r="33" spans="1:2" ht="32">
      <c r="A33" s="192" t="s">
        <v>200</v>
      </c>
      <c r="B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D232-8EEE-431C-872A-BF61007E7BDA}">
  <dimension ref="A1"/>
  <sheetViews>
    <sheetView workbookViewId="0">
      <selection activeCell="D4" sqref="D4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E720-95AA-4308-B28C-C171D34E70A1}">
  <sheetPr>
    <tabColor rgb="FF002060"/>
  </sheetPr>
  <dimension ref="A1:D26"/>
  <sheetViews>
    <sheetView zoomScale="90" zoomScaleNormal="90" workbookViewId="0">
      <selection activeCell="B26" sqref="B26"/>
    </sheetView>
  </sheetViews>
  <sheetFormatPr defaultRowHeight="14.5"/>
  <cols>
    <col min="1" max="2" width="36.7265625" customWidth="1"/>
    <col min="3" max="3" width="40.54296875" customWidth="1"/>
    <col min="4" max="4" width="66.1796875" customWidth="1"/>
    <col min="5" max="5" width="36.7265625" customWidth="1"/>
  </cols>
  <sheetData>
    <row r="1" spans="1:4">
      <c r="A1" s="8" t="s">
        <v>19</v>
      </c>
    </row>
    <row r="2" spans="1:4">
      <c r="A2" t="s">
        <v>10</v>
      </c>
      <c r="B2" s="4">
        <v>32.75</v>
      </c>
    </row>
    <row r="3" spans="1:4">
      <c r="A3" t="s">
        <v>11</v>
      </c>
      <c r="B3" s="4">
        <v>1.54</v>
      </c>
    </row>
    <row r="4" spans="1:4">
      <c r="A4" t="s">
        <v>12</v>
      </c>
      <c r="B4" s="2">
        <v>0.06</v>
      </c>
    </row>
    <row r="5" spans="1:4">
      <c r="A5" t="s">
        <v>13</v>
      </c>
      <c r="B5" s="2">
        <v>0.03</v>
      </c>
    </row>
    <row r="6" spans="1:4">
      <c r="A6" t="s">
        <v>14</v>
      </c>
      <c r="B6" s="2">
        <v>0.09</v>
      </c>
    </row>
    <row r="7" spans="1:4">
      <c r="A7" t="s">
        <v>15</v>
      </c>
      <c r="B7">
        <v>1.3</v>
      </c>
    </row>
    <row r="8" spans="1:4">
      <c r="A8" s="43" t="s">
        <v>44</v>
      </c>
      <c r="B8" s="196">
        <v>0.2</v>
      </c>
    </row>
    <row r="9" spans="1:4">
      <c r="B9" s="2"/>
    </row>
    <row r="10" spans="1:4">
      <c r="B10" s="2"/>
    </row>
    <row r="11" spans="1:4" ht="15" thickBot="1">
      <c r="A11" s="1" t="s">
        <v>20</v>
      </c>
      <c r="B11" s="1"/>
    </row>
    <row r="12" spans="1:4" ht="15" thickTop="1">
      <c r="A12" t="s">
        <v>17</v>
      </c>
      <c r="B12" s="14">
        <f>B3/B2+B4</f>
        <v>0.10702290076335877</v>
      </c>
      <c r="C12" t="str">
        <f ca="1">_xlfn.FORMULATEXT(B12)</f>
        <v>=B3/B2+B4</v>
      </c>
    </row>
    <row r="14" spans="1:4" ht="15" thickBot="1">
      <c r="A14" s="1" t="s">
        <v>43</v>
      </c>
      <c r="B14" s="1"/>
    </row>
    <row r="15" spans="1:4" ht="15" thickTop="1">
      <c r="A15" t="s">
        <v>45</v>
      </c>
      <c r="B15" s="30">
        <f>B8*B2</f>
        <v>6.5500000000000007</v>
      </c>
      <c r="C15" t="str">
        <f ca="1">_xlfn.FORMULATEXT(B15)</f>
        <v>=B8*B2</v>
      </c>
    </row>
    <row r="16" spans="1:4" ht="15" thickBot="1">
      <c r="A16" s="1" t="s">
        <v>43</v>
      </c>
      <c r="B16" s="31">
        <f>(B3/(B2-B15))+B4</f>
        <v>0.11877862595419847</v>
      </c>
      <c r="C16" t="str">
        <f ca="1">_xlfn.FORMULATEXT(B16)</f>
        <v>=(B3/(B2-B15))+B4</v>
      </c>
      <c r="D16" s="195" t="s">
        <v>207</v>
      </c>
    </row>
    <row r="17" spans="1:3" ht="15" thickTop="1"/>
    <row r="18" spans="1:3">
      <c r="A18" t="s">
        <v>57</v>
      </c>
      <c r="B18" s="14">
        <f>B16-B12</f>
        <v>1.17557251908397E-2</v>
      </c>
      <c r="C18" t="str">
        <f t="shared" ref="C18:C23" ca="1" si="0">_xlfn.FORMULATEXT(B18)</f>
        <v>=B16-B12</v>
      </c>
    </row>
    <row r="20" spans="1:3" ht="15" thickBot="1">
      <c r="A20" s="1" t="s">
        <v>58</v>
      </c>
    </row>
    <row r="21" spans="1:3" ht="15" thickTop="1">
      <c r="A21" t="s">
        <v>16</v>
      </c>
      <c r="B21" s="14">
        <v>0.108</v>
      </c>
    </row>
    <row r="22" spans="1:3">
      <c r="A22" t="s">
        <v>57</v>
      </c>
      <c r="B22" s="42">
        <f>+B18</f>
        <v>1.17557251908397E-2</v>
      </c>
      <c r="C22" t="str">
        <f t="shared" ca="1" si="0"/>
        <v>=+B18</v>
      </c>
    </row>
    <row r="23" spans="1:3">
      <c r="A23" t="s">
        <v>59</v>
      </c>
      <c r="B23" s="14">
        <f>B21+B22</f>
        <v>0.1197557251908397</v>
      </c>
      <c r="C23" t="str">
        <f t="shared" ca="1" si="0"/>
        <v>=B21+B22</v>
      </c>
    </row>
    <row r="26" spans="1:3">
      <c r="A26" t="s">
        <v>208</v>
      </c>
      <c r="B26" s="2">
        <f>(B16+B23)/2</f>
        <v>0.11926717557251909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427D-DF54-4D67-A846-B0FFA5D63966}">
  <sheetPr>
    <tabColor rgb="FFEE0000"/>
  </sheetPr>
  <dimension ref="A1:D23"/>
  <sheetViews>
    <sheetView workbookViewId="0">
      <selection activeCell="B23" sqref="B23"/>
    </sheetView>
  </sheetViews>
  <sheetFormatPr defaultRowHeight="14.5"/>
  <cols>
    <col min="1" max="1" width="30.453125" customWidth="1"/>
    <col min="2" max="2" width="37.7265625" customWidth="1"/>
    <col min="3" max="3" width="24.26953125" customWidth="1"/>
    <col min="12" max="12" width="19.81640625" customWidth="1"/>
  </cols>
  <sheetData>
    <row r="1" spans="1:4">
      <c r="A1" t="s">
        <v>94</v>
      </c>
    </row>
    <row r="2" spans="1:4">
      <c r="A2" t="s">
        <v>90</v>
      </c>
      <c r="B2" t="s">
        <v>91</v>
      </c>
    </row>
    <row r="3" spans="1:4">
      <c r="A3" t="s">
        <v>92</v>
      </c>
      <c r="B3" t="s">
        <v>93</v>
      </c>
    </row>
    <row r="5" spans="1:4" s="198" customFormat="1" ht="73.5" customHeight="1">
      <c r="A5" s="197" t="s">
        <v>189</v>
      </c>
      <c r="B5" s="197"/>
      <c r="C5" s="197"/>
      <c r="D5" s="197"/>
    </row>
    <row r="6" spans="1:4">
      <c r="B6" s="38" t="s">
        <v>97</v>
      </c>
      <c r="C6" s="38" t="s">
        <v>66</v>
      </c>
    </row>
    <row r="7" spans="1:4">
      <c r="A7" t="s">
        <v>68</v>
      </c>
      <c r="B7" s="67">
        <v>2000000</v>
      </c>
      <c r="C7" s="30">
        <v>45</v>
      </c>
    </row>
    <row r="8" spans="1:4">
      <c r="A8" t="s">
        <v>67</v>
      </c>
      <c r="B8" s="67">
        <v>750000</v>
      </c>
      <c r="C8" s="30">
        <v>52</v>
      </c>
    </row>
    <row r="9" spans="1:4">
      <c r="A9" t="s">
        <v>69</v>
      </c>
      <c r="B9" s="67">
        <v>20000000</v>
      </c>
      <c r="C9" s="14">
        <v>1.01</v>
      </c>
    </row>
    <row r="10" spans="1:4">
      <c r="B10" s="67"/>
      <c r="C10" s="14"/>
    </row>
    <row r="11" spans="1:4">
      <c r="A11" t="s">
        <v>95</v>
      </c>
    </row>
    <row r="12" spans="1:4">
      <c r="A12" t="s">
        <v>96</v>
      </c>
    </row>
    <row r="14" spans="1:4">
      <c r="A14" t="s">
        <v>190</v>
      </c>
    </row>
    <row r="15" spans="1:4">
      <c r="A15" t="s">
        <v>191</v>
      </c>
    </row>
    <row r="16" spans="1:4">
      <c r="A16" t="s">
        <v>192</v>
      </c>
    </row>
    <row r="17" spans="1:1">
      <c r="A17" t="s">
        <v>193</v>
      </c>
    </row>
    <row r="18" spans="1:1">
      <c r="A18" t="s">
        <v>194</v>
      </c>
    </row>
    <row r="19" spans="1:1">
      <c r="A19" t="s">
        <v>195</v>
      </c>
    </row>
    <row r="20" spans="1:1">
      <c r="A20" t="s">
        <v>196</v>
      </c>
    </row>
    <row r="21" spans="1:1">
      <c r="A21" t="s">
        <v>197</v>
      </c>
    </row>
    <row r="22" spans="1:1">
      <c r="A22" t="s">
        <v>198</v>
      </c>
    </row>
    <row r="23" spans="1:1">
      <c r="A2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5270-3737-497E-9337-0CD418292972}">
  <sheetPr>
    <tabColor rgb="FFEE0000"/>
  </sheetPr>
  <dimension ref="A1:M69"/>
  <sheetViews>
    <sheetView workbookViewId="0">
      <selection activeCell="B18" sqref="B18"/>
    </sheetView>
  </sheetViews>
  <sheetFormatPr defaultRowHeight="14.5"/>
  <cols>
    <col min="1" max="1" width="39.26953125" customWidth="1"/>
    <col min="2" max="2" width="21" style="3" customWidth="1"/>
    <col min="3" max="3" width="5.7265625" customWidth="1"/>
    <col min="4" max="4" width="9" customWidth="1"/>
    <col min="5" max="5" width="23.1796875" customWidth="1"/>
    <col min="6" max="6" width="20.7265625" customWidth="1"/>
    <col min="7" max="7" width="2.1796875" customWidth="1"/>
    <col min="8" max="8" width="30.1796875" customWidth="1"/>
    <col min="9" max="9" width="18.81640625" customWidth="1"/>
    <col min="10" max="10" width="3.1796875" customWidth="1"/>
    <col min="11" max="11" width="23.7265625" customWidth="1"/>
    <col min="12" max="12" width="19.81640625" customWidth="1"/>
  </cols>
  <sheetData>
    <row r="1" spans="1:13" ht="18.5">
      <c r="A1" s="8" t="s">
        <v>40</v>
      </c>
      <c r="B1" s="21"/>
      <c r="E1" s="8" t="s">
        <v>19</v>
      </c>
      <c r="H1" s="8" t="s">
        <v>6</v>
      </c>
      <c r="K1" s="200" t="s">
        <v>5</v>
      </c>
      <c r="L1" s="200"/>
    </row>
    <row r="2" spans="1:13" ht="27" customHeight="1">
      <c r="A2" s="50" t="s">
        <v>84</v>
      </c>
      <c r="B2" s="52">
        <f>F16</f>
        <v>0.12033333333333333</v>
      </c>
      <c r="C2" t="str">
        <f t="shared" ref="C2:C8" ca="1" si="0">_xlfn.FORMULATEXT(B2)</f>
        <v>=F16</v>
      </c>
      <c r="E2" s="32" t="s">
        <v>33</v>
      </c>
      <c r="F2" s="61">
        <v>2000000</v>
      </c>
      <c r="H2" s="32" t="s">
        <v>35</v>
      </c>
      <c r="I2" s="62">
        <v>750000</v>
      </c>
      <c r="K2" s="63" t="s">
        <v>62</v>
      </c>
      <c r="L2" s="71">
        <v>20000000</v>
      </c>
    </row>
    <row r="3" spans="1:13">
      <c r="A3" s="74" t="s">
        <v>85</v>
      </c>
      <c r="B3" s="76">
        <f>F27</f>
        <v>0.13700000000000001</v>
      </c>
      <c r="C3" t="str">
        <f t="shared" ca="1" si="0"/>
        <v>=F27</v>
      </c>
      <c r="K3" t="s">
        <v>65</v>
      </c>
      <c r="L3" s="15">
        <v>1000</v>
      </c>
    </row>
    <row r="4" spans="1:13">
      <c r="A4" s="50" t="s">
        <v>86</v>
      </c>
      <c r="B4" s="52">
        <f>I13</f>
        <v>9.6153846153846159E-2</v>
      </c>
      <c r="C4" t="str">
        <f t="shared" ca="1" si="0"/>
        <v>=I13</v>
      </c>
      <c r="E4" s="32" t="s">
        <v>10</v>
      </c>
      <c r="F4" s="33">
        <v>45</v>
      </c>
      <c r="H4" s="32" t="s">
        <v>10</v>
      </c>
      <c r="I4" s="33">
        <v>52</v>
      </c>
      <c r="K4" t="s">
        <v>23</v>
      </c>
      <c r="L4">
        <v>30</v>
      </c>
    </row>
    <row r="5" spans="1:13">
      <c r="A5" s="74" t="s">
        <v>87</v>
      </c>
      <c r="B5" s="76">
        <f>I21</f>
        <v>9.6153846153846159E-2</v>
      </c>
      <c r="C5" t="str">
        <f t="shared" ca="1" si="0"/>
        <v>=I21</v>
      </c>
      <c r="E5" t="s">
        <v>11</v>
      </c>
      <c r="F5" s="4">
        <v>3</v>
      </c>
      <c r="H5" t="s">
        <v>11</v>
      </c>
      <c r="I5" s="4">
        <v>5</v>
      </c>
      <c r="K5" t="s">
        <v>24</v>
      </c>
      <c r="L5" s="2">
        <v>7.4999999999999997E-2</v>
      </c>
    </row>
    <row r="6" spans="1:13">
      <c r="A6" s="50" t="s">
        <v>41</v>
      </c>
      <c r="B6" s="52">
        <f>L13</f>
        <v>7.4164331529466332E-2</v>
      </c>
      <c r="C6" t="str">
        <f t="shared" ca="1" si="0"/>
        <v>=L13</v>
      </c>
      <c r="E6" t="s">
        <v>64</v>
      </c>
      <c r="F6" s="2">
        <v>0.05</v>
      </c>
      <c r="H6" t="s">
        <v>74</v>
      </c>
      <c r="I6" s="41">
        <v>0</v>
      </c>
      <c r="K6" t="s">
        <v>47</v>
      </c>
      <c r="L6" s="16">
        <f>L5*L3</f>
        <v>75</v>
      </c>
    </row>
    <row r="7" spans="1:13">
      <c r="A7" s="43" t="s">
        <v>28</v>
      </c>
      <c r="B7" s="48">
        <f>L9</f>
        <v>0.21</v>
      </c>
      <c r="C7" t="str">
        <f t="shared" ca="1" si="0"/>
        <v>=L9</v>
      </c>
      <c r="E7" t="s">
        <v>13</v>
      </c>
      <c r="F7" s="2">
        <v>0.04</v>
      </c>
      <c r="K7" t="s">
        <v>25</v>
      </c>
      <c r="L7">
        <v>2</v>
      </c>
    </row>
    <row r="8" spans="1:13">
      <c r="A8" s="50" t="s">
        <v>31</v>
      </c>
      <c r="B8" s="52">
        <f>L16</f>
        <v>5.8589821908278404E-2</v>
      </c>
      <c r="C8" t="str">
        <f t="shared" ca="1" si="0"/>
        <v>=L16</v>
      </c>
      <c r="E8" t="s">
        <v>14</v>
      </c>
      <c r="F8" s="2">
        <v>0.1</v>
      </c>
      <c r="K8" s="32" t="s">
        <v>26</v>
      </c>
      <c r="L8" s="88">
        <v>1.01</v>
      </c>
    </row>
    <row r="9" spans="1:13">
      <c r="E9" t="s">
        <v>15</v>
      </c>
      <c r="F9">
        <v>1.4</v>
      </c>
      <c r="K9" t="s">
        <v>28</v>
      </c>
      <c r="L9" s="2">
        <v>0.21</v>
      </c>
    </row>
    <row r="10" spans="1:13">
      <c r="A10" s="43" t="s">
        <v>33</v>
      </c>
      <c r="B10" s="44">
        <f>F2</f>
        <v>2000000</v>
      </c>
      <c r="C10" t="str">
        <f t="shared" ref="C10:C17" ca="1" si="1">_xlfn.FORMULATEXT(B10)</f>
        <v>=F2</v>
      </c>
      <c r="E10" t="s">
        <v>73</v>
      </c>
      <c r="F10" s="41">
        <v>0.2</v>
      </c>
    </row>
    <row r="11" spans="1:13">
      <c r="A11" s="43" t="s">
        <v>34</v>
      </c>
      <c r="B11" s="45">
        <f>F4</f>
        <v>45</v>
      </c>
      <c r="C11" t="str">
        <f t="shared" ca="1" si="1"/>
        <v>=F4</v>
      </c>
      <c r="K11" t="s">
        <v>27</v>
      </c>
      <c r="L11" s="16">
        <f>L8*L3</f>
        <v>1010</v>
      </c>
    </row>
    <row r="12" spans="1:13" ht="15" thickBot="1">
      <c r="A12" s="43" t="s">
        <v>35</v>
      </c>
      <c r="B12" s="44">
        <f>I2</f>
        <v>750000</v>
      </c>
      <c r="C12" t="str">
        <f t="shared" ca="1" si="1"/>
        <v>=I2</v>
      </c>
      <c r="E12" s="1" t="s">
        <v>75</v>
      </c>
      <c r="F12" s="1"/>
      <c r="H12" s="1" t="s">
        <v>76</v>
      </c>
      <c r="L12" s="16"/>
    </row>
    <row r="13" spans="1:13" ht="15" thickTop="1">
      <c r="A13" s="43" t="s">
        <v>36</v>
      </c>
      <c r="B13" s="45">
        <f>I4</f>
        <v>52</v>
      </c>
      <c r="C13" t="str">
        <f t="shared" ca="1" si="1"/>
        <v>=I4</v>
      </c>
      <c r="E13" t="s">
        <v>16</v>
      </c>
      <c r="F13" s="14">
        <f>F7+F9*(F8-F7)</f>
        <v>0.124</v>
      </c>
      <c r="H13" s="50" t="s">
        <v>88</v>
      </c>
      <c r="I13" s="77">
        <f>I5/I4</f>
        <v>9.6153846153846159E-2</v>
      </c>
      <c r="K13" s="17" t="s">
        <v>30</v>
      </c>
      <c r="L13" s="18">
        <f>L7*RATE(L4*L7,(-L6/L7),L11,-L3)</f>
        <v>7.4164331529466332E-2</v>
      </c>
      <c r="M13" t="s">
        <v>29</v>
      </c>
    </row>
    <row r="14" spans="1:13">
      <c r="A14" s="43" t="s">
        <v>63</v>
      </c>
      <c r="B14" s="47">
        <f>L8</f>
        <v>1.01</v>
      </c>
      <c r="C14" t="str">
        <f t="shared" ca="1" si="1"/>
        <v>=L8</v>
      </c>
      <c r="E14" t="s">
        <v>17</v>
      </c>
      <c r="F14" s="14">
        <f>F5/F4+F6</f>
        <v>0.11666666666666667</v>
      </c>
      <c r="M14" t="str">
        <f ca="1">_xlfn.FORMULATEXT(L13)</f>
        <v>=L7*RATE(L4*L7,(-L6/L7),L11,-L3)</v>
      </c>
    </row>
    <row r="15" spans="1:13" ht="15.5">
      <c r="A15" s="46" t="s">
        <v>62</v>
      </c>
      <c r="B15" s="49">
        <f>L2</f>
        <v>20000000</v>
      </c>
      <c r="C15" t="str">
        <f t="shared" ca="1" si="1"/>
        <v>=L2</v>
      </c>
    </row>
    <row r="16" spans="1:13" ht="15.5">
      <c r="A16" s="46" t="s">
        <v>61</v>
      </c>
      <c r="B16" s="44">
        <f>L3</f>
        <v>1000</v>
      </c>
      <c r="C16" t="str">
        <f t="shared" ca="1" si="1"/>
        <v>=L3</v>
      </c>
      <c r="E16" s="72" t="s">
        <v>18</v>
      </c>
      <c r="F16" s="73">
        <f>AVERAGE(F13:F14)</f>
        <v>0.12033333333333333</v>
      </c>
      <c r="K16" s="17" t="s">
        <v>31</v>
      </c>
      <c r="L16" s="19">
        <f>L13*(1-L9)</f>
        <v>5.8589821908278404E-2</v>
      </c>
      <c r="M16" t="s">
        <v>32</v>
      </c>
    </row>
    <row r="17" spans="1:11">
      <c r="A17" s="50" t="s">
        <v>60</v>
      </c>
      <c r="B17" s="51">
        <f>B14*B16</f>
        <v>1010</v>
      </c>
      <c r="C17" t="str">
        <f t="shared" ca="1" si="1"/>
        <v>=B14*B16</v>
      </c>
    </row>
    <row r="18" spans="1:11">
      <c r="B18" s="26"/>
    </row>
    <row r="19" spans="1:11" ht="15" thickBot="1">
      <c r="A19" s="38" t="s">
        <v>51</v>
      </c>
      <c r="B19" s="39"/>
      <c r="E19" s="1" t="s">
        <v>77</v>
      </c>
      <c r="F19" s="1"/>
      <c r="H19" s="1" t="s">
        <v>78</v>
      </c>
      <c r="K19" t="s">
        <v>48</v>
      </c>
    </row>
    <row r="20" spans="1:11" ht="15" thickTop="1">
      <c r="A20" t="s">
        <v>0</v>
      </c>
      <c r="B20" s="27">
        <f>B10*B11</f>
        <v>90000000</v>
      </c>
      <c r="C20" t="str">
        <f ca="1">_xlfn.FORMULATEXT(B20)</f>
        <v>=B10*B11</v>
      </c>
      <c r="E20" t="s">
        <v>79</v>
      </c>
      <c r="F20" s="68">
        <f>F4*F10</f>
        <v>9</v>
      </c>
      <c r="H20" t="s">
        <v>22</v>
      </c>
      <c r="I20" s="79">
        <f>I6*I4</f>
        <v>0</v>
      </c>
      <c r="K20" t="s">
        <v>49</v>
      </c>
    </row>
    <row r="21" spans="1:11" ht="29.25" customHeight="1">
      <c r="A21" t="s">
        <v>39</v>
      </c>
      <c r="B21" s="27">
        <f>B12*B13</f>
        <v>39000000</v>
      </c>
      <c r="C21" t="str">
        <f ca="1">_xlfn.FORMULATEXT(B21)</f>
        <v>=B12*B13</v>
      </c>
      <c r="E21" s="69" t="s">
        <v>80</v>
      </c>
      <c r="F21" s="70">
        <f>F5/(F4-F20)+F6</f>
        <v>0.13333333333333333</v>
      </c>
      <c r="H21" s="74" t="s">
        <v>89</v>
      </c>
      <c r="I21" s="78">
        <f>I5/(I4-I20)</f>
        <v>9.6153846153846159E-2</v>
      </c>
    </row>
    <row r="22" spans="1:11" ht="15" thickBot="1">
      <c r="A22" s="36" t="s">
        <v>1</v>
      </c>
      <c r="B22" s="37">
        <f>B15*B14</f>
        <v>20200000</v>
      </c>
      <c r="C22" t="str">
        <f ca="1">_xlfn.FORMULATEXT(B22)</f>
        <v>=B15*B14</v>
      </c>
    </row>
    <row r="23" spans="1:11">
      <c r="A23" t="s">
        <v>50</v>
      </c>
      <c r="B23" s="35">
        <f>SUM(B20:B22)</f>
        <v>149200000</v>
      </c>
      <c r="E23" t="s">
        <v>81</v>
      </c>
      <c r="F23" s="14">
        <f>F21-F14</f>
        <v>1.6666666666666663E-2</v>
      </c>
    </row>
    <row r="24" spans="1:11">
      <c r="B24" s="35"/>
    </row>
    <row r="25" spans="1:11" ht="16.5" customHeight="1">
      <c r="A25" s="38" t="s">
        <v>52</v>
      </c>
      <c r="B25" s="40"/>
      <c r="E25" t="s">
        <v>82</v>
      </c>
      <c r="F25" s="14">
        <f>F13+F23</f>
        <v>0.14066666666666666</v>
      </c>
    </row>
    <row r="26" spans="1:11" ht="16.5" customHeight="1">
      <c r="A26" t="s">
        <v>54</v>
      </c>
      <c r="B26" s="28">
        <f>B20/SUM($B$20:$B$22)</f>
        <v>0.60321715817694366</v>
      </c>
      <c r="C26" t="str">
        <f ca="1">_xlfn.FORMULATEXT(B26)</f>
        <v>=B20/SUM($B$20:$B$22)</v>
      </c>
    </row>
    <row r="27" spans="1:11">
      <c r="A27" t="s">
        <v>55</v>
      </c>
      <c r="B27" s="28">
        <f>B21/SUM($B$20:$B$22)</f>
        <v>0.26139410187667561</v>
      </c>
      <c r="C27" t="str">
        <f ca="1">_xlfn.FORMULATEXT(B27)</f>
        <v>=B21/SUM($B$20:$B$22)</v>
      </c>
      <c r="E27" s="74" t="s">
        <v>83</v>
      </c>
      <c r="F27" s="75">
        <f>AVERAGE(F25,F21)</f>
        <v>0.13700000000000001</v>
      </c>
    </row>
    <row r="28" spans="1:11">
      <c r="A28" t="s">
        <v>56</v>
      </c>
      <c r="B28" s="28">
        <f>B22/SUM($B$20:$B$22)</f>
        <v>0.1353887399463807</v>
      </c>
      <c r="C28" t="str">
        <f ca="1">_xlfn.FORMULATEXT(B28)</f>
        <v>=B22/SUM($B$20:$B$22)</v>
      </c>
    </row>
    <row r="29" spans="1:11">
      <c r="B29" s="28"/>
    </row>
    <row r="30" spans="1:11">
      <c r="A30" t="s">
        <v>53</v>
      </c>
    </row>
    <row r="31" spans="1:11">
      <c r="A31" s="29" t="s">
        <v>98</v>
      </c>
      <c r="B31" s="53">
        <f>(B2*B26)+(B4*B27)+(B8*B28)</f>
        <v>0.10565358178650955</v>
      </c>
      <c r="C31" t="str">
        <f ca="1">_xlfn.FORMULATEXT(B31)</f>
        <v>=(B2*B26)+(B4*B27)+(B8*B28)</v>
      </c>
    </row>
    <row r="33" spans="1:4">
      <c r="A33" s="80" t="s">
        <v>53</v>
      </c>
      <c r="B33" s="89"/>
      <c r="C33" s="90"/>
      <c r="D33" s="91"/>
    </row>
    <row r="34" spans="1:4">
      <c r="A34" s="29" t="s">
        <v>99</v>
      </c>
      <c r="B34" s="53">
        <f>B26*B3+B27*B4+L16*B28</f>
        <v>0.11570720108945862</v>
      </c>
      <c r="C34" s="38" t="str">
        <f ca="1">_xlfn.FORMULATEXT(B34)</f>
        <v>=B26*B3+B27*B4+L16*B28</v>
      </c>
      <c r="D34" s="92"/>
    </row>
    <row r="35" spans="1:4">
      <c r="B35"/>
    </row>
    <row r="36" spans="1:4">
      <c r="B36" s="199"/>
    </row>
    <row r="37" spans="1:4">
      <c r="B37" s="199"/>
    </row>
    <row r="38" spans="1:4">
      <c r="B38"/>
    </row>
    <row r="39" spans="1:4">
      <c r="A39" s="81" t="s">
        <v>94</v>
      </c>
      <c r="B39" s="82"/>
    </row>
    <row r="40" spans="1:4" s="58" customFormat="1" ht="21">
      <c r="A40" s="81" t="s">
        <v>90</v>
      </c>
      <c r="B40" s="82" t="s">
        <v>91</v>
      </c>
    </row>
    <row r="41" spans="1:4" s="58" customFormat="1" ht="21">
      <c r="A41" s="83" t="s">
        <v>92</v>
      </c>
      <c r="B41" s="84" t="s">
        <v>93</v>
      </c>
    </row>
    <row r="42" spans="1:4" s="58" customFormat="1" ht="21">
      <c r="A42"/>
      <c r="B42" s="3"/>
    </row>
    <row r="43" spans="1:4" s="54" customFormat="1" ht="21">
      <c r="A43" s="56" t="str">
        <f>"Calculate the WACC (full tax advantage) of "&amp;TEXT(B40,"")&amp; "  given the following information:"</f>
        <v>Calculate the WACC (full tax advantage) of XYZ Corp  given the following information:</v>
      </c>
      <c r="B43" s="57"/>
      <c r="C43" s="59"/>
      <c r="D43" s="59"/>
    </row>
    <row r="44" spans="1:4" s="54" customFormat="1" ht="56.5" thickBot="1">
      <c r="A44" s="66"/>
      <c r="B44" s="87" t="s">
        <v>97</v>
      </c>
      <c r="C44" s="66" t="s">
        <v>66</v>
      </c>
      <c r="D44" s="59"/>
    </row>
    <row r="45" spans="1:4" s="54" customFormat="1" ht="21.5" thickTop="1">
      <c r="A45" s="59" t="s">
        <v>68</v>
      </c>
      <c r="B45" s="60">
        <f>F2</f>
        <v>2000000</v>
      </c>
      <c r="C45" s="64">
        <f>F4</f>
        <v>45</v>
      </c>
      <c r="D45" s="59"/>
    </row>
    <row r="46" spans="1:4" s="54" customFormat="1" ht="21">
      <c r="A46" s="59" t="s">
        <v>67</v>
      </c>
      <c r="B46" s="60">
        <f>I2</f>
        <v>750000</v>
      </c>
      <c r="C46" s="64">
        <f>I4</f>
        <v>52</v>
      </c>
      <c r="D46" s="59"/>
    </row>
    <row r="47" spans="1:4" s="54" customFormat="1" ht="21">
      <c r="A47" s="59" t="s">
        <v>69</v>
      </c>
      <c r="B47" s="60">
        <f>L2</f>
        <v>20000000</v>
      </c>
      <c r="C47" s="65">
        <f>L8</f>
        <v>1.01</v>
      </c>
      <c r="D47" s="59"/>
    </row>
    <row r="48" spans="1:4" s="54" customFormat="1" ht="21">
      <c r="A48" s="59"/>
      <c r="B48" s="60"/>
      <c r="C48" s="65"/>
      <c r="D48" s="59"/>
    </row>
    <row r="49" spans="1:5" s="55" customFormat="1" ht="18.5">
      <c r="A49" s="85" t="s">
        <v>95</v>
      </c>
      <c r="B49" s="85"/>
      <c r="C49" s="85"/>
      <c r="D49" s="85"/>
      <c r="E49" s="86"/>
    </row>
    <row r="50" spans="1:5" s="55" customFormat="1" ht="18.5">
      <c r="A50" s="85" t="s">
        <v>96</v>
      </c>
      <c r="B50" s="85"/>
      <c r="C50" s="85"/>
      <c r="D50" s="85"/>
      <c r="E50" s="86"/>
    </row>
    <row r="51" spans="1:5" s="55" customFormat="1" ht="18.5">
      <c r="A51" s="85"/>
      <c r="B51" s="85"/>
      <c r="C51" s="85"/>
      <c r="D51" s="85"/>
      <c r="E51" s="86"/>
    </row>
    <row r="52" spans="1:5" s="55" customFormat="1" ht="18.5">
      <c r="A52" s="59" t="str">
        <f>"The per share equity dividend (D1) next period is expected to be " &amp; TEXT(F5,"$0.00")</f>
        <v>The per share equity dividend (D1) next period is expected to be $3.00</v>
      </c>
      <c r="B52" s="59"/>
      <c r="C52" s="59"/>
      <c r="D52" s="59"/>
    </row>
    <row r="53" spans="1:5" s="55" customFormat="1" ht="18.5">
      <c r="A53" s="59" t="str">
        <f>"The per share preferred stock dividend (D1) next period is expected to be " &amp; TEXT(I5,"$0.00")</f>
        <v>The per share preferred stock dividend (D1) next period is expected to be $5.00</v>
      </c>
      <c r="B53" s="59"/>
      <c r="C53" s="59"/>
      <c r="D53" s="59"/>
    </row>
    <row r="54" spans="1:5" s="55" customFormat="1" ht="18.5">
      <c r="A54" s="59" t="str">
        <f>TEXT($B$41,"")&amp;" expects future dividends to grow  indefinitely (g) by " &amp;TEXT(F6,"0.00%")</f>
        <v>XYZ expects future dividends to grow  indefinitely (g) by 5.00%</v>
      </c>
      <c r="B54" s="59"/>
      <c r="C54" s="59"/>
      <c r="D54" s="59"/>
    </row>
    <row r="55" spans="1:5" s="55" customFormat="1" ht="18.5">
      <c r="A55" s="59" t="str">
        <f>"The risk-free rate (RfR) is " &amp;TEXT(F7,"0.00%")</f>
        <v>The risk-free rate (RfR) is 4.00%</v>
      </c>
      <c r="B55" s="59"/>
      <c r="C55" s="59"/>
      <c r="D55" s="59"/>
    </row>
    <row r="56" spans="1:5" s="55" customFormat="1" ht="18.5">
      <c r="A56" s="59" t="str">
        <f>"The expected return on the market (Rm) is " &amp;TEXT(F8,"0.00%")</f>
        <v>The expected return on the market (Rm) is 10.00%</v>
      </c>
      <c r="B56" s="59"/>
      <c r="C56" s="59"/>
      <c r="D56" s="59"/>
    </row>
    <row r="57" spans="1:5" s="55" customFormat="1" ht="18.5">
      <c r="A57" s="59" t="str">
        <f>TEXT($B$41,"")&amp;" has a beta of " &amp; TEXT(F9,"0.00")</f>
        <v>XYZ has a beta of 1.40</v>
      </c>
      <c r="B57" s="59"/>
      <c r="C57" s="59"/>
      <c r="D57" s="59"/>
    </row>
    <row r="58" spans="1:5" s="55" customFormat="1" ht="18.5">
      <c r="A58" s="59" t="str">
        <f>TEXT($B$41,"")&amp;" debt has a coupon rate of " &amp; TEXT(L5,"0.00%")</f>
        <v>XYZ debt has a coupon rate of 7.50%</v>
      </c>
      <c r="B58" s="59"/>
      <c r="C58" s="59"/>
      <c r="D58" s="59"/>
    </row>
    <row r="59" spans="1:5" s="55" customFormat="1" ht="18.5">
      <c r="A59" s="59" t="str">
        <f>TEXT($B$41,"")&amp;" debt has a maturity in years of " &amp; TEXT(L4,"0")</f>
        <v>XYZ debt has a maturity in years of 30</v>
      </c>
      <c r="B59" s="59"/>
      <c r="D59" s="59"/>
    </row>
    <row r="60" spans="1:5" ht="18.5">
      <c r="A60" s="59" t="str">
        <f>TEXT($B$41,"")&amp;" tax rate is " &amp; TEXT(L9,"0.00%")</f>
        <v>XYZ tax rate is 21.00%</v>
      </c>
      <c r="B60" s="59"/>
      <c r="D60" s="59"/>
    </row>
    <row r="61" spans="1:5" ht="18.5">
      <c r="A61" s="59" t="str">
        <f>TEXT($B$41,"")&amp;" flotation cost for common equity is " &amp; TEXT(F10,"0.00%")&amp; " of its current traded price"</f>
        <v>XYZ flotation cost for common equity is 20.00% of its current traded price</v>
      </c>
      <c r="B61" s="59"/>
      <c r="D61" s="59"/>
    </row>
    <row r="62" spans="1:5" ht="18.5">
      <c r="D62" s="59"/>
    </row>
    <row r="63" spans="1:5" ht="18.5">
      <c r="A63" s="59"/>
      <c r="B63" s="59"/>
      <c r="D63" s="59"/>
    </row>
    <row r="65" spans="1:4" s="54" customFormat="1" ht="21">
      <c r="D65" s="59"/>
    </row>
    <row r="69" spans="1:4" ht="18.5">
      <c r="A69" s="59"/>
      <c r="B69" s="59"/>
    </row>
  </sheetData>
  <mergeCells count="1">
    <mergeCell ref="K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5F13-762C-48FC-8473-6DD146A558E0}">
  <dimension ref="A1:J218"/>
  <sheetViews>
    <sheetView tabSelected="1" workbookViewId="0">
      <selection activeCell="A109" sqref="A109:XFD222"/>
    </sheetView>
  </sheetViews>
  <sheetFormatPr defaultRowHeight="14.5"/>
  <cols>
    <col min="2" max="2" width="3.1796875" customWidth="1"/>
    <col min="3" max="3" width="26.7265625" customWidth="1"/>
    <col min="4" max="4" width="19.453125" customWidth="1"/>
    <col min="5" max="5" width="3.1796875" customWidth="1"/>
  </cols>
  <sheetData>
    <row r="1" spans="1:10" ht="18">
      <c r="A1" s="93"/>
      <c r="B1" s="93"/>
      <c r="C1" s="131" t="s">
        <v>119</v>
      </c>
      <c r="D1" s="93"/>
      <c r="E1" s="93"/>
      <c r="F1" s="93"/>
      <c r="G1" s="93"/>
      <c r="H1" s="93"/>
      <c r="I1" s="93"/>
      <c r="J1" s="93"/>
    </row>
    <row r="2" spans="1:10" ht="15.5">
      <c r="A2" s="93"/>
      <c r="B2" s="93"/>
      <c r="C2" s="93" t="s">
        <v>120</v>
      </c>
      <c r="D2" s="93"/>
      <c r="E2" s="93"/>
      <c r="F2" s="93"/>
      <c r="G2" s="93"/>
      <c r="H2" s="93"/>
      <c r="I2" s="93"/>
      <c r="J2" s="93"/>
    </row>
    <row r="3" spans="1:10" ht="15.5">
      <c r="A3" s="93"/>
      <c r="B3" s="93"/>
      <c r="C3" s="93"/>
      <c r="D3" s="93"/>
      <c r="E3" s="93"/>
      <c r="F3" s="93"/>
      <c r="G3" s="93"/>
      <c r="H3" s="93"/>
      <c r="I3" s="93"/>
      <c r="J3" s="93"/>
    </row>
    <row r="4" spans="1:10" ht="15.5">
      <c r="A4" s="93"/>
      <c r="B4" s="93"/>
      <c r="C4" s="94" t="s">
        <v>100</v>
      </c>
      <c r="D4" s="93"/>
      <c r="E4" s="93"/>
      <c r="F4" s="93"/>
      <c r="G4" s="93"/>
      <c r="H4" s="93"/>
      <c r="I4" s="93"/>
      <c r="J4" s="93"/>
    </row>
    <row r="5" spans="1:10" ht="16" thickBot="1">
      <c r="A5" s="93"/>
      <c r="B5" s="93"/>
      <c r="C5" s="93"/>
      <c r="D5" s="93"/>
      <c r="E5" s="93"/>
      <c r="F5" s="93"/>
      <c r="G5" s="93"/>
      <c r="H5" s="93"/>
      <c r="I5" s="93"/>
      <c r="J5" s="93"/>
    </row>
    <row r="6" spans="1:10" ht="15.5">
      <c r="A6" s="93"/>
      <c r="B6" s="95"/>
      <c r="C6" s="96"/>
      <c r="D6" s="96"/>
      <c r="E6" s="97"/>
      <c r="F6" s="93"/>
      <c r="G6" s="93"/>
      <c r="H6" s="93"/>
      <c r="I6" s="93"/>
      <c r="J6" s="93"/>
    </row>
    <row r="7" spans="1:10" ht="15.5">
      <c r="A7" s="93"/>
      <c r="B7" s="98"/>
      <c r="C7" s="132" t="s">
        <v>121</v>
      </c>
      <c r="D7" s="133">
        <v>3900000</v>
      </c>
      <c r="E7" s="134"/>
      <c r="F7" s="135"/>
      <c r="G7" s="93"/>
      <c r="H7" s="93"/>
      <c r="I7" s="93"/>
      <c r="J7" s="93"/>
    </row>
    <row r="8" spans="1:10" ht="15.5">
      <c r="A8" s="93"/>
      <c r="B8" s="98"/>
      <c r="C8" s="132" t="s">
        <v>122</v>
      </c>
      <c r="D8" s="133">
        <v>4200000</v>
      </c>
      <c r="E8" s="134"/>
      <c r="F8" s="135"/>
      <c r="G8" s="93"/>
      <c r="H8" s="93"/>
      <c r="I8" s="93"/>
      <c r="J8" s="93"/>
    </row>
    <row r="9" spans="1:10" ht="15.5">
      <c r="A9" s="93"/>
      <c r="B9" s="98"/>
      <c r="C9" s="132" t="s">
        <v>123</v>
      </c>
      <c r="D9" s="133">
        <v>4500000</v>
      </c>
      <c r="E9" s="134"/>
      <c r="F9" s="135"/>
      <c r="G9" s="93"/>
      <c r="H9" s="93"/>
      <c r="I9" s="93"/>
      <c r="J9" s="93"/>
    </row>
    <row r="10" spans="1:10" ht="15.5">
      <c r="A10" s="93"/>
      <c r="B10" s="98"/>
      <c r="C10" s="132" t="s">
        <v>124</v>
      </c>
      <c r="D10" s="133">
        <v>38000000</v>
      </c>
      <c r="E10" s="134"/>
      <c r="F10" s="135"/>
      <c r="G10" s="93"/>
      <c r="H10" s="93"/>
      <c r="I10" s="93"/>
      <c r="J10" s="93"/>
    </row>
    <row r="11" spans="1:10" ht="15.5">
      <c r="A11" s="93"/>
      <c r="B11" s="98"/>
      <c r="C11" s="132"/>
      <c r="D11" s="133"/>
      <c r="E11" s="134"/>
      <c r="F11" s="135"/>
      <c r="G11" s="93"/>
      <c r="H11" s="93"/>
      <c r="I11" s="93"/>
      <c r="J11" s="93"/>
    </row>
    <row r="12" spans="1:10" ht="15.5">
      <c r="A12" s="93"/>
      <c r="B12" s="98"/>
      <c r="C12" s="136" t="s">
        <v>1</v>
      </c>
      <c r="D12" s="137"/>
      <c r="E12" s="138"/>
      <c r="F12" s="139"/>
      <c r="G12" s="93"/>
      <c r="H12" s="93"/>
      <c r="I12" s="93"/>
      <c r="J12" s="93"/>
    </row>
    <row r="13" spans="1:10" ht="15.5">
      <c r="A13" s="93"/>
      <c r="B13" s="98"/>
      <c r="C13" s="99" t="s">
        <v>125</v>
      </c>
      <c r="D13" s="125">
        <v>215000</v>
      </c>
      <c r="E13" s="138"/>
      <c r="F13" s="139"/>
      <c r="G13" s="93"/>
      <c r="H13" s="93"/>
      <c r="I13" s="93"/>
      <c r="J13" s="93"/>
    </row>
    <row r="14" spans="1:10" ht="15.5">
      <c r="A14" s="93"/>
      <c r="B14" s="98"/>
      <c r="C14" s="123" t="s">
        <v>126</v>
      </c>
      <c r="D14" s="124">
        <v>43831</v>
      </c>
      <c r="E14" s="138"/>
      <c r="F14" s="139"/>
      <c r="G14" s="93"/>
      <c r="H14" s="93"/>
      <c r="I14" s="93"/>
      <c r="J14" s="93"/>
    </row>
    <row r="15" spans="1:10" ht="15.5">
      <c r="A15" s="93"/>
      <c r="B15" s="98"/>
      <c r="C15" s="123" t="s">
        <v>127</v>
      </c>
      <c r="D15" s="124">
        <v>52963</v>
      </c>
      <c r="E15" s="138"/>
      <c r="F15" s="139"/>
      <c r="G15" s="93"/>
      <c r="H15" s="93"/>
      <c r="I15" s="93"/>
      <c r="J15" s="93"/>
    </row>
    <row r="16" spans="1:10" ht="15.5">
      <c r="A16" s="93"/>
      <c r="B16" s="98"/>
      <c r="C16" s="123" t="s">
        <v>128</v>
      </c>
      <c r="D16" s="140">
        <v>5.0999999999999997E-2</v>
      </c>
      <c r="E16" s="138"/>
      <c r="F16" s="139"/>
      <c r="G16" s="93"/>
      <c r="H16" s="93"/>
      <c r="I16" s="93"/>
      <c r="J16" s="93"/>
    </row>
    <row r="17" spans="1:10" ht="15.5">
      <c r="A17" s="93"/>
      <c r="B17" s="98"/>
      <c r="C17" s="123" t="s">
        <v>129</v>
      </c>
      <c r="D17" s="125">
        <v>2</v>
      </c>
      <c r="E17" s="138"/>
      <c r="F17" s="139"/>
      <c r="G17" s="93"/>
      <c r="H17" s="93"/>
      <c r="I17" s="93"/>
      <c r="J17" s="93"/>
    </row>
    <row r="18" spans="1:10" ht="15.5">
      <c r="A18" s="93"/>
      <c r="B18" s="98"/>
      <c r="C18" s="123" t="s">
        <v>112</v>
      </c>
      <c r="D18" s="125">
        <v>100</v>
      </c>
      <c r="E18" s="138"/>
      <c r="F18" s="139"/>
      <c r="G18" s="93"/>
      <c r="H18" s="93"/>
      <c r="I18" s="93"/>
      <c r="J18" s="93"/>
    </row>
    <row r="19" spans="1:10" ht="15.5">
      <c r="A19" s="93"/>
      <c r="B19" s="98"/>
      <c r="C19" s="123" t="s">
        <v>130</v>
      </c>
      <c r="D19" s="125">
        <v>95</v>
      </c>
      <c r="E19" s="138"/>
      <c r="F19" s="139"/>
      <c r="G19" s="93"/>
      <c r="H19" s="93"/>
      <c r="I19" s="93"/>
      <c r="J19" s="93"/>
    </row>
    <row r="20" spans="1:10" ht="15.5">
      <c r="A20" s="93"/>
      <c r="B20" s="98"/>
      <c r="C20" s="132" t="s">
        <v>131</v>
      </c>
      <c r="D20" s="133">
        <v>1000</v>
      </c>
      <c r="E20" s="138"/>
      <c r="F20" s="139"/>
      <c r="G20" s="93"/>
      <c r="H20" s="93"/>
      <c r="I20" s="93"/>
      <c r="J20" s="93"/>
    </row>
    <row r="21" spans="1:10" ht="15.5">
      <c r="A21" s="93"/>
      <c r="B21" s="98"/>
      <c r="C21" s="99"/>
      <c r="D21" s="102"/>
      <c r="E21" s="138"/>
      <c r="F21" s="139"/>
      <c r="G21" s="93"/>
      <c r="H21" s="93"/>
      <c r="I21" s="93"/>
      <c r="J21" s="93"/>
    </row>
    <row r="22" spans="1:10" ht="15.5">
      <c r="A22" s="93"/>
      <c r="B22" s="98"/>
      <c r="C22" s="136" t="s">
        <v>132</v>
      </c>
      <c r="D22" s="137"/>
      <c r="E22" s="138"/>
      <c r="F22" s="139"/>
      <c r="G22" s="93"/>
      <c r="H22" s="93"/>
      <c r="I22" s="93"/>
      <c r="J22" s="93"/>
    </row>
    <row r="23" spans="1:10" ht="15.5">
      <c r="A23" s="93"/>
      <c r="B23" s="98"/>
      <c r="C23" s="99" t="s">
        <v>133</v>
      </c>
      <c r="D23" s="137">
        <v>8900000</v>
      </c>
      <c r="E23" s="138"/>
      <c r="F23" s="139"/>
      <c r="G23" s="93"/>
      <c r="H23" s="93"/>
      <c r="I23" s="93"/>
      <c r="J23" s="93"/>
    </row>
    <row r="24" spans="1:10" ht="15.5">
      <c r="A24" s="93"/>
      <c r="B24" s="98"/>
      <c r="C24" s="99" t="s">
        <v>134</v>
      </c>
      <c r="D24" s="141">
        <v>67</v>
      </c>
      <c r="E24" s="138"/>
      <c r="F24" s="139"/>
      <c r="G24" s="93"/>
      <c r="H24" s="93"/>
      <c r="I24" s="93"/>
      <c r="J24" s="93"/>
    </row>
    <row r="25" spans="1:10" ht="15.5">
      <c r="A25" s="93"/>
      <c r="B25" s="98"/>
      <c r="C25" s="99" t="s">
        <v>15</v>
      </c>
      <c r="D25" s="142">
        <v>1.1000000000000001</v>
      </c>
      <c r="E25" s="138"/>
      <c r="F25" s="139"/>
      <c r="G25" s="93"/>
      <c r="H25" s="93"/>
      <c r="I25" s="93"/>
      <c r="J25" s="93"/>
    </row>
    <row r="26" spans="1:10" ht="15.5">
      <c r="A26" s="93"/>
      <c r="B26" s="98"/>
      <c r="C26" s="99"/>
      <c r="D26" s="102"/>
      <c r="E26" s="138"/>
      <c r="F26" s="139"/>
      <c r="G26" s="93"/>
      <c r="H26" s="93"/>
      <c r="I26" s="93"/>
      <c r="J26" s="93"/>
    </row>
    <row r="27" spans="1:10" ht="15.5">
      <c r="A27" s="93"/>
      <c r="B27" s="98"/>
      <c r="C27" s="136" t="s">
        <v>135</v>
      </c>
      <c r="D27" s="137"/>
      <c r="E27" s="138"/>
      <c r="F27" s="139"/>
      <c r="G27" s="93"/>
      <c r="H27" s="93"/>
      <c r="I27" s="93"/>
      <c r="J27" s="93"/>
    </row>
    <row r="28" spans="1:10" ht="15.5">
      <c r="A28" s="93"/>
      <c r="B28" s="98"/>
      <c r="C28" s="99" t="s">
        <v>133</v>
      </c>
      <c r="D28" s="137">
        <v>500000</v>
      </c>
      <c r="E28" s="138"/>
      <c r="F28" s="139"/>
      <c r="G28" s="93"/>
      <c r="H28" s="93"/>
      <c r="I28" s="93"/>
      <c r="J28" s="93"/>
    </row>
    <row r="29" spans="1:10" ht="15.5">
      <c r="A29" s="93"/>
      <c r="B29" s="98"/>
      <c r="C29" s="99" t="s">
        <v>113</v>
      </c>
      <c r="D29" s="140">
        <v>4.2000000000000003E-2</v>
      </c>
      <c r="E29" s="138"/>
      <c r="F29" s="139"/>
      <c r="G29" s="93"/>
      <c r="H29" s="93"/>
      <c r="I29" s="93"/>
      <c r="J29" s="93"/>
    </row>
    <row r="30" spans="1:10" ht="15.5">
      <c r="A30" s="93"/>
      <c r="B30" s="98"/>
      <c r="C30" s="99" t="s">
        <v>134</v>
      </c>
      <c r="D30" s="141">
        <v>83</v>
      </c>
      <c r="E30" s="138"/>
      <c r="F30" s="139"/>
      <c r="G30" s="93"/>
      <c r="H30" s="93"/>
      <c r="I30" s="93"/>
      <c r="J30" s="93"/>
    </row>
    <row r="31" spans="1:10" ht="15.5">
      <c r="A31" s="93"/>
      <c r="B31" s="98"/>
      <c r="C31" s="99" t="s">
        <v>136</v>
      </c>
      <c r="D31" s="141">
        <v>100</v>
      </c>
      <c r="E31" s="138"/>
      <c r="F31" s="139"/>
      <c r="G31" s="93"/>
      <c r="H31" s="93"/>
      <c r="I31" s="93"/>
      <c r="J31" s="93"/>
    </row>
    <row r="32" spans="1:10" ht="15.5">
      <c r="A32" s="93"/>
      <c r="B32" s="98"/>
      <c r="C32" s="99"/>
      <c r="D32" s="143"/>
      <c r="E32" s="138"/>
      <c r="F32" s="139"/>
      <c r="G32" s="93"/>
      <c r="H32" s="93"/>
      <c r="I32" s="93"/>
      <c r="J32" s="93"/>
    </row>
    <row r="33" spans="1:10" ht="15.5">
      <c r="A33" s="93"/>
      <c r="B33" s="98"/>
      <c r="C33" s="136" t="s">
        <v>137</v>
      </c>
      <c r="D33" s="126"/>
      <c r="E33" s="138"/>
      <c r="F33" s="139"/>
      <c r="G33" s="93"/>
      <c r="H33" s="93"/>
      <c r="I33" s="93"/>
      <c r="J33" s="93"/>
    </row>
    <row r="34" spans="1:10" ht="15.5">
      <c r="A34" s="93"/>
      <c r="B34" s="98"/>
      <c r="C34" s="99" t="s">
        <v>101</v>
      </c>
      <c r="D34" s="140">
        <v>7.0000000000000007E-2</v>
      </c>
      <c r="E34" s="138"/>
      <c r="F34" s="139"/>
      <c r="G34" s="93"/>
      <c r="H34" s="93"/>
      <c r="I34" s="93"/>
      <c r="J34" s="93"/>
    </row>
    <row r="35" spans="1:10" ht="15.5">
      <c r="A35" s="93"/>
      <c r="B35" s="98"/>
      <c r="C35" s="99" t="s">
        <v>138</v>
      </c>
      <c r="D35" s="140">
        <v>4.4999999999999998E-2</v>
      </c>
      <c r="E35" s="138"/>
      <c r="F35" s="139"/>
      <c r="G35" s="93"/>
      <c r="H35" s="93"/>
      <c r="I35" s="93"/>
      <c r="J35" s="93"/>
    </row>
    <row r="36" spans="1:10" ht="15.5">
      <c r="A36" s="93"/>
      <c r="B36" s="98"/>
      <c r="C36" s="99"/>
      <c r="D36" s="140"/>
      <c r="E36" s="138"/>
      <c r="F36" s="139"/>
      <c r="G36" s="93"/>
      <c r="H36" s="93"/>
      <c r="I36" s="93"/>
      <c r="J36" s="93"/>
    </row>
    <row r="37" spans="1:10" ht="15.5">
      <c r="A37" s="93"/>
      <c r="B37" s="98"/>
      <c r="C37" s="99" t="s">
        <v>139</v>
      </c>
      <c r="D37" s="140">
        <v>7.0000000000000007E-2</v>
      </c>
      <c r="E37" s="138"/>
      <c r="F37" s="139"/>
      <c r="G37" s="93"/>
      <c r="H37" s="93"/>
      <c r="I37" s="93"/>
      <c r="J37" s="93"/>
    </row>
    <row r="38" spans="1:10" ht="15.5">
      <c r="A38" s="93"/>
      <c r="B38" s="98"/>
      <c r="C38" s="99" t="s">
        <v>140</v>
      </c>
      <c r="D38" s="140">
        <v>0.04</v>
      </c>
      <c r="E38" s="138"/>
      <c r="F38" s="139"/>
      <c r="G38" s="93"/>
      <c r="H38" s="93"/>
      <c r="I38" s="93"/>
      <c r="J38" s="93"/>
    </row>
    <row r="39" spans="1:10" ht="15.5">
      <c r="A39" s="93"/>
      <c r="B39" s="98"/>
      <c r="C39" s="132" t="s">
        <v>141</v>
      </c>
      <c r="D39" s="144">
        <v>0.02</v>
      </c>
      <c r="E39" s="138"/>
      <c r="F39" s="139"/>
      <c r="G39" s="93"/>
      <c r="H39" s="93"/>
      <c r="I39" s="93"/>
      <c r="J39" s="93"/>
    </row>
    <row r="40" spans="1:10" ht="15.5">
      <c r="A40" s="93"/>
      <c r="B40" s="98"/>
      <c r="C40" s="132" t="s">
        <v>115</v>
      </c>
      <c r="D40" s="145">
        <v>0.25</v>
      </c>
      <c r="E40" s="138"/>
      <c r="F40" s="139"/>
      <c r="G40" s="93"/>
      <c r="H40" s="93"/>
      <c r="I40" s="93"/>
      <c r="J40" s="93"/>
    </row>
    <row r="41" spans="1:10" ht="15.5">
      <c r="A41" s="93"/>
      <c r="B41" s="98"/>
      <c r="C41" s="132" t="s">
        <v>142</v>
      </c>
      <c r="D41" s="146">
        <v>1500000</v>
      </c>
      <c r="E41" s="138"/>
      <c r="F41" s="139"/>
      <c r="G41" s="93"/>
      <c r="H41" s="93"/>
      <c r="I41" s="93"/>
      <c r="J41" s="93"/>
    </row>
    <row r="42" spans="1:10" ht="15.5">
      <c r="A42" s="93"/>
      <c r="B42" s="98"/>
      <c r="C42" s="132" t="s">
        <v>143</v>
      </c>
      <c r="D42" s="146"/>
      <c r="E42" s="138"/>
      <c r="F42" s="139"/>
      <c r="G42" s="93"/>
      <c r="H42" s="93"/>
      <c r="I42" s="93"/>
      <c r="J42" s="93"/>
    </row>
    <row r="43" spans="1:10" ht="15.5">
      <c r="A43" s="93"/>
      <c r="B43" s="98"/>
      <c r="C43" s="132" t="s">
        <v>144</v>
      </c>
      <c r="D43" s="146" t="s">
        <v>145</v>
      </c>
      <c r="E43" s="138"/>
      <c r="F43" s="139"/>
      <c r="G43" s="93"/>
      <c r="H43" s="93"/>
      <c r="I43" s="93"/>
      <c r="J43" s="93"/>
    </row>
    <row r="44" spans="1:10" ht="15.5">
      <c r="A44" s="93"/>
      <c r="B44" s="98"/>
      <c r="C44" s="132"/>
      <c r="D44" s="145"/>
      <c r="E44" s="138"/>
      <c r="F44" s="139"/>
      <c r="G44" s="93"/>
      <c r="H44" s="93"/>
      <c r="I44" s="93"/>
      <c r="J44" s="93"/>
    </row>
    <row r="45" spans="1:10" ht="15.5">
      <c r="A45" s="93"/>
      <c r="B45" s="147" t="s">
        <v>146</v>
      </c>
      <c r="C45" s="132" t="s">
        <v>147</v>
      </c>
      <c r="D45" s="145">
        <v>0.02</v>
      </c>
      <c r="E45" s="138"/>
      <c r="F45" s="139"/>
      <c r="G45" s="93"/>
      <c r="H45" s="93"/>
      <c r="I45" s="93"/>
      <c r="J45" s="93"/>
    </row>
    <row r="46" spans="1:10" ht="15.5">
      <c r="A46" s="93"/>
      <c r="B46" s="147" t="s">
        <v>148</v>
      </c>
      <c r="C46" s="132" t="s">
        <v>149</v>
      </c>
      <c r="D46" s="148">
        <v>8</v>
      </c>
      <c r="E46" s="138"/>
      <c r="F46" s="139"/>
      <c r="G46" s="93"/>
      <c r="H46" s="93"/>
      <c r="I46" s="93"/>
      <c r="J46" s="93"/>
    </row>
    <row r="47" spans="1:10" ht="15.5">
      <c r="A47" s="93"/>
      <c r="B47" s="147"/>
      <c r="C47" s="132" t="s">
        <v>150</v>
      </c>
      <c r="D47" s="149">
        <v>5</v>
      </c>
      <c r="E47" s="138"/>
      <c r="F47" s="139"/>
      <c r="G47" s="93"/>
      <c r="H47" s="93"/>
      <c r="I47" s="93"/>
      <c r="J47" s="93"/>
    </row>
    <row r="48" spans="1:10" ht="15.5">
      <c r="A48" s="93"/>
      <c r="B48" s="147"/>
      <c r="C48" s="132" t="s">
        <v>151</v>
      </c>
      <c r="D48" s="133">
        <v>5000000</v>
      </c>
      <c r="E48" s="138"/>
      <c r="F48" s="139"/>
      <c r="G48" s="93"/>
      <c r="H48" s="93"/>
      <c r="I48" s="93"/>
      <c r="J48" s="93"/>
    </row>
    <row r="49" spans="1:10" ht="15.5">
      <c r="A49" s="93"/>
      <c r="B49" s="147" t="s">
        <v>152</v>
      </c>
      <c r="C49" s="132" t="s">
        <v>153</v>
      </c>
      <c r="D49" s="133">
        <v>6900000</v>
      </c>
      <c r="E49" s="138"/>
      <c r="F49" s="139"/>
      <c r="G49" s="93"/>
      <c r="H49" s="93"/>
      <c r="I49" s="93"/>
      <c r="J49" s="93"/>
    </row>
    <row r="50" spans="1:10" ht="15.5">
      <c r="A50" s="93"/>
      <c r="B50" s="147"/>
      <c r="C50" s="132" t="s">
        <v>154</v>
      </c>
      <c r="D50" s="149">
        <v>8500</v>
      </c>
      <c r="E50" s="138"/>
      <c r="F50" s="139"/>
      <c r="G50" s="93"/>
      <c r="H50" s="93"/>
      <c r="I50" s="93"/>
      <c r="J50" s="93"/>
    </row>
    <row r="51" spans="1:10" ht="15.5">
      <c r="A51" s="93"/>
      <c r="B51" s="147"/>
      <c r="C51" s="132" t="s">
        <v>155</v>
      </c>
      <c r="D51" s="133">
        <v>13450</v>
      </c>
      <c r="E51" s="138"/>
      <c r="F51" s="139"/>
      <c r="G51" s="93"/>
      <c r="H51" s="93"/>
      <c r="I51" s="93"/>
      <c r="J51" s="93"/>
    </row>
    <row r="52" spans="1:10" ht="15.5">
      <c r="A52" s="93"/>
      <c r="B52" s="147"/>
      <c r="C52" s="132" t="s">
        <v>156</v>
      </c>
      <c r="D52" s="133">
        <v>10600</v>
      </c>
      <c r="E52" s="138"/>
      <c r="F52" s="139"/>
      <c r="G52" s="93"/>
      <c r="H52" s="93"/>
      <c r="I52" s="93"/>
      <c r="J52" s="93"/>
    </row>
    <row r="53" spans="1:10" ht="16" thickBot="1">
      <c r="A53" s="93"/>
      <c r="B53" s="105"/>
      <c r="C53" s="150"/>
      <c r="D53" s="151"/>
      <c r="E53" s="108"/>
      <c r="F53" s="93"/>
      <c r="G53" s="152"/>
      <c r="H53" s="153"/>
      <c r="I53" s="93"/>
      <c r="J53" s="93"/>
    </row>
    <row r="54" spans="1:10" ht="15.5">
      <c r="A54" s="93"/>
      <c r="B54" s="93"/>
      <c r="E54" s="93"/>
      <c r="F54" s="93"/>
      <c r="G54" s="93"/>
      <c r="H54" s="93"/>
      <c r="I54" s="93"/>
      <c r="J54" s="93"/>
    </row>
    <row r="55" spans="1:10" ht="15.5">
      <c r="A55" s="93"/>
      <c r="B55" s="93"/>
      <c r="C55" s="94" t="s">
        <v>106</v>
      </c>
      <c r="D55" s="93"/>
      <c r="E55" s="93"/>
      <c r="F55" s="93"/>
      <c r="G55" s="93"/>
      <c r="H55" s="93"/>
      <c r="I55" s="93"/>
      <c r="J55" s="93"/>
    </row>
    <row r="56" spans="1:10" ht="16" thickBot="1">
      <c r="A56" s="93"/>
      <c r="B56" s="93"/>
      <c r="C56" s="93"/>
      <c r="D56" s="93"/>
      <c r="E56" s="93"/>
      <c r="F56" s="93"/>
      <c r="G56" s="93"/>
      <c r="H56" s="93"/>
      <c r="I56" s="93"/>
      <c r="J56" s="93"/>
    </row>
    <row r="57" spans="1:10" ht="15.5">
      <c r="A57" s="93"/>
      <c r="B57" s="109"/>
      <c r="C57" s="110"/>
      <c r="D57" s="110"/>
      <c r="E57" s="111"/>
      <c r="F57" s="93"/>
      <c r="G57" s="93"/>
      <c r="H57" s="93"/>
    </row>
    <row r="58" spans="1:10" ht="15.5">
      <c r="A58" s="93"/>
      <c r="B58" s="154"/>
      <c r="C58" s="113" t="s">
        <v>157</v>
      </c>
      <c r="D58" s="155">
        <f>(D19/100)*D13*D20</f>
        <v>204250000</v>
      </c>
      <c r="E58" s="115"/>
      <c r="F58" s="93"/>
      <c r="G58" s="93"/>
      <c r="H58" s="93"/>
    </row>
    <row r="59" spans="1:10" ht="15.5">
      <c r="A59" s="93"/>
      <c r="B59" s="154"/>
      <c r="C59" s="113" t="s">
        <v>158</v>
      </c>
      <c r="D59" s="156">
        <f>D23*D24</f>
        <v>596300000</v>
      </c>
      <c r="E59" s="115"/>
      <c r="F59" s="93"/>
      <c r="G59" s="93"/>
      <c r="H59" s="93"/>
    </row>
    <row r="60" spans="1:10" ht="15.5">
      <c r="A60" s="93"/>
      <c r="B60" s="154"/>
      <c r="C60" s="113" t="s">
        <v>159</v>
      </c>
      <c r="D60" s="157">
        <f>D28*D30</f>
        <v>41500000</v>
      </c>
      <c r="E60" s="115"/>
      <c r="F60" s="93"/>
      <c r="G60" s="93"/>
      <c r="H60" s="93"/>
    </row>
    <row r="61" spans="1:10" ht="15.5">
      <c r="A61" s="93"/>
      <c r="B61" s="154"/>
      <c r="C61" s="113" t="s">
        <v>160</v>
      </c>
      <c r="D61" s="155">
        <f>SUM(D58:D60)</f>
        <v>842050000</v>
      </c>
      <c r="E61" s="115"/>
      <c r="F61" s="93"/>
      <c r="G61" s="93"/>
      <c r="H61" s="93"/>
    </row>
    <row r="62" spans="1:10" ht="15.5">
      <c r="A62" s="93"/>
      <c r="B62" s="154"/>
      <c r="C62" s="113"/>
      <c r="D62" s="155"/>
      <c r="E62" s="115"/>
      <c r="F62" s="93"/>
      <c r="G62" s="93"/>
      <c r="H62" s="93"/>
    </row>
    <row r="63" spans="1:10" ht="15.5">
      <c r="A63" s="93"/>
      <c r="B63" s="154"/>
      <c r="C63" s="113" t="s">
        <v>161</v>
      </c>
      <c r="D63" s="158">
        <f>D58/D61</f>
        <v>0.24256279318330265</v>
      </c>
      <c r="E63" s="115"/>
      <c r="F63" s="93"/>
      <c r="G63" s="93"/>
      <c r="H63" s="93"/>
    </row>
    <row r="64" spans="1:10" ht="15.5">
      <c r="A64" s="93"/>
      <c r="B64" s="154"/>
      <c r="C64" s="113" t="s">
        <v>162</v>
      </c>
      <c r="D64" s="158">
        <f>D59/D61</f>
        <v>0.70815272252241557</v>
      </c>
      <c r="E64" s="115"/>
      <c r="F64" s="93"/>
      <c r="G64" s="93"/>
      <c r="H64" s="93"/>
    </row>
    <row r="65" spans="1:8" ht="15.5">
      <c r="A65" s="93"/>
      <c r="B65" s="154"/>
      <c r="C65" s="113" t="s">
        <v>163</v>
      </c>
      <c r="D65" s="158">
        <f>D60/D61</f>
        <v>4.9284484294281811E-2</v>
      </c>
      <c r="E65" s="115"/>
      <c r="F65" s="93"/>
      <c r="G65" s="93"/>
      <c r="H65" s="93"/>
    </row>
    <row r="66" spans="1:8" ht="15.5">
      <c r="A66" s="93"/>
      <c r="B66" s="154"/>
      <c r="C66" s="113"/>
      <c r="D66" s="158"/>
      <c r="E66" s="115"/>
      <c r="F66" s="93"/>
      <c r="G66" s="93"/>
      <c r="H66" s="93"/>
    </row>
    <row r="67" spans="1:8" ht="15.5">
      <c r="A67" s="93"/>
      <c r="B67" s="154" t="s">
        <v>164</v>
      </c>
      <c r="C67" s="113" t="s">
        <v>165</v>
      </c>
      <c r="D67" s="159">
        <f>D63*D39+D64*D37+D65*D38</f>
        <v>5.6393325812006415E-2</v>
      </c>
      <c r="E67" s="115"/>
      <c r="F67" s="93"/>
      <c r="G67" s="93"/>
      <c r="H67" s="93"/>
    </row>
    <row r="68" spans="1:8" ht="15.5">
      <c r="A68" s="93"/>
      <c r="B68" s="154"/>
      <c r="C68" s="113"/>
      <c r="D68" s="159"/>
      <c r="E68" s="115"/>
      <c r="F68" s="93"/>
      <c r="G68" s="93"/>
      <c r="H68" s="93"/>
    </row>
    <row r="69" spans="1:8" ht="15.5">
      <c r="A69" s="93"/>
      <c r="B69" s="154"/>
      <c r="C69" s="113" t="s">
        <v>166</v>
      </c>
      <c r="D69" s="160">
        <f>-D8</f>
        <v>-4200000</v>
      </c>
      <c r="E69" s="115"/>
      <c r="F69" s="93"/>
      <c r="G69" s="93"/>
      <c r="H69" s="93"/>
    </row>
    <row r="70" spans="1:8" ht="15.5">
      <c r="A70" s="93"/>
      <c r="B70" s="154"/>
      <c r="C70" s="113" t="s">
        <v>167</v>
      </c>
      <c r="D70" s="161">
        <f>-D10/(1-D67)</f>
        <v>-40271016.557508267</v>
      </c>
      <c r="E70" s="115"/>
      <c r="F70" s="93"/>
      <c r="G70" s="93"/>
      <c r="H70" s="93"/>
    </row>
    <row r="71" spans="1:8" ht="15.5">
      <c r="A71" s="93"/>
      <c r="B71" s="154"/>
      <c r="C71" s="113" t="s">
        <v>142</v>
      </c>
      <c r="D71" s="161">
        <f>IF(D43="No",-D41,-D41/(1-D67))</f>
        <v>-1589645.390427958</v>
      </c>
      <c r="E71" s="115"/>
      <c r="F71" s="93"/>
      <c r="G71" s="93"/>
      <c r="H71" s="93"/>
    </row>
    <row r="72" spans="1:8" ht="15.5">
      <c r="A72" s="93"/>
      <c r="B72" s="154"/>
      <c r="C72" s="113"/>
      <c r="D72" s="162">
        <f>D69+D70+D71</f>
        <v>-46060661.947936222</v>
      </c>
      <c r="E72" s="115"/>
      <c r="F72" s="93"/>
      <c r="G72" s="93"/>
      <c r="H72" s="93"/>
    </row>
    <row r="73" spans="1:8" ht="15.5">
      <c r="A73" s="93"/>
      <c r="B73" s="154"/>
      <c r="C73" s="113"/>
      <c r="D73" s="163"/>
      <c r="E73" s="115"/>
      <c r="F73" s="93"/>
      <c r="G73" s="93"/>
      <c r="H73" s="93"/>
    </row>
    <row r="74" spans="1:8" ht="15.5">
      <c r="A74" s="93"/>
      <c r="B74" s="154" t="s">
        <v>146</v>
      </c>
      <c r="C74" s="113" t="s">
        <v>168</v>
      </c>
      <c r="D74" s="164">
        <f>YIELD(D14,D15,D16,D19,D18,D17)</f>
        <v>5.4693024338342951E-2</v>
      </c>
      <c r="E74" s="115"/>
      <c r="F74" s="93"/>
      <c r="G74" s="165"/>
      <c r="H74" s="166"/>
    </row>
    <row r="75" spans="1:8" ht="15.5">
      <c r="A75" s="93"/>
      <c r="B75" s="154"/>
      <c r="C75" s="113" t="s">
        <v>117</v>
      </c>
      <c r="D75" s="164">
        <f>D74*(1-D40)</f>
        <v>4.1019768253757215E-2</v>
      </c>
      <c r="E75" s="115"/>
      <c r="F75" s="93"/>
      <c r="G75" s="167"/>
      <c r="H75" s="93"/>
    </row>
    <row r="76" spans="1:8" ht="15.5">
      <c r="A76" s="93"/>
      <c r="B76" s="154"/>
      <c r="C76" s="113" t="s">
        <v>169</v>
      </c>
      <c r="D76" s="164">
        <f>D35+(D25*D34)</f>
        <v>0.12200000000000001</v>
      </c>
      <c r="E76" s="115"/>
      <c r="F76" s="93"/>
      <c r="G76" s="93"/>
      <c r="H76" s="93"/>
    </row>
    <row r="77" spans="1:8" ht="15.5">
      <c r="A77" s="93"/>
      <c r="B77" s="154"/>
      <c r="C77" s="113" t="s">
        <v>170</v>
      </c>
      <c r="D77" s="164">
        <f>(D29*D31)/D30</f>
        <v>5.0602409638554217E-2</v>
      </c>
      <c r="E77" s="115"/>
      <c r="F77" s="93"/>
      <c r="G77" s="93"/>
      <c r="H77" s="93"/>
    </row>
    <row r="78" spans="1:8" ht="15.5">
      <c r="A78" s="93"/>
      <c r="B78" s="154"/>
      <c r="C78" s="113" t="s">
        <v>40</v>
      </c>
      <c r="D78" s="164">
        <f>((D58/D61)*D75)+((D59/D61)*D76)+((D60/D61)*D77)</f>
        <v>9.8838415374181976E-2</v>
      </c>
      <c r="E78" s="115"/>
      <c r="F78" s="93"/>
      <c r="G78" s="93"/>
      <c r="H78" s="93"/>
    </row>
    <row r="79" spans="1:8" ht="15.5">
      <c r="A79" s="93"/>
      <c r="B79" s="154"/>
      <c r="C79" s="113"/>
      <c r="D79" s="168"/>
      <c r="E79" s="115"/>
      <c r="F79" s="93"/>
      <c r="G79" s="93"/>
      <c r="H79" s="93"/>
    </row>
    <row r="80" spans="1:8" ht="15.5">
      <c r="A80" s="93"/>
      <c r="B80" s="154"/>
      <c r="C80" s="113" t="s">
        <v>171</v>
      </c>
      <c r="D80" s="122">
        <f>D78+D45</f>
        <v>0.11883841537418198</v>
      </c>
      <c r="E80" s="115"/>
      <c r="F80" s="93"/>
      <c r="G80" s="93"/>
      <c r="H80" s="93"/>
    </row>
    <row r="81" spans="1:8" ht="15.5">
      <c r="A81" s="93"/>
      <c r="B81" s="154"/>
      <c r="C81" s="113"/>
      <c r="D81" s="169"/>
      <c r="E81" s="115"/>
      <c r="F81" s="93"/>
      <c r="G81" s="93"/>
      <c r="H81" s="93"/>
    </row>
    <row r="82" spans="1:8" ht="15.5">
      <c r="A82" s="93"/>
      <c r="B82" s="154" t="s">
        <v>148</v>
      </c>
      <c r="C82" s="113" t="s">
        <v>172</v>
      </c>
      <c r="D82" s="170">
        <f>(((D46-D47)/D46)*D10)</f>
        <v>14250000</v>
      </c>
      <c r="E82" s="115"/>
      <c r="F82" s="93"/>
      <c r="G82" s="93"/>
      <c r="H82" s="93"/>
    </row>
    <row r="83" spans="1:8" ht="15.5">
      <c r="A83" s="93"/>
      <c r="B83" s="154"/>
      <c r="C83" s="113" t="s">
        <v>173</v>
      </c>
      <c r="D83" s="171">
        <f>D48+(D40*(D82-D48))</f>
        <v>7312500</v>
      </c>
      <c r="E83" s="115"/>
      <c r="F83" s="93"/>
      <c r="G83" s="93"/>
      <c r="H83" s="93"/>
    </row>
    <row r="84" spans="1:8" ht="15.5">
      <c r="A84" s="93"/>
      <c r="B84" s="154"/>
      <c r="C84" s="113"/>
      <c r="D84" s="172"/>
      <c r="E84" s="115"/>
      <c r="F84" s="93"/>
      <c r="G84" s="93"/>
      <c r="H84" s="93"/>
    </row>
    <row r="85" spans="1:8" ht="15.5">
      <c r="A85" s="93"/>
      <c r="B85" s="154" t="s">
        <v>152</v>
      </c>
      <c r="C85" s="113" t="s">
        <v>174</v>
      </c>
      <c r="D85" s="173">
        <f>D50*D51</f>
        <v>114325000</v>
      </c>
      <c r="E85" s="115"/>
      <c r="F85" s="93"/>
      <c r="G85" s="93"/>
      <c r="H85" s="93"/>
    </row>
    <row r="86" spans="1:8" ht="15.5">
      <c r="A86" s="93"/>
      <c r="B86" s="154"/>
      <c r="C86" s="113" t="s">
        <v>175</v>
      </c>
      <c r="D86" s="174">
        <f>D50*D52</f>
        <v>90100000</v>
      </c>
      <c r="E86" s="115"/>
      <c r="F86" s="93"/>
      <c r="G86" s="93"/>
      <c r="H86" s="93"/>
    </row>
    <row r="87" spans="1:8" ht="15.5">
      <c r="A87" s="93"/>
      <c r="B87" s="154"/>
      <c r="C87" s="113" t="s">
        <v>176</v>
      </c>
      <c r="D87" s="174">
        <f>D49</f>
        <v>6900000</v>
      </c>
      <c r="E87" s="115"/>
      <c r="F87" s="93"/>
      <c r="G87" s="93"/>
      <c r="H87" s="93"/>
    </row>
    <row r="88" spans="1:8" ht="15.5">
      <c r="A88" s="93"/>
      <c r="B88" s="154"/>
      <c r="C88" s="113" t="s">
        <v>177</v>
      </c>
      <c r="D88" s="175">
        <f>D10/D46</f>
        <v>4750000</v>
      </c>
      <c r="E88" s="115"/>
      <c r="F88" s="93"/>
      <c r="G88" s="93"/>
      <c r="H88" s="93"/>
    </row>
    <row r="89" spans="1:8" ht="15.5">
      <c r="A89" s="93"/>
      <c r="B89" s="154"/>
      <c r="C89" s="113" t="s">
        <v>178</v>
      </c>
      <c r="D89" s="173">
        <f>D85-D86-D87-D88</f>
        <v>12575000</v>
      </c>
      <c r="E89" s="115"/>
      <c r="F89" s="93"/>
      <c r="G89" s="93"/>
      <c r="H89" s="93"/>
    </row>
    <row r="90" spans="1:8" ht="15.5">
      <c r="A90" s="93"/>
      <c r="B90" s="154"/>
      <c r="C90" s="113" t="s">
        <v>179</v>
      </c>
      <c r="D90" s="175">
        <f>D89*D40</f>
        <v>3143750</v>
      </c>
      <c r="E90" s="115"/>
      <c r="F90" s="93"/>
      <c r="G90" s="93"/>
      <c r="H90" s="93"/>
    </row>
    <row r="91" spans="1:8" ht="15.5">
      <c r="A91" s="93"/>
      <c r="B91" s="154"/>
      <c r="C91" s="113" t="s">
        <v>180</v>
      </c>
      <c r="D91" s="173">
        <f>D89-D90</f>
        <v>9431250</v>
      </c>
      <c r="E91" s="115"/>
      <c r="F91" s="93"/>
      <c r="G91" s="93"/>
      <c r="H91" s="93"/>
    </row>
    <row r="92" spans="1:8" ht="15.5">
      <c r="A92" s="93"/>
      <c r="B92" s="154"/>
      <c r="C92" s="113" t="s">
        <v>177</v>
      </c>
      <c r="D92" s="174">
        <f>D88</f>
        <v>4750000</v>
      </c>
      <c r="E92" s="115"/>
      <c r="F92" s="93"/>
      <c r="G92" s="93"/>
      <c r="H92" s="93"/>
    </row>
    <row r="93" spans="1:8" ht="15.5">
      <c r="A93" s="93"/>
      <c r="B93" s="154"/>
      <c r="C93" s="113" t="s">
        <v>181</v>
      </c>
      <c r="D93" s="171">
        <f>D91+D92</f>
        <v>14181250</v>
      </c>
      <c r="E93" s="115"/>
      <c r="F93" s="93"/>
      <c r="G93" s="93"/>
      <c r="H93" s="93"/>
    </row>
    <row r="94" spans="1:8" ht="15.5">
      <c r="A94" s="93"/>
      <c r="B94" s="154"/>
      <c r="C94" s="113"/>
      <c r="D94" s="172"/>
      <c r="E94" s="115"/>
      <c r="F94" s="93"/>
      <c r="G94" s="93"/>
      <c r="H94" s="93"/>
    </row>
    <row r="95" spans="1:8" ht="15.5">
      <c r="A95" s="93"/>
      <c r="B95" s="154" t="s">
        <v>182</v>
      </c>
      <c r="C95" s="113" t="s">
        <v>183</v>
      </c>
      <c r="D95" s="176">
        <f>(D49+(D10/D46))/(D51-D52)</f>
        <v>4087.719298245614</v>
      </c>
      <c r="E95" s="115"/>
      <c r="F95" s="93"/>
      <c r="G95" s="93"/>
      <c r="H95" s="93"/>
    </row>
    <row r="96" spans="1:8" ht="15.5">
      <c r="A96" s="93"/>
      <c r="B96" s="154"/>
      <c r="C96" s="113"/>
      <c r="D96" s="177"/>
      <c r="E96" s="115"/>
      <c r="F96" s="93"/>
      <c r="G96" s="93"/>
      <c r="H96" s="93"/>
    </row>
    <row r="97" spans="1:10" ht="15.5">
      <c r="A97" s="93"/>
      <c r="B97" s="154" t="s">
        <v>184</v>
      </c>
      <c r="C97" s="178" t="s">
        <v>185</v>
      </c>
      <c r="D97" s="179" t="s">
        <v>186</v>
      </c>
      <c r="E97" s="115"/>
      <c r="F97" s="93"/>
      <c r="G97" s="93"/>
      <c r="H97" s="93"/>
    </row>
    <row r="98" spans="1:10" ht="15.5">
      <c r="A98" s="93"/>
      <c r="B98" s="154"/>
      <c r="C98" s="180">
        <v>0</v>
      </c>
      <c r="D98" s="181">
        <f>D72</f>
        <v>-46060661.947936222</v>
      </c>
      <c r="E98" s="115"/>
      <c r="F98" s="93"/>
      <c r="G98" s="93"/>
      <c r="H98" s="93"/>
    </row>
    <row r="99" spans="1:10" ht="15.5">
      <c r="A99" s="93"/>
      <c r="B99" s="154"/>
      <c r="C99" s="180">
        <v>1</v>
      </c>
      <c r="D99" s="181">
        <f>D93</f>
        <v>14181250</v>
      </c>
      <c r="E99" s="115"/>
      <c r="F99" s="93"/>
      <c r="G99" s="93"/>
      <c r="H99" s="93"/>
    </row>
    <row r="100" spans="1:10" ht="15.5">
      <c r="A100" s="93"/>
      <c r="B100" s="154"/>
      <c r="C100" s="180">
        <v>2</v>
      </c>
      <c r="D100" s="181">
        <f>D93</f>
        <v>14181250</v>
      </c>
      <c r="E100" s="115"/>
      <c r="F100" s="93"/>
      <c r="G100" s="93"/>
      <c r="H100" s="93"/>
    </row>
    <row r="101" spans="1:10" ht="15.5">
      <c r="A101" s="93"/>
      <c r="B101" s="154"/>
      <c r="C101" s="180">
        <v>3</v>
      </c>
      <c r="D101" s="181">
        <f>D93</f>
        <v>14181250</v>
      </c>
      <c r="E101" s="115"/>
      <c r="F101" s="93"/>
      <c r="G101" s="93"/>
      <c r="H101" s="93"/>
    </row>
    <row r="102" spans="1:10" ht="15.5">
      <c r="A102" s="93"/>
      <c r="B102" s="154"/>
      <c r="C102" s="180">
        <v>4</v>
      </c>
      <c r="D102" s="181">
        <f>D93</f>
        <v>14181250</v>
      </c>
      <c r="E102" s="115"/>
      <c r="F102" s="93"/>
      <c r="G102" s="93"/>
      <c r="H102" s="93"/>
    </row>
    <row r="103" spans="1:10" ht="15.5">
      <c r="A103" s="93"/>
      <c r="B103" s="154"/>
      <c r="C103" s="180">
        <v>5</v>
      </c>
      <c r="D103" s="181">
        <f>D93+D83+D41+D9</f>
        <v>27493750</v>
      </c>
      <c r="E103" s="115"/>
      <c r="F103" s="93"/>
      <c r="G103" s="93"/>
      <c r="H103" s="93"/>
    </row>
    <row r="104" spans="1:10" ht="15.5">
      <c r="A104" s="93"/>
      <c r="B104" s="154"/>
      <c r="C104" s="113"/>
      <c r="D104" s="172"/>
      <c r="E104" s="115"/>
      <c r="F104" s="93"/>
      <c r="G104" s="93"/>
      <c r="H104" s="93"/>
    </row>
    <row r="105" spans="1:10" ht="15.5">
      <c r="A105" s="93"/>
      <c r="B105" s="154"/>
      <c r="C105" s="113" t="s">
        <v>187</v>
      </c>
      <c r="D105" s="182">
        <f>IRR(D98:D103)</f>
        <v>0.21513975068779967</v>
      </c>
      <c r="E105" s="115"/>
      <c r="F105" s="93"/>
      <c r="G105" s="93"/>
      <c r="H105" s="93"/>
    </row>
    <row r="106" spans="1:10" ht="15.5">
      <c r="A106" s="93"/>
      <c r="B106" s="154"/>
      <c r="C106" s="113" t="s">
        <v>188</v>
      </c>
      <c r="D106" s="183">
        <f>NPV(D80,D99:D103)+D98</f>
        <v>12800181.401543073</v>
      </c>
      <c r="E106" s="115"/>
      <c r="F106" s="93"/>
      <c r="G106" s="93"/>
      <c r="H106" s="93"/>
    </row>
    <row r="107" spans="1:10" ht="16" thickBot="1">
      <c r="A107" s="93"/>
      <c r="B107" s="184"/>
      <c r="C107" s="119"/>
      <c r="D107" s="185"/>
      <c r="E107" s="120"/>
      <c r="F107" s="93"/>
      <c r="G107" s="93"/>
      <c r="H107" s="93"/>
    </row>
    <row r="108" spans="1:10" ht="15.5">
      <c r="A108" s="93"/>
      <c r="B108" s="93"/>
      <c r="C108" s="93"/>
      <c r="D108" s="93"/>
      <c r="E108" s="93"/>
      <c r="F108" s="93"/>
      <c r="G108" s="93"/>
      <c r="H108" s="93"/>
      <c r="I108" s="93"/>
      <c r="J108" s="93"/>
    </row>
    <row r="109" spans="1:10" ht="15.5">
      <c r="A109" s="93"/>
      <c r="B109" s="93"/>
      <c r="C109" s="93"/>
      <c r="D109" s="93"/>
      <c r="E109" s="93"/>
      <c r="F109" s="93"/>
      <c r="G109" s="93"/>
      <c r="H109" s="93"/>
      <c r="I109" s="93"/>
      <c r="J109" s="93"/>
    </row>
    <row r="110" spans="1:10" ht="15.5">
      <c r="A110" s="93"/>
      <c r="B110" s="93"/>
      <c r="C110" s="186"/>
      <c r="D110" s="187"/>
      <c r="H110" s="93"/>
      <c r="I110" s="93"/>
      <c r="J110" s="93"/>
    </row>
    <row r="111" spans="1:10" ht="15.5">
      <c r="A111" s="93"/>
      <c r="B111" s="93"/>
      <c r="C111" s="187"/>
      <c r="H111" s="93"/>
      <c r="I111" s="93"/>
      <c r="J111" s="93"/>
    </row>
    <row r="112" spans="1:10" ht="15.5">
      <c r="A112" s="93"/>
      <c r="B112" s="93"/>
      <c r="D112" s="187"/>
      <c r="H112" s="93"/>
      <c r="I112" s="93"/>
      <c r="J112" s="93"/>
    </row>
    <row r="113" spans="1:10" ht="15.5">
      <c r="A113" s="93"/>
      <c r="B113" s="93"/>
      <c r="D113" s="187"/>
      <c r="H113" s="93"/>
      <c r="I113" s="93"/>
      <c r="J113" s="93"/>
    </row>
    <row r="114" spans="1:10" ht="15.5">
      <c r="A114" s="93"/>
      <c r="B114" s="93"/>
      <c r="D114" s="187"/>
      <c r="H114" s="93"/>
      <c r="I114" s="93"/>
      <c r="J114" s="93"/>
    </row>
    <row r="115" spans="1:10" ht="15.5">
      <c r="A115" s="93"/>
      <c r="B115" s="93"/>
      <c r="C115" s="187"/>
      <c r="H115" s="93"/>
      <c r="I115" s="93"/>
      <c r="J115" s="93"/>
    </row>
    <row r="116" spans="1:10" ht="15.5">
      <c r="A116" s="93"/>
      <c r="B116" s="93"/>
      <c r="D116" s="187"/>
      <c r="H116" s="93"/>
      <c r="I116" s="93"/>
      <c r="J116" s="93"/>
    </row>
    <row r="117" spans="1:10" ht="15.5">
      <c r="A117" s="93"/>
      <c r="B117" s="93"/>
      <c r="D117" s="188"/>
      <c r="H117" s="93"/>
      <c r="I117" s="93"/>
      <c r="J117" s="93"/>
    </row>
    <row r="118" spans="1:10" ht="15.5">
      <c r="A118" s="93"/>
      <c r="B118" s="93"/>
      <c r="D118" s="188"/>
      <c r="H118" s="93"/>
      <c r="I118" s="93"/>
      <c r="J118" s="93"/>
    </row>
    <row r="119" spans="1:10" ht="15.5">
      <c r="A119" s="93"/>
      <c r="B119" s="93"/>
      <c r="C119" s="187"/>
      <c r="H119" s="93"/>
      <c r="I119" s="93"/>
      <c r="J119" s="93"/>
    </row>
    <row r="120" spans="1:10" ht="15.5">
      <c r="A120" s="93"/>
      <c r="B120" s="93"/>
      <c r="D120" s="187"/>
      <c r="H120" s="93"/>
      <c r="I120" s="93"/>
      <c r="J120" s="93"/>
    </row>
    <row r="121" spans="1:10" ht="15.5">
      <c r="A121" s="93"/>
      <c r="B121" s="93"/>
      <c r="C121" s="187"/>
      <c r="H121" s="93"/>
      <c r="I121" s="93"/>
      <c r="J121" s="93"/>
    </row>
    <row r="122" spans="1:10" ht="15.5">
      <c r="A122" s="93"/>
      <c r="B122" s="93"/>
      <c r="D122" s="188"/>
      <c r="H122" s="93"/>
      <c r="I122" s="93"/>
      <c r="J122" s="93"/>
    </row>
    <row r="123" spans="1:10" ht="15.5">
      <c r="A123" s="93"/>
      <c r="B123" s="93"/>
      <c r="D123" s="188"/>
      <c r="H123" s="93"/>
      <c r="I123" s="93"/>
      <c r="J123" s="93"/>
    </row>
    <row r="124" spans="1:10" ht="15.5">
      <c r="A124" s="93"/>
      <c r="B124" s="93"/>
      <c r="C124" s="187"/>
      <c r="H124" s="93"/>
      <c r="I124" s="93"/>
      <c r="J124" s="93"/>
    </row>
    <row r="125" spans="1:10" ht="15.5">
      <c r="A125" s="93"/>
      <c r="B125" s="93"/>
      <c r="D125" s="187"/>
      <c r="H125" s="93"/>
      <c r="I125" s="93"/>
      <c r="J125" s="93"/>
    </row>
    <row r="126" spans="1:10" ht="15.5">
      <c r="A126" s="93"/>
      <c r="B126" s="93"/>
      <c r="C126" s="187"/>
      <c r="H126" s="93"/>
      <c r="I126" s="93"/>
      <c r="J126" s="93"/>
    </row>
    <row r="127" spans="1:10" ht="15.5">
      <c r="A127" s="93"/>
      <c r="B127" s="93"/>
      <c r="D127" s="188"/>
      <c r="H127" s="93"/>
      <c r="I127" s="93"/>
      <c r="J127" s="93"/>
    </row>
    <row r="128" spans="1:10" ht="15.5">
      <c r="A128" s="93"/>
      <c r="B128" s="93"/>
      <c r="D128" s="188"/>
      <c r="H128" s="93"/>
      <c r="I128" s="93"/>
      <c r="J128" s="93"/>
    </row>
    <row r="129" spans="1:10" ht="15.5">
      <c r="A129" s="93"/>
      <c r="B129" s="93"/>
      <c r="C129" s="187"/>
      <c r="H129" s="93"/>
      <c r="I129" s="93"/>
      <c r="J129" s="93"/>
    </row>
    <row r="130" spans="1:10" ht="15.5">
      <c r="A130" s="93"/>
      <c r="B130" s="93"/>
      <c r="D130" s="187"/>
      <c r="H130" s="93"/>
      <c r="I130" s="93"/>
      <c r="J130" s="93"/>
    </row>
    <row r="131" spans="1:10" ht="15.5">
      <c r="A131" s="93"/>
      <c r="B131" s="93"/>
      <c r="D131" s="187"/>
      <c r="H131" s="93"/>
      <c r="I131" s="93"/>
      <c r="J131" s="93"/>
    </row>
    <row r="132" spans="1:10" ht="15.5">
      <c r="A132" s="93"/>
      <c r="B132" s="93"/>
      <c r="H132" s="93"/>
      <c r="I132" s="93"/>
      <c r="J132" s="93"/>
    </row>
    <row r="133" spans="1:10" ht="15.5">
      <c r="A133" s="93"/>
      <c r="B133" s="93"/>
      <c r="C133" s="187"/>
      <c r="H133" s="93"/>
      <c r="I133" s="93"/>
      <c r="J133" s="93"/>
    </row>
    <row r="134" spans="1:10" ht="15.5">
      <c r="A134" s="93"/>
      <c r="B134" s="93"/>
      <c r="D134" s="187"/>
      <c r="H134" s="93"/>
      <c r="I134" s="93"/>
      <c r="J134" s="93"/>
    </row>
    <row r="135" spans="1:10" ht="15.5">
      <c r="A135" s="93"/>
      <c r="B135" s="93"/>
      <c r="C135" s="187"/>
      <c r="H135" s="93"/>
      <c r="I135" s="93"/>
      <c r="J135" s="93"/>
    </row>
    <row r="136" spans="1:10" ht="15.5">
      <c r="A136" s="93"/>
      <c r="B136" s="93"/>
      <c r="D136" s="188"/>
      <c r="H136" s="93"/>
      <c r="I136" s="93"/>
      <c r="J136" s="93"/>
    </row>
    <row r="137" spans="1:10" ht="15.5">
      <c r="A137" s="93"/>
      <c r="B137" s="93"/>
      <c r="D137" s="188"/>
      <c r="H137" s="93"/>
      <c r="I137" s="93"/>
      <c r="J137" s="93"/>
    </row>
    <row r="138" spans="1:10" ht="15.5">
      <c r="A138" s="93"/>
      <c r="B138" s="93"/>
      <c r="C138" s="187"/>
      <c r="H138" s="93"/>
      <c r="I138" s="93"/>
      <c r="J138" s="93"/>
    </row>
    <row r="139" spans="1:10" ht="15.5">
      <c r="A139" s="93"/>
      <c r="B139" s="93"/>
      <c r="D139" s="187"/>
      <c r="H139" s="93"/>
      <c r="I139" s="93"/>
      <c r="J139" s="93"/>
    </row>
    <row r="140" spans="1:10" ht="15.5">
      <c r="A140" s="93"/>
      <c r="B140" s="93"/>
      <c r="C140" s="187"/>
      <c r="H140" s="93"/>
      <c r="I140" s="93"/>
      <c r="J140" s="93"/>
    </row>
    <row r="141" spans="1:10" ht="15.5">
      <c r="A141" s="93"/>
      <c r="B141" s="93"/>
      <c r="D141" s="188"/>
      <c r="H141" s="93"/>
      <c r="I141" s="93"/>
      <c r="J141" s="93"/>
    </row>
    <row r="142" spans="1:10" ht="15.5">
      <c r="A142" s="93"/>
      <c r="B142" s="93"/>
      <c r="D142" s="188"/>
      <c r="H142" s="93"/>
      <c r="I142" s="93"/>
      <c r="J142" s="93"/>
    </row>
    <row r="143" spans="1:10" ht="15.5">
      <c r="A143" s="93"/>
      <c r="B143" s="93"/>
      <c r="C143" s="187"/>
      <c r="H143" s="93"/>
      <c r="I143" s="93"/>
      <c r="J143" s="93"/>
    </row>
    <row r="144" spans="1:10" ht="15.5">
      <c r="A144" s="93"/>
      <c r="B144" s="93"/>
      <c r="D144" s="188"/>
      <c r="E144" s="187"/>
      <c r="H144" s="93"/>
      <c r="I144" s="93"/>
      <c r="J144" s="93"/>
    </row>
    <row r="145" spans="1:10" ht="15.5">
      <c r="A145" s="93"/>
      <c r="B145" s="93"/>
      <c r="C145" s="187"/>
      <c r="H145" s="93"/>
      <c r="I145" s="93"/>
      <c r="J145" s="93"/>
    </row>
    <row r="146" spans="1:10" ht="15.5">
      <c r="A146" s="93"/>
      <c r="B146" s="93"/>
      <c r="E146" s="188"/>
      <c r="H146" s="93"/>
      <c r="I146" s="93"/>
      <c r="J146" s="93"/>
    </row>
    <row r="147" spans="1:10" ht="15.5">
      <c r="A147" s="93"/>
      <c r="B147" s="93"/>
      <c r="E147" s="188"/>
      <c r="H147" s="93"/>
      <c r="I147" s="93"/>
      <c r="J147" s="93"/>
    </row>
    <row r="148" spans="1:10" ht="15.5">
      <c r="A148" s="93"/>
      <c r="B148" s="93"/>
      <c r="C148" s="187"/>
      <c r="H148" s="93"/>
      <c r="I148" s="93"/>
      <c r="J148" s="93"/>
    </row>
    <row r="149" spans="1:10" ht="15.5">
      <c r="A149" s="93"/>
      <c r="B149" s="93"/>
      <c r="E149" s="187"/>
      <c r="H149" s="93"/>
      <c r="I149" s="93"/>
      <c r="J149" s="93"/>
    </row>
    <row r="150" spans="1:10" ht="15.5">
      <c r="A150" s="93"/>
      <c r="B150" s="93"/>
      <c r="C150" s="187"/>
      <c r="H150" s="93"/>
      <c r="I150" s="93"/>
      <c r="J150" s="93"/>
    </row>
    <row r="151" spans="1:10" ht="15.5">
      <c r="A151" s="93"/>
      <c r="B151" s="93"/>
      <c r="E151" s="187"/>
      <c r="H151" s="93"/>
      <c r="I151" s="93"/>
      <c r="J151" s="93"/>
    </row>
    <row r="152" spans="1:10" ht="15.5">
      <c r="A152" s="93"/>
      <c r="B152" s="93"/>
      <c r="E152" s="187"/>
      <c r="H152" s="93"/>
      <c r="I152" s="93"/>
      <c r="J152" s="93"/>
    </row>
    <row r="153" spans="1:10" ht="15.5">
      <c r="A153" s="93"/>
      <c r="B153" s="93"/>
      <c r="E153" s="187"/>
      <c r="H153" s="93"/>
      <c r="I153" s="93"/>
      <c r="J153" s="93"/>
    </row>
    <row r="154" spans="1:10" ht="15.5">
      <c r="A154" s="93"/>
      <c r="B154" s="93"/>
      <c r="C154" s="187"/>
      <c r="H154" s="93"/>
      <c r="I154" s="93"/>
      <c r="J154" s="93"/>
    </row>
    <row r="155" spans="1:10" ht="15.5">
      <c r="A155" s="93"/>
      <c r="B155" s="93"/>
      <c r="E155" s="187"/>
      <c r="H155" s="93"/>
      <c r="I155" s="93"/>
      <c r="J155" s="93"/>
    </row>
    <row r="156" spans="1:10" ht="15.5">
      <c r="A156" s="93"/>
      <c r="B156" s="93"/>
      <c r="C156" s="187"/>
      <c r="H156" s="93"/>
      <c r="I156" s="93"/>
      <c r="J156" s="93"/>
    </row>
    <row r="157" spans="1:10" ht="15.5">
      <c r="A157" s="93"/>
      <c r="B157" s="93"/>
      <c r="E157" s="187"/>
      <c r="H157" s="93"/>
      <c r="I157" s="93"/>
      <c r="J157" s="93"/>
    </row>
    <row r="158" spans="1:10" ht="15.5">
      <c r="A158" s="93"/>
      <c r="B158" s="93"/>
      <c r="E158" s="187"/>
      <c r="H158" s="93"/>
      <c r="I158" s="93"/>
      <c r="J158" s="93"/>
    </row>
    <row r="159" spans="1:10" ht="15.5">
      <c r="A159" s="93"/>
      <c r="B159" s="93"/>
      <c r="E159" s="187"/>
      <c r="H159" s="93"/>
      <c r="I159" s="93"/>
      <c r="J159" s="93"/>
    </row>
    <row r="160" spans="1:10" ht="15.5">
      <c r="A160" s="93"/>
      <c r="B160" s="93"/>
      <c r="E160" s="187"/>
      <c r="H160" s="93"/>
      <c r="I160" s="93"/>
      <c r="J160" s="93"/>
    </row>
    <row r="161" spans="3:5">
      <c r="C161" s="187"/>
    </row>
    <row r="162" spans="3:5">
      <c r="E162" s="187"/>
    </row>
    <row r="163" spans="3:5">
      <c r="C163" s="187"/>
    </row>
    <row r="164" spans="3:5">
      <c r="E164" s="187"/>
    </row>
    <row r="165" spans="3:5">
      <c r="C165" s="187"/>
    </row>
    <row r="166" spans="3:5">
      <c r="E166" s="187"/>
    </row>
    <row r="167" spans="3:5">
      <c r="E167" s="187"/>
    </row>
    <row r="168" spans="3:5">
      <c r="C168" s="187"/>
    </row>
    <row r="169" spans="3:5">
      <c r="D169" s="188"/>
      <c r="E169" s="187"/>
    </row>
    <row r="170" spans="3:5">
      <c r="C170" s="187"/>
    </row>
    <row r="171" spans="3:5">
      <c r="E171" s="189"/>
    </row>
    <row r="172" spans="3:5">
      <c r="E172" s="189"/>
    </row>
    <row r="173" spans="3:5">
      <c r="C173" s="187"/>
    </row>
    <row r="175" spans="3:5">
      <c r="C175" s="187"/>
    </row>
    <row r="176" spans="3:5">
      <c r="E176" s="187"/>
    </row>
    <row r="177" spans="3:5">
      <c r="C177" s="187"/>
    </row>
    <row r="178" spans="3:5">
      <c r="E178" s="187"/>
    </row>
    <row r="179" spans="3:5">
      <c r="E179" s="187"/>
    </row>
    <row r="180" spans="3:5">
      <c r="C180" s="187"/>
    </row>
    <row r="181" spans="3:5">
      <c r="D181" s="188"/>
      <c r="E181" s="187"/>
    </row>
    <row r="182" spans="3:5">
      <c r="C182" s="187"/>
    </row>
    <row r="183" spans="3:5">
      <c r="E183" s="187"/>
    </row>
    <row r="184" spans="3:5">
      <c r="C184" s="187"/>
    </row>
    <row r="185" spans="3:5">
      <c r="E185" s="187"/>
    </row>
    <row r="186" spans="3:5">
      <c r="C186" s="187"/>
    </row>
    <row r="187" spans="3:5">
      <c r="E187" s="187"/>
    </row>
    <row r="188" spans="3:5">
      <c r="E188" s="187"/>
    </row>
    <row r="189" spans="3:5">
      <c r="C189" s="187"/>
    </row>
    <row r="190" spans="3:5">
      <c r="E190" s="187"/>
    </row>
    <row r="191" spans="3:5">
      <c r="E191" s="189"/>
    </row>
    <row r="192" spans="3:5">
      <c r="E192" s="189"/>
    </row>
    <row r="193" spans="3:7">
      <c r="C193" s="187"/>
    </row>
    <row r="194" spans="3:7">
      <c r="D194" s="188"/>
      <c r="E194" s="187"/>
    </row>
    <row r="195" spans="3:7">
      <c r="E195" s="187"/>
    </row>
    <row r="196" spans="3:7">
      <c r="E196" s="189"/>
    </row>
    <row r="197" spans="3:7">
      <c r="E197" s="189"/>
    </row>
    <row r="198" spans="3:7">
      <c r="C198" s="188"/>
    </row>
    <row r="199" spans="3:7">
      <c r="C199" s="188"/>
      <c r="D199" s="187"/>
    </row>
    <row r="200" spans="3:7">
      <c r="C200" s="187"/>
    </row>
    <row r="201" spans="3:7">
      <c r="E201" s="188"/>
    </row>
    <row r="202" spans="3:7">
      <c r="E202" s="188"/>
    </row>
    <row r="203" spans="3:7">
      <c r="E203" s="188"/>
    </row>
    <row r="204" spans="3:7">
      <c r="C204" s="187"/>
    </row>
    <row r="205" spans="3:7">
      <c r="D205" s="188"/>
      <c r="E205" s="187"/>
    </row>
    <row r="206" spans="3:7">
      <c r="C206" s="187"/>
    </row>
    <row r="207" spans="3:7">
      <c r="F207" s="190"/>
      <c r="G207" s="190"/>
    </row>
    <row r="208" spans="3:7">
      <c r="E208" s="187"/>
      <c r="F208" s="187"/>
    </row>
    <row r="209" spans="3:6">
      <c r="E209" s="187"/>
      <c r="F209" s="191"/>
    </row>
    <row r="210" spans="3:6">
      <c r="E210" s="187"/>
      <c r="F210" s="191"/>
    </row>
    <row r="211" spans="3:6">
      <c r="E211" s="187"/>
      <c r="F211" s="191"/>
    </row>
    <row r="212" spans="3:6">
      <c r="E212" s="187"/>
      <c r="F212" s="191"/>
    </row>
    <row r="213" spans="3:6">
      <c r="E213" s="187"/>
      <c r="F213" s="191"/>
    </row>
    <row r="214" spans="3:6">
      <c r="C214" s="187"/>
    </row>
    <row r="215" spans="3:6">
      <c r="E215" s="187"/>
    </row>
    <row r="216" spans="3:6">
      <c r="E216" s="187"/>
    </row>
    <row r="217" spans="3:6">
      <c r="E217" s="187"/>
    </row>
    <row r="218" spans="3:6">
      <c r="C218" s="1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Average Cost of Equity</vt:lpstr>
      <vt:lpstr>Cost of Preferred Stock</vt:lpstr>
      <vt:lpstr>Cost of Debt</vt:lpstr>
      <vt:lpstr>WACC- Ratio</vt:lpstr>
      <vt:lpstr>ADK - Rates WACC</vt:lpstr>
      <vt:lpstr>ADK-Full WACC</vt:lpstr>
      <vt:lpstr>Sheet1</vt:lpstr>
      <vt:lpstr>Flotation-Adj Cost of Eq</vt:lpstr>
      <vt:lpstr>Problem</vt:lpstr>
      <vt:lpstr>New Problem with Flotation Cost</vt:lpstr>
      <vt:lpstr>Book #30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 bev12481</dc:creator>
  <cp:lastModifiedBy>Bethany Evitts</cp:lastModifiedBy>
  <dcterms:created xsi:type="dcterms:W3CDTF">2024-06-19T23:28:25Z</dcterms:created>
  <dcterms:modified xsi:type="dcterms:W3CDTF">2025-10-30T16:39:08Z</dcterms:modified>
</cp:coreProperties>
</file>