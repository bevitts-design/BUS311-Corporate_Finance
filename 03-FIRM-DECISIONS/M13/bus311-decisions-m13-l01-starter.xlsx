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bb806f631847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verage Cost of Equity" sheetId="10" r:id="R53224a593c904618"/>
    <x:sheet xmlns:r="http://schemas.openxmlformats.org/officeDocument/2006/relationships" name="Cost of Preferred Stock" sheetId="11" r:id="R53617db932c04a02"/>
    <x:sheet xmlns:r="http://schemas.openxmlformats.org/officeDocument/2006/relationships" name="Cost of Debt" sheetId="12" r:id="Rf2bcae0560d342e4"/>
    <x:sheet xmlns:r="http://schemas.openxmlformats.org/officeDocument/2006/relationships" name="WACC- Ratio" sheetId="1" r:id="Rcab3083e043c4aa1"/>
    <x:sheet xmlns:r="http://schemas.openxmlformats.org/officeDocument/2006/relationships" name="ADK- Rates WACC" sheetId="2" r:id="R472f3bf13b2946fa"/>
    <x:sheet xmlns:r="http://schemas.openxmlformats.org/officeDocument/2006/relationships" name="ADK-FullWACC" sheetId="4" r:id="Ra725011371a54f80"/>
    <x:sheet xmlns:r="http://schemas.openxmlformats.org/officeDocument/2006/relationships" name="Homework Problem" sheetId="14" r:id="Ra470135f53a74382"/>
    <x:sheet xmlns:r="http://schemas.openxmlformats.org/officeDocument/2006/relationships" name="BUS311 Guide" sheetId="15" r:id="R5fccd662936241a3"/>
  </x:sheets>
</x:workbook>
</file>

<file path=xl/sharedStrings.xml><?xml version="1.0" encoding="utf-8"?>
<x:sst xmlns:x="http://schemas.openxmlformats.org/spreadsheetml/2006/main">
  <x:si>
    <x:t xml:space="preserve">Input Area:</x:t>
  </x:si>
  <x:si>
    <x:t xml:space="preserve">Beta</x:t>
  </x:si>
  <x:si>
    <x:t xml:space="preserve">Market risk premium</x:t>
  </x:si>
  <x:si>
    <x:t xml:space="preserve">T-bill rate</x:t>
  </x:si>
  <x:si>
    <x:t xml:space="preserve">Dividend per share</x:t>
  </x:si>
  <x:si>
    <x:t xml:space="preserve">Growth rate</x:t>
  </x:si>
  <x:si>
    <x:t xml:space="preserve">Stock price</x:t>
  </x:si>
  <x:si>
    <x:t xml:space="preserve">`</x:t>
  </x:si>
  <x:si>
    <x:r>
      <x:rPr>
        <x:i/>
        <x:sz val="12"/>
        <x:color indexed="8"/>
        <x:rFont val="Arial"/>
        <x:family val="2"/>
      </x:rPr>
      <x:t xml:space="preserve">R</x:t>
    </x:r>
    <x:r>
      <x:rPr>
        <x:sz val="12"/>
        <x:color indexed="8"/>
        <x:rFont val="Arial"/>
        <x:family val="2"/>
      </x:rPr>
      <x:t xml:space="preserve">E</x:t>
    </x:r>
    <x:r>
      <x:rPr>
        <x:sz val="12"/>
        <x:color indexed="8"/>
        <x:rFont val="Arial"/>
        <x:family val="2"/>
      </x:rPr>
      <x:t xml:space="preserve">: CAPM</x:t>
    </x:r>
  </x:si>
  <x:si>
    <x:t xml:space="preserve">Calculate the Required Return on Equity using the CAPM Model</x:t>
  </x:si>
  <x:si>
    <x:r>
      <x:rPr>
        <x:i/>
        <x:sz val="12"/>
        <x:color indexed="8"/>
        <x:rFont val="Arial"/>
        <x:family val="2"/>
      </x:rPr>
      <x:t xml:space="preserve">R</x:t>
    </x:r>
    <x:r>
      <x:rPr>
        <x:sz val="12"/>
        <x:color indexed="8"/>
        <x:rFont val="Arial"/>
        <x:family val="2"/>
      </x:rPr>
      <x:t xml:space="preserve">E</x:t>
    </x:r>
    <x:r>
      <x:rPr>
        <x:sz val="12"/>
        <x:color indexed="8"/>
        <x:rFont val="Arial"/>
        <x:family val="2"/>
      </x:rPr>
      <x:t xml:space="preserve">: DCF</x:t>
    </x:r>
  </x:si>
  <x:si>
    <x:t xml:space="preserve">Calculate the Required Return on Equity using the DDM</x:t>
  </x:si>
  <x:si>
    <x:r>
      <x:rPr>
        <x:i/>
        <x:sz val="12"/>
        <x:color indexed="8"/>
        <x:rFont val="Arial"/>
        <x:family val="2"/>
      </x:rPr>
      <x:t xml:space="preserve">R</x:t>
    </x:r>
    <x:r>
      <x:rPr>
        <x:sz val="12"/>
        <x:color indexed="8"/>
        <x:rFont val="Arial"/>
        <x:family val="2"/>
      </x:rPr>
      <x:t xml:space="preserve">E</x:t>
    </x:r>
  </x:si>
  <x:si>
    <x:t xml:space="preserve">Take the Average of the 2 models</x:t>
  </x:si>
  <x:si>
    <x:t xml:space="preserve">Output Area:</x:t>
  </x:si>
  <x:si>
    <x:r>
      <x:t xml:space="preserve">R</x:t>
    </x:r>
    <x:r>
      <x:rPr>
        <x:i/>
        <x:sz val="12"/>
        <x:color indexed="8"/>
        <x:rFont val="Arial"/>
        <x:family val="2"/>
      </x:rPr>
      <x:t xml:space="preserve">P</x:t>
    </x:r>
  </x:si>
  <x:si>
    <x:t xml:space="preserve">Find the required rate of return for preferred stock</x:t>
  </x:si>
  <x:si>
    <x:t xml:space="preserve">Maturity</x:t>
  </x:si>
  <x:si>
    <x:t xml:space="preserve">Price (% of par)</x:t>
  </x:si>
  <x:si>
    <x:t xml:space="preserve">Par Value</x:t>
  </x:si>
  <x:si>
    <x:t xml:space="preserve">Coupon rate</x:t>
  </x:si>
  <x:si>
    <x:t xml:space="preserve">Payments per year</x:t>
  </x:si>
  <x:si>
    <x:t xml:space="preserve">Tax rate</x:t>
  </x:si>
  <x:si>
    <x:t xml:space="preserve">Pretax cost</x:t>
  </x:si>
  <x:si>
    <x:t xml:space="preserve">Calculate the Cost of debt before tax</x:t>
  </x:si>
  <x:si>
    <x:t xml:space="preserve">Aftertax cost of debt</x:t>
  </x:si>
  <x:si>
    <x:t xml:space="preserve">Calcualte the Cost of debt after tax</x:t>
  </x:si>
  <x:si>
    <x:t xml:space="preserve">$$$ Funding Amts</x:t>
  </x:si>
  <x:si>
    <x:t xml:space="preserve">Firm Funding Ratios</x:t>
  </x:si>
  <x:si>
    <x:t xml:space="preserve">Equity</x:t>
  </x:si>
  <x:si>
    <x:t xml:space="preserve">Determine the Captial Structure of this Firm</x:t>
  </x:si>
  <x:si>
    <x:t xml:space="preserve">Debt</x:t>
  </x:si>
  <x:si>
    <x:t xml:space="preserve">Preferrred Stock</x:t>
  </x:si>
  <x:si>
    <x:t xml:space="preserve">Total Firm Capital</x:t>
  </x:si>
  <x:si>
    <x:t xml:space="preserve">Cost of Equity</x:t>
  </x:si>
  <x:si>
    <x:t xml:space="preserve">Using these rates - what is the WACC?</x:t>
  </x:si>
  <x:si>
    <x:t xml:space="preserve">Cost of Debt</x:t>
  </x:si>
  <x:si>
    <x:t xml:space="preserve">Cost of Preferred Stock</x:t>
  </x:si>
  <x:si>
    <x:t xml:space="preserve">WACC </x:t>
  </x:si>
  <x:si>
    <x:t xml:space="preserve">Cost of Equity Calculations</x:t>
  </x:si>
  <x:si>
    <x:t xml:space="preserve">Par Value (FV)</x:t>
  </x:si>
  <x:si>
    <x:t xml:space="preserve">Price</x:t>
  </x:si>
  <x:si>
    <x:t xml:space="preserve">Coupon Rate</x:t>
  </x:si>
  <x:si>
    <x:t xml:space="preserve">D1</x:t>
  </x:si>
  <x:si>
    <x:t xml:space="preserve">Coupon Payment</x:t>
  </x:si>
  <x:si>
    <x:t xml:space="preserve">Growth</x:t>
  </x:si>
  <x:si>
    <x:t xml:space="preserve"># Coupons</x:t>
  </x:si>
  <x:si>
    <x:t xml:space="preserve">Risk Free Rate</x:t>
  </x:si>
  <x:si>
    <x:t xml:space="preserve">Bond Price</x:t>
  </x:si>
  <x:si>
    <x:t xml:space="preserve">Return on Market</x:t>
  </x:si>
  <x:si>
    <x:t xml:space="preserve">Tax Rate</x:t>
  </x:si>
  <x:si>
    <x:t xml:space="preserve">Bond $$ Value</x:t>
  </x:si>
  <x:si>
    <x:t xml:space="preserve">Cost of equity (i)</x:t>
  </x:si>
  <x:si>
    <x:t xml:space="preserve">Cost of Preferred Stock (i)</x:t>
  </x:si>
  <x:si>
    <x:t xml:space="preserve">CAPM</x:t>
  </x:si>
  <x:si>
    <x:t xml:space="preserve">Cost</x:t>
  </x:si>
  <x:si>
    <x:t xml:space="preserve"> Before Tax Cost of Debt -YTM</x:t>
  </x:si>
  <x:si>
    <x:t xml:space="preserve">Constant -Growth</x:t>
  </x:si>
  <x:si>
    <x:t xml:space="preserve">Average Cost of Equity</x:t>
  </x:si>
  <x:si>
    <x:t xml:space="preserve">After Tax Cost of Debt</x:t>
  </x:si>
  <x:si>
    <x:t xml:space="preserve">Level of Debt determines the ability to use or not use tax shield</x:t>
  </x:si>
  <x:si>
    <x:t xml:space="preserve">Information will be given to you</x:t>
  </x:si>
  <x:si>
    <x:t xml:space="preserve">Fill in the cells in Yellow</x:t>
  </x:si>
  <x:si>
    <x:t xml:space="preserve">WACC</x:t>
  </x:si>
  <x:si>
    <x:t xml:space="preserve">Use the numbers from the last tab - ADK Rates</x:t>
  </x:si>
  <x:si>
    <x:t xml:space="preserve">Before Tax Cost of Debt</x:t>
  </x:si>
  <x:si>
    <x:t xml:space="preserve">Shares of Common Equity</x:t>
  </x:si>
  <x:si>
    <x:t xml:space="preserve">Price of Common Equity</x:t>
  </x:si>
  <x:si>
    <x:t xml:space="preserve">Share of Preferred Stock</x:t>
  </x:si>
  <x:si>
    <x:t xml:space="preserve">Price of Preferred Stock</x:t>
  </x:si>
  <x:si>
    <x:t xml:space="preserve">Number of Bonds ($1,000 par per bond)</x:t>
  </x:si>
  <x:si>
    <x:t xml:space="preserve">Market Bond Quote</x:t>
  </x:si>
  <x:si>
    <x:t xml:space="preserve">Find Firm's Total Market Value</x:t>
  </x:si>
  <x:si>
    <x:t xml:space="preserve">Preferred Stock</x:t>
  </x:si>
  <x:si>
    <x:t xml:space="preserve">Total Firm Value</x:t>
  </x:si>
  <x:si>
    <x:t xml:space="preserve">Determine the Weighting of each funding source</x:t>
  </x:si>
  <x:si>
    <x:t xml:space="preserve">% of Equity =E/(E+P+D)</x:t>
  </x:si>
  <x:si>
    <x:t xml:space="preserve">% of Pref Stock = P/(E+P+D)</x:t>
  </x:si>
  <x:si>
    <x:t xml:space="preserve">% of Debt = D/(E+P+D)</x:t>
  </x:si>
  <x:si>
    <x:t xml:space="preserve">Determine the Weighted Average Cost of Capital </x:t>
  </x:si>
  <x:si>
    <x:t xml:space="preserve">WACC (full tax adv)</x:t>
  </x:si>
  <x:si>
    <x:t xml:space="preserve">Calculate the WACC (full tax advantage) of XYZ Corp  given the following information:</x:t>
  </x:si>
  <x:si>
    <x:t xml:space="preserve">Outstanding Shares/Total Part Value</x:t>
  </x:si>
  <x:si>
    <x:t xml:space="preserve">Current Price</x:t>
  </x:si>
  <x:si>
    <x:t xml:space="preserve"> Common Equity </x:t>
  </x:si>
  <x:si>
    <x:t xml:space="preserve">Preferred Stock </x:t>
  </x:si>
  <x:si>
    <x:t xml:space="preserve"> Bonds /Debt</x:t>
  </x:si>
  <x:si>
    <x:t xml:space="preserve">The firm needs to issue new common stock to fund the purchase of a new machine.</x:t>
  </x:si>
  <x:si>
    <x:t xml:space="preserve">The CFO would like to see the average of cost of equity using both the between CAPM and DDM- CGM methods</x:t>
  </x:si>
  <x:si>
    <x:t xml:space="preserve">The per share equity dividend (D1) next period is expected to be $3.00</x:t>
  </x:si>
  <x:si>
    <x:t xml:space="preserve">The per share preferred stock dividend (D1) next period is expected to be $5.00</x:t>
  </x:si>
  <x:si>
    <x:t xml:space="preserve">XYZ expects future dividends to grow  indefinitely (g) by 5.00%</x:t>
  </x:si>
  <x:si>
    <x:t xml:space="preserve">The risk-free rate (RfR) is 4.00%</x:t>
  </x:si>
  <x:si>
    <x:t xml:space="preserve">The expected return on the market (Rm) is 10.00%</x:t>
  </x:si>
  <x:si>
    <x:t xml:space="preserve">XYZ has a beta of 1.40</x:t>
  </x:si>
  <x:si>
    <x:t xml:space="preserve">XYZ debt has a coupon rate of 7.50%</x:t>
  </x:si>
  <x:si>
    <x:t xml:space="preserve">XYZ debt has a maturity in years of 30</x:t>
  </x:si>
  <x:si>
    <x:t xml:space="preserve">XYZ tax rate is 21.00%</x:t>
  </x:si>
</x:sst>
</file>

<file path=xl/styles.xml><?xml version="1.0" encoding="utf-8"?>
<x:styleSheet xmlns:x="http://schemas.openxmlformats.org/spreadsheetml/2006/main">
  <x:numFmts count="11">
    <x:numFmt numFmtId="6" formatCode="&quot;$&quot;#,##0_);[Red]\(&quot;$&quot;#,##0\)"/>
    <x:numFmt numFmtId="8" formatCode="&quot;$&quot;#,##0.00_);[Red]\(&quot;$&quot;#,##0.00\)"/>
    <x:numFmt numFmtId="42" formatCode="_(&quot;$&quot;* #,##0_);_(&quot;$&quot;* \(#,##0\);_(&quot;$&quot;* &quot;-&quot;_);_(@_)"/>
    <x:numFmt numFmtId="41" formatCode="_(* #,##0_);_(* \(#,##0\);_(* &quot;-&quot;_);_(@_)"/>
    <x:numFmt numFmtId="44" formatCode="_(&quot;$&quot;* #,##0.00_);_(&quot;$&quot;* \(#,##0.00\);_(&quot;$&quot;* &quot;-&quot;??_);_(@_)"/>
    <x:numFmt numFmtId="43" formatCode="_(* #,##0.00_);_(* \(#,##0.00\);_(* &quot;-&quot;??_);_(@_)"/>
    <x:numFmt numFmtId="164" formatCode="_(&quot;$&quot;* #,##0_);_(&quot;$&quot;* \(#,##0\);_(&quot;$&quot;* &quot;-&quot;??_);_(@_)"/>
    <x:numFmt numFmtId="165" formatCode="0.000%"/>
    <x:numFmt numFmtId="166" formatCode="_(* #,##0_);_(* \(#,##0\);_(* &quot;-&quot;??_);_(@_)"/>
    <x:numFmt numFmtId="167" formatCode="0.0%"/>
    <x:numFmt numFmtId="168" formatCode="mm/dd/yy;@"/>
  </x:numFmts>
  <x:fonts count="26">
    <x:font>
      <x:sz val="11"/>
      <x:color theme="1"/>
      <x:name val="Calibri"/>
    </x:font>
    <x:font>
      <x:sz val="11"/>
      <x:color theme="1"/>
      <x:name val="Calibri"/>
    </x:font>
    <x:font>
      <x:b/>
      <x:sz val="11"/>
      <x:color theme="0"/>
      <x:name val="Calibri"/>
    </x:font>
    <x:font>
      <x:b/>
      <x:sz val="12"/>
      <x:color theme="0"/>
      <x:name val="Calibri"/>
    </x:font>
    <x:font>
      <x:b/>
      <x:sz val="14"/>
      <x:color theme="0"/>
      <x:name val="Calibri"/>
    </x:font>
    <x:font>
      <x:sz val="12"/>
      <x:name val="Calibri"/>
    </x:font>
    <x:font>
      <x:b/>
      <x:sz val="11"/>
      <x:color theme="1"/>
      <x:name val="Calibri"/>
    </x:font>
    <x:font>
      <x:sz val="12"/>
      <x:name val="Arial"/>
    </x:font>
    <x:font>
      <x:i/>
      <x:sz val="12"/>
      <x:name val="Arial"/>
    </x:font>
    <x:font>
      <x:sz val="12"/>
      <x:color indexed="48"/>
      <x:name val="Arial"/>
    </x:font>
    <x:font>
      <x:sz val="12"/>
      <x:color indexed="8"/>
      <x:name val="Arial"/>
    </x:font>
    <x:font>
      <x:sz val="12"/>
      <x:color rgb="FF0050C7"/>
      <x:name val="Arial"/>
    </x:font>
    <x:font>
      <x:i/>
      <x:sz val="12"/>
      <x:color indexed="8"/>
      <x:name val="Arial"/>
    </x:font>
    <x:font>
      <x:sz val="12"/>
      <x:color indexed="8"/>
      <x:name val="Arial"/>
    </x:font>
    <x:font>
      <x:sz val="12"/>
      <x:color rgb="FFB80000"/>
      <x:name val="Arial"/>
    </x:font>
    <x:font>
      <x:sz val="12"/>
      <x:color indexed="10"/>
      <x:name val="Arial"/>
    </x:font>
    <x:font>
      <x:b/>
      <x:sz val="12"/>
      <x:color rgb="FF007A37"/>
      <x:name val="Arial"/>
    </x:font>
    <x:font>
      <x:i/>
      <x:sz val="12"/>
      <x:color indexed="8"/>
      <x:name val="Arial"/>
    </x:font>
    <x:font>
      <x:sz val="11"/>
      <x:color rgb="FFFF0000"/>
      <x:name val="Calibri"/>
    </x:font>
    <x:font>
      <x:b/>
      <x:sz val="25"/>
      <x:color rgb="FFE1A60D"/>
      <x:name val="Georgia Pro Bold"/>
    </x:font>
    <x:font>
      <x:b/>
      <x:sz val="11"/>
      <x:color rgb="FFFF0000"/>
      <x:name val="Calibri"/>
    </x:font>
    <x:font>
      <x:b/>
      <x:sz val="18"/>
      <x:color rgb="FFFF0000"/>
      <x:name val="Calibri"/>
    </x:font>
    <x:font>
      <x:b/>
      <x:sz val="20"/>
      <x:color rgb="FFFF0000"/>
      <x:name val="Calibri"/>
    </x:font>
    <x:font>
      <x:b/>
      <x:sz val="18"/>
      <x:color rgb="FFFFFFFF"/>
      <x:name val="Calibri"/>
    </x:font>
    <x:font>
      <x:b/>
      <x:sz val="11"/>
      <x:color rgb="FFFFFFFF"/>
      <x:name val="Calibri"/>
    </x:font>
    <x:font>
      <x:sz val="11"/>
      <x:color rgb="FF0000FF"/>
      <x:name val="Calibri"/>
    </x:font>
  </x:fonts>
  <x:fills count="11">
    <x:fill>
      <x:patternFill patternType="none"/>
    </x:fill>
    <x:fill>
      <x:patternFill patternType="gray125"/>
    </x:fill>
    <x:fill>
      <x:patternFill patternType="solid">
        <x:fgColor rgb="FF002060"/>
      </x:patternFill>
    </x:fill>
    <x:fill>
      <x:patternFill patternType="solid">
        <x:fgColor indexed="47"/>
      </x:patternFill>
    </x:fill>
    <x:fill>
      <x:patternFill patternType="solid">
        <x:fgColor indexed="43"/>
      </x:patternFill>
    </x:fill>
    <x:fill>
      <x:patternFill patternType="solid">
        <x:fgColor theme="7" tint="0.59999"/>
      </x:patternFill>
    </x:fill>
    <x:fill>
      <x:patternFill patternType="solid">
        <x:fgColor theme="7" tint="0.79998"/>
      </x:patternFill>
    </x:fill>
    <x:fill>
      <x:patternFill patternType="solid">
        <x:fgColor rgb="FF0E1116"/>
      </x:patternFill>
    </x:fill>
    <x:fill>
      <x:patternFill patternType="solid">
        <x:fgColor rgb="FF9C4A2B"/>
      </x:patternFill>
    </x:fill>
    <x:fill>
      <x:patternFill patternType="solid">
        <x:fgColor rgb="FFF2EEE5"/>
      </x:patternFill>
    </x:fill>
    <x:fill>
      <x:patternFill patternType="solid">
        <x:fgColor rgb="FFFFF2CC"/>
      </x:patternFill>
    </x:fill>
  </x:fills>
  <x:borders count="23">
    <x:border/>
    <x:border>
      <x:bottom style="double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bottom style="medium">
        <x:color indexed="64"/>
      </x:bottom>
    </x:border>
    <x:border>
      <x:bottom style="thin">
        <x:color indexed="64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indexed="64"/>
      </x:left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thin">
        <x:color rgb="FFD9D5CB"/>
      </x:left>
      <x:top style="thin">
        <x:color rgb="FFD9D5CB"/>
      </x:top>
    </x:border>
    <x:border>
      <x:right style="thin">
        <x:color rgb="FFD9D5CB"/>
      </x:right>
      <x:top style="thin">
        <x:color rgb="FFD9D5CB"/>
      </x:top>
    </x:border>
    <x:border>
      <x:left style="thin">
        <x:color rgb="FFD9D5CB"/>
      </x:left>
    </x:border>
    <x:border>
      <x:right style="thin">
        <x:color rgb="FFD9D5CB"/>
      </x:right>
    </x:border>
    <x:border>
      <x:left style="thin">
        <x:color rgb="FFD9D5CB"/>
      </x:left>
      <x:bottom style="thin">
        <x:color rgb="FFD9D5CB"/>
      </x:bottom>
    </x:border>
    <x:border>
      <x:right style="thin">
        <x:color rgb="FFD9D5CB"/>
      </x:right>
      <x:bottom style="thin">
        <x:color rgb="FFD9D5CB"/>
      </x:bottom>
    </x:border>
    <x:border>
      <x:top style="thin">
        <x:color rgb="FFD9D5CB"/>
      </x:top>
    </x:border>
    <x:border>
      <x:bottom style="thin">
        <x:color rgb="FFD9D5CB"/>
      </x:bottom>
    </x:border>
  </x:borders>
  <x:cellStyleXfs count="4">
    <x:xf numFmtId="0" fontId="0" fillId="0" borderId="0"/>
    <x:xf numFmtId="43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9" fontId="1" fillId="0" borderId="0" applyFont="0" applyFill="0" applyBorder="0" applyAlignment="0" applyProtection="0"/>
  </x:cellStyleXfs>
  <x:cellXfs count="115">
    <x:xf numFmtId="0" fontId="0" fillId="0" borderId="0" xfId="0"/>
    <x:xf numFmtId="0" fontId="0" fillId="0" borderId="1" xfId="0" applyBorder="1"/>
    <x:xf numFmtId="10" fontId="0" fillId="0" borderId="0" xfId="3" applyNumberFormat="1" applyFont="1"/>
    <x:xf numFmtId="0" fontId="0" fillId="0" borderId="0" xfId="0" applyAlignment="1">
      <x:alignment horizontal="right"/>
    </x:xf>
    <x:xf numFmtId="44" fontId="0" fillId="0" borderId="0" xfId="2" applyFont="1"/>
    <x:xf numFmtId="0" fontId="0" fillId="0" borderId="0" xfId="0" applyAlignment="1">
      <x:alignment horizontal="center"/>
    </x:xf>
    <x:xf numFmtId="10" fontId="0" fillId="0" borderId="0" xfId="3" applyNumberFormat="1" applyFont="1" applyAlignment="1">
      <x:alignment horizontal="center"/>
    </x:xf>
    <x:xf numFmtId="0" fontId="2" fillId="2" borderId="0" xfId="0" applyFont="1" applyFill="1"/>
    <x:xf numFmtId="0" fontId="2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 wrapText="1"/>
    </x:xf>
    <x:xf numFmtId="0" fontId="3" fillId="2" borderId="0" xfId="0" applyFont="1" applyFill="1"/>
    <x:xf numFmtId="164" fontId="0" fillId="0" borderId="0" xfId="2" applyNumberFormat="1" applyFont="1" applyAlignment="1">
      <x:alignment horizontal="center"/>
    </x:xf>
    <x:xf numFmtId="164" fontId="0" fillId="0" borderId="1" xfId="2" applyNumberFormat="1" applyFont="1" applyBorder="1" applyAlignment="1">
      <x:alignment horizontal="center"/>
    </x:xf>
    <x:xf numFmtId="10" fontId="0" fillId="0" borderId="0" xfId="0" applyNumberFormat="1"/>
    <x:xf numFmtId="6" fontId="0" fillId="0" borderId="0" xfId="0" applyNumberFormat="1"/>
    <x:xf numFmtId="8" fontId="0" fillId="0" borderId="0" xfId="0" applyNumberFormat="1"/>
    <x:xf numFmtId="0" fontId="0" fillId="0" borderId="2" xfId="0" applyBorder="1"/>
    <x:xf numFmtId="0" fontId="5" fillId="0" borderId="0" xfId="0" applyFont="1"/>
    <x:xf numFmtId="0" fontId="2" fillId="2" borderId="0" xfId="0" applyFont="1" applyFill="1" applyAlignment="1">
      <x:alignment horizontal="right"/>
    </x:xf>
    <x:xf numFmtId="10" fontId="0" fillId="0" borderId="0" xfId="3" applyNumberFormat="1" applyFont="1" applyFill="1" applyBorder="1" applyAlignment="1">
      <x:alignment horizontal="right"/>
    </x:xf>
    <x:xf numFmtId="166" fontId="0" fillId="0" borderId="0" xfId="1" applyNumberFormat="1" applyFont="1" applyFill="1" applyBorder="1" applyAlignment="1">
      <x:alignment horizontal="right"/>
    </x:xf>
    <x:xf numFmtId="44" fontId="0" fillId="0" borderId="0" xfId="2" applyFont="1" applyFill="1" applyBorder="1" applyAlignment="1">
      <x:alignment horizontal="right"/>
    </x:xf>
    <x:xf numFmtId="164" fontId="0" fillId="0" borderId="0" xfId="2" applyNumberFormat="1" applyFont="1" applyFill="1" applyBorder="1" applyAlignment="1">
      <x:alignment horizontal="right"/>
    </x:xf>
    <x:xf numFmtId="164" fontId="0" fillId="0" borderId="0" xfId="2" applyNumberFormat="1" applyFont="1" applyAlignment="1">
      <x:alignment horizontal="right"/>
    </x:xf>
    <x:xf numFmtId="10" fontId="0" fillId="0" borderId="0" xfId="3" applyNumberFormat="1" applyFont="1" applyAlignment="1">
      <x:alignment horizontal="right"/>
    </x:xf>
    <x:xf numFmtId="10" fontId="0" fillId="0" borderId="3" xfId="0" applyNumberFormat="1" applyBorder="1" applyAlignment="1">
      <x:alignment horizontal="right"/>
    </x:xf>
    <x:xf numFmtId="0" fontId="2" fillId="2" borderId="2" xfId="0" applyFont="1" applyFill="1" applyBorder="1"/>
    <x:xf numFmtId="44" fontId="0" fillId="0" borderId="0" xfId="0" applyNumberFormat="1"/>
    <x:xf numFmtId="0" fontId="6" fillId="0" borderId="0" xfId="0" applyFont="1"/>
    <x:xf numFmtId="44" fontId="6" fillId="0" borderId="0" xfId="2" applyFont="1"/>
    <x:xf numFmtId="165" fontId="6" fillId="0" borderId="0" xfId="3" applyNumberFormat="1" applyFont="1"/>
    <x:xf numFmtId="164" fontId="0" fillId="0" borderId="0" xfId="0" applyNumberFormat="1" applyAlignment="1">
      <x:alignment horizontal="right"/>
    </x:xf>
    <x:xf numFmtId="0" fontId="0" fillId="0" borderId="4" xfId="0" applyBorder="1"/>
    <x:xf numFmtId="164" fontId="0" fillId="0" borderId="4" xfId="2" applyNumberFormat="1" applyFont="1" applyBorder="1" applyAlignment="1">
      <x:alignment horizontal="right"/>
    </x:xf>
    <x:xf numFmtId="0" fontId="0" fillId="0" borderId="5" xfId="0" applyBorder="1"/>
    <x:xf numFmtId="0" fontId="0" fillId="0" borderId="5" xfId="0" applyBorder="1" applyAlignment="1">
      <x:alignment horizontal="right"/>
    </x:xf>
    <x:xf numFmtId="164" fontId="0" fillId="0" borderId="5" xfId="0" applyNumberFormat="1" applyBorder="1" applyAlignment="1">
      <x:alignment horizontal="right"/>
    </x:xf>
    <x:xf numFmtId="166" fontId="0" fillId="0" borderId="0" xfId="0" applyNumberFormat="1"/>
    <x:xf numFmtId="0" fontId="7" fillId="0" borderId="0" xfId="0" applyFont="1"/>
    <x:xf numFmtId="0" fontId="8" fillId="0" borderId="0" xfId="0" applyFont="1"/>
    <x:xf numFmtId="0" fontId="9" fillId="3" borderId="6" xfId="0" applyFont="1" applyFill="1" applyBorder="1"/>
    <x:xf numFmtId="0" fontId="9" fillId="3" borderId="7" xfId="0" applyFont="1" applyFill="1" applyBorder="1"/>
    <x:xf numFmtId="0" fontId="9" fillId="3" borderId="8" xfId="0" applyFont="1" applyFill="1" applyBorder="1"/>
    <x:xf numFmtId="0" fontId="9" fillId="3" borderId="9" xfId="0" applyFont="1" applyFill="1" applyBorder="1"/>
    <x:xf numFmtId="0" fontId="10" fillId="3" borderId="0" xfId="0" applyFont="1" applyFill="1"/>
    <x:xf numFmtId="39" fontId="11" fillId="3" borderId="0" xfId="0" applyNumberFormat="1" applyFont="1" applyFill="1"/>
    <x:xf numFmtId="0" fontId="9" fillId="3" borderId="10" xfId="0" applyFont="1" applyFill="1" applyBorder="1"/>
    <x:xf numFmtId="167" fontId="11" fillId="3" borderId="0" xfId="0" applyNumberFormat="1" applyFont="1" applyFill="1"/>
    <x:xf numFmtId="44" fontId="11" fillId="3" borderId="0" xfId="0" applyNumberFormat="1" applyFont="1" applyFill="1"/>
    <x:xf numFmtId="42" fontId="11" fillId="3" borderId="0" xfId="0" applyNumberFormat="1" applyFont="1" applyFill="1"/>
    <x:xf numFmtId="0" fontId="9" fillId="3" borderId="11" xfId="0" applyFont="1" applyFill="1" applyBorder="1"/>
    <x:xf numFmtId="0" fontId="10" fillId="3" borderId="4" xfId="0" applyFont="1" applyFill="1" applyBorder="1"/>
    <x:xf numFmtId="0" fontId="9" fillId="3" borderId="4" xfId="0" applyFont="1" applyFill="1" applyBorder="1"/>
    <x:xf numFmtId="0" fontId="9" fillId="3" borderId="12" xfId="0" applyFont="1" applyFill="1" applyBorder="1"/>
    <x:xf numFmtId="0" fontId="10" fillId="4" borderId="6" xfId="0" applyFont="1" applyFill="1" applyBorder="1"/>
    <x:xf numFmtId="0" fontId="10" fillId="4" borderId="7" xfId="0" applyFont="1" applyFill="1" applyBorder="1"/>
    <x:xf numFmtId="0" fontId="10" fillId="4" borderId="8" xfId="0" applyFont="1" applyFill="1" applyBorder="1"/>
    <x:xf numFmtId="0" fontId="10" fillId="4" borderId="9" xfId="0" applyFont="1" applyFill="1" applyBorder="1"/>
    <x:xf numFmtId="0" fontId="10" fillId="4" borderId="0" xfId="0" applyFont="1" applyFill="1"/>
    <x:xf numFmtId="0" fontId="10" fillId="4" borderId="10" xfId="0" applyFont="1" applyFill="1" applyBorder="1"/>
    <x:xf numFmtId="10" fontId="15" fillId="4" borderId="0" xfId="0" applyNumberFormat="1" applyFont="1" applyFill="1" applyAlignment="1">
      <x:alignment vertical="center"/>
    </x:xf>
    <x:xf numFmtId="10" fontId="16" fillId="4" borderId="13" xfId="0" applyNumberFormat="1" applyFont="1" applyFill="1" applyBorder="1" applyAlignment="1">
      <x:alignment vertical="center"/>
    </x:xf>
    <x:xf numFmtId="0" fontId="10" fillId="4" borderId="11" xfId="0" applyFont="1" applyFill="1" applyBorder="1"/>
    <x:xf numFmtId="0" fontId="10" fillId="4" borderId="4" xfId="0" applyFont="1" applyFill="1" applyBorder="1"/>
    <x:xf numFmtId="0" fontId="10" fillId="4" borderId="12" xfId="0" applyFont="1" applyFill="1" applyBorder="1"/>
    <x:xf numFmtId="0" fontId="12" fillId="4" borderId="0" xfId="0" applyFont="1" applyFill="1"/>
    <x:xf numFmtId="10" fontId="16" fillId="4" borderId="13" xfId="0" applyNumberFormat="1" applyFont="1" applyFill="1" applyBorder="1"/>
    <x:xf numFmtId="0" fontId="7" fillId="3" borderId="0" xfId="0" applyFont="1" applyFill="1"/>
    <x:xf numFmtId="168" fontId="11" fillId="3" borderId="0" xfId="0" applyNumberFormat="1" applyFont="1" applyFill="1"/>
    <x:xf numFmtId="41" fontId="11" fillId="3" borderId="0" xfId="0" applyNumberFormat="1" applyFont="1" applyFill="1"/>
    <x:xf numFmtId="9" fontId="11" fillId="3" borderId="0" xfId="0" applyNumberFormat="1" applyFont="1" applyFill="1"/>
    <x:xf numFmtId="10" fontId="16" fillId="4" borderId="14" xfId="0" applyNumberFormat="1" applyFont="1" applyFill="1" applyBorder="1"/>
    <x:xf numFmtId="10" fontId="7" fillId="0" borderId="0" xfId="0" applyNumberFormat="1" applyFont="1"/>
    <x:xf numFmtId="1" fontId="11" fillId="3" borderId="0" xfId="0" applyNumberFormat="1" applyFont="1" applyFill="1"/>
    <x:xf numFmtId="6" fontId="11" fillId="3" borderId="0" xfId="0" applyNumberFormat="1" applyFont="1" applyFill="1"/>
    <x:xf numFmtId="0" fontId="19" fillId="0" borderId="0" xfId="0" applyFont="1"/>
    <x:xf numFmtId="0" fontId="21" fillId="0" borderId="0" xfId="0" applyFont="1" applyAlignment="1">
      <x:alignment vertical="center"/>
    </x:xf>
    <x:xf numFmtId="10" fontId="0" fillId="5" borderId="0" xfId="3" applyNumberFormat="1" applyFont="1" applyFill="1" applyAlignment="1">
      <x:alignment horizontal="center"/>
    </x:xf>
    <x:xf numFmtId="10" fontId="0" fillId="5" borderId="0" xfId="0" applyNumberFormat="1" applyFill="1"/>
    <x:xf numFmtId="10" fontId="0" fillId="5" borderId="0" xfId="3" applyNumberFormat="1" applyFont="1" applyFill="1"/>
    <x:xf numFmtId="10" fontId="0" fillId="5" borderId="3" xfId="0" applyNumberFormat="1" applyFill="1" applyBorder="1"/>
    <x:xf numFmtId="10" fontId="0" fillId="5" borderId="3" xfId="3" applyNumberFormat="1" applyFont="1" applyFill="1" applyBorder="1"/>
    <x:xf numFmtId="0" fontId="18" fillId="0" borderId="0" xfId="0" applyFont="1"/>
    <x:xf numFmtId="0" fontId="20" fillId="0" borderId="0" xfId="0" applyFont="1"/>
    <x:xf numFmtId="166" fontId="0" fillId="0" borderId="0" xfId="0" applyNumberFormat="1" applyAlignment="1">
      <x:alignment horizontal="left"/>
    </x:xf>
    <x:xf numFmtId="10" fontId="14" fillId="4" borderId="13" xfId="0" applyNumberFormat="1" applyFont="1" applyFill="1" applyBorder="1" applyAlignment="1">
      <x:alignment vertical="center"/>
    </x:xf>
    <x:xf numFmtId="0" fontId="4" fillId="2" borderId="0" xfId="0" applyFont="1" applyFill="1" applyAlignment="1">
      <x:alignment horizontal="center"/>
    </x:xf>
    <x:xf numFmtId="0" fontId="22" fillId="0" borderId="0" xfId="0" applyFont="1"/>
    <x:xf numFmtId="0" fontId="7" fillId="0" borderId="0" xfId="0" applyFont="1" applyFill="1"/>
    <x:xf numFmtId="10" fontId="0" fillId="6" borderId="0" xfId="3" applyNumberFormat="1" applyFont="1" applyFill="1" applyBorder="1" applyAlignment="1">
      <x:alignment horizontal="right"/>
    </x:xf>
    <x:xf numFmtId="9" fontId="0" fillId="6" borderId="0" xfId="3" applyFont="1" applyFill="1" applyBorder="1" applyAlignment="1">
      <x:alignment horizontal="right"/>
    </x:xf>
    <x:xf numFmtId="0" fontId="0" fillId="7" borderId="0" xfId="0" applyNumberFormat="1" applyFont="1" applyFill="1" applyBorder="1"/>
    <x:xf numFmtId="0" fontId="23" fillId="7" borderId="0" xfId="0" applyNumberFormat="1" applyFont="1" applyFill="1" applyBorder="1"/>
    <x:xf numFmtId="0" fontId="0" fillId="8" borderId="0" xfId="0" applyNumberFormat="1" applyFont="1" applyFill="1" applyBorder="1"/>
    <x:xf numFmtId="0" fontId="24" fillId="8" borderId="0" xfId="0" applyNumberFormat="1" applyFont="1" applyFill="1" applyBorder="1"/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15" xfId="0" applyNumberFormat="1" applyFont="1" applyFill="1" applyBorder="1"/>
    <x:xf numFmtId="0" fontId="6" fillId="9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10" borderId="0" xfId="0" applyNumberFormat="1" applyFont="1" applyFill="1" applyBorder="1"/>
    <x:xf numFmtId="0" fontId="25" fillId="10" borderId="0" xfId="0" applyNumberFormat="1" applyFont="1" applyFill="1" applyBorder="1"/>
    <x:xf numFmtId="0" fontId="24" fillId="8" borderId="15" xfId="0" applyNumberFormat="1" applyFont="1" applyFill="1" applyBorder="1"/>
    <x:xf numFmtId="0" fontId="24" fillId="8" borderId="21" xfId="0" applyNumberFormat="1" applyFont="1" applyFill="1" applyBorder="1"/>
    <x:xf numFmtId="0" fontId="24" fillId="8" borderId="16" xfId="0" applyNumberFormat="1" applyFont="1" applyFill="1" applyBorder="1"/>
    <x:xf numFmtId="0" fontId="25" fillId="10" borderId="18" xfId="0" applyNumberFormat="1" applyFont="1" applyFill="1" applyBorder="1"/>
    <x:xf numFmtId="0" fontId="25" fillId="10" borderId="22" xfId="0" applyNumberFormat="1" applyFont="1" applyFill="1" applyBorder="1"/>
    <x:xf numFmtId="0" fontId="25" fillId="10" borderId="20" xfId="0" applyNumberFormat="1" applyFont="1" applyFill="1" applyBorder="1"/>
    <x:xf numFmtId="0" fontId="0" fillId="10" borderId="0" xfId="0" applyNumberFormat="1" applyFont="1" applyFill="1" applyBorder="1" applyAlignment="1">
      <x:alignment wrapText="1"/>
    </x:xf>
    <x:xf numFmtId="0" fontId="0" fillId="10" borderId="18" xfId="0" applyNumberFormat="1" applyFont="1" applyFill="1" applyBorder="1" applyAlignment="1">
      <x:alignment wrapText="1"/>
    </x:xf>
    <x:xf numFmtId="0" fontId="0" fillId="10" borderId="22" xfId="0" applyNumberFormat="1" applyFont="1" applyFill="1" applyBorder="1" applyAlignment="1">
      <x:alignment wrapText="1"/>
    </x:xf>
    <x:xf numFmtId="0" fontId="0" fillId="10" borderId="20" xfId="0" applyNumberFormat="1" applyFont="1" applyFill="1" applyBorder="1" applyAlignment="1">
      <x:alignment wrapText="1"/>
    </x:xf>
  </x:cellXfs>
  <x:cellStyles count="4">
    <x:cellStyle name="Comma" xfId="1"/>
    <x:cellStyle name="Currency" xfId="2"/>
    <x:cellStyle name="Normal" xfId="0"/>
    <x:cellStyle name="Percent" xfId="3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3f257693b2452f" /><Relationship Type="http://schemas.openxmlformats.org/officeDocument/2006/relationships/theme" Target="/xl/theme/theme1.xml" Id="Rea6917b14fd94933" /><Relationship Type="http://schemas.openxmlformats.org/officeDocument/2006/relationships/sharedStrings" Target="/xl/sharedStrings.xml" Id="R4dcea2cd8b684be1" /><Relationship Type="http://schemas.openxmlformats.org/officeDocument/2006/relationships/worksheet" Target="/xl/worksheets/sheet1.xml" Id="R53224a593c904618" /><Relationship Type="http://schemas.openxmlformats.org/officeDocument/2006/relationships/worksheet" Target="/xl/worksheets/sheet2.xml" Id="R53617db932c04a02" /><Relationship Type="http://schemas.openxmlformats.org/officeDocument/2006/relationships/worksheet" Target="/xl/worksheets/sheet3.xml" Id="Rf2bcae0560d342e4" /><Relationship Type="http://schemas.openxmlformats.org/officeDocument/2006/relationships/worksheet" Target="/xl/worksheets/sheet4.xml" Id="Rcab3083e043c4aa1" /><Relationship Type="http://schemas.openxmlformats.org/officeDocument/2006/relationships/worksheet" Target="/xl/worksheets/sheet5.xml" Id="R472f3bf13b2946fa" /><Relationship Type="http://schemas.openxmlformats.org/officeDocument/2006/relationships/worksheet" Target="/xl/worksheets/sheet6.xml" Id="Ra725011371a54f80" /><Relationship Type="http://schemas.openxmlformats.org/officeDocument/2006/relationships/worksheet" Target="/xl/worksheets/sheet7.xml" Id="Ra470135f53a74382" /><Relationship Type="http://schemas.openxmlformats.org/officeDocument/2006/relationships/worksheet" Target="/xl/worksheets/sheet8.xml" Id="R5fccd662936241a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png" Id="Red74928786684285" /></Relationships>
</file>

<file path=xl/drawings/drawing1.xml><?xml version="1.0" encoding="utf-8"?>
<xdr:wsDr xmlns:xdr="http://schemas.openxmlformats.org/drawingml/2006/spreadsheetDrawing">
  <xdr:twoCellAnchor editAs="oneCell">
    <xdr:from>
      <xdr:col>2</xdr:col>
      <xdr:colOff>0</xdr:colOff>
      <xdr:row>24</xdr:row>
      <xdr:rowOff>0</xdr:rowOff>
    </xdr:from>
    <xdr:to>
      <xdr:col>18</xdr:col>
      <xdr:colOff>300201</xdr:colOff>
      <xdr:row>26</xdr:row>
      <xdr:rowOff>78741</xdr:rowOff>
    </xdr:to>
    <xdr:sp>
      <xdr:nvSpPr>
        <xdr:cNvPr id="1" name="TextBox 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219200" y="4933950"/>
          <a:ext cx="11425401" cy="459741"/>
        </a:xfrm>
        <a:prstGeom xmlns:a="http://schemas.openxmlformats.org/drawingml/2006/main" prst="rect">
          <a:avLst/>
        </a:prstGeom>
      </xdr:spPr>
      <xdr:txBody>
        <a:bodyPr xmlns:a="http://schemas.openxmlformats.org/drawingml/2006/main" wrap="square" lIns="0" tIns="0" rIns="0" bIns="0" anchor="t">
          <a:spAutoFit/>
        </a:bodyPr>
        <a:lstStyle xmlns:a="http://schemas.openxmlformats.org/drawingml/2006/main">
          <a:lvl1pPr marL="0" algn="l" defTabSz="914400">
            <a:defRPr sz="1800" kern="1200">
              <a:solidFill>
                <a:schemeClr val="tx1"/>
              </a:solidFill>
              <a:latin typeface="+mn-lt"/>
              <a:ea typeface="+mn-lt"/>
              <a:cs typeface="+mn-lt"/>
            </a:defRPr>
          </a:lvl1pPr>
          <a:lvl2pPr marL="457200" algn="l" defTabSz="914400">
            <a:defRPr sz="1800" kern="1200">
              <a:solidFill>
                <a:schemeClr val="tx1"/>
              </a:solidFill>
              <a:latin typeface="+mn-lt"/>
              <a:ea typeface="+mn-lt"/>
              <a:cs typeface="+mn-lt"/>
            </a:defRPr>
          </a:lvl2pPr>
          <a:lvl3pPr marL="914400" algn="l" defTabSz="914400">
            <a:defRPr sz="1800" kern="1200">
              <a:solidFill>
                <a:schemeClr val="tx1"/>
              </a:solidFill>
              <a:latin typeface="+mn-lt"/>
              <a:ea typeface="+mn-lt"/>
              <a:cs typeface="+mn-lt"/>
            </a:defRPr>
          </a:lvl3pPr>
          <a:lvl4pPr marL="1371600" algn="l" defTabSz="914400">
            <a:defRPr sz="1800" kern="1200">
              <a:solidFill>
                <a:schemeClr val="tx1"/>
              </a:solidFill>
              <a:latin typeface="+mn-lt"/>
              <a:ea typeface="+mn-lt"/>
              <a:cs typeface="+mn-lt"/>
            </a:defRPr>
          </a:lvl4pPr>
          <a:lvl5pPr marL="1828800" algn="l" defTabSz="914400">
            <a:defRPr sz="1800" kern="1200">
              <a:solidFill>
                <a:schemeClr val="tx1"/>
              </a:solidFill>
              <a:latin typeface="+mn-lt"/>
              <a:ea typeface="+mn-lt"/>
              <a:cs typeface="+mn-lt"/>
            </a:defRPr>
          </a:lvl5pPr>
          <a:lvl6pPr marL="2286000" algn="l" defTabSz="914400">
            <a:defRPr sz="1800" kern="1200">
              <a:solidFill>
                <a:schemeClr val="tx1"/>
              </a:solidFill>
              <a:latin typeface="+mn-lt"/>
              <a:ea typeface="+mn-lt"/>
              <a:cs typeface="+mn-lt"/>
            </a:defRPr>
          </a:lvl6pPr>
          <a:lvl7pPr marL="2743200" algn="l" defTabSz="914400">
            <a:defRPr sz="1800" kern="1200">
              <a:solidFill>
                <a:schemeClr val="tx1"/>
              </a:solidFill>
              <a:latin typeface="+mn-lt"/>
              <a:ea typeface="+mn-lt"/>
              <a:cs typeface="+mn-lt"/>
            </a:defRPr>
          </a:lvl7pPr>
          <a:lvl8pPr marL="3200400" algn="l" defTabSz="914400">
            <a:defRPr sz="1800" kern="1200">
              <a:solidFill>
                <a:schemeClr val="tx1"/>
              </a:solidFill>
              <a:latin typeface="+mn-lt"/>
              <a:ea typeface="+mn-lt"/>
              <a:cs typeface="+mn-lt"/>
            </a:defRPr>
          </a:lvl8pPr>
          <a:lvl9pPr marL="3657600" algn="l" defTabSz="914400">
            <a:defRPr sz="1800" kern="1200">
              <a:solidFill>
                <a:schemeClr val="tx1"/>
              </a:solidFill>
              <a:latin typeface="+mn-lt"/>
              <a:ea typeface="+mn-lt"/>
              <a:cs typeface="+mn-lt"/>
            </a:defRPr>
          </a:lvl9pPr>
        </a:lstStyle>
        <a:p xmlns:a="http://schemas.openxmlformats.org/drawingml/2006/main">
          <a:pPr algn="ctr" defTabSz="609630">
            <a:lnSpc>
              <a:spcPts val="3847"/>
            </a:lnSpc>
            <a:buNone/>
          </a:pPr>
          <a:r>
            <a:rPr sz="2748">
              <a:solidFill>
                <a:srgbClr val="000000"/>
              </a:solidFill>
              <a:latin typeface="Georgia Pro"/>
              <a:ea typeface="Georgia Pro"/>
              <a:cs typeface="Georgia Pro"/>
            </a:rPr>
            <a:t>Rate of Return = Risk Free Rate + Beta ( Market Return - Risk Free Rate)</a:t>
          </a:r>
          <a:endParaRPr/>
        </a:p>
      </xdr:txBody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7</xdr:col>
      <xdr:colOff>346652</xdr:colOff>
      <xdr:row>31</xdr:row>
      <xdr:rowOff>68547</xdr:rowOff>
    </xdr:to>
    <xdr:sp>
      <xdr:nvSpPr>
        <xdr:cNvPr id="2" name="TextBox 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219200" y="5695950"/>
          <a:ext cx="4766252" cy="640047"/>
        </a:xfrm>
        <a:prstGeom xmlns:a="http://schemas.openxmlformats.org/drawingml/2006/main" prst="rect">
          <a:avLst/>
        </a:prstGeom>
      </xdr:spPr>
      <xdr:txBody>
        <a:bodyPr xmlns:a="http://schemas.openxmlformats.org/drawingml/2006/main" wrap="square" lIns="0" tIns="0" rIns="0" bIns="0" anchor="t">
          <a:spAutoFit/>
        </a:bodyPr>
        <a:lstStyle xmlns:a="http://schemas.openxmlformats.org/drawingml/2006/main">
          <a:lvl1pPr marL="0" algn="l" defTabSz="914400">
            <a:defRPr sz="1800" kern="1200">
              <a:solidFill>
                <a:schemeClr val="tx1"/>
              </a:solidFill>
              <a:latin typeface="+mn-lt"/>
              <a:ea typeface="+mn-lt"/>
              <a:cs typeface="+mn-lt"/>
            </a:defRPr>
          </a:lvl1pPr>
          <a:lvl2pPr marL="457200" algn="l" defTabSz="914400">
            <a:defRPr sz="1800" kern="1200">
              <a:solidFill>
                <a:schemeClr val="tx1"/>
              </a:solidFill>
              <a:latin typeface="+mn-lt"/>
              <a:ea typeface="+mn-lt"/>
              <a:cs typeface="+mn-lt"/>
            </a:defRPr>
          </a:lvl2pPr>
          <a:lvl3pPr marL="914400" algn="l" defTabSz="914400">
            <a:defRPr sz="1800" kern="1200">
              <a:solidFill>
                <a:schemeClr val="tx1"/>
              </a:solidFill>
              <a:latin typeface="+mn-lt"/>
              <a:ea typeface="+mn-lt"/>
              <a:cs typeface="+mn-lt"/>
            </a:defRPr>
          </a:lvl3pPr>
          <a:lvl4pPr marL="1371600" algn="l" defTabSz="914400">
            <a:defRPr sz="1800" kern="1200">
              <a:solidFill>
                <a:schemeClr val="tx1"/>
              </a:solidFill>
              <a:latin typeface="+mn-lt"/>
              <a:ea typeface="+mn-lt"/>
              <a:cs typeface="+mn-lt"/>
            </a:defRPr>
          </a:lvl4pPr>
          <a:lvl5pPr marL="1828800" algn="l" defTabSz="914400">
            <a:defRPr sz="1800" kern="1200">
              <a:solidFill>
                <a:schemeClr val="tx1"/>
              </a:solidFill>
              <a:latin typeface="+mn-lt"/>
              <a:ea typeface="+mn-lt"/>
              <a:cs typeface="+mn-lt"/>
            </a:defRPr>
          </a:lvl5pPr>
          <a:lvl6pPr marL="2286000" algn="l" defTabSz="914400">
            <a:defRPr sz="1800" kern="1200">
              <a:solidFill>
                <a:schemeClr val="tx1"/>
              </a:solidFill>
              <a:latin typeface="+mn-lt"/>
              <a:ea typeface="+mn-lt"/>
              <a:cs typeface="+mn-lt"/>
            </a:defRPr>
          </a:lvl6pPr>
          <a:lvl7pPr marL="2743200" algn="l" defTabSz="914400">
            <a:defRPr sz="1800" kern="1200">
              <a:solidFill>
                <a:schemeClr val="tx1"/>
              </a:solidFill>
              <a:latin typeface="+mn-lt"/>
              <a:ea typeface="+mn-lt"/>
              <a:cs typeface="+mn-lt"/>
            </a:defRPr>
          </a:lvl7pPr>
          <a:lvl8pPr marL="3200400" algn="l" defTabSz="914400">
            <a:defRPr sz="1800" kern="1200">
              <a:solidFill>
                <a:schemeClr val="tx1"/>
              </a:solidFill>
              <a:latin typeface="+mn-lt"/>
              <a:ea typeface="+mn-lt"/>
              <a:cs typeface="+mn-lt"/>
            </a:defRPr>
          </a:lvl8pPr>
          <a:lvl9pPr marL="3657600" algn="l" defTabSz="914400">
            <a:defRPr sz="1800" kern="1200">
              <a:solidFill>
                <a:schemeClr val="tx1"/>
              </a:solidFill>
              <a:latin typeface="+mn-lt"/>
              <a:ea typeface="+mn-lt"/>
              <a:cs typeface="+mn-lt"/>
            </a:defRPr>
          </a:lvl9pPr>
        </a:lstStyle>
        <a:p xmlns:a="http://schemas.openxmlformats.org/drawingml/2006/main">
          <a:pPr algn="ctr" defTabSz="609630">
            <a:lnSpc>
              <a:spcPts val="5320"/>
            </a:lnSpc>
            <a:buNone/>
          </a:pPr>
          <a:r>
            <a:rPr sz="3800">
              <a:solidFill>
                <a:srgbClr val="CC2A2C"/>
              </a:solidFill>
              <a:latin typeface="Georgia Pro"/>
              <a:ea typeface="Georgia Pro"/>
              <a:cs typeface="Georgia Pro"/>
            </a:rPr>
            <a:t>R = (D1/P0)+g)</a:t>
          </a:r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>
  <xdr:twoCellAnchor editAs="oneCell">
    <xdr:from>
      <xdr:col>7</xdr:col>
      <xdr:colOff>333375</xdr:colOff>
      <xdr:row>11</xdr:row>
      <xdr:rowOff>38100</xdr:rowOff>
    </xdr:from>
    <xdr:to>
      <xdr:col>10</xdr:col>
      <xdr:colOff>95472</xdr:colOff>
      <xdr:row>14</xdr:row>
      <xdr:rowOff>57238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749287866842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5662534b69b46b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10fdf823265f436b" /></Relationships>
</file>

<file path=xl/worksheets/sheet1.xml><?xml version="1.0" encoding="utf-8"?>
<x:worksheet xmlns:x="http://schemas.openxmlformats.org/spreadsheetml/2006/main">
  <x:sheetPr>
    <x:tabColor rgb="FF002060"/>
  </x:sheetPr>
  <x:sheetFormatPr defaultRowHeight="15"/>
  <x:cols>
    <x:col min="3" max="3" width="25" customWidth="1"/>
    <x:col min="4" max="4" width="13.85546875" customWidth="1"/>
  </x:cols>
  <x:sheetData>
    <x:row r="1" ht="15.75">
      <x:c r="A1" s="38"/>
      <x:c r="B1" s="38"/>
      <x:c r="C1" s="39" t="s">
        <x:v>0</x:v>
      </x:c>
      <x:c r="D1" s="38"/>
      <x:c r="E1" s="38"/>
      <x:c r="F1" s="38"/>
      <x:c r="G1" s="38"/>
      <x:c r="H1" s="38"/>
      <x:c r="I1" s="38"/>
      <x:c r="J1" s="38"/>
    </x:row>
    <x:row r="2" ht="16.5">
      <x:c r="A2" s="38"/>
      <x:c r="B2" s="38"/>
      <x:c r="C2" s="38"/>
      <x:c r="D2" s="38"/>
      <x:c r="E2" s="38"/>
      <x:c r="F2" s="38"/>
      <x:c r="G2" s="38"/>
      <x:c r="H2" s="38"/>
      <x:c r="I2" s="38"/>
      <x:c r="J2" s="38"/>
    </x:row>
    <x:row r="3" ht="15.75">
      <x:c r="A3" s="38"/>
      <x:c r="B3" s="40"/>
      <x:c r="C3" s="41"/>
      <x:c r="D3" s="41"/>
      <x:c r="E3" s="42"/>
      <x:c r="F3" s="38"/>
      <x:c r="G3" s="38"/>
      <x:c r="H3" s="38"/>
      <x:c r="I3" s="38"/>
      <x:c r="J3" s="38"/>
    </x:row>
    <x:row r="4" ht="15.75">
      <x:c r="A4" s="38"/>
      <x:c r="B4" s="43"/>
      <x:c r="C4" s="44" t="s">
        <x:v>1</x:v>
      </x:c>
      <x:c r="D4" s="45">
        <x:v>1.1000000000000001</x:v>
      </x:c>
      <x:c r="E4" s="46"/>
      <x:c r="F4" s="38"/>
      <x:c r="G4" s="38"/>
      <x:c r="H4" s="38"/>
      <x:c r="I4" s="38"/>
      <x:c r="J4" s="38"/>
    </x:row>
    <x:row r="5" ht="15.75">
      <x:c r="A5" s="38"/>
      <x:c r="B5" s="43"/>
      <x:c r="C5" s="44" t="s">
        <x:v>2</x:v>
      </x:c>
      <x:c r="D5" s="47">
        <x:v>7.0000000000000007E-2</x:v>
      </x:c>
      <x:c r="E5" s="46"/>
      <x:c r="F5" s="38"/>
      <x:c r="G5" s="38"/>
      <x:c r="H5" s="38"/>
      <x:c r="I5" s="38"/>
      <x:c r="J5" s="38"/>
    </x:row>
    <x:row r="6" ht="15.75">
      <x:c r="A6" s="38"/>
      <x:c r="B6" s="43"/>
      <x:c r="C6" s="44" t="s">
        <x:v>3</x:v>
      </x:c>
      <x:c r="D6" s="47">
        <x:v>4.7E-2</x:v>
      </x:c>
      <x:c r="E6" s="46"/>
      <x:c r="F6" s="38"/>
      <x:c r="G6" s="38"/>
      <x:c r="H6" s="38"/>
      <x:c r="I6" s="38"/>
      <x:c r="J6" s="38"/>
    </x:row>
    <x:row r="7" ht="15.75">
      <x:c r="A7" s="38"/>
      <x:c r="B7" s="43"/>
      <x:c r="C7" s="44" t="s">
        <x:v>4</x:v>
      </x:c>
      <x:c r="D7" s="48">
        <x:v>3.15</x:v>
      </x:c>
      <x:c r="E7" s="46"/>
      <x:c r="F7" s="38"/>
      <x:c r="G7" s="38"/>
      <x:c r="H7" s="38"/>
      <x:c r="I7" s="38"/>
      <x:c r="J7" s="38"/>
    </x:row>
    <x:row r="8" ht="15.75">
      <x:c r="A8" s="38"/>
      <x:c r="B8" s="43"/>
      <x:c r="C8" s="44" t="s">
        <x:v>5</x:v>
      </x:c>
      <x:c r="D8" s="47">
        <x:v>4.1000000000000002E-2</x:v>
      </x:c>
      <x:c r="E8" s="46"/>
      <x:c r="F8" s="38"/>
      <x:c r="G8" s="38"/>
      <x:c r="H8" s="38"/>
      <x:c r="I8" s="38"/>
      <x:c r="J8" s="38"/>
    </x:row>
    <x:row r="9" ht="15.75">
      <x:c r="A9" s="38"/>
      <x:c r="B9" s="43"/>
      <x:c r="C9" s="44" t="s">
        <x:v>6</x:v>
      </x:c>
      <x:c r="D9" s="49">
        <x:v>49</x:v>
      </x:c>
      <x:c r="E9" s="46"/>
      <x:c r="F9" s="38"/>
      <x:c r="G9" s="38"/>
      <x:c r="H9" s="38"/>
      <x:c r="I9" s="38"/>
      <x:c r="J9" s="38"/>
    </x:row>
    <x:row r="10" ht="16.5">
      <x:c r="A10" s="38"/>
      <x:c r="B10" s="50"/>
      <x:c r="C10" s="51"/>
      <x:c r="D10" s="52"/>
      <x:c r="E10" s="53"/>
      <x:c r="F10" s="38"/>
      <x:c r="G10" s="38"/>
      <x:c r="H10" s="38"/>
      <x:c r="I10" s="38"/>
      <x:c r="J10" s="38"/>
    </x:row>
    <x:row r="11" ht="15.75">
      <x:c r="A11" s="38"/>
      <x:c r="B11" s="38"/>
      <x:c r="C11" s="38"/>
      <x:c r="D11" s="38"/>
      <x:c r="E11" s="38"/>
      <x:c r="F11" s="38"/>
      <x:c r="G11" s="38"/>
      <x:c r="H11" s="38"/>
      <x:c r="I11" s="38"/>
      <x:c r="J11" s="38"/>
    </x:row>
    <x:row r="12" ht="15.75">
      <x:c r="A12" s="38"/>
      <x:c r="B12" s="38"/>
      <x:c r="C12" s="38" t="s">
        <x:v>7</x:v>
      </x:c>
      <x:c r="D12" s="38"/>
      <x:c r="E12" s="38"/>
      <x:c r="F12" s="38"/>
      <x:c r="G12" s="38"/>
      <x:c r="H12" s="38"/>
      <x:c r="I12" s="38"/>
      <x:c r="J12" s="38"/>
    </x:row>
    <x:row r="13" ht="16.5">
      <x:c r="A13" s="38"/>
      <x:c r="B13" s="38"/>
      <x:c r="C13" s="38"/>
      <x:c r="D13" s="38"/>
      <x:c r="E13" s="38"/>
      <x:c r="F13" s="38"/>
      <x:c r="G13" s="38"/>
      <x:c r="H13" s="38"/>
      <x:c r="I13" s="38"/>
      <x:c r="J13" s="38"/>
    </x:row>
    <x:row r="14" ht="15.75">
      <x:c r="A14" s="38"/>
      <x:c r="B14" s="54"/>
      <x:c r="C14" s="55"/>
      <x:c r="D14" s="55"/>
      <x:c r="E14" s="56"/>
      <x:c r="F14" s="38"/>
      <x:c r="G14" s="38"/>
      <x:c r="H14" s="38"/>
      <x:c r="I14" s="38"/>
      <x:c r="J14" s="38"/>
    </x:row>
    <x:row r="15" ht="19.5">
      <x:c r="A15" s="38"/>
      <x:c r="B15" s="57"/>
      <x:c r="C15" s="58" t="s">
        <x:v>8</x:v>
      </x:c>
      <x:c r="D15" s="85"/>
      <x:c r="E15" s="59"/>
      <x:c r="F15" s="38"/>
      <x:c r="G15" s="38" t="s">
        <x:v>9</x:v>
      </x:c>
      <x:c r="H15" s="38"/>
      <x:c r="I15" s="38"/>
      <x:c r="J15" s="38"/>
    </x:row>
    <x:row r="16" ht="19.5">
      <x:c r="A16" s="38"/>
      <x:c r="B16" s="57"/>
      <x:c r="C16" s="58" t="s">
        <x:v>10</x:v>
      </x:c>
      <x:c r="D16" s="85"/>
      <x:c r="E16" s="59"/>
      <x:c r="F16" s="38"/>
      <x:c r="G16" s="38" t="s">
        <x:v>11</x:v>
      </x:c>
      <x:c r="H16" s="38"/>
      <x:c r="I16" s="38"/>
      <x:c r="J16" s="38"/>
    </x:row>
    <x:row r="17" ht="15.75">
      <x:c r="A17" s="38"/>
      <x:c r="B17" s="57"/>
      <x:c r="C17" s="58"/>
      <x:c r="D17" s="60"/>
      <x:c r="E17" s="59"/>
      <x:c r="F17" s="38"/>
      <x:c r="H17" s="38"/>
      <x:c r="I17" s="38"/>
      <x:c r="J17" s="38"/>
    </x:row>
    <x:row r="18" ht="19.5">
      <x:c r="A18" s="38"/>
      <x:c r="B18" s="57"/>
      <x:c r="C18" s="58" t="s">
        <x:v>12</x:v>
      </x:c>
      <x:c r="D18" s="61"/>
      <x:c r="E18" s="59"/>
      <x:c r="F18" s="38"/>
      <x:c r="G18" s="38" t="s">
        <x:v>13</x:v>
      </x:c>
      <x:c r="H18" s="38"/>
      <x:c r="I18" s="38"/>
      <x:c r="J18" s="38"/>
    </x:row>
    <x:row r="19" ht="16.5">
      <x:c r="A19" s="38"/>
      <x:c r="B19" s="62"/>
      <x:c r="C19" s="63"/>
      <x:c r="D19" s="63"/>
      <x:c r="E19" s="64"/>
      <x:c r="F19" s="38"/>
      <x:c r="G19" s="38"/>
      <x:c r="H19" s="38"/>
      <x:c r="I19" s="38"/>
      <x:c r="J19" s="38"/>
    </x:row>
  </x:sheetData>
  <x:pageMargins left="0.7" right="0.7" top="0.75" bottom="0.75" header="0.3" footer="0.3"/>
  <x:drawing xmlns:r="http://schemas.openxmlformats.org/officeDocument/2006/relationships" r:id="R95662534b69b46b5"/>
</x:worksheet>
</file>

<file path=xl/worksheets/sheet2.xml><?xml version="1.0" encoding="utf-8"?>
<x:worksheet xmlns:x="http://schemas.openxmlformats.org/spreadsheetml/2006/main">
  <x:sheetPr>
    <x:tabColor rgb="FF002060"/>
  </x:sheetPr>
  <x:sheetFormatPr defaultRowHeight="15"/>
  <x:cols>
    <x:col min="3" max="3" width="32.42578125" customWidth="1"/>
    <x:col min="4" max="4" width="20" customWidth="1"/>
  </x:cols>
  <x:sheetData>
    <x:row r="1" ht="15.75">
      <x:c r="A1" s="38"/>
      <x:c r="B1" s="38"/>
      <x:c r="C1" s="39" t="s">
        <x:v>0</x:v>
      </x:c>
      <x:c r="D1" s="38"/>
      <x:c r="E1" s="38"/>
      <x:c r="F1" s="38"/>
      <x:c r="G1" s="38"/>
    </x:row>
    <x:row r="2" ht="16.5">
      <x:c r="A2" s="38"/>
      <x:c r="B2" s="38"/>
      <x:c r="C2" s="38"/>
      <x:c r="D2" s="38"/>
      <x:c r="E2" s="38"/>
      <x:c r="F2" s="38"/>
      <x:c r="G2" s="38"/>
    </x:row>
    <x:row r="3" ht="15.75">
      <x:c r="A3" s="38"/>
      <x:c r="B3" s="40"/>
      <x:c r="C3" s="41"/>
      <x:c r="D3" s="41"/>
      <x:c r="E3" s="42"/>
      <x:c r="F3" s="38"/>
      <x:c r="G3" s="38"/>
    </x:row>
    <x:row r="4" ht="15.75">
      <x:c r="A4" s="38"/>
      <x:c r="B4" s="43"/>
      <x:c r="C4" s="44" t="s">
        <x:v>4</x:v>
      </x:c>
      <x:c r="D4" s="48">
        <x:v>3.95</x:v>
      </x:c>
      <x:c r="E4" s="46"/>
      <x:c r="F4" s="38"/>
      <x:c r="G4" s="38"/>
    </x:row>
    <x:row r="5" ht="15.75">
      <x:c r="A5" s="38"/>
      <x:c r="B5" s="43"/>
      <x:c r="C5" s="44" t="s">
        <x:v>6</x:v>
      </x:c>
      <x:c r="D5" s="48">
        <x:v>73</x:v>
      </x:c>
      <x:c r="E5" s="46"/>
      <x:c r="F5" s="38"/>
      <x:c r="G5" s="38"/>
    </x:row>
    <x:row r="6" ht="16.5">
      <x:c r="A6" s="38"/>
      <x:c r="B6" s="50"/>
      <x:c r="C6" s="51"/>
      <x:c r="D6" s="52"/>
      <x:c r="E6" s="53"/>
      <x:c r="F6" s="38"/>
      <x:c r="G6" s="38"/>
    </x:row>
    <x:row r="7" ht="15.75">
      <x:c r="A7" s="38"/>
      <x:c r="B7" s="38"/>
      <x:c r="C7" s="38"/>
      <x:c r="D7" s="38"/>
      <x:c r="E7" s="38"/>
      <x:c r="F7" s="38"/>
      <x:c r="G7" s="38"/>
    </x:row>
    <x:row r="8" ht="15.75">
      <x:c r="A8" s="38"/>
      <x:c r="B8" s="38"/>
      <x:c r="C8" s="39" t="s">
        <x:v>14</x:v>
      </x:c>
      <x:c r="D8" s="38"/>
      <x:c r="E8" s="38"/>
      <x:c r="F8" s="38"/>
      <x:c r="G8" s="38"/>
    </x:row>
    <x:row r="9" ht="16.5">
      <x:c r="A9" s="38"/>
      <x:c r="B9" s="38"/>
      <x:c r="C9" s="38"/>
      <x:c r="D9" s="38"/>
      <x:c r="E9" s="38"/>
      <x:c r="F9" s="38"/>
      <x:c r="G9" s="38"/>
    </x:row>
    <x:row r="10" ht="15.75">
      <x:c r="A10" s="38"/>
      <x:c r="B10" s="54"/>
      <x:c r="C10" s="55"/>
      <x:c r="D10" s="55"/>
      <x:c r="E10" s="56"/>
      <x:c r="F10" s="38"/>
      <x:c r="G10" s="38"/>
    </x:row>
    <x:row r="11" ht="19.5">
      <x:c r="A11" s="38"/>
      <x:c r="B11" s="57"/>
      <x:c r="C11" s="65" t="s">
        <x:v>15</x:v>
      </x:c>
      <x:c r="D11" s="66"/>
      <x:c r="E11" s="59"/>
      <x:c r="F11" s="38"/>
      <x:c r="G11" s="38" t="s">
        <x:v>16</x:v>
      </x:c>
    </x:row>
    <x:row r="12" ht="16.5">
      <x:c r="A12" s="38"/>
      <x:c r="B12" s="62"/>
      <x:c r="C12" s="63"/>
      <x:c r="D12" s="63"/>
      <x:c r="E12" s="64"/>
      <x:c r="F12" s="38"/>
      <x:c r="G12" s="38"/>
    </x:row>
    <x:row r="13" ht="15.75">
      <x:c r="A13" s="38"/>
      <x:c r="B13" s="38"/>
      <x:c r="C13" s="38"/>
      <x:c r="D13" s="38"/>
      <x:c r="E13" s="38"/>
      <x:c r="F13" s="38"/>
      <x:c r="G13" s="38"/>
    </x:row>
    <x:row r="14" ht="15.75">
      <x:c r="A14" s="38"/>
      <x:c r="B14" s="38"/>
      <x:c r="C14" s="38"/>
      <x:c r="D14" s="38"/>
      <x:c r="E14" s="38"/>
      <x:c r="F14" s="38"/>
      <x:c r="G14" s="38"/>
    </x:row>
    <x:row r="15" ht="15.75">
      <x:c r="A15" s="38"/>
      <x:c r="B15" s="38"/>
      <x:c r="C15" s="38"/>
      <x:c r="D15" s="38"/>
      <x:c r="E15" s="38"/>
      <x:c r="F15" s="38"/>
      <x:c r="G15" s="38"/>
    </x:row>
  </x:sheetData>
  <x:pageMargins left="0.7" right="0.7" top="0.75" bottom="0.75" header="0.3" footer="0.3"/>
  <x:drawing xmlns:r="http://schemas.openxmlformats.org/officeDocument/2006/relationships" r:id="R10fdf823265f436b"/>
</x:worksheet>
</file>

<file path=xl/worksheets/sheet3.xml><?xml version="1.0" encoding="utf-8"?>
<x:worksheet xmlns:x="http://schemas.openxmlformats.org/spreadsheetml/2006/main">
  <x:sheetPr>
    <x:tabColor rgb="FF002060"/>
  </x:sheetPr>
  <x:sheetFormatPr defaultRowHeight="15"/>
  <x:cols>
    <x:col min="3" max="3" width="24.140625" customWidth="1"/>
    <x:col min="4" max="4" width="20" customWidth="1"/>
  </x:cols>
  <x:sheetData>
    <x:row r="1" ht="15.75">
      <x:c r="A1" s="38"/>
      <x:c r="B1" s="38"/>
      <x:c r="C1" s="39" t="s">
        <x:v>0</x:v>
      </x:c>
      <x:c r="D1" s="38"/>
      <x:c r="E1" s="38"/>
      <x:c r="F1" s="38"/>
      <x:c r="G1" s="38"/>
      <x:c r="H1" s="38"/>
      <x:c r="I1" s="38"/>
      <x:c r="J1" s="38"/>
    </x:row>
    <x:row r="2" ht="16.5">
      <x:c r="A2" s="38"/>
      <x:c r="B2" s="38"/>
      <x:c r="C2" s="38"/>
      <x:c r="D2" s="38"/>
      <x:c r="E2" s="38"/>
      <x:c r="F2" s="38"/>
      <x:c r="G2" s="38"/>
      <x:c r="H2" s="38"/>
      <x:c r="I2" s="38"/>
      <x:c r="J2" s="38"/>
    </x:row>
    <x:row r="3" ht="15.75">
      <x:c r="A3" s="38"/>
      <x:c r="B3" s="40"/>
      <x:c r="C3" s="41"/>
      <x:c r="D3" s="41"/>
      <x:c r="E3" s="42"/>
      <x:c r="F3" s="38"/>
      <x:c r="G3" s="38"/>
      <x:c r="H3" s="38"/>
      <x:c r="I3" s="38"/>
      <x:c r="J3" s="38"/>
    </x:row>
    <x:row r="4" ht="15.75">
      <x:c r="A4" s="38"/>
      <x:c r="B4" s="43"/>
      <x:c r="C4" s="67"/>
      <x:c r="D4" s="68"/>
      <x:c r="E4" s="46"/>
      <x:c r="F4" s="38"/>
      <x:c r="G4" s="38"/>
      <x:c r="H4" s="38"/>
      <x:c r="I4" s="38"/>
      <x:c r="J4" s="38"/>
    </x:row>
    <x:row r="5" ht="15.75">
      <x:c r="A5" s="38"/>
      <x:c r="B5" s="43"/>
      <x:c r="C5" s="67" t="s">
        <x:v>17</x:v>
      </x:c>
      <x:c r="D5" s="73">
        <x:v>19</x:v>
      </x:c>
      <x:c r="E5" s="46"/>
      <x:c r="F5" s="38"/>
      <x:c r="G5" s="38"/>
      <x:c r="H5" s="38"/>
      <x:c r="I5" s="38"/>
      <x:c r="J5" s="38"/>
    </x:row>
    <x:row r="6" ht="15.75">
      <x:c r="A6" s="38"/>
      <x:c r="B6" s="43"/>
      <x:c r="C6" s="44" t="s">
        <x:v>18</x:v>
      </x:c>
      <x:c r="D6" s="70">
        <x:v>0.94</x:v>
      </x:c>
      <x:c r="E6" s="46"/>
      <x:c r="F6" s="38"/>
      <x:c r="G6" s="38"/>
      <x:c r="H6" s="38"/>
      <x:c r="I6" s="38"/>
      <x:c r="J6" s="38"/>
    </x:row>
    <x:row r="7" ht="15.75">
      <x:c r="A7" s="38"/>
      <x:c r="B7" s="43"/>
      <x:c r="C7" s="44" t="s">
        <x:v>19</x:v>
      </x:c>
      <x:c r="D7" s="74">
        <x:v>1000</x:v>
      </x:c>
      <x:c r="E7" s="46"/>
      <x:c r="F7" s="38"/>
      <x:c r="G7" s="38"/>
      <x:c r="H7" s="38"/>
      <x:c r="I7" s="38"/>
      <x:c r="J7" s="38"/>
    </x:row>
    <x:row r="8" ht="15.75">
      <x:c r="A8" s="38"/>
      <x:c r="B8" s="43"/>
      <x:c r="C8" s="44" t="s">
        <x:v>20</x:v>
      </x:c>
      <x:c r="D8" s="70">
        <x:v>0.05</x:v>
      </x:c>
      <x:c r="E8" s="46"/>
      <x:c r="F8" s="38"/>
      <x:c r="G8" s="38"/>
      <x:c r="H8" s="38"/>
      <x:c r="I8" s="38"/>
      <x:c r="J8" s="38"/>
    </x:row>
    <x:row r="9" ht="15.75">
      <x:c r="A9" s="38"/>
      <x:c r="B9" s="43"/>
      <x:c r="C9" s="44" t="s">
        <x:v>21</x:v>
      </x:c>
      <x:c r="D9" s="69">
        <x:v>2</x:v>
      </x:c>
      <x:c r="E9" s="46"/>
      <x:c r="F9" s="38"/>
      <x:c r="G9" s="38"/>
      <x:c r="H9" s="38"/>
      <x:c r="I9" s="38"/>
      <x:c r="J9" s="38"/>
    </x:row>
    <x:row r="10" ht="15.75">
      <x:c r="A10" s="38"/>
      <x:c r="B10" s="43"/>
      <x:c r="C10" s="44" t="s">
        <x:v>22</x:v>
      </x:c>
      <x:c r="D10" s="70">
        <x:v>0.21</x:v>
      </x:c>
      <x:c r="E10" s="46"/>
      <x:c r="F10" s="38"/>
      <x:c r="G10" s="38"/>
      <x:c r="H10" s="38"/>
      <x:c r="I10" s="38"/>
      <x:c r="J10" s="38"/>
    </x:row>
    <x:row r="11" ht="16.5">
      <x:c r="A11" s="38"/>
      <x:c r="B11" s="50"/>
      <x:c r="C11" s="51"/>
      <x:c r="D11" s="52"/>
      <x:c r="E11" s="53"/>
      <x:c r="F11" s="38"/>
      <x:c r="G11" s="38"/>
      <x:c r="H11" s="38"/>
      <x:c r="I11" s="38"/>
      <x:c r="J11" s="38"/>
    </x:row>
    <x:row r="12" ht="15.75">
      <x:c r="A12" s="38"/>
      <x:c r="B12" s="88"/>
      <x:c r="C12" s="88" t="s">
        <x:v>7</x:v>
      </x:c>
      <x:c r="D12" s="38"/>
      <x:c r="E12" s="38"/>
      <x:c r="F12" s="38"/>
      <x:c r="G12" s="38"/>
      <x:c r="H12" s="38"/>
      <x:c r="I12" s="38"/>
      <x:c r="J12" s="38"/>
    </x:row>
    <x:row r="13" ht="15.75">
      <x:c r="A13" s="38"/>
      <x:c r="B13" s="38"/>
      <x:c r="C13" s="39" t="s">
        <x:v>14</x:v>
      </x:c>
      <x:c r="D13" s="38"/>
      <x:c r="E13" s="38"/>
      <x:c r="F13" s="38"/>
      <x:c r="G13" s="38"/>
      <x:c r="H13" s="38"/>
      <x:c r="I13" s="38"/>
      <x:c r="J13" s="38"/>
    </x:row>
    <x:row r="14" ht="16.5">
      <x:c r="A14" s="38"/>
      <x:c r="B14" s="38"/>
      <x:c r="C14" s="38"/>
      <x:c r="D14" s="38"/>
      <x:c r="E14" s="38"/>
      <x:c r="F14" s="38"/>
      <x:c r="G14" s="38"/>
      <x:c r="H14" s="38"/>
      <x:c r="I14" s="38"/>
      <x:c r="J14" s="38"/>
    </x:row>
    <x:row r="15" ht="15.75">
      <x:c r="A15" s="38"/>
      <x:c r="B15" s="54"/>
      <x:c r="C15" s="55"/>
      <x:c r="D15" s="55"/>
      <x:c r="E15" s="56"/>
      <x:c r="F15" s="38"/>
      <x:c r="G15" s="38"/>
      <x:c r="H15" s="38"/>
      <x:c r="I15" s="38"/>
      <x:c r="J15" s="38"/>
    </x:row>
    <x:row r="16" ht="15.75">
      <x:c r="A16" s="38"/>
      <x:c r="B16" s="57"/>
      <x:c r="C16" s="58" t="s">
        <x:v>23</x:v>
      </x:c>
      <x:c r="D16" s="66"/>
      <x:c r="E16" s="59"/>
      <x:c r="F16" s="38"/>
      <x:c r="G16" s="72" t="s">
        <x:v>24</x:v>
      </x:c>
      <x:c r="H16" s="38"/>
      <x:c r="I16" s="38"/>
      <x:c r="J16" s="38"/>
    </x:row>
    <x:row r="17" ht="15.75">
      <x:c r="A17" s="38"/>
      <x:c r="B17" s="57"/>
      <x:c r="C17" s="58"/>
      <x:c r="D17" s="71"/>
      <x:c r="E17" s="59"/>
      <x:c r="F17" s="38"/>
      <x:c r="G17" s="38"/>
      <x:c r="H17" s="38"/>
      <x:c r="I17" s="38"/>
      <x:c r="J17" s="38"/>
    </x:row>
    <x:row r="18" ht="15.75">
      <x:c r="A18" s="38"/>
      <x:c r="B18" s="57"/>
      <x:c r="C18" s="58" t="s">
        <x:v>25</x:v>
      </x:c>
      <x:c r="D18" s="66"/>
      <x:c r="E18" s="59"/>
      <x:c r="F18" s="38"/>
      <x:c r="G18" s="38" t="s">
        <x:v>26</x:v>
      </x:c>
      <x:c r="H18" s="38"/>
      <x:c r="I18" s="38"/>
      <x:c r="J18" s="38"/>
    </x:row>
    <x:row r="19" ht="16.5">
      <x:c r="A19" s="38"/>
      <x:c r="B19" s="62"/>
      <x:c r="C19" s="63"/>
      <x:c r="D19" s="63"/>
      <x:c r="E19" s="64"/>
      <x:c r="F19" s="38"/>
      <x:c r="G19" s="38"/>
      <x:c r="H19" s="38"/>
      <x:c r="I19" s="38"/>
      <x:c r="J19" s="38"/>
    </x:row>
    <x:row r="20" ht="15.75">
      <x:c r="A20" s="38"/>
      <x:c r="B20" s="38"/>
      <x:c r="C20" s="38"/>
      <x:c r="D20" s="38"/>
      <x:c r="E20" s="38"/>
      <x:c r="F20" s="38"/>
      <x:c r="G20" s="38"/>
      <x:c r="H20" s="38"/>
      <x:c r="I20" s="38"/>
      <x:c r="J20" s="38"/>
    </x:row>
    <x:row r="21" ht="15.75">
      <x:c r="A21" s="38"/>
      <x:c r="B21" s="38"/>
      <x:c r="C21" s="38"/>
      <x:c r="D21" s="38"/>
      <x:c r="E21" s="38"/>
      <x:c r="F21" s="38"/>
      <x:c r="H21" s="38"/>
      <x:c r="I21" s="38"/>
      <x:c r="J21" s="38"/>
    </x:row>
    <x:row r="22" ht="15.75">
      <x:c r="A22" s="38"/>
      <x:c r="B22" s="38"/>
      <x:c r="C22" s="38"/>
      <x:c r="D22" s="38"/>
      <x:c r="E22" s="38"/>
      <x:c r="F22" s="38"/>
      <x:c r="G22" s="38"/>
      <x:c r="H22" s="38"/>
      <x:c r="I22" s="38"/>
      <x:c r="J22" s="38"/>
    </x:row>
    <x:row r="23" ht="15.75">
      <x:c r="A23" s="38"/>
      <x:c r="B23" s="38"/>
      <x:c r="C23" s="38"/>
      <x:c r="D23" s="38"/>
      <x:c r="E23" s="38"/>
      <x:c r="F23" s="38"/>
      <x:c r="G23" s="38"/>
      <x:c r="H23" s="38"/>
      <x:c r="I23" s="38"/>
      <x:c r="J23" s="38"/>
    </x:row>
    <x:row r="24" ht="15.75">
      <x:c r="A24" s="38"/>
      <x:c r="B24" s="38"/>
      <x:c r="C24" s="38"/>
      <x:c r="D24" s="38"/>
      <x:c r="E24" s="38"/>
      <x:c r="F24" s="38"/>
      <x:c r="G24" s="38"/>
      <x:c r="H24" s="38"/>
      <x:c r="I24" s="38"/>
      <x:c r="J24" s="38"/>
    </x:row>
    <x:row r="25" ht="15.75">
      <x:c r="A25" s="38"/>
      <x:c r="B25" s="38"/>
      <x:c r="C25" s="38"/>
      <x:c r="D25" s="38"/>
      <x:c r="E25" s="38"/>
      <x:c r="F25" s="38"/>
      <x:c r="G25" s="38"/>
      <x:c r="H25" s="38"/>
      <x:c r="I25" s="38"/>
      <x:c r="J25" s="38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002060"/>
  </x:sheetPr>
  <x:sheetFormatPr defaultRowHeight="15"/>
  <x:cols>
    <x:col min="1" max="1" width="21" customWidth="1"/>
    <x:col min="2" max="2" width="16.7109375" customWidth="1"/>
    <x:col min="3" max="3" width="16.28515625" style="5" customWidth="1"/>
  </x:cols>
  <x:sheetData>
    <x:row r="2" ht="30">
      <x:c r="A2" s="7"/>
      <x:c r="B2" s="8" t="s">
        <x:v>27</x:v>
      </x:c>
      <x:c r="C2" s="9" t="s">
        <x:v>28</x:v>
      </x:c>
    </x:row>
    <x:row r="3">
      <x:c r="A3" t="s">
        <x:v>29</x:v>
      </x:c>
      <x:c r="B3" s="11">
        <x:v>5000</x:v>
      </x:c>
      <x:c r="C3" s="6"/>
      <x:c r="D3" t="s">
        <x:v>30</x:v>
      </x:c>
    </x:row>
    <x:row r="4">
      <x:c r="A4" t="s">
        <x:v>31</x:v>
      </x:c>
      <x:c r="B4" s="11">
        <x:v>10000</x:v>
      </x:c>
      <x:c r="C4" s="6"/>
    </x:row>
    <x:row r="5" ht="15.75">
      <x:c r="A5" t="s">
        <x:v>32</x:v>
      </x:c>
      <x:c r="B5" s="12">
        <x:v>1000</x:v>
      </x:c>
      <x:c r="C5" s="6"/>
    </x:row>
    <x:row r="6" ht="15.75">
      <x:c r="A6" t="s">
        <x:v>33</x:v>
      </x:c>
      <x:c r="B6" s="11" t="n">
        <x:f>SUM(B3:B5)</x:f>
        <x:v>16000</x:v>
      </x:c>
    </x:row>
    <x:row r="8">
      <x:c r="A8" t="s">
        <x:v>34</x:v>
      </x:c>
      <x:c r="B8" s="6">
        <x:v>0.08</x:v>
      </x:c>
      <x:c r="C8" s="6"/>
      <x:c r="D8" t="s">
        <x:v>35</x:v>
      </x:c>
    </x:row>
    <x:row r="9">
      <x:c r="A9" t="s">
        <x:v>36</x:v>
      </x:c>
      <x:c r="B9" s="6">
        <x:v>0.05</x:v>
      </x:c>
      <x:c r="C9" s="6"/>
    </x:row>
    <x:row r="10">
      <x:c r="A10" t="s">
        <x:v>37</x:v>
      </x:c>
      <x:c r="B10" s="6">
        <x:v>0.09</x:v>
      </x:c>
      <x:c r="C10" s="6"/>
    </x:row>
    <x:row r="11">
      <x:c r="B11" s="5"/>
    </x:row>
    <x:row r="12" ht="15.75">
      <x:c r="A12" s="10" t="s">
        <x:v>38</x:v>
      </x:c>
      <x:c r="B12" s="77"/>
      <x:c r="C12" s="77" t="s">
        <x:v>7</x:v>
      </x:c>
    </x:row>
    <x:row r="17" ht="31.5">
      <x:c r="A17" s="75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5.7109375" customWidth="1"/>
    <x:col min="2" max="2" width="11" customWidth="1"/>
    <x:col min="4" max="4" width="24.28515625" customWidth="1"/>
    <x:col min="7" max="7" width="29.7109375" customWidth="1"/>
    <x:col min="8" max="8" width="35.42578125" customWidth="1"/>
    <x:col min="9" max="9" width="35.140625" customWidth="1"/>
  </x:cols>
  <x:sheetData>
    <x:row r="1" ht="18.75">
      <x:c r="A1" s="7" t="s">
        <x:v>39</x:v>
      </x:c>
      <x:c r="D1" s="7" t="s">
        <x:v>37</x:v>
      </x:c>
      <x:c r="G1" s="86" t="s">
        <x:v>36</x:v>
      </x:c>
      <x:c r="H1" s="86"/>
    </x:row>
    <x:row r="2">
      <x:c r="G2" t="s">
        <x:v>40</x:v>
      </x:c>
      <x:c r="H2" s="14">
        <x:v>1000</x:v>
      </x:c>
    </x:row>
    <x:row r="3">
      <x:c r="G3" t="s">
        <x:v>17</x:v>
      </x:c>
      <x:c r="H3">
        <x:v>20</x:v>
      </x:c>
    </x:row>
    <x:row r="4">
      <x:c r="A4" s="28" t="s">
        <x:v>41</x:v>
      </x:c>
      <x:c r="B4" s="29">
        <x:v>32.75</x:v>
      </x:c>
      <x:c r="D4" s="28" t="s">
        <x:v>41</x:v>
      </x:c>
      <x:c r="E4" s="29">
        <x:v>72</x:v>
      </x:c>
      <x:c r="G4" t="s">
        <x:v>42</x:v>
      </x:c>
      <x:c r="H4" s="2">
        <x:v>0.08</x:v>
      </x:c>
    </x:row>
    <x:row r="5">
      <x:c r="A5" t="s">
        <x:v>43</x:v>
      </x:c>
      <x:c r="B5" s="4">
        <x:v>1.54</x:v>
      </x:c>
      <x:c r="D5" t="s">
        <x:v>43</x:v>
      </x:c>
      <x:c r="E5" s="4">
        <x:v>7</x:v>
      </x:c>
      <x:c r="G5" t="s">
        <x:v>44</x:v>
      </x:c>
      <x:c r="H5" s="15" t="n">
        <x:f>H4*H2</x:f>
        <x:v>80</x:v>
      </x:c>
    </x:row>
    <x:row r="6">
      <x:c r="A6" t="s">
        <x:v>45</x:v>
      </x:c>
      <x:c r="B6" s="2">
        <x:v>0.06</x:v>
      </x:c>
      <x:c r="G6" t="s">
        <x:v>46</x:v>
      </x:c>
      <x:c r="H6">
        <x:v>2</x:v>
      </x:c>
    </x:row>
    <x:row r="7">
      <x:c r="A7" t="s">
        <x:v>47</x:v>
      </x:c>
      <x:c r="B7" s="2">
        <x:v>0.03</x:v>
      </x:c>
      <x:c r="G7" s="28" t="s">
        <x:v>48</x:v>
      </x:c>
      <x:c r="H7" s="30">
        <x:v>0.97499999999999998</x:v>
      </x:c>
    </x:row>
    <x:row r="8">
      <x:c r="A8" t="s">
        <x:v>49</x:v>
      </x:c>
      <x:c r="B8" s="2">
        <x:v>0.09</x:v>
      </x:c>
      <x:c r="G8" t="s">
        <x:v>50</x:v>
      </x:c>
      <x:c r="H8" s="2">
        <x:v>0.21</x:v>
      </x:c>
    </x:row>
    <x:row r="9">
      <x:c r="A9" t="s">
        <x:v>1</x:v>
      </x:c>
      <x:c r="B9">
        <x:v>1.3</x:v>
      </x:c>
    </x:row>
    <x:row r="10">
      <x:c r="G10" t="s">
        <x:v>51</x:v>
      </x:c>
      <x:c r="H10" s="15" t="n">
        <x:f>H7*H2</x:f>
        <x:v>975</x:v>
      </x:c>
    </x:row>
    <x:row r="11" ht="15.75">
      <x:c r="A11" s="1" t="s">
        <x:v>52</x:v>
      </x:c>
      <x:c r="B11" s="1"/>
      <x:c r="D11" s="1" t="s">
        <x:v>53</x:v>
      </x:c>
      <x:c r="H11" s="15"/>
    </x:row>
    <x:row r="12" ht="15.75">
      <x:c r="A12" t="s">
        <x:v>54</x:v>
      </x:c>
      <x:c r="B12" s="78"/>
      <x:c r="D12" t="s">
        <x:v>55</x:v>
      </x:c>
      <x:c r="E12" s="79"/>
      <x:c r="G12" s="16" t="s">
        <x:v>56</x:v>
      </x:c>
      <x:c r="H12" s="80"/>
    </x:row>
    <x:row r="13">
      <x:c r="A13" t="s">
        <x:v>57</x:v>
      </x:c>
      <x:c r="B13" s="78"/>
    </x:row>
    <x:row r="15">
      <x:c r="A15" t="s">
        <x:v>58</x:v>
      </x:c>
      <x:c r="B15" s="78"/>
      <x:c r="G15" s="16" t="s">
        <x:v>59</x:v>
      </x:c>
      <x:c r="H15" s="81"/>
    </x:row>
    <x:row r="18">
      <x:c r="G18" t="s">
        <x:v>60</x:v>
      </x:c>
    </x:row>
    <x:row r="19">
      <x:c r="G19" t="s">
        <x:v>61</x:v>
      </x:c>
    </x:row>
    <x:row r="23">
      <x:c r="A23" s="83" t="s">
        <x:v>62</x:v>
      </x:c>
    </x:row>
  </x:sheetData>
  <x:mergeCells>
    <x:mergeCell ref="G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.140625" customWidth="1"/>
    <x:col min="2" max="2" width="35.28515625" style="3" customWidth="1"/>
    <x:col min="3" max="3" width="31.140625" customWidth="1"/>
    <x:col min="4" max="4" width="19.42578125" customWidth="1"/>
  </x:cols>
  <x:sheetData>
    <x:row r="1">
      <x:c r="A1" s="7" t="s">
        <x:v>63</x:v>
      </x:c>
      <x:c r="B1" s="18"/>
    </x:row>
    <x:row r="2">
      <x:c r="A2" t="s">
        <x:v>34</x:v>
      </x:c>
      <x:c r="B2" s="89"/>
    </x:row>
    <x:row r="3" ht="26.25">
      <x:c r="A3" t="s">
        <x:v>37</x:v>
      </x:c>
      <x:c r="B3" s="89"/>
      <x:c r="C3" s="87" t="s">
        <x:v>64</x:v>
      </x:c>
    </x:row>
    <x:row r="4">
      <x:c r="A4" t="s">
        <x:v>65</x:v>
      </x:c>
      <x:c r="B4" s="89"/>
    </x:row>
    <x:row r="5">
      <x:c r="A5" t="s">
        <x:v>50</x:v>
      </x:c>
      <x:c r="B5" s="90"/>
    </x:row>
    <x:row r="7">
      <x:c r="A7" t="s">
        <x:v>66</x:v>
      </x:c>
      <x:c r="B7" s="20">
        <x:v>3000000</x:v>
      </x:c>
    </x:row>
    <x:row r="8">
      <x:c r="A8" t="s">
        <x:v>67</x:v>
      </x:c>
      <x:c r="B8" s="21" t="n">
        <x:f>'ADK- Rates WACC'!B4</x:f>
        <x:v>32.75</x:v>
      </x:c>
    </x:row>
    <x:row r="9">
      <x:c r="A9" t="s">
        <x:v>68</x:v>
      </x:c>
      <x:c r="B9" s="20">
        <x:v>1000000</x:v>
      </x:c>
      <x:c r="D9" s="37"/>
    </x:row>
    <x:row r="10">
      <x:c r="A10" t="s">
        <x:v>69</x:v>
      </x:c>
      <x:c r="B10" s="21" t="n">
        <x:f>'ADK- Rates WACC'!E4</x:f>
        <x:v>72</x:v>
      </x:c>
      <x:c r="D10" s="37"/>
    </x:row>
    <x:row r="11" ht="15.75">
      <x:c r="A11" s="17" t="s">
        <x:v>70</x:v>
      </x:c>
      <x:c r="B11" s="20">
        <x:v>30000</x:v>
      </x:c>
      <x:c r="D11" s="2"/>
    </x:row>
    <x:row r="12">
      <x:c r="A12" t="s">
        <x:v>71</x:v>
      </x:c>
      <x:c r="B12" s="19" t="n">
        <x:f>'ADK- Rates WACC'!H7</x:f>
        <x:v>0.975</x:v>
      </x:c>
      <x:c r="D12" s="84"/>
    </x:row>
    <x:row r="13">
      <x:c r="B13" s="22"/>
    </x:row>
    <x:row r="14">
      <x:c r="A14" s="34" t="s">
        <x:v>72</x:v>
      </x:c>
      <x:c r="B14" s="35"/>
    </x:row>
    <x:row r="15">
      <x:c r="A15" t="s">
        <x:v>29</x:v>
      </x:c>
      <x:c r="B15" s="23"/>
    </x:row>
    <x:row r="16">
      <x:c r="A16" t="s">
        <x:v>73</x:v>
      </x:c>
      <x:c r="B16" s="23"/>
    </x:row>
    <x:row r="17" ht="15.75">
      <x:c r="A17" s="32" t="s">
        <x:v>31</x:v>
      </x:c>
      <x:c r="B17" s="33"/>
    </x:row>
    <x:row r="18">
      <x:c r="A18" t="s">
        <x:v>74</x:v>
      </x:c>
      <x:c r="B18" s="31" t="n">
        <x:f>SUM(B15:B17)</x:f>
        <x:v>0</x:v>
      </x:c>
    </x:row>
    <x:row r="19">
      <x:c r="B19" s="31"/>
    </x:row>
    <x:row r="20">
      <x:c r="A20" s="34" t="s">
        <x:v>75</x:v>
      </x:c>
      <x:c r="B20" s="36"/>
    </x:row>
    <x:row r="21">
      <x:c r="A21" t="s">
        <x:v>76</x:v>
      </x:c>
      <x:c r="B21" s="24"/>
    </x:row>
    <x:row r="22">
      <x:c r="A22" t="s">
        <x:v>77</x:v>
      </x:c>
      <x:c r="B22" s="24"/>
    </x:row>
    <x:row r="23" ht="16.5" customHeight="1">
      <x:c r="A23" t="s">
        <x:v>78</x:v>
      </x:c>
      <x:c r="B23" s="24"/>
    </x:row>
    <x:row r="24" ht="16.5" customHeight="1">
      <x:c r="B24" s="24"/>
    </x:row>
    <x:row r="25">
      <x:c r="A25" t="s">
        <x:v>79</x:v>
      </x:c>
    </x:row>
    <x:row r="26">
      <x:c r="A26" s="26" t="s">
        <x:v>80</x:v>
      </x:c>
      <x:c r="B26" s="25"/>
    </x:row>
    <x:row r="28">
      <x:c r="A28" s="82" t="s">
        <x:v>79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EE0000"/>
  </x:sheetPr>
  <x:sheetFormatPr defaultRowHeight="15"/>
  <x:cols>
    <x:col min="1" max="1" width="18.85546875" customWidth="1"/>
    <x:col min="2" max="2" width="33.85546875" customWidth="1"/>
    <x:col min="3" max="3" width="18.5703125" customWidth="1"/>
  </x:cols>
  <x:sheetData>
    <x:row r="1" ht="54" customHeight="1">
      <x:c r="A1" s="76" t="s">
        <x:v>81</x:v>
      </x:c>
      <x:c r="B1" s="76"/>
      <x:c r="C1" s="76"/>
      <x:c r="D1" s="76"/>
      <x:c r="E1" s="76"/>
      <x:c r="F1" s="76"/>
    </x:row>
    <x:row r="2">
      <x:c r="B2" t="s">
        <x:v>82</x:v>
      </x:c>
      <x:c r="C2" t="s">
        <x:v>83</x:v>
      </x:c>
    </x:row>
    <x:row r="3">
      <x:c r="A3" t="s">
        <x:v>84</x:v>
      </x:c>
      <x:c r="B3" s="37">
        <x:v>2000000</x:v>
      </x:c>
      <x:c r="C3" s="27">
        <x:v>45</x:v>
      </x:c>
    </x:row>
    <x:row r="4">
      <x:c r="A4" t="s">
        <x:v>85</x:v>
      </x:c>
      <x:c r="B4" s="37">
        <x:v>750000</x:v>
      </x:c>
      <x:c r="C4" s="27">
        <x:v>52</x:v>
      </x:c>
    </x:row>
    <x:row r="5">
      <x:c r="A5" t="s">
        <x:v>86</x:v>
      </x:c>
      <x:c r="B5" s="37">
        <x:v>20000000</x:v>
      </x:c>
      <x:c r="C5" s="13">
        <x:v>1.01</x:v>
      </x:c>
    </x:row>
    <x:row r="6">
      <x:c r="B6" s="37"/>
      <x:c r="C6" s="13"/>
    </x:row>
    <x:row r="7">
      <x:c r="A7" t="s">
        <x:v>87</x:v>
      </x:c>
    </x:row>
    <x:row r="8">
      <x:c r="A8" t="s">
        <x:v>88</x:v>
      </x:c>
    </x:row>
    <x:row r="10">
      <x:c r="A10" t="s">
        <x:v>89</x:v>
      </x:c>
    </x:row>
    <x:row r="11">
      <x:c r="A11" t="s">
        <x:v>90</x:v>
      </x:c>
    </x:row>
    <x:row r="12">
      <x:c r="A12" t="s">
        <x:v>91</x:v>
      </x:c>
    </x:row>
    <x:row r="13">
      <x:c r="A13" t="s">
        <x:v>92</x:v>
      </x:c>
    </x:row>
    <x:row r="14">
      <x:c r="A14" t="s">
        <x:v>93</x:v>
      </x:c>
    </x:row>
    <x:row r="15">
      <x:c r="A15" t="s">
        <x:v>94</x:v>
      </x:c>
    </x:row>
    <x:row r="16">
      <x:c r="A16" t="s">
        <x:v>95</x:v>
      </x:c>
    </x:row>
    <x:row r="17">
      <x:c r="A17" t="s">
        <x:v>96</x:v>
      </x:c>
    </x:row>
    <x:row r="18">
      <x:c r="A18" t="s">
        <x:v>97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22" hidden="0" customWidth="1"/>
    <x:col min="4" max="4" width="22" hidden="0" customWidth="1"/>
    <x:col min="5" max="5" width="18" hidden="0" customWidth="1"/>
    <x:col min="6" max="6" width="18" hidden="0" customWidth="1"/>
  </x:cols>
  <x:sheetData>
    <x:row r="1">
      <x:c r="A1" s="92" t="str">
        <x:v>Cost of Capital and WACC</x:v>
      </x:c>
      <x:c r="B1" s="92"/>
      <x:c r="C1" s="92"/>
      <x:c r="D1" s="92"/>
      <x:c r="E1" s="92"/>
      <x:c r="F1" s="92"/>
    </x:row>
    <x:row r="3">
      <x:c r="A3" s="94" t="str">
        <x:v>BUS311 · decisions-m02-l01 · FactSet required · student starter</x:v>
      </x:c>
      <x:c r="B3" s="94"/>
      <x:c r="C3" s="94"/>
      <x:c r="D3" s="94"/>
      <x:c r="E3" s="94"/>
      <x:c r="F3" s="94"/>
    </x:row>
    <x:row r="5">
      <x:c r="A5" s="97" t="str">
        <x:v>Step</x:v>
      </x:c>
      <x:c r="B5" s="98" t="str">
        <x:v>Required workflow</x:v>
      </x:c>
    </x:row>
    <x:row r="6">
      <x:c r="A6" s="99" t="n">
        <x:v>1</x:v>
      </x:c>
      <x:c r="B6" s="100" t="str">
        <x:v>Read the lesson pre-reading and confirm FactSet access.</x:v>
      </x:c>
    </x:row>
    <x:row r="7">
      <x:c r="A7" s="99" t="n">
        <x:v>2</x:v>
      </x:c>
      <x:c r="B7" s="100" t="str">
        <x:v>Enter or verify source values; keep units and periods consistent.</x:v>
      </x:c>
    </x:row>
    <x:row r="8">
      <x:c r="A8" s="99" t="n">
        <x:v>3</x:v>
      </x:c>
      <x:c r="B8" s="100" t="str">
        <x:v>Document every FactSet field, period, and retrieval date below.</x:v>
      </x:c>
    </x:row>
    <x:row r="9">
      <x:c r="A9" s="99" t="n">
        <x:v>4</x:v>
      </x:c>
      <x:c r="B9" s="100" t="str">
        <x:v>Complete calculations with visible, auditable Excel formulas.</x:v>
      </x:c>
    </x:row>
    <x:row r="10">
      <x:c r="A10" s="101" t="n">
        <x:v>5</x:v>
      </x:c>
      <x:c r="B10" s="102" t="str">
        <x:v>Use the model outputs to state a decision, evidence, risk, and monitoring trigger.</x:v>
      </x:c>
    </x:row>
    <x:row r="12">
      <x:c r="A12" s="105" t="str">
        <x:v>FactSet input</x:v>
      </x:c>
      <x:c r="B12" s="106" t="str">
        <x:v>Field / definition</x:v>
      </x:c>
      <x:c r="C12" s="106" t="str">
        <x:v>Period / units</x:v>
      </x:c>
      <x:c r="D12" s="107" t="str">
        <x:v>Source note</x:v>
      </x:c>
    </x:row>
    <x:row r="13">
      <x:c r="A13" s="99" t="str">
        <x:v>Company identifier</x:v>
      </x:c>
      <x:c r="B13" s="104" t="str"/>
      <x:c r="C13" s="104" t="str"/>
      <x:c r="D13" s="108" t="str"/>
    </x:row>
    <x:row r="14">
      <x:c r="A14" s="99" t="str">
        <x:v>Market or price input</x:v>
      </x:c>
      <x:c r="B14" s="104" t="str"/>
      <x:c r="C14" s="104" t="str"/>
      <x:c r="D14" s="108" t="str"/>
    </x:row>
    <x:row r="15">
      <x:c r="A15" s="99" t="str">
        <x:v>Financial statement input</x:v>
      </x:c>
      <x:c r="B15" s="104" t="str"/>
      <x:c r="C15" s="104" t="str"/>
      <x:c r="D15" s="108" t="str"/>
    </x:row>
    <x:row r="16">
      <x:c r="A16" s="99" t="str">
        <x:v>Risk or discount-rate input</x:v>
      </x:c>
      <x:c r="B16" s="104" t="str"/>
      <x:c r="C16" s="104" t="str"/>
      <x:c r="D16" s="108" t="str"/>
    </x:row>
    <x:row r="17">
      <x:c r="A17" s="101" t="str">
        <x:v>Comparison-company input</x:v>
      </x:c>
      <x:c r="B17" s="109" t="str"/>
      <x:c r="C17" s="109" t="str"/>
      <x:c r="D17" s="110" t="str"/>
    </x:row>
    <x:row r="19">
      <x:c r="A19" s="105" t="str">
        <x:v>Decision output</x:v>
      </x:c>
      <x:c r="B19" s="106" t="str">
        <x:v>Response</x:v>
      </x:c>
      <x:c r="C19" s="106" t="str"/>
      <x:c r="D19" s="106" t="str"/>
      <x:c r="E19" s="106" t="str"/>
      <x:c r="F19" s="107" t="str"/>
    </x:row>
    <x:row r="20">
      <x:c r="A20" s="99" t="str">
        <x:v>Recommendation</x:v>
      </x:c>
      <x:c r="B20" s="111" t="str"/>
      <x:c r="C20" s="111" t="str"/>
      <x:c r="D20" s="111" t="str"/>
      <x:c r="E20" s="111" t="str"/>
      <x:c r="F20" s="112" t="str"/>
    </x:row>
    <x:row r="21">
      <x:c r="A21" s="99" t="str">
        <x:v>Evidence from the model</x:v>
      </x:c>
      <x:c r="B21" s="111" t="str"/>
      <x:c r="C21" s="111" t="str"/>
      <x:c r="D21" s="111" t="str"/>
      <x:c r="E21" s="111" t="str"/>
      <x:c r="F21" s="112" t="str"/>
    </x:row>
    <x:row r="22">
      <x:c r="A22" s="99" t="str">
        <x:v>Primary risk or limitation</x:v>
      </x:c>
      <x:c r="B22" s="111" t="str"/>
      <x:c r="C22" s="111" t="str"/>
      <x:c r="D22" s="111" t="str"/>
      <x:c r="E22" s="111" t="str"/>
      <x:c r="F22" s="112" t="str"/>
    </x:row>
    <x:row r="23">
      <x:c r="A23" s="101" t="str">
        <x:v>Monitoring trigger</x:v>
      </x:c>
      <x:c r="B23" s="113" t="str"/>
      <x:c r="C23" s="113" t="str"/>
      <x:c r="D23" s="113" t="str"/>
      <x:c r="E23" s="113" t="str"/>
      <x:c r="F23" s="114" t="str"/>
    </x:row>
  </x:sheetData>
  <x:mergeCells>
    <x:mergeCell ref="A1:F1"/>
    <x:mergeCell ref="A3:F3"/>
  </x:mergeCells>
  <x:pageMargins left="0.7" right="0.7" top="0.75" bottom="0.75" header="0.3" footer="0.3"/>
</x:worksheet>
</file>