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e12a26ab9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c51ae69d9974287"/>
    <x:sheet xmlns:r="http://schemas.openxmlformats.org/officeDocument/2006/relationships" name="Revenue Map" sheetId="2" r:id="R708dacbc38ed4060"/>
    <x:sheet xmlns:r="http://schemas.openxmlformats.org/officeDocument/2006/relationships" name="Revenue History" sheetId="3" r:id="R2c9775b80ad64d97"/>
    <x:sheet xmlns:r="http://schemas.openxmlformats.org/officeDocument/2006/relationships" name="Driver Analysis" sheetId="4" r:id="Rea58d6440647434a"/>
    <x:sheet xmlns:r="http://schemas.openxmlformats.org/officeDocument/2006/relationships" name="Peers &amp; Demand" sheetId="5" r:id="Rc045058e62404d45"/>
    <x:sheet xmlns:r="http://schemas.openxmlformats.org/officeDocument/2006/relationships" name="Indicators &amp; Risks" sheetId="6" r:id="Rfc3be910c1ec484f"/>
    <x:sheet xmlns:r="http://schemas.openxmlformats.org/officeDocument/2006/relationships" name="Hypothesis &amp; Scenarios" sheetId="7" r:id="R889a4b282d8d491e"/>
    <x:sheet xmlns:r="http://schemas.openxmlformats.org/officeDocument/2006/relationships" name="Evidence Register" sheetId="8" r:id="R8c379b24f85a4e7b"/>
    <x:sheet xmlns:r="http://schemas.openxmlformats.org/officeDocument/2006/relationships" name="Checks &amp; Submission" sheetId="9" r:id="Ra821774f4a5c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.0;[Red](#,##0.0);-"/>
    <x:numFmt numFmtId="202" formatCode="yyyy-mm-dd"/>
  </x:numFmts>
  <x:fonts count="3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A2540"/>
      <x:name val="Carlito"/>
    </x:font>
    <x:font>
      <x:sz val="9"/>
      <x:color rgb="FF5E6B75"/>
      <x:name val="Carlito"/>
    </x:font>
    <x:font>
      <x:b/>
      <x:sz val="11"/>
      <x:color rgb="FFFFFFFF"/>
      <x:name val="Carlito"/>
    </x:font>
    <x:font>
      <x:b/>
      <x:sz val="11"/>
      <x:color rgb="FF0A2540"/>
      <x:name val="Carlito"/>
    </x:font>
    <x:font>
      <x:sz val="11"/>
      <x:color rgb="FF0000FF"/>
      <x:name val="Carlito"/>
    </x:font>
    <x:font>
      <x:sz val="8"/>
      <x:color rgb="FF5E6B75"/>
      <x:name val="Carlito"/>
    </x:font>
    <x:font>
      <x:b/>
      <x:sz val="11"/>
      <x:color rgb="FF19733B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i/>
      <x:sz val="11"/>
      <x:color rgb="FF0A2540"/>
      <x:name val="Carlito"/>
    </x:font>
    <x:font>
      <x:b/>
      <x:sz val="12"/>
      <x:color rgb="FFFFFFFF"/>
      <x:name val="Carlito"/>
    </x:font>
    <x:font>
      <x:b/>
      <x:sz val="12"/>
      <x:color rgb="FF000000"/>
      <x:name val="Carlito"/>
    </x:font>
    <x:font>
      <x:b/>
      <x:sz val="11"/>
      <x:color rgb="FF000000"/>
      <x:name val="Carlito"/>
    </x:font>
    <x:font>
      <x:b/>
      <x:sz val="10"/>
      <x:color rgb="FFFFFFFF"/>
      <x:name val="Aptos"/>
    </x:font>
    <x:font>
      <x:i/>
      <x:sz val="10"/>
      <x:color rgb="FF0A2540"/>
      <x:name val="Aptos"/>
    </x:font>
    <x:font>
      <x:sz val="10"/>
      <x:color rgb="FF5E6B75"/>
      <x:name val="Aptos"/>
    </x:font>
    <x:font>
      <x:sz val="10"/>
      <x:name val="Aptos"/>
    </x:font>
    <x:font>
      <x:b/>
      <x:sz val="10"/>
      <x:color rgb="FF0A2540"/>
      <x:name val="Aptos"/>
    </x:font>
    <x:font>
      <x:sz val="10"/>
      <x:color rgb="FF0000FF"/>
      <x:name val="Aptos"/>
    </x:font>
    <x:font>
      <x:b/>
      <x:sz val="10"/>
      <x:color rgb="FF19733B"/>
      <x:name val="Aptos"/>
    </x:font>
    <x:font>
      <x:sz val="10"/>
      <x:color rgb="FF000000"/>
      <x:name val="Aptos"/>
    </x:font>
    <x:font>
      <x:b/>
      <x:sz val="10"/>
      <x:color rgb="FF0000FF"/>
      <x:name val="Aptos"/>
    </x:font>
    <x:font>
      <x:b/>
      <x:sz val="10"/>
      <x:color rgb="FF008000"/>
      <x:name val="Aptos"/>
    </x:font>
    <x:font>
      <x:sz val="10"/>
      <x:color rgb="FF008000"/>
      <x:name val="Aptos"/>
    </x:font>
    <x:font>
      <x:b/>
      <x:sz val="10"/>
      <x:color rgb="FF000000"/>
      <x:name val="Aptos"/>
    </x:font>
    <x:font>
      <x:b/>
      <x:sz val="16"/>
      <x:color rgb="FFFFFFFF"/>
      <x:name val="Aptos Display"/>
    </x:font>
  </x:fonts>
  <x:fills count="11">
    <x:fill>
      <x:patternFill patternType="none"/>
    </x:fill>
    <x:fill>
      <x:patternFill patternType="gray125"/>
    </x:fill>
    <x:fill>
      <x:patternFill patternType="solid">
        <x:fgColor rgb="FF0A2540"/>
      </x:patternFill>
    </x:fill>
    <x:fill>
      <x:patternFill patternType="solid">
        <x:fgColor rgb="FFF7F3ED"/>
      </x:patternFill>
    </x:fill>
    <x:fill>
      <x:patternFill patternType="solid">
        <x:fgColor rgb="FFEEF1F4"/>
      </x:patternFill>
    </x:fill>
    <x:fill>
      <x:patternFill patternType="solid">
        <x:fgColor rgb="FF175FA9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F7E9E2"/>
      </x:patternFill>
    </x:fill>
    <x:fill>
      <x:patternFill patternType="solid">
        <x:fgColor rgb="FFE8F5EC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1D9"/>
      </x:left>
      <x:right style="thin">
        <x:color rgb="FFC8D1D9"/>
      </x:right>
      <x:top style="thin">
        <x:color rgb="FFC8D1D9"/>
      </x:top>
      <x:bottom style="thin">
        <x:color rgb="FFC8D1D9"/>
      </x:bottom>
    </x:border>
    <x:border>
      <x:left style="thin">
        <x:color rgb="FFC8D1D9"/>
      </x:left>
      <x:right style="thin">
        <x:color rgb="FFC8D1D9"/>
      </x:right>
      <x:top style="thin">
        <x:color rgb="FFC8D1D9"/>
      </x:top>
      <x:bottom style="double">
        <x:color rgb="FF0A2540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201" fontId="6" fillId="7" borderId="1" xfId="0" applyNumberFormat="1" applyFont="1" applyFill="1" applyBorder="1" applyAlignment="1">
      <x:alignment vertical="top" wrapText="1"/>
    </x:xf>
    <x:xf numFmtId="201" fontId="0" fillId="10" borderId="1" xfId="0" applyNumberFormat="1" applyFont="1" applyFill="1" applyBorder="1" applyAlignment="1">
      <x:alignment vertical="top" wrapText="1"/>
    </x:xf>
    <x:xf numFmtId="201" fontId="9" fillId="0" borderId="2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0" fontId="9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202" fontId="6" fillId="7" borderId="1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5" fillId="7" borderId="0" xfId="0" applyNumberFormat="1" applyFont="1" applyFill="1" applyBorder="1"/>
    <x:xf numFmtId="0" fontId="16" fillId="0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/>
    </x:xf>
    <x:xf numFmtId="0" fontId="18" fillId="3" borderId="0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/>
    <x:xf numFmtId="0" fontId="17" fillId="5" borderId="0" xfId="0" applyNumberFormat="1" applyFont="1" applyFill="1" applyBorder="1" applyAlignment="1">
      <x:alignment vertical="center"/>
    </x:xf>
    <x:xf numFmtId="0" fontId="21" fillId="6" borderId="1" xfId="0" applyNumberFormat="1" applyFont="1" applyFill="1" applyBorder="1" applyAlignment="1">
      <x:alignment vertical="top" wrapText="1"/>
    </x:xf>
    <x:xf numFmtId="0" fontId="22" fillId="7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19" fillId="0" borderId="1" xfId="0" applyNumberFormat="1" applyFont="1" applyFill="1" applyBorder="1" applyAlignment="1">
      <x:alignment vertical="top" wrapText="1"/>
    </x:xf>
    <x:xf numFmtId="0" fontId="21" fillId="8" borderId="1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top"/>
    </x:xf>
    <x:xf numFmtId="0" fontId="18" fillId="3" borderId="0" xfId="0" applyNumberFormat="1" applyFont="1" applyFill="1" applyBorder="1" applyAlignment="1">
      <x:alignment vertical="top" wrapText="1"/>
    </x:xf>
    <x:xf numFmtId="0" fontId="19" fillId="4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vertical="top"/>
    </x:xf>
    <x:xf numFmtId="0" fontId="17" fillId="5" borderId="0" xfId="0" applyNumberFormat="1" applyFont="1" applyFill="1" applyBorder="1" applyAlignment="1">
      <x:alignment vertical="top"/>
    </x:xf>
    <x:xf numFmtId="0" fontId="20" fillId="3" borderId="0" xfId="0" applyNumberFormat="1" applyFont="1" applyFill="1" applyBorder="1" applyAlignment="1">
      <x:alignment vertical="top" wrapText="1"/>
    </x:xf>
    <x:xf numFmtId="0" fontId="21" fillId="6" borderId="1" xfId="0" applyNumberFormat="1" applyFont="1" applyFill="1" applyBorder="1" applyAlignment="1">
      <x:alignment vertical="center" wrapText="1"/>
    </x:xf>
    <x:xf numFmtId="0" fontId="21" fillId="3" borderId="1" xfId="0" applyNumberFormat="1" applyFont="1" applyFill="1" applyBorder="1" applyAlignment="1">
      <x:alignment vertical="top" wrapText="1"/>
    </x:xf>
    <x:xf numFmtId="0" fontId="23" fillId="9" borderId="1" xfId="0" applyNumberFormat="1" applyFont="1" applyFill="1" applyBorder="1" applyAlignment="1">
      <x:alignment horizontal="center" vertical="top" wrapText="1"/>
    </x:xf>
    <x:xf numFmtId="0" fontId="24" fillId="0" borderId="1" xfId="0" applyNumberFormat="1" applyFont="1" applyFill="1" applyBorder="1" applyAlignment="1">
      <x:alignment vertical="top" wrapText="1"/>
    </x:xf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vertical="top" wrapText="1"/>
    </x:xf>
    <x:xf numFmtId="0" fontId="25" fillId="7" borderId="1" xfId="0" applyNumberFormat="1" applyFont="1" applyFill="1" applyBorder="1" applyAlignment="1">
      <x:alignment vertical="top" wrapText="1"/>
    </x:xf>
    <x:xf numFmtId="201" fontId="22" fillId="7" borderId="1" xfId="0" applyNumberFormat="1" applyFont="1" applyFill="1" applyBorder="1" applyAlignment="1">
      <x:alignment vertical="top" wrapText="1"/>
    </x:xf>
    <x:xf numFmtId="0" fontId="20" fillId="10" borderId="1" xfId="0" applyNumberFormat="1" applyFont="1" applyFill="1" applyBorder="1" applyAlignment="1">
      <x:alignment vertical="top" wrapText="1"/>
    </x:xf>
    <x:xf numFmtId="201" fontId="20" fillId="10" borderId="1" xfId="0" applyNumberFormat="1" applyFont="1" applyFill="1" applyBorder="1" applyAlignment="1">
      <x:alignment vertical="top" wrapText="1"/>
    </x:xf>
    <x:xf numFmtId="0" fontId="20" fillId="0" borderId="2" xfId="0" applyNumberFormat="1" applyFont="1" applyFill="1" applyBorder="1" applyAlignment="1">
      <x:alignment vertical="top" wrapText="1"/>
    </x:xf>
    <x:xf numFmtId="201" fontId="24" fillId="0" borderId="2" xfId="0" applyNumberFormat="1" applyFont="1" applyFill="1" applyBorder="1" applyAlignment="1">
      <x:alignment vertical="top" wrapText="1"/>
    </x:xf>
    <x:xf numFmtId="201" fontId="24" fillId="0" borderId="1" xfId="0" applyNumberFormat="1" applyFont="1" applyFill="1" applyBorder="1" applyAlignment="1">
      <x:alignment vertical="top" wrapText="1"/>
    </x:xf>
    <x:xf numFmtId="0" fontId="26" fillId="6" borderId="1" xfId="0" applyNumberFormat="1" applyFont="1" applyFill="1" applyBorder="1" applyAlignment="1">
      <x:alignment vertical="center" wrapText="1"/>
    </x:xf>
    <x:xf numFmtId="200" fontId="24" fillId="0" borderId="1" xfId="0" applyNumberFormat="1" applyFont="1" applyFill="1" applyBorder="1" applyAlignment="1">
      <x:alignment vertical="top" wrapText="1"/>
    </x:xf>
    <x:xf numFmtId="0" fontId="26" fillId="6" borderId="1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horizontal="center" vertical="top" wrapText="1"/>
    </x:xf>
    <x:xf numFmtId="201" fontId="27" fillId="0" borderId="1" xfId="0" applyNumberFormat="1" applyFont="1" applyFill="1" applyBorder="1" applyAlignment="1">
      <x:alignment vertical="top" wrapText="1"/>
    </x:xf>
    <x:xf numFmtId="0" fontId="20" fillId="3" borderId="1" xfId="0" applyNumberFormat="1" applyFont="1" applyFill="1" applyBorder="1" applyAlignment="1">
      <x:alignment vertical="center" wrapText="1"/>
    </x:xf>
    <x:xf numFmtId="0" fontId="27" fillId="0" borderId="1" xfId="0" applyNumberFormat="1" applyFont="1" applyFill="1" applyBorder="1" applyAlignment="1">
      <x:alignment vertical="top" wrapText="1"/>
    </x:xf>
    <x:xf numFmtId="0" fontId="20" fillId="3" borderId="1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wrapText="1"/>
    </x:xf>
    <x:xf numFmtId="0" fontId="21" fillId="3" borderId="0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wrapText="1"/>
    </x:xf>
    <x:xf numFmtId="0" fontId="21" fillId="3" borderId="0" xfId="0" applyNumberFormat="1" applyFont="1" applyFill="1" applyBorder="1" applyAlignment="1">
      <x:alignment horizontal="center" vertical="top"/>
    </x:xf>
    <x:xf numFmtId="0" fontId="18" fillId="8" borderId="0" xfId="0" applyNumberFormat="1" applyFont="1" applyFill="1" applyBorder="1" applyAlignment="1">
      <x:alignment vertical="top" wrapText="1"/>
    </x:xf>
    <x:xf numFmtId="202" fontId="22" fillId="7" borderId="1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/>
    <x:xf numFmtId="0" fontId="28" fillId="7" borderId="0" xfId="0" applyNumberFormat="1" applyFont="1" applyFill="1" applyBorder="1"/>
    <x:xf numFmtId="0" fontId="28" fillId="0" borderId="1" xfId="0" applyNumberFormat="1" applyFont="1" applyFill="1" applyBorder="1" applyAlignment="1">
      <x:alignment vertical="top" wrapText="1"/>
    </x:xf>
    <x:xf numFmtId="0" fontId="22" fillId="7" borderId="0" xfId="0" applyNumberFormat="1" applyFont="1" applyFill="1" applyBorder="1" applyAlignment="1">
      <x:alignment vertical="center" wrapText="1"/>
    </x:xf>
    <x:xf numFmtId="0" fontId="28" fillId="7" borderId="0" xfId="0" applyNumberFormat="1" applyFont="1" applyFill="1" applyBorder="1" applyAlignment="1">
      <x:alignment vertical="top"/>
    </x:xf>
    <x:xf numFmtId="0" fontId="22" fillId="7" borderId="0" xfId="0" applyNumberFormat="1" applyFont="1" applyFill="1" applyBorder="1" applyAlignment="1">
      <x:alignment vertical="top" wrapText="1"/>
    </x:xf>
    <x:xf numFmtId="0" fontId="29" fillId="2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960812b1d4882" /><Relationship Type="http://schemas.openxmlformats.org/officeDocument/2006/relationships/theme" Target="/xl/theme/theme1.xml" Id="Ra45202471d7e42ae" /><Relationship Type="http://schemas.openxmlformats.org/officeDocument/2006/relationships/sharedStrings" Target="/xl/sharedStrings.xml" Id="Re633a9dfd1fc43de" /><Relationship Type="http://schemas.openxmlformats.org/officeDocument/2006/relationships/worksheet" Target="/xl/worksheets/sheet1.xml" Id="R7c51ae69d9974287" /><Relationship Type="http://schemas.openxmlformats.org/officeDocument/2006/relationships/worksheet" Target="/xl/worksheets/sheet2.xml" Id="R708dacbc38ed4060" /><Relationship Type="http://schemas.openxmlformats.org/officeDocument/2006/relationships/worksheet" Target="/xl/worksheets/sheet3.xml" Id="R2c9775b80ad64d97" /><Relationship Type="http://schemas.openxmlformats.org/officeDocument/2006/relationships/worksheet" Target="/xl/worksheets/sheet4.xml" Id="Rea58d6440647434a" /><Relationship Type="http://schemas.openxmlformats.org/officeDocument/2006/relationships/worksheet" Target="/xl/worksheets/sheet5.xml" Id="Rc045058e62404d45" /><Relationship Type="http://schemas.openxmlformats.org/officeDocument/2006/relationships/worksheet" Target="/xl/worksheets/sheet6.xml" Id="Rfc3be910c1ec484f" /><Relationship Type="http://schemas.openxmlformats.org/officeDocument/2006/relationships/worksheet" Target="/xl/worksheets/sheet7.xml" Id="R889a4b282d8d491e" /><Relationship Type="http://schemas.openxmlformats.org/officeDocument/2006/relationships/worksheet" Target="/xl/worksheets/sheet8.xml" Id="R8c379b24f85a4e7b" /><Relationship Type="http://schemas.openxmlformats.org/officeDocument/2006/relationships/worksheet" Target="/xl/worksheets/sheet9.xml" Id="Ra821774f4a5c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</x:cols>
  <x:sheetData>
    <x:row r="1" ht="28" customHeight="1">
      <x:c r="A1" s="128" t="str">
        <x:v>BUS311 Capstone Milestone 2 | Read Me</x:v>
      </x:c>
      <x:c r="B1" s="128"/>
      <x:c r="C1" s="128"/>
      <x:c r="D1" s="128"/>
      <x:c r="E1" s="128"/>
      <x:c r="F1" s="128"/>
      <x:c r="G1" s="128"/>
      <x:c r="H1" s="128"/>
    </x:row>
    <x:row r="2" ht="30" customHeight="1">
      <x:c r="A2" s="89" t="str">
        <x:v>Complete all nine visible sheets, review Checks &amp; Submission, then upload this .xlsx for Stage 2.</x:v>
      </x:c>
      <x:c r="B2" s="89"/>
      <x:c r="C2" s="89"/>
      <x:c r="D2" s="89"/>
      <x:c r="E2" s="89"/>
      <x:c r="F2" s="89"/>
      <x:c r="G2" s="89"/>
      <x:c r="H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</x:row>
    <x:row r="4">
      <x:c r="A4" s="91"/>
      <x:c r="B4" s="91"/>
      <x:c r="C4" s="91"/>
      <x:c r="D4" s="91"/>
      <x:c r="E4" s="91"/>
      <x:c r="F4" s="91"/>
      <x:c r="G4" s="91"/>
      <x:c r="H4" s="91"/>
    </x:row>
    <x:row r="5" ht="22" customHeight="1">
      <x:c r="A5" s="92" t="str">
        <x:v>Student and project information</x:v>
      </x:c>
      <x:c r="B5" s="92"/>
      <x:c r="C5" s="92"/>
      <x:c r="D5" s="92"/>
      <x:c r="E5" s="92"/>
      <x:c r="F5" s="92"/>
      <x:c r="G5" s="92"/>
      <x:c r="H5" s="92"/>
    </x:row>
    <x:row r="6">
      <x:c r="A6" s="82" t="str">
        <x:v>Student name</x:v>
      </x:c>
      <x:c r="B6" s="83" t="str"/>
      <x:c r="C6" s="91"/>
      <x:c r="D6" s="82" t="str">
        <x:v>Workbook version</x:v>
      </x:c>
      <x:c r="E6" s="84" t="str">
        <x:v>1.5.0</x:v>
      </x:c>
      <x:c r="F6" s="91"/>
      <x:c r="G6" s="91"/>
      <x:c r="H6" s="91"/>
    </x:row>
    <x:row r="7">
      <x:c r="A7" s="82" t="str">
        <x:v>Course section</x:v>
      </x:c>
      <x:c r="B7" s="83" t="str"/>
      <x:c r="C7" s="91"/>
      <x:c r="D7" s="82" t="str">
        <x:v>Updated</x:v>
      </x:c>
      <x:c r="E7" s="84" t="str">
        <x:v>2026-09-02</x:v>
      </x:c>
      <x:c r="F7" s="91"/>
      <x:c r="G7" s="91"/>
      <x:c r="H7" s="91"/>
    </x:row>
    <x:row r="8">
      <x:c r="A8" s="82" t="str">
        <x:v>Company legal name</x:v>
      </x:c>
      <x:c r="B8" s="83" t="str"/>
      <x:c r="C8" s="91"/>
      <x:c r="D8" s="82" t="str">
        <x:v>Milestone points</x:v>
      </x:c>
      <x:c r="E8" s="84" t="n">
        <x:v>8</x:v>
      </x:c>
      <x:c r="F8" s="91"/>
      <x:c r="G8" s="91"/>
      <x:c r="H8" s="91"/>
    </x:row>
    <x:row r="9">
      <x:c r="A9" s="82" t="str">
        <x:v>Ticker / exchange</x:v>
      </x:c>
      <x:c r="B9" s="83" t="str"/>
      <x:c r="C9" s="91"/>
      <x:c r="D9" s="82" t="str">
        <x:v>Primary outcomes</x:v>
      </x:c>
      <x:c r="E9" s="84" t="str">
        <x:v>LO2–LO3</x:v>
      </x:c>
      <x:c r="F9" s="91"/>
      <x:c r="G9" s="91"/>
      <x:c r="H9" s="91"/>
    </x:row>
    <x:row r="10">
      <x:c r="A10" s="82" t="str">
        <x:v>Fiscal year-end</x:v>
      </x:c>
      <x:c r="B10" s="83" t="str"/>
      <x:c r="C10" s="91"/>
      <x:c r="D10" s="82" t="str">
        <x:v>Source bundle hash</x:v>
      </x:c>
      <x:c r="E10" s="85" t="str">
        <x:v>5699e79ccd106a990251c844a74f56ee2ddb5239be2bd55a9f63f34ca347046b</x:v>
      </x:c>
      <x:c r="F10" s="91"/>
      <x:c r="G10" s="91"/>
      <x:c r="H10" s="91"/>
    </x:row>
    <x:row r="11">
      <x:c r="A11" s="82" t="str">
        <x:v>Approved CFO decision</x:v>
      </x:c>
      <x:c r="B11" s="83" t="str"/>
      <x:c r="C11" s="91"/>
      <x:c r="D11" s="82" t="str">
        <x:v>Workbook status</x:v>
      </x:c>
      <x:c r="E11" s="84" t="str">
        <x:v>See Checks &amp; Submission</x:v>
      </x:c>
      <x:c r="F11" s="91"/>
      <x:c r="G11" s="91"/>
      <x:c r="H11" s="91"/>
    </x:row>
    <x:row r="12">
      <x:c r="A12" s="91"/>
      <x:c r="B12" s="91"/>
      <x:c r="C12" s="91"/>
      <x:c r="D12" s="91"/>
      <x:c r="E12" s="91"/>
      <x:c r="F12" s="91"/>
      <x:c r="G12" s="91"/>
      <x:c r="H12" s="91"/>
    </x:row>
    <x:row r="13" ht="22" customHeight="1">
      <x:c r="A13" s="92" t="str">
        <x:v>Required evidence path</x:v>
      </x:c>
      <x:c r="B13" s="92"/>
      <x:c r="C13" s="92"/>
      <x:c r="D13" s="92"/>
      <x:c r="E13" s="92"/>
      <x:c r="F13" s="92"/>
      <x:c r="G13" s="92"/>
      <x:c r="H13" s="92"/>
    </x:row>
    <x:row r="14" ht="42" customHeight="1">
      <x:c r="A14" s="86" t="str">
        <x:v>1</x:v>
      </x:c>
      <x:c r="B14" s="86" t="str">
        <x:v>Revenue Map</x:v>
      </x:c>
      <x:c r="C14" s="86" t="str">
        <x:v>Complete all eight dimensions</x:v>
      </x:c>
      <x:c r="D14" s="86" t="str">
        <x:v>Products/services through recurring vs. transactional revenue</x:v>
      </x:c>
      <x:c r="E14" s="86" t="str">
        <x:v>Company-specific</x:v>
      </x:c>
      <x:c r="F14" s="86" t="str">
        <x:v>Evidence IDs</x:v>
      </x:c>
      <x:c r="G14" s="86" t="str">
        <x:v>Limitation stated</x:v>
      </x:c>
      <x:c r="H14" s="86" t="str">
        <x:v>Required</x:v>
      </x:c>
    </x:row>
    <x:row r="15" ht="42" customHeight="1">
      <x:c r="A15" s="84" t="str">
        <x:v>2</x:v>
      </x:c>
      <x:c r="B15" s="84" t="str">
        <x:v>Revenue History</x:v>
      </x:c>
      <x:c r="C15" s="84" t="str">
        <x:v>Enter 3–5 fiscal years</x:v>
      </x:c>
      <x:c r="D15" s="84" t="str">
        <x:v>Reported total plus material segment/business-line revenue</x:v>
      </x:c>
      <x:c r="E15" s="84" t="str">
        <x:v>Consistent units</x:v>
      </x:c>
      <x:c r="F15" s="84" t="str">
        <x:v>Definitions</x:v>
      </x:c>
      <x:c r="G15" s="84" t="str">
        <x:v>Reconciliation</x:v>
      </x:c>
      <x:c r="H15" s="84" t="str">
        <x:v>Required</x:v>
      </x:c>
    </x:row>
    <x:row r="16" ht="42" customHeight="1">
      <x:c r="A16" s="84" t="str">
        <x:v>3</x:v>
      </x:c>
      <x:c r="B16" s="84" t="str">
        <x:v>Driver Analysis</x:v>
      </x:c>
      <x:c r="C16" s="84" t="str">
        <x:v>Analyze 3–6 drivers</x:v>
      </x:c>
      <x:c r="D16" s="84" t="str">
        <x:v>Quantify disclosed effects; otherwise classify as directional</x:v>
      </x:c>
      <x:c r="E16" s="84" t="str">
        <x:v>Durable vs. temporary</x:v>
      </x:c>
      <x:c r="F16" s="84" t="str">
        <x:v>Evidence IDs</x:v>
      </x:c>
      <x:c r="G16" s="84" t="str">
        <x:v>Forecast use</x:v>
      </x:c>
      <x:c r="H16" s="84" t="str">
        <x:v>Required</x:v>
      </x:c>
    </x:row>
    <x:row r="17" ht="42" customHeight="1">
      <x:c r="A17" s="84" t="str">
        <x:v>4</x:v>
      </x:c>
      <x:c r="B17" s="84" t="str">
        <x:v>Peers &amp; Demand</x:v>
      </x:c>
      <x:c r="C17" s="84" t="str">
        <x:v>Use defensible context</x:v>
      </x:c>
      <x:c r="D17" s="84" t="str">
        <x:v>Industry demand, competitors, peer growth, market share if supportable</x:v>
      </x:c>
      <x:c r="E17" s="84" t="str">
        <x:v>Peer rationale</x:v>
      </x:c>
      <x:c r="F17" s="84" t="str">
        <x:v>Comparable periods</x:v>
      </x:c>
      <x:c r="G17" s="84" t="str">
        <x:v>Limitations</x:v>
      </x:c>
      <x:c r="H17" s="84" t="str">
        <x:v>Required</x:v>
      </x:c>
    </x:row>
    <x:row r="18" ht="42" customHeight="1">
      <x:c r="A18" s="84" t="str">
        <x:v>5</x:v>
      </x:c>
      <x:c r="B18" s="84" t="str">
        <x:v>Indicators &amp; Risks</x:v>
      </x:c>
      <x:c r="C18" s="84" t="str">
        <x:v>Identify 4–6 indicators and 3–5 risks</x:v>
      </x:c>
      <x:c r="D18" s="84" t="str">
        <x:v>Concentrations, seasonality, capacity, triggers</x:v>
      </x:c>
      <x:c r="E18" s="84" t="str">
        <x:v>Evidence IDs</x:v>
      </x:c>
      <x:c r="F18" s="84" t="str">
        <x:v>Forecast link</x:v>
      </x:c>
      <x:c r="G18" s="84" t="str">
        <x:v>CFO response</x:v>
      </x:c>
      <x:c r="H18" s="84" t="str">
        <x:v>Required</x:v>
      </x:c>
    </x:row>
    <x:row r="19" ht="42" customHeight="1">
      <x:c r="A19" s="84" t="str">
        <x:v>6</x:v>
      </x:c>
      <x:c r="B19" s="84" t="str">
        <x:v>Hypothesis &amp; Scenarios</x:v>
      </x:c>
      <x:c r="C19" s="84" t="str">
        <x:v>Write one testable claim</x:v>
      </x:c>
      <x:c r="D19" s="84" t="str">
        <x:v>Mechanism, effect, period, support, falsifier, alternative</x:v>
      </x:c>
      <x:c r="E19" s="84" t="str">
        <x:v>Three cases</x:v>
      </x:c>
      <x:c r="F19" s="84" t="str">
        <x:v>Valuation channel</x:v>
      </x:c>
      <x:c r="G19" s="84" t="str">
        <x:v>CFO decision</x:v>
      </x:c>
      <x:c r="H19" s="84" t="str">
        <x:v>Required</x:v>
      </x:c>
    </x:row>
    <x:row r="20" ht="42" customHeight="1">
      <x:c r="A20" s="84" t="str">
        <x:v>7</x:v>
      </x:c>
      <x:c r="B20" s="84" t="str">
        <x:v>Evidence Register</x:v>
      </x:c>
      <x:c r="C20" s="84" t="str">
        <x:v>Maintain one source log</x:v>
      </x:c>
      <x:c r="D20" s="84" t="str">
        <x:v>Source, date, period, units, definition, exact location, peer group, use, limitation</x:v>
      </x:c>
      <x:c r="E20" s="84" t="str">
        <x:v>SEC</x:v>
      </x:c>
      <x:c r="F20" s="84" t="str">
        <x:v>FactSet</x:v>
      </x:c>
      <x:c r="G20" s="84" t="str">
        <x:v>Other credible</x:v>
      </x:c>
      <x:c r="H20" s="84" t="str">
        <x:v>Required</x:v>
      </x:c>
    </x:row>
    <x:row r="21" ht="42" customHeight="1">
      <x:c r="A21" s="84" t="str">
        <x:v>8</x:v>
      </x:c>
      <x:c r="B21" s="84" t="str">
        <x:v>Checks &amp; Submission</x:v>
      </x:c>
      <x:c r="C21" s="84" t="str">
        <x:v>Resolve missing fields or state limitations</x:v>
      </x:c>
      <x:c r="D21" s="84" t="str">
        <x:v>PASS indicates structural completion, not analytical quality</x:v>
      </x:c>
      <x:c r="E21" s="84" t="str">
        <x:v>Student judgment</x:v>
      </x:c>
      <x:c r="F21" s="84" t="str">
        <x:v>No invented data</x:v>
      </x:c>
      <x:c r="G21" s="84" t="str">
        <x:v>Review with rubric</x:v>
      </x:c>
      <x:c r="H21" s="84" t="str">
        <x:v>Required</x:v>
      </x:c>
    </x:row>
    <x:row r="22">
      <x:c r="A22" s="91"/>
      <x:c r="B22" s="91"/>
      <x:c r="C22" s="91"/>
      <x:c r="D22" s="91"/>
      <x:c r="E22" s="91"/>
      <x:c r="F22" s="91"/>
      <x:c r="G22" s="91"/>
      <x:c r="H22" s="91"/>
    </x:row>
    <x:row r="23" ht="22" customHeight="1">
      <x:c r="A23" s="92" t="str">
        <x:v>Scope and integrity rules</x:v>
      </x:c>
      <x:c r="B23" s="92"/>
      <x:c r="C23" s="92"/>
      <x:c r="D23" s="92"/>
      <x:c r="E23" s="92"/>
      <x:c r="F23" s="92"/>
      <x:c r="G23" s="92"/>
      <x:c r="H23" s="92"/>
    </x:row>
    <x:row r="24" ht="30" customHeight="1">
      <x:c r="A24" s="93" t="str">
        <x:v>Scope: 3–5 years; no more than 5 material revenue lines; 3 peers when available; 3–6 drivers; 4–6 indicators; 3–5 risks; one hypothesis.</x:v>
      </x:c>
      <x:c r="B24" s="93"/>
      <x:c r="C24" s="93"/>
      <x:c r="D24" s="93"/>
      <x:c r="E24" s="93"/>
      <x:c r="F24" s="93"/>
      <x:c r="G24" s="93"/>
      <x:c r="H24" s="93"/>
    </x:row>
    <x:row r="25" ht="30" customHeight="1">
      <x:c r="A25" s="93" t="str">
        <x:v>FactSet: Course use is permitted. Label report/screen/metric, data-through or retrieval date, period, units, definition, peer group, use, and limitation.</x:v>
      </x:c>
      <x:c r="B25" s="93"/>
      <x:c r="C25" s="93"/>
      <x:c r="D25" s="93"/>
      <x:c r="E25" s="93"/>
      <x:c r="F25" s="93"/>
      <x:c r="G25" s="93"/>
      <x:c r="H25" s="93"/>
    </x:row>
    <x:row r="26" ht="30" customHeight="1">
      <x:c r="A26" s="93" t="str">
        <x:v>AI: AI output is not a source. Do not upload a workbook, raw FactSet export/screenshot, personal information, instructor-only content, or nonpublic company data.</x:v>
      </x:c>
      <x:c r="B26" s="93"/>
      <x:c r="C26" s="93"/>
      <x:c r="D26" s="93"/>
      <x:c r="E26" s="93"/>
      <x:c r="F26" s="93"/>
      <x:c r="G26" s="93"/>
      <x:c r="H26" s="93"/>
    </x:row>
    <x:row r="27" ht="30" customHeight="1">
      <x:c r="A27" s="93" t="str">
        <x:v>Evidence: Use evidence IDs on every working sheet. Reconcile conflicting figures or explain why definitions differ.</x:v>
      </x:c>
      <x:c r="B27" s="93"/>
      <x:c r="C27" s="93"/>
      <x:c r="D27" s="93"/>
      <x:c r="E27" s="93"/>
      <x:c r="F27" s="93"/>
      <x:c r="G27" s="93"/>
      <x:c r="H27" s="93"/>
    </x:row>
    <x:row r="28" ht="30" customHeight="1">
      <x:c r="A28" s="93" t="str">
        <x:v>Valuation: Create only the directional base/upside/downside bridge here. The full auditable valuation belongs in Milestone 3.</x:v>
      </x:c>
      <x:c r="B28" s="93"/>
      <x:c r="C28" s="93"/>
      <x:c r="D28" s="93"/>
      <x:c r="E28" s="93"/>
      <x:c r="F28" s="93"/>
      <x:c r="G28" s="93"/>
      <x:c r="H28" s="93"/>
    </x:row>
    <x:row r="29" ht="30" customHeight="1">
      <x:c r="A29" s="93" t="str">
        <x:v>Examples: Do not copy a hypothesis pattern as a company conclusion. Replace it with company-specific, sourced evidence.</x:v>
      </x:c>
      <x:c r="B29" s="93"/>
      <x:c r="C29" s="93"/>
      <x:c r="D29" s="93"/>
      <x:c r="E29" s="93"/>
      <x:c r="F29" s="93"/>
      <x:c r="G29" s="93"/>
      <x:c r="H29" s="93"/>
    </x:row>
  </x:sheetData>
  <x:mergeCells>
    <x:mergeCell ref="A1:H1"/>
    <x:mergeCell ref="A2:H2"/>
    <x:mergeCell ref="A3:H3"/>
    <x:mergeCell ref="A5:H5"/>
    <x:mergeCell ref="A13:H13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2" hidden="0" customWidth="1"/>
    <x:col min="4" max="4" width="28" hidden="0" customWidth="1"/>
    <x:col min="5" max="5" width="15" hidden="0" customWidth="1"/>
    <x:col min="6" max="6" width="28" hidden="0" customWidth="1"/>
    <x:col min="7" max="7" width="11" hidden="0" customWidth="1"/>
  </x:cols>
  <x:sheetData>
    <x:row r="1" ht="28" customHeight="1">
      <x:c r="A1" s="128" t="str">
        <x:v>BUS311 Capstone Milestone 2 | Revenue Map</x:v>
      </x:c>
      <x:c r="B1" s="128"/>
      <x:c r="C1" s="128"/>
      <x:c r="D1" s="128"/>
      <x:c r="E1" s="128"/>
      <x:c r="F1" s="128"/>
      <x:c r="G1" s="128"/>
    </x:row>
    <x:row r="2" ht="30" customHeight="1">
      <x:c r="A2" s="89" t="str">
        <x:v>Map who pays, for what, through which route, under what pricing model, and with what recurrence.</x:v>
      </x:c>
      <x:c r="B2" s="89"/>
      <x:c r="C2" s="89"/>
      <x:c r="D2" s="89"/>
      <x:c r="E2" s="89"/>
      <x:c r="F2" s="89"/>
      <x:c r="G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</x:row>
    <x:row r="4">
      <x:c r="A4" s="91"/>
      <x:c r="B4" s="91"/>
      <x:c r="C4" s="91"/>
      <x:c r="D4" s="91"/>
      <x:c r="E4" s="91"/>
      <x:c r="F4" s="91"/>
      <x:c r="G4" s="91"/>
    </x:row>
    <x:row r="5" ht="34" customHeight="1">
      <x:c r="A5" s="82" t="str">
        <x:v>Required dimension</x:v>
      </x:c>
      <x:c r="B5" s="82" t="str">
        <x:v>Company-specific map</x:v>
      </x:c>
      <x:c r="C5" s="82" t="str">
        <x:v>Revenue mechanism / who pays</x:v>
      </x:c>
      <x:c r="D5" s="82" t="str">
        <x:v>Management lever</x:v>
      </x:c>
      <x:c r="E5" s="82" t="str">
        <x:v>Evidence ID(s)</x:v>
      </x:c>
      <x:c r="F5" s="82" t="str">
        <x:v>Limitation or missing disclosure</x:v>
      </x:c>
      <x:c r="G5" s="82" t="str">
        <x:v>Required</x:v>
      </x:c>
    </x:row>
    <x:row r="6" ht="52" customHeight="1">
      <x:c r="A6" s="95" t="str">
        <x:v>Products and services</x:v>
      </x:c>
      <x:c r="B6" s="83" t="str"/>
      <x:c r="C6" s="83" t="str"/>
      <x:c r="D6" s="83" t="str"/>
      <x:c r="E6" s="83" t="str"/>
      <x:c r="F6" s="83" t="str"/>
      <x:c r="G6" s="96" t="str">
        <x:v>Yes</x:v>
      </x:c>
    </x:row>
    <x:row r="7" ht="52" customHeight="1">
      <x:c r="A7" s="95" t="str">
        <x:v>Reported segments or business lines</x:v>
      </x:c>
      <x:c r="B7" s="83" t="str"/>
      <x:c r="C7" s="83" t="str"/>
      <x:c r="D7" s="83" t="str"/>
      <x:c r="E7" s="83" t="str"/>
      <x:c r="F7" s="83" t="str"/>
      <x:c r="G7" s="96" t="str">
        <x:v>Yes</x:v>
      </x:c>
    </x:row>
    <x:row r="8" ht="52" customHeight="1">
      <x:c r="A8" s="95" t="str">
        <x:v>Geographies or end markets</x:v>
      </x:c>
      <x:c r="B8" s="83" t="str"/>
      <x:c r="C8" s="83" t="str"/>
      <x:c r="D8" s="83" t="str"/>
      <x:c r="E8" s="83" t="str"/>
      <x:c r="F8" s="83" t="str"/>
      <x:c r="G8" s="96" t="str">
        <x:v>Yes</x:v>
      </x:c>
    </x:row>
    <x:row r="9" ht="52" customHeight="1">
      <x:c r="A9" s="95" t="str">
        <x:v>Customer types</x:v>
      </x:c>
      <x:c r="B9" s="83" t="str"/>
      <x:c r="C9" s="83" t="str"/>
      <x:c r="D9" s="83" t="str"/>
      <x:c r="E9" s="83" t="str"/>
      <x:c r="F9" s="83" t="str"/>
      <x:c r="G9" s="96" t="str">
        <x:v>Yes</x:v>
      </x:c>
    </x:row>
    <x:row r="10" ht="52" customHeight="1">
      <x:c r="A10" s="95" t="str">
        <x:v>Sales and distribution channels</x:v>
      </x:c>
      <x:c r="B10" s="83" t="str"/>
      <x:c r="C10" s="83" t="str"/>
      <x:c r="D10" s="83" t="str"/>
      <x:c r="E10" s="83" t="str"/>
      <x:c r="F10" s="83" t="str"/>
      <x:c r="G10" s="96" t="str">
        <x:v>Yes</x:v>
      </x:c>
    </x:row>
    <x:row r="11" ht="52" customHeight="1">
      <x:c r="A11" s="95" t="str">
        <x:v>Pricing or monetization model</x:v>
      </x:c>
      <x:c r="B11" s="83" t="str"/>
      <x:c r="C11" s="83" t="str"/>
      <x:c r="D11" s="83" t="str"/>
      <x:c r="E11" s="83" t="str"/>
      <x:c r="F11" s="83" t="str"/>
      <x:c r="G11" s="96" t="str">
        <x:v>Yes</x:v>
      </x:c>
    </x:row>
    <x:row r="12" ht="52" customHeight="1">
      <x:c r="A12" s="95" t="str">
        <x:v>Recurring versus transactional revenue</x:v>
      </x:c>
      <x:c r="B12" s="83" t="str"/>
      <x:c r="C12" s="83" t="str"/>
      <x:c r="D12" s="83" t="str"/>
      <x:c r="E12" s="83" t="str"/>
      <x:c r="F12" s="83" t="str"/>
      <x:c r="G12" s="96" t="str">
        <x:v>Yes</x:v>
      </x:c>
    </x:row>
    <x:row r="13" ht="52" customHeight="1">
      <x:c r="A13" s="95" t="str">
        <x:v>Value creation and controllable levers</x:v>
      </x:c>
      <x:c r="B13" s="83" t="str"/>
      <x:c r="C13" s="83" t="str"/>
      <x:c r="D13" s="83" t="str"/>
      <x:c r="E13" s="83" t="str"/>
      <x:c r="F13" s="83" t="str"/>
      <x:c r="G13" s="96" t="str">
        <x:v>Yes</x:v>
      </x:c>
    </x:row>
    <x:row r="14">
      <x:c r="A14" s="91"/>
      <x:c r="B14" s="91"/>
      <x:c r="C14" s="91"/>
      <x:c r="D14" s="91"/>
      <x:c r="E14" s="91"/>
      <x:c r="F14" s="91"/>
      <x:c r="G14" s="91"/>
    </x:row>
    <x:row r="15">
      <x:c r="A15" s="82" t="str">
        <x:v>Completed dimensions</x:v>
      </x:c>
      <x:c r="B15" s="97" t="n">
        <x:f>COUNTIF(B6:B13,"?*")</x:f>
        <x:v>0</x:v>
      </x:c>
      <x:c r="C15" s="91"/>
      <x:c r="D15" s="99" t="str">
        <x:v>Decision use: Which revenue lever is most relevant to the approved CFO decision?</x:v>
      </x:c>
      <x:c r="E15" s="99"/>
      <x:c r="F15" s="99"/>
      <x:c r="G15" s="99"/>
    </x:row>
    <x:row r="16">
      <x:c r="A16" s="82" t="str">
        <x:v>Required dimensions</x:v>
      </x:c>
      <x:c r="B16" s="84" t="n">
        <x:v>8</x:v>
      </x:c>
      <x:c r="C16" s="91"/>
      <x:c r="D16" s="83" t="str">
        <x:v>Student response: </x:v>
      </x:c>
      <x:c r="E16" s="83"/>
      <x:c r="F16" s="83"/>
      <x:c r="G16" s="83"/>
    </x:row>
  </x:sheetData>
  <x:mergeCells>
    <x:mergeCell ref="A1:G1"/>
    <x:mergeCell ref="A2:G2"/>
    <x:mergeCell ref="A3:G3"/>
    <x:mergeCell ref="D15:G15"/>
    <x:mergeCell ref="D16:G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28" t="str">
        <x:v>BUS311 Capstone Milestone 2 | Revenue History</x:v>
      </x:c>
      <x:c r="B1" s="128"/>
      <x:c r="C1" s="128"/>
      <x:c r="D1" s="128"/>
      <x:c r="E1" s="128"/>
      <x:c r="F1" s="128"/>
      <x:c r="G1" s="128"/>
      <x:c r="H1" s="128"/>
    </x:row>
    <x:row r="2" ht="30" customHeight="1">
      <x:c r="A2" s="89" t="str">
        <x:v>Enter oldest to newest and place the most recent fiscal year in column H; leave unused earlier columns blank.</x:v>
      </x:c>
      <x:c r="B2" s="89"/>
      <x:c r="C2" s="89"/>
      <x:c r="D2" s="89"/>
      <x:c r="E2" s="89"/>
      <x:c r="F2" s="89"/>
      <x:c r="G2" s="89"/>
      <x:c r="H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</x:row>
    <x:row r="4">
      <x:c r="A4" s="91"/>
      <x:c r="B4" s="91"/>
      <x:c r="C4" s="91"/>
      <x:c r="D4" s="91"/>
      <x:c r="E4" s="91"/>
      <x:c r="F4" s="91"/>
      <x:c r="G4" s="91"/>
      <x:c r="H4" s="91"/>
    </x:row>
    <x:row r="5" ht="34" customHeight="1">
      <x:c r="A5" s="82" t="str">
        <x:v>Revenue line</x:v>
      </x:c>
      <x:c r="B5" s="82" t="str">
        <x:v>Definition / scope</x:v>
      </x:c>
      <x:c r="C5" s="82" t="str">
        <x:v>Evidence ID(s)</x:v>
      </x:c>
      <x:c r="D5" s="100"/>
      <x:c r="E5" s="100"/>
      <x:c r="F5" s="100"/>
      <x:c r="G5" s="100"/>
      <x:c r="H5" s="100"/>
    </x:row>
    <x:row r="6">
      <x:c r="A6" s="84" t="str">
        <x:v>Reported total revenue</x:v>
      </x:c>
      <x:c r="B6" s="83" t="str"/>
      <x:c r="C6" s="83" t="str"/>
      <x:c r="D6" s="101"/>
      <x:c r="E6" s="101"/>
      <x:c r="F6" s="101"/>
      <x:c r="G6" s="101"/>
      <x:c r="H6" s="101"/>
    </x:row>
    <x:row r="7">
      <x:c r="A7" s="102" t="str"/>
      <x:c r="B7" s="102" t="str"/>
      <x:c r="C7" s="102" t="str"/>
      <x:c r="D7" s="103"/>
      <x:c r="E7" s="103"/>
      <x:c r="F7" s="103"/>
      <x:c r="G7" s="103"/>
      <x:c r="H7" s="103"/>
    </x:row>
    <x:row r="8" ht="34" customHeight="1">
      <x:c r="A8" s="83" t="str">
        <x:v>Material segment / line 1</x:v>
      </x:c>
      <x:c r="B8" s="83" t="str"/>
      <x:c r="C8" s="83" t="str"/>
      <x:c r="D8" s="101"/>
      <x:c r="E8" s="101"/>
      <x:c r="F8" s="101"/>
      <x:c r="G8" s="101"/>
      <x:c r="H8" s="101"/>
    </x:row>
    <x:row r="9" ht="34" customHeight="1">
      <x:c r="A9" s="83" t="str">
        <x:v>Material segment / line 2</x:v>
      </x:c>
      <x:c r="B9" s="83" t="str"/>
      <x:c r="C9" s="83" t="str"/>
      <x:c r="D9" s="101"/>
      <x:c r="E9" s="101"/>
      <x:c r="F9" s="101"/>
      <x:c r="G9" s="101"/>
      <x:c r="H9" s="101"/>
    </x:row>
    <x:row r="10" ht="34" customHeight="1">
      <x:c r="A10" s="83" t="str">
        <x:v>Material segment / line 3</x:v>
      </x:c>
      <x:c r="B10" s="83" t="str"/>
      <x:c r="C10" s="83" t="str"/>
      <x:c r="D10" s="101"/>
      <x:c r="E10" s="101"/>
      <x:c r="F10" s="101"/>
      <x:c r="G10" s="101"/>
      <x:c r="H10" s="101"/>
    </x:row>
    <x:row r="11" ht="34" customHeight="1">
      <x:c r="A11" s="83" t="str">
        <x:v>Material segment / line 4</x:v>
      </x:c>
      <x:c r="B11" s="83" t="str"/>
      <x:c r="C11" s="83" t="str"/>
      <x:c r="D11" s="101"/>
      <x:c r="E11" s="101"/>
      <x:c r="F11" s="101"/>
      <x:c r="G11" s="101"/>
      <x:c r="H11" s="101"/>
    </x:row>
    <x:row r="12" ht="34" customHeight="1">
      <x:c r="A12" s="83" t="str">
        <x:v>Material segment / line 5</x:v>
      </x:c>
      <x:c r="B12" s="83" t="str"/>
      <x:c r="C12" s="83" t="str"/>
      <x:c r="D12" s="101"/>
      <x:c r="E12" s="101"/>
      <x:c r="F12" s="101"/>
      <x:c r="G12" s="101"/>
      <x:c r="H12" s="101"/>
    </x:row>
    <x:row r="13">
      <x:c r="A13" s="104" t="str">
        <x:v>Sum of entered segments</x:v>
      </x:c>
      <x:c r="B13" s="104" t="str">
        <x:v>Formula</x:v>
      </x:c>
      <x:c r="C13" s="104" t="str"/>
      <x:c r="D13" s="105" t="n">
        <x:f>SUM(D8:D12)</x:f>
        <x:v>0</x:v>
      </x:c>
      <x:c r="E13" s="105" t="n">
        <x:f>SUM(E8:E12)</x:f>
        <x:v>0</x:v>
      </x:c>
      <x:c r="F13" s="105" t="n">
        <x:f>SUM(F8:F12)</x:f>
        <x:v>0</x:v>
      </x:c>
      <x:c r="G13" s="105" t="n">
        <x:f>SUM(G8:G12)</x:f>
        <x:v>0</x:v>
      </x:c>
      <x:c r="H13" s="105" t="n">
        <x:f>SUM(H8:H12)</x:f>
        <x:v>0</x:v>
      </x:c>
    </x:row>
    <x:row r="14">
      <x:c r="A14" s="84" t="str">
        <x:v>Difference: reported total less entered segments</x:v>
      </x:c>
      <x:c r="B14" s="84" t="str"/>
      <x:c r="C14" s="84" t="str"/>
      <x:c r="D14" s="106" t="str">
        <x:f>IF(D6="","",D6-D13)</x:f>
      </x:c>
      <x:c r="E14" s="106" t="str">
        <x:f>IF(E6="","",E6-E13)</x:f>
      </x:c>
      <x:c r="F14" s="106" t="str">
        <x:f>IF(F6="","",F6-F13)</x:f>
      </x:c>
      <x:c r="G14" s="106" t="str">
        <x:f>IF(G6="","",G6-G13)</x:f>
      </x:c>
      <x:c r="H14" s="106" t="str">
        <x:f>IF(H6="","",H6-H13)</x:f>
      </x:c>
    </x:row>
    <x:row r="15">
      <x:c r="A15" s="91"/>
      <x:c r="B15" s="91"/>
      <x:c r="C15" s="91"/>
      <x:c r="D15" s="91"/>
      <x:c r="E15" s="91"/>
      <x:c r="F15" s="91"/>
      <x:c r="G15" s="91"/>
      <x:c r="H15" s="91"/>
    </x:row>
    <x:row r="16" ht="22" customHeight="1">
      <x:c r="A16" s="92" t="str">
        <x:v>Growth and comparability review</x:v>
      </x:c>
      <x:c r="B16" s="92"/>
      <x:c r="C16" s="92"/>
      <x:c r="D16" s="92"/>
      <x:c r="E16" s="92"/>
      <x:c r="F16" s="92"/>
      <x:c r="G16" s="92"/>
      <x:c r="H16" s="92"/>
    </x:row>
    <x:row r="17" ht="34" customHeight="1">
      <x:c r="A17" s="82" t="str">
        <x:v>Metric</x:v>
      </x:c>
      <x:c r="B17" s="82" t="str">
        <x:v>Definition</x:v>
      </x:c>
      <x:c r="C17" s="82" t="str">
        <x:v>Evidence ID(s)</x:v>
      </x:c>
      <x:c r="D17" s="109" t="str">
        <x:f>IF(D5="","",D5)</x:f>
      </x:c>
      <x:c r="E17" s="109" t="str">
        <x:f>IF(E5="","",E5)</x:f>
      </x:c>
      <x:c r="F17" s="109" t="str">
        <x:f>IF(F5="","",F5)</x:f>
      </x:c>
      <x:c r="G17" s="109" t="str">
        <x:f>IF(G5="","",G5)</x:f>
      </x:c>
      <x:c r="H17" s="109" t="str">
        <x:f>IF(H5="","",H5)</x:f>
      </x:c>
    </x:row>
    <x:row r="18">
      <x:c r="A18" s="84" t="str">
        <x:v>Total revenue growth</x:v>
      </x:c>
      <x:c r="B18" s="84" t="str">
        <x:v>Year-over-year</x:v>
      </x:c>
      <x:c r="C18" s="84" t="str">
        <x:v>Calculated</x:v>
      </x:c>
      <x:c r="D18" s="84" t="str"/>
      <x:c r="E18" s="108" t="str">
        <x:f>IFERROR(E6/D6-1,"")</x:f>
      </x:c>
      <x:c r="F18" s="108" t="str">
        <x:f>IFERROR(F6/E6-1,"")</x:f>
      </x:c>
      <x:c r="G18" s="108" t="str">
        <x:f>IFERROR(G6/F6-1,"")</x:f>
      </x:c>
      <x:c r="H18" s="108" t="str">
        <x:f>IFERROR(H6/G6-1,"")</x:f>
      </x:c>
    </x:row>
    <x:row r="19">
      <x:c r="A19" s="91"/>
      <x:c r="B19" s="91"/>
      <x:c r="C19" s="91"/>
      <x:c r="D19" s="91"/>
      <x:c r="E19" s="91"/>
      <x:c r="F19" s="91"/>
      <x:c r="G19" s="91"/>
      <x:c r="H19" s="91"/>
    </x:row>
    <x:row r="20" ht="34" customHeight="1">
      <x:c r="A20" s="99" t="str">
        <x:v>Currency and units</x:v>
      </x:c>
      <x:c r="B20" s="83" t="str"/>
      <x:c r="C20" s="83"/>
      <x:c r="D20" s="83"/>
      <x:c r="E20" s="83"/>
      <x:c r="F20" s="83"/>
      <x:c r="G20" s="83"/>
      <x:c r="H20" s="83"/>
    </x:row>
    <x:row r="21" ht="34" customHeight="1">
      <x:c r="A21" s="99" t="str">
        <x:v>Fiscal-period convention</x:v>
      </x:c>
      <x:c r="B21" s="83" t="str"/>
      <x:c r="C21" s="83"/>
      <x:c r="D21" s="83"/>
      <x:c r="E21" s="83"/>
      <x:c r="F21" s="83"/>
      <x:c r="G21" s="83"/>
      <x:c r="H21" s="83"/>
    </x:row>
    <x:row r="22" ht="34" customHeight="1">
      <x:c r="A22" s="99" t="str">
        <x:v>Segment disclosure limitation, if any</x:v>
      </x:c>
      <x:c r="B22" s="83" t="str"/>
      <x:c r="C22" s="83"/>
      <x:c r="D22" s="83"/>
      <x:c r="E22" s="83"/>
      <x:c r="F22" s="83"/>
      <x:c r="G22" s="83"/>
      <x:c r="H22" s="83"/>
    </x:row>
    <x:row r="23" ht="34" customHeight="1">
      <x:c r="A23" s="99" t="str">
        <x:v>Restatement / acquisition / divestiture / reporting-change note</x:v>
      </x:c>
      <x:c r="B23" s="83" t="str"/>
      <x:c r="C23" s="83"/>
      <x:c r="D23" s="83"/>
      <x:c r="E23" s="83"/>
      <x:c r="F23" s="83"/>
      <x:c r="G23" s="83"/>
      <x:c r="H23" s="83"/>
    </x:row>
  </x:sheetData>
  <x:mergeCells>
    <x:mergeCell ref="A1:H1"/>
    <x:mergeCell ref="A2:H2"/>
    <x:mergeCell ref="A3:H3"/>
    <x:mergeCell ref="A16:H16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31" hidden="0" customWidth="1"/>
    <x:col min="4" max="4" width="14" hidden="0" customWidth="1"/>
    <x:col min="5" max="5" width="16" hidden="0" customWidth="1"/>
    <x:col min="6" max="6" width="18" hidden="0" customWidth="1"/>
    <x:col min="7" max="7" width="26" hidden="0" customWidth="1"/>
    <x:col min="8" max="8" width="15" hidden="0" customWidth="1"/>
    <x:col min="9" max="9" width="19" hidden="0" customWidth="1"/>
    <x:col min="10" max="10" width="25" hidden="0" customWidth="1"/>
    <x:col min="11" max="11" width="28" hidden="0" customWidth="1"/>
  </x:cols>
  <x:sheetData>
    <x:row r="1" ht="28" customHeight="1">
      <x:c r="A1" s="128" t="str">
        <x:v>BUS311 Capstone Milestone 2 | Driver Analysis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8"/>
    </x:row>
    <x:row r="2" ht="30" customHeight="1">
      <x:c r="A2" s="89" t="str">
        <x:v>Analyze 3–6 material drivers. Quantify only disclosed or supportable effects; use directional evidence otherwise.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</x:row>
    <x:row r="4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</x:row>
    <x:row r="5" ht="34" customHeight="1">
      <x:c r="A5" s="82" t="str">
        <x:v>Priority</x:v>
      </x:c>
      <x:c r="B5" s="82" t="str">
        <x:v>Driver type</x:v>
      </x:c>
      <x:c r="C5" s="82" t="str">
        <x:v>Company-specific metric or mechanism</x:v>
      </x:c>
      <x:c r="D5" s="82" t="str">
        <x:v>Period(s)</x:v>
      </x:c>
      <x:c r="E5" s="82" t="str">
        <x:v>Evidence status</x:v>
      </x:c>
      <x:c r="F5" s="82" t="str">
        <x:v>Quantified effect in revenue units, if disclosed</x:v>
      </x:c>
      <x:c r="G5" s="82" t="str">
        <x:v>Directional effect / supporting metric</x:v>
      </x:c>
      <x:c r="H5" s="82" t="str">
        <x:v>Evidence ID(s)</x:v>
      </x:c>
      <x:c r="I5" s="82" t="str">
        <x:v>Effect class</x:v>
      </x:c>
      <x:c r="J5" s="82" t="str">
        <x:v>Durable? Why?</x:v>
      </x:c>
      <x:c r="K5" s="82" t="str">
        <x:v>Forecast implication</x:v>
      </x:c>
    </x:row>
    <x:row r="6" ht="44" customHeight="1">
      <x:c r="A6" s="110" t="n">
        <x:v>1</x:v>
      </x:c>
      <x:c r="B6" s="83" t="str"/>
      <x:c r="C6" s="83" t="str"/>
      <x:c r="D6" s="83" t="str"/>
      <x:c r="E6" s="83" t="str"/>
      <x:c r="F6" s="101"/>
      <x:c r="G6" s="83" t="str"/>
      <x:c r="H6" s="83" t="str"/>
      <x:c r="I6" s="83" t="str"/>
      <x:c r="J6" s="83" t="str"/>
      <x:c r="K6" s="83" t="str"/>
    </x:row>
    <x:row r="7" ht="44" customHeight="1">
      <x:c r="A7" s="110" t="n">
        <x:v>2</x:v>
      </x:c>
      <x:c r="B7" s="83" t="str"/>
      <x:c r="C7" s="83" t="str"/>
      <x:c r="D7" s="83" t="str"/>
      <x:c r="E7" s="83" t="str"/>
      <x:c r="F7" s="101"/>
      <x:c r="G7" s="83" t="str"/>
      <x:c r="H7" s="83" t="str"/>
      <x:c r="I7" s="83" t="str"/>
      <x:c r="J7" s="83" t="str"/>
      <x:c r="K7" s="83" t="str"/>
    </x:row>
    <x:row r="8" ht="44" customHeight="1">
      <x:c r="A8" s="110" t="n">
        <x:v>3</x:v>
      </x:c>
      <x:c r="B8" s="83" t="str"/>
      <x:c r="C8" s="83" t="str"/>
      <x:c r="D8" s="83" t="str"/>
      <x:c r="E8" s="83" t="str"/>
      <x:c r="F8" s="101"/>
      <x:c r="G8" s="83" t="str"/>
      <x:c r="H8" s="83" t="str"/>
      <x:c r="I8" s="83" t="str"/>
      <x:c r="J8" s="83" t="str"/>
      <x:c r="K8" s="83" t="str"/>
    </x:row>
    <x:row r="9" ht="44" customHeight="1">
      <x:c r="A9" s="110" t="n">
        <x:v>4</x:v>
      </x:c>
      <x:c r="B9" s="83" t="str"/>
      <x:c r="C9" s="83" t="str"/>
      <x:c r="D9" s="83" t="str"/>
      <x:c r="E9" s="83" t="str"/>
      <x:c r="F9" s="101"/>
      <x:c r="G9" s="83" t="str"/>
      <x:c r="H9" s="83" t="str"/>
      <x:c r="I9" s="83" t="str"/>
      <x:c r="J9" s="83" t="str"/>
      <x:c r="K9" s="83" t="str"/>
    </x:row>
    <x:row r="10" ht="44" customHeight="1">
      <x:c r="A10" s="110" t="n">
        <x:v>5</x:v>
      </x:c>
      <x:c r="B10" s="83" t="str"/>
      <x:c r="C10" s="83" t="str"/>
      <x:c r="D10" s="83" t="str"/>
      <x:c r="E10" s="83" t="str"/>
      <x:c r="F10" s="101"/>
      <x:c r="G10" s="83" t="str"/>
      <x:c r="H10" s="83" t="str"/>
      <x:c r="I10" s="83" t="str"/>
      <x:c r="J10" s="83" t="str"/>
      <x:c r="K10" s="83" t="str"/>
    </x:row>
    <x:row r="11" ht="44" customHeight="1">
      <x:c r="A11" s="110" t="n">
        <x:v>6</x:v>
      </x:c>
      <x:c r="B11" s="83" t="str"/>
      <x:c r="C11" s="83" t="str"/>
      <x:c r="D11" s="83" t="str"/>
      <x:c r="E11" s="83" t="str"/>
      <x:c r="F11" s="101"/>
      <x:c r="G11" s="83" t="str"/>
      <x:c r="H11" s="83" t="str"/>
      <x:c r="I11" s="83" t="str"/>
      <x:c r="J11" s="83" t="str"/>
      <x:c r="K11" s="83" t="str"/>
    </x:row>
    <x:row r="12" ht="44" customHeight="1">
      <x:c r="A12" s="110" t="n">
        <x:v>7</x:v>
      </x:c>
      <x:c r="B12" s="83" t="str"/>
      <x:c r="C12" s="83" t="str"/>
      <x:c r="D12" s="83" t="str"/>
      <x:c r="E12" s="83" t="str"/>
      <x:c r="F12" s="101"/>
      <x:c r="G12" s="83" t="str"/>
      <x:c r="H12" s="83" t="str"/>
      <x:c r="I12" s="83" t="str"/>
      <x:c r="J12" s="83" t="str"/>
      <x:c r="K12" s="83" t="str"/>
    </x:row>
    <x:row r="13" ht="44" customHeight="1">
      <x:c r="A13" s="110" t="n">
        <x:v>8</x:v>
      </x:c>
      <x:c r="B13" s="83" t="str"/>
      <x:c r="C13" s="83" t="str"/>
      <x:c r="D13" s="83" t="str"/>
      <x:c r="E13" s="83" t="str"/>
      <x:c r="F13" s="101"/>
      <x:c r="G13" s="83" t="str"/>
      <x:c r="H13" s="83" t="str"/>
      <x:c r="I13" s="83" t="str"/>
      <x:c r="J13" s="83" t="str"/>
      <x:c r="K13" s="83" t="str"/>
    </x:row>
    <x:row r="14" ht="44" customHeight="1">
      <x:c r="A14" s="110" t="n">
        <x:v>9</x:v>
      </x:c>
      <x:c r="B14" s="83" t="str"/>
      <x:c r="C14" s="83" t="str"/>
      <x:c r="D14" s="83" t="str"/>
      <x:c r="E14" s="83" t="str"/>
      <x:c r="F14" s="101"/>
      <x:c r="G14" s="83" t="str"/>
      <x:c r="H14" s="83" t="str"/>
      <x:c r="I14" s="83" t="str"/>
      <x:c r="J14" s="83" t="str"/>
      <x:c r="K14" s="83" t="str"/>
    </x:row>
    <x:row r="15" ht="44" customHeight="1">
      <x:c r="A15" s="110" t="n">
        <x:v>10</x:v>
      </x:c>
      <x:c r="B15" s="83" t="str"/>
      <x:c r="C15" s="83" t="str"/>
      <x:c r="D15" s="83" t="str"/>
      <x:c r="E15" s="83" t="str"/>
      <x:c r="F15" s="101"/>
      <x:c r="G15" s="83" t="str"/>
      <x:c r="H15" s="83" t="str"/>
      <x:c r="I15" s="83" t="str"/>
      <x:c r="J15" s="83" t="str"/>
      <x:c r="K15" s="83" t="str"/>
    </x:row>
    <x:row r="16" ht="44" customHeight="1">
      <x:c r="A16" s="110" t="n">
        <x:v>11</x:v>
      </x:c>
      <x:c r="B16" s="83" t="str"/>
      <x:c r="C16" s="83" t="str"/>
      <x:c r="D16" s="83" t="str"/>
      <x:c r="E16" s="83" t="str"/>
      <x:c r="F16" s="101"/>
      <x:c r="G16" s="83" t="str"/>
      <x:c r="H16" s="83" t="str"/>
      <x:c r="I16" s="83" t="str"/>
      <x:c r="J16" s="83" t="str"/>
      <x:c r="K16" s="83" t="str"/>
    </x:row>
    <x:row r="17" ht="44" customHeight="1">
      <x:c r="A17" s="110" t="n">
        <x:v>12</x:v>
      </x:c>
      <x:c r="B17" s="83" t="str"/>
      <x:c r="C17" s="83" t="str"/>
      <x:c r="D17" s="83" t="str"/>
      <x:c r="E17" s="83" t="str"/>
      <x:c r="F17" s="101"/>
      <x:c r="G17" s="83" t="str"/>
      <x:c r="H17" s="83" t="str"/>
      <x:c r="I17" s="83" t="str"/>
      <x:c r="J17" s="83" t="str"/>
      <x:c r="K17" s="83" t="str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</x:row>
    <x:row r="19" ht="22" customHeight="1">
      <x:c r="A19" s="92" t="str">
        <x:v>Latest-year bridge and explanation</x:v>
      </x:c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</x:row>
    <x:row r="20">
      <x:c r="A20" s="94" t="str">
        <x:v>Reported revenue change</x:v>
      </x:c>
      <x:c r="B20" s="111" t="str">
        <x:f>IF(OR('Revenue History'!G6="",'Revenue History'!H6=""),"",'Revenue History'!H6-'Revenue History'!G6)</x:f>
      </x:c>
      <x:c r="C20" s="84" t="str">
        <x:v>Linked from Revenue History</x:v>
      </x:c>
      <x:c r="D20" s="114" t="str">
        <x:v>Use the narrative driver rows to explain what is not quantified. A directional remainder is acceptable when the company does not disclose a complete bridge.</x:v>
      </x:c>
      <x:c r="E20" s="114"/>
      <x:c r="F20" s="114"/>
      <x:c r="G20" s="114"/>
      <x:c r="H20" s="114"/>
      <x:c r="I20" s="114"/>
      <x:c r="J20" s="114"/>
      <x:c r="K20" s="114"/>
    </x:row>
    <x:row r="21">
      <x:c r="A21" s="94" t="str">
        <x:v>Quantified driver effects</x:v>
      </x:c>
      <x:c r="B21" s="111" t="n">
        <x:f>SUM(F6:F17)</x:f>
        <x:v>0</x:v>
      </x:c>
      <x:c r="C21" s="84" t="str">
        <x:v>Sum only same-unit disclosed effects</x:v>
      </x:c>
      <x:c r="D21" s="114" t="str">
        <x:v>Do not enter a plug or unsupported effect amount.</x:v>
      </x:c>
      <x:c r="E21" s="114"/>
      <x:c r="F21" s="114"/>
      <x:c r="G21" s="114"/>
      <x:c r="H21" s="114"/>
      <x:c r="I21" s="114"/>
      <x:c r="J21" s="114"/>
      <x:c r="K21" s="114"/>
    </x:row>
    <x:row r="22">
      <x:c r="A22" s="94" t="str">
        <x:v>Directional remainder</x:v>
      </x:c>
      <x:c r="B22" s="111" t="str">
        <x:f>IF(B20="","",B20-B21)</x:f>
      </x:c>
      <x:c r="C22" s="84" t="str">
        <x:v>Reported change less quantified effects</x:v>
      </x:c>
      <x:c r="D22" s="114" t="str">
        <x:v>State whether currency, acquisitions, accounting, timing, or missing segment detail affects comparability.</x:v>
      </x:c>
      <x:c r="E22" s="114"/>
      <x:c r="F22" s="114"/>
      <x:c r="G22" s="114"/>
      <x:c r="H22" s="114"/>
      <x:c r="I22" s="114"/>
      <x:c r="J22" s="114"/>
      <x:c r="K22" s="114"/>
    </x:row>
    <x:row r="23">
      <x:c r="A23" s="94" t="str">
        <x:v>Bridge status</x:v>
      </x:c>
      <x:c r="B23" s="113" t="str">
        <x:f>IF(B20="","INCOMPLETE",IF(ABS(B22)&lt;=MAX(1,ABS(B20)*0.01),"RECONCILED","EXPLAIN REMAINDER"))</x:f>
        <x:v>INCOMPLETE</x:v>
      </x:c>
      <x:c r="C23" s="84" t="str">
        <x:v>Explain a remainder; do not plug it</x:v>
      </x:c>
      <x:c r="D23" s="114" t="str">
        <x:v>Link the most material driver to the hypothesis and later scenario assumption.</x:v>
      </x:c>
      <x:c r="E23" s="114"/>
      <x:c r="F23" s="114"/>
      <x:c r="G23" s="114"/>
      <x:c r="H23" s="114"/>
      <x:c r="I23" s="114"/>
      <x:c r="J23" s="114"/>
      <x:c r="K23" s="114"/>
    </x:row>
    <x:row r="24">
      <x:c r="A24" s="94" t="str">
        <x:v>Management interpretation</x:v>
      </x:c>
      <x:c r="B24" s="83" t="str"/>
      <x:c r="C24" s="83" t="str">
        <x:v>Which driver is most durable and controllable?</x:v>
      </x:c>
      <x:c r="D24" s="83"/>
      <x:c r="E24" s="83"/>
      <x:c r="F24" s="83"/>
      <x:c r="G24" s="83"/>
      <x:c r="H24" s="83"/>
      <x:c r="I24" s="83"/>
      <x:c r="J24" s="83"/>
      <x:c r="K24" s="83"/>
    </x:row>
  </x:sheetData>
  <x:mergeCells>
    <x:mergeCell ref="A1:K1"/>
    <x:mergeCell ref="A2:K2"/>
    <x:mergeCell ref="A3:K3"/>
    <x:mergeCell ref="A19:K19"/>
    <x:mergeCell ref="D20:K20"/>
    <x:mergeCell ref="D21:K21"/>
    <x:mergeCell ref="D22:K22"/>
    <x:mergeCell ref="D23:K23"/>
    <x:mergeCell ref="B24:K24"/>
  </x:mergeCells>
  <x:dataValidations count="3">
    <x:dataValidation type="list" sqref="B6:B17">
      <x:formula1>"Price,Volume,Mix,Currency,Acquisition/divestiture,Customers/contracts,Locations/units,Utilization/capacity,Retention/churn,Backlog/bookings,Accounting/timing,Other disclosed driver"</x:formula1>
    </x:dataValidation>
    <x:dataValidation type="list" sqref="E6:E17">
      <x:formula1>"Quantified,Directional,Not disclosed"</x:formula1>
    </x:dataValidation>
    <x:dataValidation type="list" sqref="I6:I17">
      <x:formula1>"Organic operating,Acquisition/divestiture,Currency/macro,Accounting/timing,Temporary event,Other"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30" hidden="0" customWidth="1"/>
    <x:col min="4" max="4" width="19" hidden="0" customWidth="1"/>
    <x:col min="5" max="5" width="16" hidden="0" customWidth="1"/>
    <x:col min="6" max="6" width="18" hidden="0" customWidth="1"/>
    <x:col min="7" max="7" width="16" hidden="0" customWidth="1"/>
    <x:col min="8" max="8" width="15" hidden="0" customWidth="1"/>
    <x:col min="9" max="9" width="15" hidden="0" customWidth="1"/>
    <x:col min="10" max="10" width="31" hidden="0" customWidth="1"/>
  </x:cols>
  <x:sheetData>
    <x:row r="1" ht="28" customHeight="1">
      <x:c r="A1" s="128" t="str">
        <x:v>BUS311 Capstone Milestone 2 | Peers &amp; Demand</x:v>
      </x:c>
      <x:c r="B1" s="128"/>
      <x:c r="C1" s="128"/>
      <x:c r="D1" s="128"/>
      <x:c r="E1" s="128"/>
      <x:c r="F1" s="128"/>
      <x:c r="G1" s="128"/>
      <x:c r="H1" s="128"/>
      <x:c r="I1" s="128"/>
      <x:c r="J1" s="128"/>
    </x:row>
    <x:row r="2" ht="30" customHeight="1">
      <x:c r="A2" s="89" t="str">
        <x:v>Use operating context to separate company-specific performance from industry-wide effects. Market share requires a defined market and source.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  <x:c r="I3" s="90"/>
      <x:c r="J3" s="90"/>
    </x:row>
    <x:row r="4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22" customHeight="1">
      <x:c r="A5" s="92" t="str">
        <x:v>Industry demand conditions</x:v>
      </x:c>
      <x:c r="B5" s="92"/>
      <x:c r="C5" s="92"/>
      <x:c r="D5" s="92"/>
      <x:c r="E5" s="92"/>
      <x:c r="F5" s="92"/>
      <x:c r="G5" s="92"/>
      <x:c r="H5" s="92"/>
      <x:c r="I5" s="92"/>
      <x:c r="J5" s="92"/>
    </x:row>
    <x:row r="6" ht="34" customHeight="1">
      <x:c r="A6" s="82" t="str">
        <x:v>Demand factor</x:v>
      </x:c>
      <x:c r="B6" s="82" t="str">
        <x:v>Current condition</x:v>
      </x:c>
      <x:c r="C6" s="82" t="str">
        <x:v>Relevant period</x:v>
      </x:c>
      <x:c r="D6" s="82" t="str">
        <x:v>Company exposure</x:v>
      </x:c>
      <x:c r="E6" s="82" t="str">
        <x:v>Evidence ID(s)</x:v>
      </x:c>
      <x:c r="F6" s="82" t="str">
        <x:v>Leading or lagging?</x:v>
      </x:c>
      <x:c r="G6" s="82" t="str">
        <x:v>Expected direction</x:v>
      </x:c>
      <x:c r="H6" s="82" t="str">
        <x:v>Hypothesis use</x:v>
      </x:c>
      <x:c r="I6" s="82" t="str">
        <x:v>Limitation</x:v>
      </x:c>
      <x:c r="J6" s="82" t="str">
        <x:v>Decision trigger</x:v>
      </x:c>
    </x:row>
    <x:row r="7" ht="44" customHeight="1">
      <x:c r="A7" s="83" t="str"/>
      <x:c r="B7" s="83" t="str"/>
      <x:c r="C7" s="83" t="str"/>
      <x:c r="D7" s="83" t="str"/>
      <x:c r="E7" s="83" t="str"/>
      <x:c r="F7" s="83" t="str"/>
      <x:c r="G7" s="83" t="str"/>
      <x:c r="H7" s="83" t="str"/>
      <x:c r="I7" s="83" t="str"/>
      <x:c r="J7" s="83" t="str"/>
    </x:row>
    <x:row r="8" ht="44" customHeight="1">
      <x:c r="A8" s="83" t="str"/>
      <x:c r="B8" s="83" t="str"/>
      <x:c r="C8" s="83" t="str"/>
      <x:c r="D8" s="83" t="str"/>
      <x:c r="E8" s="83" t="str"/>
      <x:c r="F8" s="83" t="str"/>
      <x:c r="G8" s="83" t="str"/>
      <x:c r="H8" s="83" t="str"/>
      <x:c r="I8" s="83" t="str"/>
      <x:c r="J8" s="83" t="str"/>
    </x:row>
    <x:row r="9" ht="44" customHeight="1">
      <x:c r="A9" s="83" t="str"/>
      <x:c r="B9" s="83" t="str"/>
      <x:c r="C9" s="83" t="str"/>
      <x:c r="D9" s="83" t="str"/>
      <x:c r="E9" s="83" t="str"/>
      <x:c r="F9" s="83" t="str"/>
      <x:c r="G9" s="83" t="str"/>
      <x:c r="H9" s="83" t="str"/>
      <x:c r="I9" s="83" t="str"/>
      <x:c r="J9" s="83" t="str"/>
    </x:row>
    <x:row r="10" ht="44" customHeight="1">
      <x:c r="A10" s="83" t="str"/>
      <x:c r="B10" s="83" t="str"/>
      <x:c r="C10" s="83" t="str"/>
      <x:c r="D10" s="83" t="str"/>
      <x:c r="E10" s="83" t="str"/>
      <x:c r="F10" s="83" t="str"/>
      <x:c r="G10" s="83" t="str"/>
      <x:c r="H10" s="83" t="str"/>
      <x:c r="I10" s="83" t="str"/>
      <x:c r="J10" s="83" t="str"/>
    </x:row>
    <x:row r="11">
      <x:c r="A11" s="91"/>
      <x:c r="B11" s="91"/>
      <x:c r="C11" s="91"/>
      <x:c r="D11" s="91"/>
      <x:c r="E11" s="91"/>
      <x:c r="F11" s="91"/>
      <x:c r="G11" s="91"/>
      <x:c r="H11" s="91"/>
      <x:c r="I11" s="91"/>
      <x:c r="J11" s="91"/>
    </x:row>
    <x:row r="12" ht="22" customHeight="1">
      <x:c r="A12" s="92" t="str">
        <x:v>Competitors and competitive variables</x:v>
      </x:c>
      <x:c r="B12" s="92"/>
      <x:c r="C12" s="92"/>
      <x:c r="D12" s="92"/>
      <x:c r="E12" s="92"/>
      <x:c r="F12" s="92"/>
      <x:c r="G12" s="92"/>
      <x:c r="H12" s="92"/>
      <x:c r="I12" s="92"/>
      <x:c r="J12" s="92"/>
    </x:row>
    <x:row r="13" ht="34" customHeight="1">
      <x:c r="A13" s="82" t="str">
        <x:v>Competitor</x:v>
      </x:c>
      <x:c r="B13" s="82" t="str">
        <x:v>Competes in</x:v>
      </x:c>
      <x:c r="C13" s="82" t="str">
        <x:v>Pricing / product / channel variable</x:v>
      </x:c>
      <x:c r="D13" s="82" t="str">
        <x:v>Company position</x:v>
      </x:c>
      <x:c r="E13" s="82" t="str">
        <x:v>Evidence ID(s)</x:v>
      </x:c>
      <x:c r="F13" s="82" t="str">
        <x:v>Period</x:v>
      </x:c>
      <x:c r="G13" s="82" t="str">
        <x:v>Definition</x:v>
      </x:c>
      <x:c r="H13" s="82" t="str">
        <x:v>Implication</x:v>
      </x:c>
      <x:c r="I13" s="82" t="str">
        <x:v>Limitation</x:v>
      </x:c>
      <x:c r="J13" s="82" t="str">
        <x:v>CFO relevance</x:v>
      </x:c>
    </x:row>
    <x:row r="14" ht="44" customHeight="1">
      <x:c r="A14" s="83" t="str"/>
      <x:c r="B14" s="83" t="str"/>
      <x:c r="C14" s="83" t="str"/>
      <x:c r="D14" s="83" t="str"/>
      <x:c r="E14" s="83" t="str"/>
      <x:c r="F14" s="83" t="str"/>
      <x:c r="G14" s="83" t="str"/>
      <x:c r="H14" s="83" t="str"/>
      <x:c r="I14" s="83" t="str"/>
      <x:c r="J14" s="83" t="str"/>
    </x:row>
    <x:row r="15" ht="44" customHeight="1">
      <x:c r="A15" s="83" t="str"/>
      <x:c r="B15" s="83" t="str"/>
      <x:c r="C15" s="83" t="str"/>
      <x:c r="D15" s="83" t="str"/>
      <x:c r="E15" s="83" t="str"/>
      <x:c r="F15" s="83" t="str"/>
      <x:c r="G15" s="83" t="str"/>
      <x:c r="H15" s="83" t="str"/>
      <x:c r="I15" s="83" t="str"/>
      <x:c r="J15" s="83" t="str"/>
    </x:row>
    <x:row r="16" ht="44" customHeight="1">
      <x:c r="A16" s="83" t="str"/>
      <x:c r="B16" s="83" t="str"/>
      <x:c r="C16" s="83" t="str"/>
      <x:c r="D16" s="83" t="str"/>
      <x:c r="E16" s="83" t="str"/>
      <x:c r="F16" s="83" t="str"/>
      <x:c r="G16" s="83" t="str"/>
      <x:c r="H16" s="83" t="str"/>
      <x:c r="I16" s="83" t="str"/>
      <x:c r="J16" s="83" t="str"/>
    </x:row>
    <x:row r="17" ht="44" customHeight="1">
      <x:c r="A17" s="83" t="str"/>
      <x:c r="B17" s="83" t="str"/>
      <x:c r="C17" s="83" t="str"/>
      <x:c r="D17" s="83" t="str"/>
      <x:c r="E17" s="83" t="str"/>
      <x:c r="F17" s="83" t="str"/>
      <x:c r="G17" s="83" t="str"/>
      <x:c r="H17" s="83" t="str"/>
      <x:c r="I17" s="83" t="str"/>
      <x:c r="J17" s="83" t="str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</x:row>
    <x:row r="19" ht="22" customHeight="1">
      <x:c r="A19" s="92" t="str">
        <x:v>Peer growth comparison</x:v>
      </x:c>
      <x:c r="B19" s="92"/>
      <x:c r="C19" s="92"/>
      <x:c r="D19" s="92"/>
      <x:c r="E19" s="92"/>
      <x:c r="F19" s="92"/>
      <x:c r="G19" s="92"/>
      <x:c r="H19" s="92"/>
      <x:c r="I19" s="92"/>
      <x:c r="J19" s="92"/>
    </x:row>
    <x:row r="20" ht="34" customHeight="1">
      <x:c r="A20" s="82" t="str">
        <x:v>Peer</x:v>
      </x:c>
      <x:c r="B20" s="82" t="str">
        <x:v>Ticker</x:v>
      </x:c>
      <x:c r="C20" s="82" t="str">
        <x:v>Inclusion rationale</x:v>
      </x:c>
      <x:c r="D20" s="82" t="str">
        <x:v>Earliest fiscal period</x:v>
      </x:c>
      <x:c r="E20" s="82" t="str">
        <x:v>Earliest revenue</x:v>
      </x:c>
      <x:c r="F20" s="82" t="str">
        <x:v>Latest fiscal period</x:v>
      </x:c>
      <x:c r="G20" s="82" t="str">
        <x:v>Latest revenue</x:v>
      </x:c>
      <x:c r="H20" s="82" t="str">
        <x:v>Years between</x:v>
      </x:c>
      <x:c r="I20" s="82" t="str">
        <x:v>Revenue CAGR</x:v>
      </x:c>
      <x:c r="J20" s="82" t="str">
        <x:v>Evidence ID(s) / comparability limits</x:v>
      </x:c>
    </x:row>
    <x:row r="21" ht="42" customHeight="1">
      <x:c r="A21" s="83" t="str"/>
      <x:c r="B21" s="83" t="str"/>
      <x:c r="C21" s="83" t="str"/>
      <x:c r="D21" s="83" t="str"/>
      <x:c r="E21" s="83"/>
      <x:c r="F21" s="83" t="str"/>
      <x:c r="G21" s="83"/>
      <x:c r="H21" s="83"/>
      <x:c r="I21" s="108" t="str">
        <x:f>IFERROR((G21/E21)^(1/H21)-1,"")</x:f>
      </x:c>
      <x:c r="J21" s="83" t="str"/>
    </x:row>
    <x:row r="22" ht="42" customHeight="1">
      <x:c r="A22" s="83" t="str"/>
      <x:c r="B22" s="83" t="str"/>
      <x:c r="C22" s="83" t="str"/>
      <x:c r="D22" s="83" t="str"/>
      <x:c r="E22" s="83"/>
      <x:c r="F22" s="83" t="str"/>
      <x:c r="G22" s="83"/>
      <x:c r="H22" s="83"/>
      <x:c r="I22" s="108" t="str">
        <x:f>IFERROR((G22/E22)^(1/H22)-1,"")</x:f>
      </x:c>
      <x:c r="J22" s="83" t="str"/>
    </x:row>
    <x:row r="23" ht="42" customHeight="1">
      <x:c r="A23" s="83" t="str"/>
      <x:c r="B23" s="83" t="str"/>
      <x:c r="C23" s="83" t="str"/>
      <x:c r="D23" s="83" t="str"/>
      <x:c r="E23" s="83"/>
      <x:c r="F23" s="83" t="str"/>
      <x:c r="G23" s="83"/>
      <x:c r="H23" s="83"/>
      <x:c r="I23" s="108" t="str">
        <x:f>IFERROR((G23/E23)^(1/H23)-1,"")</x:f>
      </x:c>
      <x:c r="J23" s="83" t="str"/>
    </x:row>
    <x:row r="24" ht="42" customHeight="1">
      <x:c r="A24" s="83" t="str"/>
      <x:c r="B24" s="83" t="str"/>
      <x:c r="C24" s="83" t="str"/>
      <x:c r="D24" s="83" t="str"/>
      <x:c r="E24" s="83"/>
      <x:c r="F24" s="83" t="str"/>
      <x:c r="G24" s="83"/>
      <x:c r="H24" s="83"/>
      <x:c r="I24" s="108" t="str">
        <x:f>IFERROR((G24/E24)^(1/H24)-1,"")</x:f>
      </x:c>
      <x:c r="J24" s="83" t="str"/>
    </x:row>
    <x:row r="25" ht="42" customHeight="1">
      <x:c r="A25" s="83" t="str"/>
      <x:c r="B25" s="83" t="str"/>
      <x:c r="C25" s="83" t="str"/>
      <x:c r="D25" s="83" t="str"/>
      <x:c r="E25" s="83"/>
      <x:c r="F25" s="83" t="str"/>
      <x:c r="G25" s="83"/>
      <x:c r="H25" s="83"/>
      <x:c r="I25" s="108" t="str">
        <x:f>IFERROR((G25/E25)^(1/H25)-1,"")</x:f>
      </x:c>
      <x:c r="J25" s="83" t="str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</x:row>
    <x:row r="27" ht="22" customHeight="1">
      <x:c r="A27" s="92" t="str">
        <x:v>Market-share context and peer limitation</x:v>
      </x:c>
      <x:c r="B27" s="92"/>
      <x:c r="C27" s="92"/>
      <x:c r="D27" s="92"/>
      <x:c r="E27" s="92"/>
      <x:c r="F27" s="92"/>
      <x:c r="G27" s="92"/>
      <x:c r="H27" s="92"/>
      <x:c r="I27" s="92"/>
      <x:c r="J27" s="92"/>
    </x:row>
    <x:row r="28" ht="38" customHeight="1">
      <x:c r="A28" s="99" t="str">
        <x:v>Defined market / measure</x:v>
      </x:c>
      <x:c r="B28" s="83" t="str"/>
      <x:c r="C28" s="83"/>
      <x:c r="D28" s="83"/>
      <x:c r="E28" s="83"/>
      <x:c r="F28" s="83"/>
      <x:c r="G28" s="83"/>
      <x:c r="H28" s="83"/>
      <x:c r="I28" s="83"/>
      <x:c r="J28" s="83"/>
    </x:row>
    <x:row r="29" ht="38" customHeight="1">
      <x:c r="A29" s="99" t="str">
        <x:v>Supportable market-share conclusion and evidence ID(s)</x:v>
      </x:c>
      <x:c r="B29" s="83" t="str"/>
      <x:c r="C29" s="83"/>
      <x:c r="D29" s="83"/>
      <x:c r="E29" s="83"/>
      <x:c r="F29" s="83"/>
      <x:c r="G29" s="83"/>
      <x:c r="H29" s="83"/>
      <x:c r="I29" s="83"/>
      <x:c r="J29" s="83"/>
    </x:row>
    <x:row r="30" ht="38" customHeight="1">
      <x:c r="A30" s="99" t="str">
        <x:v>If not supportable, what context will be used instead?</x:v>
      </x:c>
      <x:c r="B30" s="83" t="str"/>
      <x:c r="C30" s="83"/>
      <x:c r="D30" s="83"/>
      <x:c r="E30" s="83"/>
      <x:c r="F30" s="83"/>
      <x:c r="G30" s="83"/>
      <x:c r="H30" s="83"/>
      <x:c r="I30" s="83"/>
      <x:c r="J30" s="83"/>
    </x:row>
    <x:row r="31" ht="38" customHeight="1">
      <x:c r="A31" s="99" t="str">
        <x:v>Peer-group limitation or fewer-than-three explanation</x:v>
      </x:c>
      <x:c r="B31" s="83" t="str"/>
      <x:c r="C31" s="83"/>
      <x:c r="D31" s="83"/>
      <x:c r="E31" s="83"/>
      <x:c r="F31" s="83"/>
      <x:c r="G31" s="83"/>
      <x:c r="H31" s="83"/>
      <x:c r="I31" s="83"/>
      <x:c r="J31" s="83"/>
    </x:row>
  </x:sheetData>
  <x:mergeCells>
    <x:mergeCell ref="A1:J1"/>
    <x:mergeCell ref="A2:J2"/>
    <x:mergeCell ref="A3:J3"/>
    <x:mergeCell ref="A5:J5"/>
    <x:mergeCell ref="A12:J12"/>
    <x:mergeCell ref="A19:J19"/>
    <x:mergeCell ref="A27:J27"/>
    <x:mergeCell ref="B28:J28"/>
    <x:mergeCell ref="B29:J29"/>
    <x:mergeCell ref="B30:J30"/>
    <x:mergeCell ref="B31:J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9" hidden="0" customWidth="1"/>
    <x:col min="4" max="4" width="22" hidden="0" customWidth="1"/>
    <x:col min="5" max="5" width="20" hidden="0" customWidth="1"/>
    <x:col min="6" max="6" width="23" hidden="0" customWidth="1"/>
    <x:col min="7" max="7" width="18" hidden="0" customWidth="1"/>
    <x:col min="8" max="8" width="17" hidden="0" customWidth="1"/>
    <x:col min="9" max="9" width="16" hidden="0" customWidth="1"/>
    <x:col min="10" max="10" width="30" hidden="0" customWidth="1"/>
  </x:cols>
  <x:sheetData>
    <x:row r="1" ht="28" customHeight="1">
      <x:c r="A1" s="128" t="str">
        <x:v>BUS311 Capstone Milestone 2 | Indicators &amp; Risks</x:v>
      </x:c>
      <x:c r="B1" s="128"/>
      <x:c r="C1" s="128"/>
      <x:c r="D1" s="128"/>
      <x:c r="E1" s="128"/>
      <x:c r="F1" s="128"/>
      <x:c r="G1" s="128"/>
      <x:c r="H1" s="128"/>
      <x:c r="I1" s="128"/>
      <x:c r="J1" s="128"/>
    </x:row>
    <x:row r="2" ht="30" customHeight="1">
      <x:c r="A2" s="89" t="str">
        <x:v>Select measures the CFO and Board can monitor before or as revenue changes; connect every item to a trigger or assumption.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  <x:c r="I3" s="90"/>
      <x:c r="J3" s="90"/>
    </x:row>
    <x:row r="4">
      <x:c r="A4" s="91"/>
      <x:c r="B4" s="91"/>
      <x:c r="C4" s="91"/>
      <x:c r="D4" s="91"/>
      <x:c r="E4" s="91"/>
      <x:c r="F4" s="91"/>
      <x:c r="G4" s="91"/>
      <x:c r="H4" s="91"/>
      <x:c r="I4" s="91"/>
      <x:c r="J4" s="91"/>
    </x:row>
    <x:row r="5" ht="22" customHeight="1">
      <x:c r="A5" s="92" t="str">
        <x:v>Leading indicators | complete 4–6</x:v>
      </x:c>
      <x:c r="B5" s="92"/>
      <x:c r="C5" s="92"/>
      <x:c r="D5" s="92"/>
      <x:c r="E5" s="92"/>
      <x:c r="F5" s="92"/>
      <x:c r="G5" s="92"/>
      <x:c r="H5" s="92"/>
      <x:c r="I5" s="92"/>
      <x:c r="J5" s="92"/>
    </x:row>
    <x:row r="6" ht="34" customHeight="1">
      <x:c r="A6" s="82" t="str">
        <x:v>Indicator</x:v>
      </x:c>
      <x:c r="B6" s="82" t="str">
        <x:v>Definition</x:v>
      </x:c>
      <x:c r="C6" s="82" t="str">
        <x:v>Why it leads revenue</x:v>
      </x:c>
      <x:c r="D6" s="82" t="str">
        <x:v>Frequency</x:v>
      </x:c>
      <x:c r="E6" s="82" t="str">
        <x:v>Current direction</x:v>
      </x:c>
      <x:c r="F6" s="82" t="str">
        <x:v>Evidence ID(s)</x:v>
      </x:c>
      <x:c r="G6" s="82" t="str">
        <x:v>Base assumption</x:v>
      </x:c>
      <x:c r="H6" s="82" t="str">
        <x:v>Upside trigger</x:v>
      </x:c>
      <x:c r="I6" s="82" t="str">
        <x:v>Downside trigger</x:v>
      </x:c>
      <x:c r="J6" s="82" t="str">
        <x:v>CFO response</x:v>
      </x:c>
    </x:row>
    <x:row r="7" ht="44" customHeight="1">
      <x:c r="A7" s="83" t="str"/>
      <x:c r="B7" s="83" t="str"/>
      <x:c r="C7" s="83" t="str"/>
      <x:c r="D7" s="83" t="str"/>
      <x:c r="E7" s="83" t="str"/>
      <x:c r="F7" s="83" t="str"/>
      <x:c r="G7" s="83" t="str"/>
      <x:c r="H7" s="83" t="str"/>
      <x:c r="I7" s="83" t="str"/>
      <x:c r="J7" s="83" t="str"/>
    </x:row>
    <x:row r="8" ht="44" customHeight="1">
      <x:c r="A8" s="83" t="str"/>
      <x:c r="B8" s="83" t="str"/>
      <x:c r="C8" s="83" t="str"/>
      <x:c r="D8" s="83" t="str"/>
      <x:c r="E8" s="83" t="str"/>
      <x:c r="F8" s="83" t="str"/>
      <x:c r="G8" s="83" t="str"/>
      <x:c r="H8" s="83" t="str"/>
      <x:c r="I8" s="83" t="str"/>
      <x:c r="J8" s="83" t="str"/>
    </x:row>
    <x:row r="9" ht="44" customHeight="1">
      <x:c r="A9" s="83" t="str"/>
      <x:c r="B9" s="83" t="str"/>
      <x:c r="C9" s="83" t="str"/>
      <x:c r="D9" s="83" t="str"/>
      <x:c r="E9" s="83" t="str"/>
      <x:c r="F9" s="83" t="str"/>
      <x:c r="G9" s="83" t="str"/>
      <x:c r="H9" s="83" t="str"/>
      <x:c r="I9" s="83" t="str"/>
      <x:c r="J9" s="83" t="str"/>
    </x:row>
    <x:row r="10" ht="44" customHeight="1">
      <x:c r="A10" s="83" t="str"/>
      <x:c r="B10" s="83" t="str"/>
      <x:c r="C10" s="83" t="str"/>
      <x:c r="D10" s="83" t="str"/>
      <x:c r="E10" s="83" t="str"/>
      <x:c r="F10" s="83" t="str"/>
      <x:c r="G10" s="83" t="str"/>
      <x:c r="H10" s="83" t="str"/>
      <x:c r="I10" s="83" t="str"/>
      <x:c r="J10" s="83" t="str"/>
    </x:row>
    <x:row r="11" ht="44" customHeight="1">
      <x:c r="A11" s="83" t="str"/>
      <x:c r="B11" s="83" t="str"/>
      <x:c r="C11" s="83" t="str"/>
      <x:c r="D11" s="83" t="str"/>
      <x:c r="E11" s="83" t="str"/>
      <x:c r="F11" s="83" t="str"/>
      <x:c r="G11" s="83" t="str"/>
      <x:c r="H11" s="83" t="str"/>
      <x:c r="I11" s="83" t="str"/>
      <x:c r="J11" s="83" t="str"/>
    </x:row>
    <x:row r="12" ht="44" customHeight="1">
      <x:c r="A12" s="83" t="str"/>
      <x:c r="B12" s="83" t="str"/>
      <x:c r="C12" s="83" t="str"/>
      <x:c r="D12" s="83" t="str"/>
      <x:c r="E12" s="83" t="str"/>
      <x:c r="F12" s="83" t="str"/>
      <x:c r="G12" s="83" t="str"/>
      <x:c r="H12" s="83" t="str"/>
      <x:c r="I12" s="83" t="str"/>
      <x:c r="J12" s="83" t="str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</x:row>
    <x:row r="14" ht="22" customHeight="1">
      <x:c r="A14" s="92" t="str">
        <x:v>Principal revenue risks | complete 3–5</x:v>
      </x:c>
      <x:c r="B14" s="92"/>
      <x:c r="C14" s="92"/>
      <x:c r="D14" s="92"/>
      <x:c r="E14" s="92"/>
      <x:c r="F14" s="92"/>
      <x:c r="G14" s="92"/>
      <x:c r="H14" s="92"/>
      <x:c r="I14" s="92"/>
      <x:c r="J14" s="92"/>
    </x:row>
    <x:row r="15" ht="34" customHeight="1">
      <x:c r="A15" s="82" t="str">
        <x:v>Risk category</x:v>
      </x:c>
      <x:c r="B15" s="82" t="str">
        <x:v>Risk / mechanism</x:v>
      </x:c>
      <x:c r="C15" s="82" t="str">
        <x:v>Exposure</x:v>
      </x:c>
      <x:c r="D15" s="82" t="str">
        <x:v>Early-warning trigger</x:v>
      </x:c>
      <x:c r="E15" s="82" t="str">
        <x:v>Likelihood direction</x:v>
      </x:c>
      <x:c r="F15" s="82" t="str">
        <x:v>Revenue / margin effect</x:v>
      </x:c>
      <x:c r="G15" s="82" t="str">
        <x:v>Evidence ID(s)</x:v>
      </x:c>
      <x:c r="H15" s="82" t="str">
        <x:v>Scenario affected</x:v>
      </x:c>
      <x:c r="I15" s="82" t="str">
        <x:v>Mitigation</x:v>
      </x:c>
      <x:c r="J15" s="82" t="str">
        <x:v>Pause / change / reject condition</x:v>
      </x:c>
    </x:row>
    <x:row r="16" ht="48" customHeight="1">
      <x:c r="A16" s="83" t="str"/>
      <x:c r="B16" s="83" t="str"/>
      <x:c r="C16" s="83" t="str"/>
      <x:c r="D16" s="83" t="str"/>
      <x:c r="E16" s="83" t="str"/>
      <x:c r="F16" s="83" t="str"/>
      <x:c r="G16" s="83" t="str"/>
      <x:c r="H16" s="83" t="str"/>
      <x:c r="I16" s="83" t="str"/>
      <x:c r="J16" s="83" t="str"/>
    </x:row>
    <x:row r="17" ht="48" customHeight="1">
      <x:c r="A17" s="83" t="str"/>
      <x:c r="B17" s="83" t="str"/>
      <x:c r="C17" s="83" t="str"/>
      <x:c r="D17" s="83" t="str"/>
      <x:c r="E17" s="83" t="str"/>
      <x:c r="F17" s="83" t="str"/>
      <x:c r="G17" s="83" t="str"/>
      <x:c r="H17" s="83" t="str"/>
      <x:c r="I17" s="83" t="str"/>
      <x:c r="J17" s="83" t="str"/>
    </x:row>
    <x:row r="18" ht="48" customHeight="1">
      <x:c r="A18" s="83" t="str"/>
      <x:c r="B18" s="83" t="str"/>
      <x:c r="C18" s="83" t="str"/>
      <x:c r="D18" s="83" t="str"/>
      <x:c r="E18" s="83" t="str"/>
      <x:c r="F18" s="83" t="str"/>
      <x:c r="G18" s="83" t="str"/>
      <x:c r="H18" s="83" t="str"/>
      <x:c r="I18" s="83" t="str"/>
      <x:c r="J18" s="83" t="str"/>
    </x:row>
    <x:row r="19" ht="48" customHeight="1">
      <x:c r="A19" s="83" t="str"/>
      <x:c r="B19" s="83" t="str"/>
      <x:c r="C19" s="83" t="str"/>
      <x:c r="D19" s="83" t="str"/>
      <x:c r="E19" s="83" t="str"/>
      <x:c r="F19" s="83" t="str"/>
      <x:c r="G19" s="83" t="str"/>
      <x:c r="H19" s="83" t="str"/>
      <x:c r="I19" s="83" t="str"/>
      <x:c r="J19" s="83" t="str"/>
    </x:row>
    <x:row r="20" ht="48" customHeight="1">
      <x:c r="A20" s="83" t="str"/>
      <x:c r="B20" s="83" t="str"/>
      <x:c r="C20" s="83" t="str"/>
      <x:c r="D20" s="83" t="str"/>
      <x:c r="E20" s="83" t="str"/>
      <x:c r="F20" s="83" t="str"/>
      <x:c r="G20" s="83" t="str"/>
      <x:c r="H20" s="83" t="str"/>
      <x:c r="I20" s="83" t="str"/>
      <x:c r="J20" s="83" t="str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</x:row>
    <x:row r="22" ht="22" customHeight="1">
      <x:c r="A22" s="92" t="str">
        <x:v>Required exposure scan</x:v>
      </x:c>
      <x:c r="B22" s="92"/>
      <x:c r="C22" s="92"/>
      <x:c r="D22" s="92"/>
      <x:c r="E22" s="92"/>
      <x:c r="F22" s="92"/>
      <x:c r="G22" s="92"/>
      <x:c r="H22" s="92"/>
      <x:c r="I22" s="92"/>
      <x:c r="J22" s="92"/>
    </x:row>
    <x:row r="23" ht="34" customHeight="1">
      <x:c r="A23" s="82" t="str">
        <x:v>Required topic</x:v>
      </x:c>
      <x:c r="B23" s="82" t="str">
        <x:v>Material / not material / not disclosed</x:v>
      </x:c>
      <x:c r="C23" s="82" t="str">
        <x:v>Company-specific exposure</x:v>
      </x:c>
      <x:c r="D23" s="82" t="str">
        <x:v>Evidence ID(s)</x:v>
      </x:c>
      <x:c r="E23" s="82" t="str">
        <x:v>Forecast implication</x:v>
      </x:c>
      <x:c r="F23" s="82" t="str">
        <x:v>Decision trigger</x:v>
      </x:c>
      <x:c r="G23" s="82" t="str">
        <x:v>Mitigation</x:v>
      </x:c>
      <x:c r="H23" s="82" t="str">
        <x:v>Definition</x:v>
      </x:c>
      <x:c r="I23" s="82" t="str">
        <x:v>Period</x:v>
      </x:c>
      <x:c r="J23" s="82" t="str">
        <x:v>Limitation</x:v>
      </x:c>
    </x:row>
    <x:row r="24" ht="44" customHeight="1">
      <x:c r="A24" s="116" t="str">
        <x:v>Concentrations</x:v>
      </x:c>
      <x:c r="B24" s="83" t="str"/>
      <x:c r="C24" s="83" t="str"/>
      <x:c r="D24" s="83" t="str"/>
      <x:c r="E24" s="83" t="str"/>
      <x:c r="F24" s="83" t="str"/>
      <x:c r="G24" s="83" t="str"/>
      <x:c r="H24" s="83" t="str"/>
      <x:c r="I24" s="83" t="str"/>
      <x:c r="J24" s="83" t="str"/>
    </x:row>
    <x:row r="25" ht="44" customHeight="1">
      <x:c r="A25" s="116" t="str">
        <x:v>Seasonality</x:v>
      </x:c>
      <x:c r="B25" s="83" t="str"/>
      <x:c r="C25" s="83" t="str"/>
      <x:c r="D25" s="83" t="str"/>
      <x:c r="E25" s="83" t="str"/>
      <x:c r="F25" s="83" t="str"/>
      <x:c r="G25" s="83" t="str"/>
      <x:c r="H25" s="83" t="str"/>
      <x:c r="I25" s="83" t="str"/>
      <x:c r="J25" s="83" t="str"/>
    </x:row>
    <x:row r="26" ht="44" customHeight="1">
      <x:c r="A26" s="116" t="str">
        <x:v>Capacity constraints</x:v>
      </x:c>
      <x:c r="B26" s="83" t="str"/>
      <x:c r="C26" s="83" t="str"/>
      <x:c r="D26" s="83" t="str"/>
      <x:c r="E26" s="83" t="str"/>
      <x:c r="F26" s="83" t="str"/>
      <x:c r="G26" s="83" t="str"/>
      <x:c r="H26" s="83" t="str"/>
      <x:c r="I26" s="83" t="str"/>
      <x:c r="J26" s="83" t="str"/>
    </x:row>
    <x:row r="27" ht="44" customHeight="1">
      <x:c r="A27" s="116" t="str">
        <x:v>Other principal structural exposure</x:v>
      </x:c>
      <x:c r="B27" s="83" t="str"/>
      <x:c r="C27" s="83" t="str"/>
      <x:c r="D27" s="83" t="str"/>
      <x:c r="E27" s="83" t="str"/>
      <x:c r="F27" s="83" t="str"/>
      <x:c r="G27" s="83" t="str"/>
      <x:c r="H27" s="83" t="str"/>
      <x:c r="I27" s="83" t="str"/>
      <x:c r="J27" s="83" t="str"/>
    </x:row>
  </x:sheetData>
  <x:mergeCells>
    <x:mergeCell ref="A1:J1"/>
    <x:mergeCell ref="A2:J2"/>
    <x:mergeCell ref="A3:J3"/>
    <x:mergeCell ref="A5:J5"/>
    <x:mergeCell ref="A14:J14"/>
    <x:mergeCell ref="A22:J22"/>
  </x:mergeCells>
  <x:dataValidations count="3">
    <x:dataValidation type="list" sqref="A16:A20">
      <x:formula1>"Demand,Competition/pricing,Customer concentration,Supplier/channel,Seasonality/timing,Capacity/execution,Currency/macro,Regulatory,Acquisition/accounting,Other"</x:formula1>
    </x:dataValidation>
    <x:dataValidation type="list" sqref="H16:H20">
      <x:formula1>"Base,Upside,Downside,Multiple"</x:formula1>
    </x:dataValidation>
    <x:dataValidation type="list" sqref="B24:B27">
      <x:formula1>"Material,Not material,Not disclosed"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2" hidden="0" customWidth="1"/>
    <x:col min="4" max="4" width="30" hidden="0" customWidth="1"/>
    <x:col min="5" max="5" width="23" hidden="0" customWidth="1"/>
    <x:col min="6" max="6" width="31" hidden="0" customWidth="1"/>
    <x:col min="7" max="7" width="15" hidden="0" customWidth="1"/>
  </x:cols>
  <x:sheetData>
    <x:row r="1" ht="28" customHeight="1">
      <x:c r="A1" s="128" t="str">
        <x:v>BUS311 Capstone Milestone 2 | Hypothesis &amp; Scenarios</x:v>
      </x:c>
      <x:c r="B1" s="128"/>
      <x:c r="C1" s="128"/>
      <x:c r="D1" s="128"/>
      <x:c r="E1" s="128"/>
      <x:c r="F1" s="128"/>
      <x:c r="G1" s="128"/>
    </x:row>
    <x:row r="2" ht="30" customHeight="1">
      <x:c r="A2" s="89" t="str">
        <x:v>Write one claim that evidence can support, modify, or reject; then connect it to later forecasts, valuation channels, and the CFO decision.</x:v>
      </x:c>
      <x:c r="B2" s="89"/>
      <x:c r="C2" s="89"/>
      <x:c r="D2" s="89"/>
      <x:c r="E2" s="89"/>
      <x:c r="F2" s="89"/>
      <x:c r="G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</x:row>
    <x:row r="4">
      <x:c r="A4" s="91"/>
      <x:c r="B4" s="91"/>
      <x:c r="C4" s="91"/>
      <x:c r="D4" s="91"/>
      <x:c r="E4" s="91"/>
      <x:c r="F4" s="91"/>
      <x:c r="G4" s="91"/>
    </x:row>
    <x:row r="5" ht="22" customHeight="1">
      <x:c r="A5" s="92" t="str">
        <x:v>Hypothesis components</x:v>
      </x:c>
      <x:c r="B5" s="92"/>
      <x:c r="C5" s="92"/>
      <x:c r="D5" s="92"/>
      <x:c r="E5" s="92"/>
      <x:c r="F5" s="92"/>
      <x:c r="G5" s="92"/>
    </x:row>
    <x:row r="6" ht="34" customHeight="1">
      <x:c r="A6" s="82" t="str">
        <x:v>Required component</x:v>
      </x:c>
      <x:c r="B6" s="82" t="str">
        <x:v>Student entry</x:v>
      </x:c>
      <x:c r="C6" s="82" t="str">
        <x:v>Evidence ID(s)</x:v>
      </x:c>
      <x:c r="D6" s="82" t="str">
        <x:v>Quality test</x:v>
      </x:c>
      <x:c r="E6" s="82" t="str">
        <x:v>Forecast use</x:v>
      </x:c>
      <x:c r="F6" s="82" t="str">
        <x:v>CFO decision use</x:v>
      </x:c>
      <x:c r="G6" s="82" t="str">
        <x:v>Complete?</x:v>
      </x:c>
    </x:row>
    <x:row r="7" ht="42" customHeight="1">
      <x:c r="A7" s="116" t="str">
        <x:v>Operating driver / mechanism</x:v>
      </x:c>
      <x:c r="B7" s="83" t="str"/>
      <x:c r="C7" s="83" t="str"/>
      <x:c r="D7" s="84" t="str">
        <x:v>Names a controllable or observable company-relevant driver</x:v>
      </x:c>
      <x:c r="E7" s="83" t="str"/>
      <x:c r="F7" s="83" t="str"/>
      <x:c r="G7" s="97" t="str">
        <x:f>IF(B7="","INCOMPLETE","COMPLETE")</x:f>
        <x:v>INCOMPLETE</x:v>
      </x:c>
    </x:row>
    <x:row r="8" ht="42" customHeight="1">
      <x:c r="A8" s="116" t="str">
        <x:v>Expected revenue or margin effect</x:v>
      </x:c>
      <x:c r="B8" s="83" t="str"/>
      <x:c r="C8" s="83" t="str"/>
      <x:c r="D8" s="84" t="str">
        <x:v>Directional effect can become a forecast assumption</x:v>
      </x:c>
      <x:c r="E8" s="83" t="str"/>
      <x:c r="F8" s="83" t="str"/>
      <x:c r="G8" s="97" t="str">
        <x:f>IF(B8="","INCOMPLETE","COMPLETE")</x:f>
        <x:v>INCOMPLETE</x:v>
      </x:c>
    </x:row>
    <x:row r="9" ht="42" customHeight="1">
      <x:c r="A9" s="116" t="str">
        <x:v>Relevant period</x:v>
      </x:c>
      <x:c r="B9" s="83" t="str"/>
      <x:c r="C9" s="83" t="str"/>
      <x:c r="D9" s="84" t="str">
        <x:v>Fiscal year or forecast window is explicit</x:v>
      </x:c>
      <x:c r="E9" s="83" t="str"/>
      <x:c r="F9" s="83" t="str"/>
      <x:c r="G9" s="97" t="str">
        <x:f>IF(B9="","INCOMPLETE","COMPLETE")</x:f>
        <x:v>INCOMPLETE</x:v>
      </x:c>
    </x:row>
    <x:row r="10" ht="42" customHeight="1">
      <x:c r="A10" s="116" t="str">
        <x:v>Supporting evidence</x:v>
      </x:c>
      <x:c r="B10" s="83" t="str"/>
      <x:c r="C10" s="83" t="str"/>
      <x:c r="D10" s="84" t="str">
        <x:v>At least two independent evidence items can test the claim</x:v>
      </x:c>
      <x:c r="E10" s="83" t="str"/>
      <x:c r="F10" s="83" t="str"/>
      <x:c r="G10" s="97" t="str">
        <x:f>IF(B10="","INCOMPLETE","COMPLETE")</x:f>
        <x:v>INCOMPLETE</x:v>
      </x:c>
    </x:row>
    <x:row r="11" ht="42" customHeight="1">
      <x:c r="A11" s="116" t="str">
        <x:v>Falsification evidence</x:v>
      </x:c>
      <x:c r="B11" s="83" t="str"/>
      <x:c r="C11" s="83" t="str"/>
      <x:c r="D11" s="84" t="str">
        <x:v>A reasonable observation could weaken or disprove the claim</x:v>
      </x:c>
      <x:c r="E11" s="83" t="str"/>
      <x:c r="F11" s="83" t="str"/>
      <x:c r="G11" s="97" t="str">
        <x:f>IF(B11="","INCOMPLETE","COMPLETE")</x:f>
        <x:v>INCOMPLETE</x:v>
      </x:c>
    </x:row>
    <x:row r="12" ht="42" customHeight="1">
      <x:c r="A12" s="116" t="str">
        <x:v>Alternative explanation</x:v>
      </x:c>
      <x:c r="B12" s="83" t="str"/>
      <x:c r="C12" s="83" t="str"/>
      <x:c r="D12" s="84" t="str">
        <x:v>At least one plausible competing cause is named</x:v>
      </x:c>
      <x:c r="E12" s="83" t="str"/>
      <x:c r="F12" s="83" t="str"/>
      <x:c r="G12" s="97" t="str">
        <x:f>IF(B12="","INCOMPLETE","COMPLETE")</x:f>
        <x:v>INCOMPLETE</x:v>
      </x:c>
    </x:row>
    <x:row r="13" ht="42" customHeight="1">
      <x:c r="A13" s="116" t="str">
        <x:v>No unsupported precision</x:v>
      </x:c>
      <x:c r="B13" s="83" t="str"/>
      <x:c r="C13" s="83" t="str"/>
      <x:c r="D13" s="84" t="str">
        <x:v>Any threshold is sourced, calculated, or labeled as a later scenario assumption</x:v>
      </x:c>
      <x:c r="E13" s="83" t="str"/>
      <x:c r="F13" s="83" t="str"/>
      <x:c r="G13" s="97" t="str">
        <x:f>IF(B13="","INCOMPLETE","COMPLETE")</x:f>
        <x:v>INCOMPLETE</x:v>
      </x:c>
    </x:row>
    <x:row r="14">
      <x:c r="A14" s="91"/>
      <x:c r="B14" s="91"/>
      <x:c r="C14" s="91"/>
      <x:c r="D14" s="91"/>
      <x:c r="E14" s="91"/>
      <x:c r="F14" s="91"/>
      <x:c r="G14" s="91"/>
    </x:row>
    <x:row r="15" ht="48" customHeight="1">
      <x:c r="A15" s="99" t="str">
        <x:v>Original one-sentence hypothesis</x:v>
      </x:c>
      <x:c r="B15" s="83"/>
      <x:c r="C15" s="83"/>
      <x:c r="D15" s="83"/>
      <x:c r="E15" s="83"/>
      <x:c r="F15" s="83"/>
      <x:c r="G15" s="83"/>
    </x:row>
    <x:row r="16" ht="48" customHeight="1">
      <x:c r="A16" s="99" t="str">
        <x:v>Hypothesis evidence summary</x:v>
      </x:c>
      <x:c r="B16" s="83"/>
      <x:c r="C16" s="83"/>
      <x:c r="D16" s="83"/>
      <x:c r="E16" s="83"/>
      <x:c r="F16" s="83"/>
      <x:c r="G16" s="83"/>
    </x:row>
    <x:row r="17">
      <x:c r="A17" s="91"/>
      <x:c r="B17" s="91"/>
      <x:c r="C17" s="91"/>
      <x:c r="D17" s="91"/>
      <x:c r="E17" s="91"/>
      <x:c r="F17" s="91"/>
      <x:c r="G17" s="91"/>
    </x:row>
    <x:row r="18" ht="22" customHeight="1">
      <x:c r="A18" s="92" t="str">
        <x:v>Directional scenario bridge | full valuation belongs in Milestone 3</x:v>
      </x:c>
      <x:c r="B18" s="92"/>
      <x:c r="C18" s="92"/>
      <x:c r="D18" s="92"/>
      <x:c r="E18" s="92"/>
      <x:c r="F18" s="92"/>
      <x:c r="G18" s="92"/>
    </x:row>
    <x:row r="19" ht="34" customHeight="1">
      <x:c r="A19" s="82" t="str">
        <x:v>Case</x:v>
      </x:c>
      <x:c r="B19" s="82" t="str">
        <x:v>Driver assumption</x:v>
      </x:c>
      <x:c r="C19" s="82" t="str">
        <x:v>Observable indicator / trigger</x:v>
      </x:c>
      <x:c r="D19" s="82" t="str">
        <x:v>Forecast revenue or margin effect</x:v>
      </x:c>
      <x:c r="E19" s="82" t="str">
        <x:v>Later valuation channel</x:v>
      </x:c>
      <x:c r="F19" s="82" t="str">
        <x:v>CFO action / decision implication</x:v>
      </x:c>
      <x:c r="G19" s="82" t="str">
        <x:v>Evidence ID(s)</x:v>
      </x:c>
    </x:row>
    <x:row r="20" ht="55" customHeight="1">
      <x:c r="A20" s="119" t="str">
        <x:v>Base</x:v>
      </x:c>
      <x:c r="B20" s="83" t="str"/>
      <x:c r="C20" s="83" t="str"/>
      <x:c r="D20" s="83" t="str"/>
      <x:c r="E20" s="83" t="str"/>
      <x:c r="F20" s="83" t="str"/>
      <x:c r="G20" s="83" t="str"/>
    </x:row>
    <x:row r="21" ht="55" customHeight="1">
      <x:c r="A21" s="119" t="str">
        <x:v>Upside</x:v>
      </x:c>
      <x:c r="B21" s="83" t="str"/>
      <x:c r="C21" s="83" t="str"/>
      <x:c r="D21" s="83" t="str"/>
      <x:c r="E21" s="83" t="str"/>
      <x:c r="F21" s="83" t="str"/>
      <x:c r="G21" s="83" t="str"/>
    </x:row>
    <x:row r="22" ht="55" customHeight="1">
      <x:c r="A22" s="119" t="str">
        <x:v>Downside</x:v>
      </x:c>
      <x:c r="B22" s="83" t="str"/>
      <x:c r="C22" s="83" t="str"/>
      <x:c r="D22" s="83" t="str"/>
      <x:c r="E22" s="83" t="str"/>
      <x:c r="F22" s="83" t="str"/>
      <x:c r="G22" s="83" t="str"/>
    </x:row>
    <x:row r="23">
      <x:c r="A23" s="91"/>
      <x:c r="B23" s="91"/>
      <x:c r="C23" s="91"/>
      <x:c r="D23" s="91"/>
      <x:c r="E23" s="91"/>
      <x:c r="F23" s="91"/>
      <x:c r="G23" s="91"/>
    </x:row>
    <x:row r="24" ht="22" customHeight="1">
      <x:c r="A24" s="92" t="str">
        <x:v>Checkpoint 2 | skeptical-CFO challenge and student judgment</x:v>
      </x:c>
      <x:c r="B24" s="92"/>
      <x:c r="C24" s="92"/>
      <x:c r="D24" s="92"/>
      <x:c r="E24" s="92"/>
      <x:c r="F24" s="92"/>
      <x:c r="G24" s="92"/>
    </x:row>
    <x:row r="25" ht="54" customHeight="1">
      <x:c r="A25" s="120" t="str">
        <x:v>Free-AI prompt option: Act as a skeptical CFO. Identify the weakest assumptions, propose plausible alternative explanations, state what evidence could disprove the hypothesis, and ask questions I should answer before presenting it. Do not invent company data or assume my figures are correct. Non-AI path: use the same questions yourself.</x:v>
      </x:c>
      <x:c r="B25" s="120"/>
      <x:c r="C25" s="120"/>
      <x:c r="D25" s="120"/>
      <x:c r="E25" s="120"/>
      <x:c r="F25" s="120"/>
      <x:c r="G25" s="120"/>
    </x:row>
    <x:row r="26">
      <x:c r="A26" s="91"/>
      <x:c r="B26" s="91"/>
      <x:c r="C26" s="91"/>
      <x:c r="D26" s="91"/>
      <x:c r="E26" s="91"/>
      <x:c r="F26" s="91"/>
      <x:c r="G26" s="91"/>
    </x:row>
    <x:row r="27" ht="34" customHeight="1">
      <x:c r="A27" s="82" t="str">
        <x:v>Required record</x:v>
      </x:c>
      <x:c r="B27" s="82" t="str">
        <x:v>Student record</x:v>
      </x:c>
      <x:c r="C27" s="82" t="str">
        <x:v>Evidence ID(s)</x:v>
      </x:c>
      <x:c r="D27" s="82" t="str">
        <x:v>Finding / limitation</x:v>
      </x:c>
      <x:c r="E27" s="82" t="str">
        <x:v>Accept / modify / reject</x:v>
      </x:c>
      <x:c r="F27" s="82" t="str">
        <x:v>Reasoning</x:v>
      </x:c>
      <x:c r="G27" s="82" t="str">
        <x:v>Complete?</x:v>
      </x:c>
    </x:row>
    <x:row r="28" ht="46" customHeight="1">
      <x:c r="A28" s="116" t="str">
        <x:v>Original hypothesis</x:v>
      </x:c>
      <x:c r="B28" s="83" t="str"/>
      <x:c r="C28" s="83" t="str"/>
      <x:c r="D28" s="83" t="str"/>
      <x:c r="E28" s="83" t="str"/>
      <x:c r="F28" s="83" t="str"/>
      <x:c r="G28" s="97" t="str">
        <x:f>IF(B28="","INCOMPLETE","COMPLETE")</x:f>
        <x:v>INCOMPLETE</x:v>
      </x:c>
    </x:row>
    <x:row r="29" ht="46" customHeight="1">
      <x:c r="A29" s="116" t="str">
        <x:v>Strongest challenge or alternative explanation</x:v>
      </x:c>
      <x:c r="B29" s="83" t="str"/>
      <x:c r="C29" s="83" t="str"/>
      <x:c r="D29" s="83" t="str"/>
      <x:c r="E29" s="83" t="str"/>
      <x:c r="F29" s="83" t="str"/>
      <x:c r="G29" s="97" t="str">
        <x:f>IF(B29="","INCOMPLETE","COMPLETE")</x:f>
        <x:v>INCOMPLETE</x:v>
      </x:c>
    </x:row>
    <x:row r="30" ht="46" customHeight="1">
      <x:c r="A30" s="116" t="str">
        <x:v>Evidence independently checked</x:v>
      </x:c>
      <x:c r="B30" s="83" t="str"/>
      <x:c r="C30" s="83" t="str"/>
      <x:c r="D30" s="83" t="str"/>
      <x:c r="E30" s="83" t="str"/>
      <x:c r="F30" s="83" t="str"/>
      <x:c r="G30" s="97" t="str">
        <x:f>IF(B30="","INCOMPLETE","COMPLETE")</x:f>
        <x:v>INCOMPLETE</x:v>
      </x:c>
    </x:row>
    <x:row r="31" ht="46" customHeight="1">
      <x:c r="A31" s="116" t="str">
        <x:v>Finding</x:v>
      </x:c>
      <x:c r="B31" s="83" t="str"/>
      <x:c r="C31" s="83" t="str"/>
      <x:c r="D31" s="83" t="str"/>
      <x:c r="E31" s="83" t="str"/>
      <x:c r="F31" s="83" t="str"/>
      <x:c r="G31" s="97" t="str">
        <x:f>IF(B31="","INCOMPLETE","COMPLETE")</x:f>
        <x:v>INCOMPLETE</x:v>
      </x:c>
    </x:row>
    <x:row r="32" ht="46" customHeight="1">
      <x:c r="A32" s="116" t="str">
        <x:v>Student judgment</x:v>
      </x:c>
      <x:c r="B32" s="83" t="str"/>
      <x:c r="C32" s="83" t="str"/>
      <x:c r="D32" s="83" t="str"/>
      <x:c r="E32" s="83" t="str"/>
      <x:c r="F32" s="83" t="str"/>
      <x:c r="G32" s="97" t="str">
        <x:f>IF(B32="","INCOMPLETE","COMPLETE")</x:f>
        <x:v>INCOMPLETE</x:v>
      </x:c>
    </x:row>
    <x:row r="33" ht="46" customHeight="1">
      <x:c r="A33" s="116" t="str">
        <x:v>Revised hypothesis</x:v>
      </x:c>
      <x:c r="B33" s="83" t="str"/>
      <x:c r="C33" s="83" t="str"/>
      <x:c r="D33" s="83" t="str"/>
      <x:c r="E33" s="83" t="str"/>
      <x:c r="F33" s="83" t="str"/>
      <x:c r="G33" s="97" t="str">
        <x:f>IF(B33="","INCOMPLETE","COMPLETE")</x:f>
        <x:v>INCOMPLETE</x:v>
      </x:c>
    </x:row>
    <x:row r="34" ht="46" customHeight="1">
      <x:c r="A34" s="116" t="str">
        <x:v>Tool/use disclosure or non-AI statement</x:v>
      </x:c>
      <x:c r="B34" s="83" t="str"/>
      <x:c r="C34" s="83" t="str"/>
      <x:c r="D34" s="83" t="str"/>
      <x:c r="E34" s="83" t="str"/>
      <x:c r="F34" s="83" t="str"/>
      <x:c r="G34" s="97" t="str">
        <x:f>IF(B34="","INCOMPLETE","COMPLETE")</x:f>
        <x:v>INCOMPLETE</x:v>
      </x:c>
    </x:row>
    <x:row r="35">
      <x:c r="A35" s="91"/>
      <x:c r="B35" s="91"/>
      <x:c r="C35" s="91"/>
      <x:c r="D35" s="91"/>
      <x:c r="E35" s="91"/>
      <x:c r="F35" s="91"/>
      <x:c r="G35" s="91"/>
    </x:row>
    <x:row r="36" ht="52" customHeight="1">
      <x:c r="A36" s="99" t="str">
        <x:v>Final revised hypothesis</x:v>
      </x:c>
      <x:c r="B36" s="83"/>
      <x:c r="C36" s="83"/>
      <x:c r="D36" s="83"/>
      <x:c r="E36" s="83"/>
      <x:c r="F36" s="83"/>
      <x:c r="G36" s="83"/>
    </x:row>
    <x:row r="37" ht="52" customHeight="1">
      <x:c r="A37" s="99" t="str">
        <x:v>Milestone 3 forecast and valuation handoff</x:v>
      </x:c>
      <x:c r="B37" s="83"/>
      <x:c r="C37" s="83"/>
      <x:c r="D37" s="83"/>
      <x:c r="E37" s="83"/>
      <x:c r="F37" s="83"/>
      <x:c r="G37" s="83"/>
    </x:row>
    <x:row r="38" ht="52" customHeight="1">
      <x:c r="A38" s="99" t="str">
        <x:v>Approved CFO decision: accelerate / stage / pause / modify / reject trigger</x:v>
      </x:c>
      <x:c r="B38" s="83"/>
      <x:c r="C38" s="83"/>
      <x:c r="D38" s="83"/>
      <x:c r="E38" s="83"/>
      <x:c r="F38" s="83"/>
      <x:c r="G38" s="83"/>
    </x:row>
  </x:sheetData>
  <x:mergeCells>
    <x:mergeCell ref="A1:G1"/>
    <x:mergeCell ref="A2:G2"/>
    <x:mergeCell ref="A3:G3"/>
    <x:mergeCell ref="A5:G5"/>
    <x:mergeCell ref="B15:G15"/>
    <x:mergeCell ref="B16:G16"/>
    <x:mergeCell ref="A18:G18"/>
    <x:mergeCell ref="A24:G24"/>
    <x:mergeCell ref="A25:G25"/>
    <x:mergeCell ref="B36:G36"/>
    <x:mergeCell ref="B37:G37"/>
    <x:mergeCell ref="B38:G38"/>
  </x:mergeCells>
  <x:dataValidations count="1">
    <x:dataValidation type="list" sqref="E28:E34">
      <x:formula1>"Accept,Modify,Reject,Not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32" hidden="0" customWidth="1"/>
    <x:col min="5" max="5" width="16" hidden="0" customWidth="1"/>
    <x:col min="6" max="6" width="18" hidden="0" customWidth="1"/>
    <x:col min="7" max="7" width="16" hidden="0" customWidth="1"/>
    <x:col min="8" max="8" width="30" hidden="0" customWidth="1"/>
    <x:col min="9" max="9" width="40" hidden="0" customWidth="1"/>
    <x:col min="10" max="10" width="29" hidden="0" customWidth="1"/>
    <x:col min="11" max="11" width="28" hidden="0" customWidth="1"/>
    <x:col min="12" max="12" width="31" hidden="0" customWidth="1"/>
    <x:col min="13" max="13" width="16" hidden="0" customWidth="1"/>
    <x:col min="14" max="14" width="20" hidden="0" customWidth="1"/>
  </x:cols>
  <x:sheetData>
    <x:row r="1" ht="28" customHeight="1">
      <x:c r="A1" s="128" t="str">
        <x:v>BUS311 Capstone Milestone 2 | Evidence Register</x:v>
      </x:c>
      <x:c r="B1" s="128"/>
      <x:c r="C1" s="128"/>
      <x:c r="D1" s="128"/>
      <x:c r="E1" s="128"/>
      <x:c r="F1" s="128"/>
      <x:c r="G1" s="128"/>
      <x:c r="H1" s="128"/>
      <x:c r="I1" s="128"/>
      <x:c r="J1" s="128"/>
      <x:c r="K1" s="128"/>
      <x:c r="L1" s="128"/>
      <x:c r="M1" s="128"/>
      <x:c r="N1" s="128"/>
    </x:row>
    <x:row r="2" ht="30" customHeight="1">
      <x:c r="A2" s="89" t="str">
        <x:v>Maintain one source log. Use the evidence ID on every working sheet so each claim and assumption can be retrieved and audited.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3" ht="24" customHeight="1">
      <x:c r="A3" s="90" t="str">
        <x:v>Legend: blue font / pale yellow = student input | black = formula | green = cross-sheet link | PASS/REVIEW/INCOMPLETE = completion check, not a grade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</x:row>
    <x:row r="4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</x:row>
    <x:row r="5" ht="34" customHeight="1">
      <x:c r="A5" s="82" t="str">
        <x:v>Evidence ID</x:v>
      </x:c>
      <x:c r="B5" s="82" t="str">
        <x:v>Claim / metric / assumption supported</x:v>
      </x:c>
      <x:c r="C5" s="82" t="str">
        <x:v>Source type</x:v>
      </x:c>
      <x:c r="D5" s="82" t="str">
        <x:v>Organization / document / FactSet report</x:v>
      </x:c>
      <x:c r="E5" s="82" t="str">
        <x:v>Source or filing date</x:v>
      </x:c>
      <x:c r="F5" s="82" t="str">
        <x:v>Fiscal period / as-of</x:v>
      </x:c>
      <x:c r="G5" s="82" t="str">
        <x:v>Units / currency</x:v>
      </x:c>
      <x:c r="H5" s="82" t="str">
        <x:v>Definition / adjustments</x:v>
      </x:c>
      <x:c r="I5" s="82" t="str">
        <x:v>Exact item, page, table, screen, or stable link</x:v>
      </x:c>
      <x:c r="J5" s="82" t="str">
        <x:v>Peer group / rationale</x:v>
      </x:c>
      <x:c r="K5" s="82" t="str">
        <x:v>Use in analysis</x:v>
      </x:c>
      <x:c r="L5" s="82" t="str">
        <x:v>Limitation / comparability</x:v>
      </x:c>
      <x:c r="M5" s="82" t="str">
        <x:v>Accessed date</x:v>
      </x:c>
      <x:c r="N5" s="82" t="str">
        <x:v>Classification</x:v>
      </x:c>
    </x:row>
    <x:row r="6" ht="54" customHeight="1">
      <x:c r="A6" s="110" t="str">
        <x:v>E01</x:v>
      </x:c>
      <x:c r="B6" s="83" t="str"/>
      <x:c r="C6" s="83" t="str"/>
      <x:c r="D6" s="83" t="str"/>
      <x:c r="E6" s="121" t="str"/>
      <x:c r="F6" s="83" t="str"/>
      <x:c r="G6" s="83" t="str"/>
      <x:c r="H6" s="83" t="str"/>
      <x:c r="I6" s="83" t="str"/>
      <x:c r="J6" s="83" t="str"/>
      <x:c r="K6" s="83" t="str"/>
      <x:c r="L6" s="83" t="str"/>
      <x:c r="M6" s="121" t="str"/>
      <x:c r="N6" s="83" t="str"/>
    </x:row>
    <x:row r="7" ht="54" customHeight="1">
      <x:c r="A7" s="110" t="str">
        <x:v>E02</x:v>
      </x:c>
      <x:c r="B7" s="83" t="str"/>
      <x:c r="C7" s="83" t="str"/>
      <x:c r="D7" s="83" t="str"/>
      <x:c r="E7" s="121" t="str"/>
      <x:c r="F7" s="83" t="str"/>
      <x:c r="G7" s="83" t="str"/>
      <x:c r="H7" s="83" t="str"/>
      <x:c r="I7" s="83" t="str"/>
      <x:c r="J7" s="83" t="str"/>
      <x:c r="K7" s="83" t="str"/>
      <x:c r="L7" s="83" t="str"/>
      <x:c r="M7" s="121" t="str"/>
      <x:c r="N7" s="83" t="str"/>
    </x:row>
    <x:row r="8" ht="54" customHeight="1">
      <x:c r="A8" s="110" t="str">
        <x:v>E03</x:v>
      </x:c>
      <x:c r="B8" s="83" t="str"/>
      <x:c r="C8" s="83" t="str"/>
      <x:c r="D8" s="83" t="str"/>
      <x:c r="E8" s="121" t="str"/>
      <x:c r="F8" s="83" t="str"/>
      <x:c r="G8" s="83" t="str"/>
      <x:c r="H8" s="83" t="str"/>
      <x:c r="I8" s="83" t="str"/>
      <x:c r="J8" s="83" t="str"/>
      <x:c r="K8" s="83" t="str"/>
      <x:c r="L8" s="83" t="str"/>
      <x:c r="M8" s="121" t="str"/>
      <x:c r="N8" s="83" t="str"/>
    </x:row>
    <x:row r="9" ht="54" customHeight="1">
      <x:c r="A9" s="110" t="str">
        <x:v>E04</x:v>
      </x:c>
      <x:c r="B9" s="83" t="str"/>
      <x:c r="C9" s="83" t="str"/>
      <x:c r="D9" s="83" t="str"/>
      <x:c r="E9" s="121" t="str"/>
      <x:c r="F9" s="83" t="str"/>
      <x:c r="G9" s="83" t="str"/>
      <x:c r="H9" s="83" t="str"/>
      <x:c r="I9" s="83" t="str"/>
      <x:c r="J9" s="83" t="str"/>
      <x:c r="K9" s="83" t="str"/>
      <x:c r="L9" s="83" t="str"/>
      <x:c r="M9" s="121" t="str"/>
      <x:c r="N9" s="83" t="str"/>
    </x:row>
    <x:row r="10" ht="54" customHeight="1">
      <x:c r="A10" s="110" t="str">
        <x:v>E05</x:v>
      </x:c>
      <x:c r="B10" s="83" t="str"/>
      <x:c r="C10" s="83" t="str"/>
      <x:c r="D10" s="83" t="str"/>
      <x:c r="E10" s="121" t="str"/>
      <x:c r="F10" s="83" t="str"/>
      <x:c r="G10" s="83" t="str"/>
      <x:c r="H10" s="83" t="str"/>
      <x:c r="I10" s="83" t="str"/>
      <x:c r="J10" s="83" t="str"/>
      <x:c r="K10" s="83" t="str"/>
      <x:c r="L10" s="83" t="str"/>
      <x:c r="M10" s="121" t="str"/>
      <x:c r="N10" s="83" t="str"/>
    </x:row>
    <x:row r="11" ht="54" customHeight="1">
      <x:c r="A11" s="110" t="str">
        <x:v>E06</x:v>
      </x:c>
      <x:c r="B11" s="83" t="str"/>
      <x:c r="C11" s="83" t="str"/>
      <x:c r="D11" s="83" t="str"/>
      <x:c r="E11" s="121" t="str"/>
      <x:c r="F11" s="83" t="str"/>
      <x:c r="G11" s="83" t="str"/>
      <x:c r="H11" s="83" t="str"/>
      <x:c r="I11" s="83" t="str"/>
      <x:c r="J11" s="83" t="str"/>
      <x:c r="K11" s="83" t="str"/>
      <x:c r="L11" s="83" t="str"/>
      <x:c r="M11" s="121" t="str"/>
      <x:c r="N11" s="83" t="str"/>
    </x:row>
    <x:row r="12" ht="54" customHeight="1">
      <x:c r="A12" s="110" t="str">
        <x:v>E07</x:v>
      </x:c>
      <x:c r="B12" s="83" t="str"/>
      <x:c r="C12" s="83" t="str"/>
      <x:c r="D12" s="83" t="str"/>
      <x:c r="E12" s="121" t="str"/>
      <x:c r="F12" s="83" t="str"/>
      <x:c r="G12" s="83" t="str"/>
      <x:c r="H12" s="83" t="str"/>
      <x:c r="I12" s="83" t="str"/>
      <x:c r="J12" s="83" t="str"/>
      <x:c r="K12" s="83" t="str"/>
      <x:c r="L12" s="83" t="str"/>
      <x:c r="M12" s="121" t="str"/>
      <x:c r="N12" s="83" t="str"/>
    </x:row>
    <x:row r="13" ht="54" customHeight="1">
      <x:c r="A13" s="110" t="str">
        <x:v>E08</x:v>
      </x:c>
      <x:c r="B13" s="83" t="str"/>
      <x:c r="C13" s="83" t="str"/>
      <x:c r="D13" s="83" t="str"/>
      <x:c r="E13" s="121" t="str"/>
      <x:c r="F13" s="83" t="str"/>
      <x:c r="G13" s="83" t="str"/>
      <x:c r="H13" s="83" t="str"/>
      <x:c r="I13" s="83" t="str"/>
      <x:c r="J13" s="83" t="str"/>
      <x:c r="K13" s="83" t="str"/>
      <x:c r="L13" s="83" t="str"/>
      <x:c r="M13" s="121" t="str"/>
      <x:c r="N13" s="83" t="str"/>
    </x:row>
    <x:row r="14" ht="54" customHeight="1">
      <x:c r="A14" s="110" t="str">
        <x:v>E09</x:v>
      </x:c>
      <x:c r="B14" s="83" t="str"/>
      <x:c r="C14" s="83" t="str"/>
      <x:c r="D14" s="83" t="str"/>
      <x:c r="E14" s="121" t="str"/>
      <x:c r="F14" s="83" t="str"/>
      <x:c r="G14" s="83" t="str"/>
      <x:c r="H14" s="83" t="str"/>
      <x:c r="I14" s="83" t="str"/>
      <x:c r="J14" s="83" t="str"/>
      <x:c r="K14" s="83" t="str"/>
      <x:c r="L14" s="83" t="str"/>
      <x:c r="M14" s="121" t="str"/>
      <x:c r="N14" s="83" t="str"/>
    </x:row>
    <x:row r="15" ht="54" customHeight="1">
      <x:c r="A15" s="110" t="str">
        <x:v>E10</x:v>
      </x:c>
      <x:c r="B15" s="83" t="str"/>
      <x:c r="C15" s="83" t="str"/>
      <x:c r="D15" s="83" t="str"/>
      <x:c r="E15" s="121" t="str"/>
      <x:c r="F15" s="83" t="str"/>
      <x:c r="G15" s="83" t="str"/>
      <x:c r="H15" s="83" t="str"/>
      <x:c r="I15" s="83" t="str"/>
      <x:c r="J15" s="83" t="str"/>
      <x:c r="K15" s="83" t="str"/>
      <x:c r="L15" s="83" t="str"/>
      <x:c r="M15" s="121" t="str"/>
      <x:c r="N15" s="83" t="str"/>
    </x:row>
    <x:row r="16" ht="54" customHeight="1">
      <x:c r="A16" s="110" t="str">
        <x:v>E11</x:v>
      </x:c>
      <x:c r="B16" s="83" t="str"/>
      <x:c r="C16" s="83" t="str"/>
      <x:c r="D16" s="83" t="str"/>
      <x:c r="E16" s="121" t="str"/>
      <x:c r="F16" s="83" t="str"/>
      <x:c r="G16" s="83" t="str"/>
      <x:c r="H16" s="83" t="str"/>
      <x:c r="I16" s="83" t="str"/>
      <x:c r="J16" s="83" t="str"/>
      <x:c r="K16" s="83" t="str"/>
      <x:c r="L16" s="83" t="str"/>
      <x:c r="M16" s="121" t="str"/>
      <x:c r="N16" s="83" t="str"/>
    </x:row>
    <x:row r="17" ht="54" customHeight="1">
      <x:c r="A17" s="110" t="str">
        <x:v>E12</x:v>
      </x:c>
      <x:c r="B17" s="83" t="str"/>
      <x:c r="C17" s="83" t="str"/>
      <x:c r="D17" s="83" t="str"/>
      <x:c r="E17" s="121" t="str"/>
      <x:c r="F17" s="83" t="str"/>
      <x:c r="G17" s="83" t="str"/>
      <x:c r="H17" s="83" t="str"/>
      <x:c r="I17" s="83" t="str"/>
      <x:c r="J17" s="83" t="str"/>
      <x:c r="K17" s="83" t="str"/>
      <x:c r="L17" s="83" t="str"/>
      <x:c r="M17" s="121" t="str"/>
      <x:c r="N17" s="83" t="str"/>
    </x:row>
    <x:row r="18" ht="54" customHeight="1">
      <x:c r="A18" s="110" t="str">
        <x:v>E13</x:v>
      </x:c>
      <x:c r="B18" s="83" t="str"/>
      <x:c r="C18" s="83" t="str"/>
      <x:c r="D18" s="83" t="str"/>
      <x:c r="E18" s="121" t="str"/>
      <x:c r="F18" s="83" t="str"/>
      <x:c r="G18" s="83" t="str"/>
      <x:c r="H18" s="83" t="str"/>
      <x:c r="I18" s="83" t="str"/>
      <x:c r="J18" s="83" t="str"/>
      <x:c r="K18" s="83" t="str"/>
      <x:c r="L18" s="83" t="str"/>
      <x:c r="M18" s="121" t="str"/>
      <x:c r="N18" s="83" t="str"/>
    </x:row>
    <x:row r="19" ht="54" customHeight="1">
      <x:c r="A19" s="110" t="str">
        <x:v>E14</x:v>
      </x:c>
      <x:c r="B19" s="83" t="str"/>
      <x:c r="C19" s="83" t="str"/>
      <x:c r="D19" s="83" t="str"/>
      <x:c r="E19" s="121" t="str"/>
      <x:c r="F19" s="83" t="str"/>
      <x:c r="G19" s="83" t="str"/>
      <x:c r="H19" s="83" t="str"/>
      <x:c r="I19" s="83" t="str"/>
      <x:c r="J19" s="83" t="str"/>
      <x:c r="K19" s="83" t="str"/>
      <x:c r="L19" s="83" t="str"/>
      <x:c r="M19" s="121" t="str"/>
      <x:c r="N19" s="83" t="str"/>
    </x:row>
    <x:row r="20" ht="54" customHeight="1">
      <x:c r="A20" s="110" t="str">
        <x:v>E15</x:v>
      </x:c>
      <x:c r="B20" s="83" t="str"/>
      <x:c r="C20" s="83" t="str"/>
      <x:c r="D20" s="83" t="str"/>
      <x:c r="E20" s="121" t="str"/>
      <x:c r="F20" s="83" t="str"/>
      <x:c r="G20" s="83" t="str"/>
      <x:c r="H20" s="83" t="str"/>
      <x:c r="I20" s="83" t="str"/>
      <x:c r="J20" s="83" t="str"/>
      <x:c r="K20" s="83" t="str"/>
      <x:c r="L20" s="83" t="str"/>
      <x:c r="M20" s="121" t="str"/>
      <x:c r="N20" s="83" t="str"/>
    </x:row>
    <x:row r="21" ht="54" customHeight="1">
      <x:c r="A21" s="110" t="str">
        <x:v>E16</x:v>
      </x:c>
      <x:c r="B21" s="83" t="str"/>
      <x:c r="C21" s="83" t="str"/>
      <x:c r="D21" s="83" t="str"/>
      <x:c r="E21" s="121" t="str"/>
      <x:c r="F21" s="83" t="str"/>
      <x:c r="G21" s="83" t="str"/>
      <x:c r="H21" s="83" t="str"/>
      <x:c r="I21" s="83" t="str"/>
      <x:c r="J21" s="83" t="str"/>
      <x:c r="K21" s="83" t="str"/>
      <x:c r="L21" s="83" t="str"/>
      <x:c r="M21" s="121" t="str"/>
      <x:c r="N21" s="83" t="str"/>
    </x:row>
    <x:row r="22" ht="54" customHeight="1">
      <x:c r="A22" s="110" t="str">
        <x:v>E17</x:v>
      </x:c>
      <x:c r="B22" s="83" t="str"/>
      <x:c r="C22" s="83" t="str"/>
      <x:c r="D22" s="83" t="str"/>
      <x:c r="E22" s="121" t="str"/>
      <x:c r="F22" s="83" t="str"/>
      <x:c r="G22" s="83" t="str"/>
      <x:c r="H22" s="83" t="str"/>
      <x:c r="I22" s="83" t="str"/>
      <x:c r="J22" s="83" t="str"/>
      <x:c r="K22" s="83" t="str"/>
      <x:c r="L22" s="83" t="str"/>
      <x:c r="M22" s="121" t="str"/>
      <x:c r="N22" s="83" t="str"/>
    </x:row>
    <x:row r="23" ht="54" customHeight="1">
      <x:c r="A23" s="110" t="str">
        <x:v>E18</x:v>
      </x:c>
      <x:c r="B23" s="83" t="str"/>
      <x:c r="C23" s="83" t="str"/>
      <x:c r="D23" s="83" t="str"/>
      <x:c r="E23" s="121" t="str"/>
      <x:c r="F23" s="83" t="str"/>
      <x:c r="G23" s="83" t="str"/>
      <x:c r="H23" s="83" t="str"/>
      <x:c r="I23" s="83" t="str"/>
      <x:c r="J23" s="83" t="str"/>
      <x:c r="K23" s="83" t="str"/>
      <x:c r="L23" s="83" t="str"/>
      <x:c r="M23" s="121" t="str"/>
      <x:c r="N23" s="83" t="str"/>
    </x:row>
    <x:row r="24" ht="54" customHeight="1">
      <x:c r="A24" s="110" t="str">
        <x:v>E19</x:v>
      </x:c>
      <x:c r="B24" s="83" t="str"/>
      <x:c r="C24" s="83" t="str"/>
      <x:c r="D24" s="83" t="str"/>
      <x:c r="E24" s="121" t="str"/>
      <x:c r="F24" s="83" t="str"/>
      <x:c r="G24" s="83" t="str"/>
      <x:c r="H24" s="83" t="str"/>
      <x:c r="I24" s="83" t="str"/>
      <x:c r="J24" s="83" t="str"/>
      <x:c r="K24" s="83" t="str"/>
      <x:c r="L24" s="83" t="str"/>
      <x:c r="M24" s="121" t="str"/>
      <x:c r="N24" s="83" t="str"/>
    </x:row>
    <x:row r="25" ht="54" customHeight="1">
      <x:c r="A25" s="110" t="str">
        <x:v>E20</x:v>
      </x:c>
      <x:c r="B25" s="83" t="str"/>
      <x:c r="C25" s="83" t="str"/>
      <x:c r="D25" s="83" t="str"/>
      <x:c r="E25" s="121" t="str"/>
      <x:c r="F25" s="83" t="str"/>
      <x:c r="G25" s="83" t="str"/>
      <x:c r="H25" s="83" t="str"/>
      <x:c r="I25" s="83" t="str"/>
      <x:c r="J25" s="83" t="str"/>
      <x:c r="K25" s="83" t="str"/>
      <x:c r="L25" s="83" t="str"/>
      <x:c r="M25" s="121" t="str"/>
      <x:c r="N25" s="83" t="str"/>
    </x:row>
    <x:row r="26" ht="54" customHeight="1">
      <x:c r="A26" s="110" t="str">
        <x:v>E21</x:v>
      </x:c>
      <x:c r="B26" s="83" t="str"/>
      <x:c r="C26" s="83" t="str"/>
      <x:c r="D26" s="83" t="str"/>
      <x:c r="E26" s="121" t="str"/>
      <x:c r="F26" s="83" t="str"/>
      <x:c r="G26" s="83" t="str"/>
      <x:c r="H26" s="83" t="str"/>
      <x:c r="I26" s="83" t="str"/>
      <x:c r="J26" s="83" t="str"/>
      <x:c r="K26" s="83" t="str"/>
      <x:c r="L26" s="83" t="str"/>
      <x:c r="M26" s="121" t="str"/>
      <x:c r="N26" s="83" t="str"/>
    </x:row>
    <x:row r="27" ht="54" customHeight="1">
      <x:c r="A27" s="110" t="str">
        <x:v>E22</x:v>
      </x:c>
      <x:c r="B27" s="83" t="str"/>
      <x:c r="C27" s="83" t="str"/>
      <x:c r="D27" s="83" t="str"/>
      <x:c r="E27" s="121" t="str"/>
      <x:c r="F27" s="83" t="str"/>
      <x:c r="G27" s="83" t="str"/>
      <x:c r="H27" s="83" t="str"/>
      <x:c r="I27" s="83" t="str"/>
      <x:c r="J27" s="83" t="str"/>
      <x:c r="K27" s="83" t="str"/>
      <x:c r="L27" s="83" t="str"/>
      <x:c r="M27" s="121" t="str"/>
      <x:c r="N27" s="83" t="str"/>
    </x:row>
    <x:row r="28" ht="54" customHeight="1">
      <x:c r="A28" s="110" t="str">
        <x:v>E23</x:v>
      </x:c>
      <x:c r="B28" s="83" t="str"/>
      <x:c r="C28" s="83" t="str"/>
      <x:c r="D28" s="83" t="str"/>
      <x:c r="E28" s="121" t="str"/>
      <x:c r="F28" s="83" t="str"/>
      <x:c r="G28" s="83" t="str"/>
      <x:c r="H28" s="83" t="str"/>
      <x:c r="I28" s="83" t="str"/>
      <x:c r="J28" s="83" t="str"/>
      <x:c r="K28" s="83" t="str"/>
      <x:c r="L28" s="83" t="str"/>
      <x:c r="M28" s="121" t="str"/>
      <x:c r="N28" s="83" t="str"/>
    </x:row>
    <x:row r="29" ht="54" customHeight="1">
      <x:c r="A29" s="110" t="str">
        <x:v>E24</x:v>
      </x:c>
      <x:c r="B29" s="83" t="str"/>
      <x:c r="C29" s="83" t="str"/>
      <x:c r="D29" s="83" t="str"/>
      <x:c r="E29" s="121" t="str"/>
      <x:c r="F29" s="83" t="str"/>
      <x:c r="G29" s="83" t="str"/>
      <x:c r="H29" s="83" t="str"/>
      <x:c r="I29" s="83" t="str"/>
      <x:c r="J29" s="83" t="str"/>
      <x:c r="K29" s="83" t="str"/>
      <x:c r="L29" s="83" t="str"/>
      <x:c r="M29" s="121" t="str"/>
      <x:c r="N29" s="83" t="str"/>
    </x:row>
    <x:row r="30" ht="54" customHeight="1">
      <x:c r="A30" s="110" t="str">
        <x:v>E25</x:v>
      </x:c>
      <x:c r="B30" s="83" t="str"/>
      <x:c r="C30" s="83" t="str"/>
      <x:c r="D30" s="83" t="str"/>
      <x:c r="E30" s="121" t="str"/>
      <x:c r="F30" s="83" t="str"/>
      <x:c r="G30" s="83" t="str"/>
      <x:c r="H30" s="83" t="str"/>
      <x:c r="I30" s="83" t="str"/>
      <x:c r="J30" s="83" t="str"/>
      <x:c r="K30" s="83" t="str"/>
      <x:c r="L30" s="83" t="str"/>
      <x:c r="M30" s="121" t="str"/>
      <x:c r="N30" s="83" t="str"/>
    </x:row>
    <x:row r="31" ht="54" customHeight="1">
      <x:c r="A31" s="110" t="str">
        <x:v>E26</x:v>
      </x:c>
      <x:c r="B31" s="83" t="str"/>
      <x:c r="C31" s="83" t="str"/>
      <x:c r="D31" s="83" t="str"/>
      <x:c r="E31" s="121" t="str"/>
      <x:c r="F31" s="83" t="str"/>
      <x:c r="G31" s="83" t="str"/>
      <x:c r="H31" s="83" t="str"/>
      <x:c r="I31" s="83" t="str"/>
      <x:c r="J31" s="83" t="str"/>
      <x:c r="K31" s="83" t="str"/>
      <x:c r="L31" s="83" t="str"/>
      <x:c r="M31" s="121" t="str"/>
      <x:c r="N31" s="83" t="str"/>
    </x:row>
    <x:row r="32" ht="54" customHeight="1">
      <x:c r="A32" s="110" t="str">
        <x:v>E27</x:v>
      </x:c>
      <x:c r="B32" s="83" t="str"/>
      <x:c r="C32" s="83" t="str"/>
      <x:c r="D32" s="83" t="str"/>
      <x:c r="E32" s="121" t="str"/>
      <x:c r="F32" s="83" t="str"/>
      <x:c r="G32" s="83" t="str"/>
      <x:c r="H32" s="83" t="str"/>
      <x:c r="I32" s="83" t="str"/>
      <x:c r="J32" s="83" t="str"/>
      <x:c r="K32" s="83" t="str"/>
      <x:c r="L32" s="83" t="str"/>
      <x:c r="M32" s="121" t="str"/>
      <x:c r="N32" s="83" t="str"/>
    </x:row>
    <x:row r="33" ht="54" customHeight="1">
      <x:c r="A33" s="110" t="str">
        <x:v>E28</x:v>
      </x:c>
      <x:c r="B33" s="83" t="str"/>
      <x:c r="C33" s="83" t="str"/>
      <x:c r="D33" s="83" t="str"/>
      <x:c r="E33" s="121" t="str"/>
      <x:c r="F33" s="83" t="str"/>
      <x:c r="G33" s="83" t="str"/>
      <x:c r="H33" s="83" t="str"/>
      <x:c r="I33" s="83" t="str"/>
      <x:c r="J33" s="83" t="str"/>
      <x:c r="K33" s="83" t="str"/>
      <x:c r="L33" s="83" t="str"/>
      <x:c r="M33" s="121" t="str"/>
      <x:c r="N33" s="83" t="str"/>
    </x:row>
    <x:row r="34" ht="54" customHeight="1">
      <x:c r="A34" s="110" t="str">
        <x:v>E29</x:v>
      </x:c>
      <x:c r="B34" s="83" t="str"/>
      <x:c r="C34" s="83" t="str"/>
      <x:c r="D34" s="83" t="str"/>
      <x:c r="E34" s="121" t="str"/>
      <x:c r="F34" s="83" t="str"/>
      <x:c r="G34" s="83" t="str"/>
      <x:c r="H34" s="83" t="str"/>
      <x:c r="I34" s="83" t="str"/>
      <x:c r="J34" s="83" t="str"/>
      <x:c r="K34" s="83" t="str"/>
      <x:c r="L34" s="83" t="str"/>
      <x:c r="M34" s="121" t="str"/>
      <x:c r="N34" s="83" t="str"/>
    </x:row>
    <x:row r="35" ht="54" customHeight="1">
      <x:c r="A35" s="110" t="str">
        <x:v>E30</x:v>
      </x:c>
      <x:c r="B35" s="83" t="str"/>
      <x:c r="C35" s="83" t="str"/>
      <x:c r="D35" s="83" t="str"/>
      <x:c r="E35" s="121" t="str"/>
      <x:c r="F35" s="83" t="str"/>
      <x:c r="G35" s="83" t="str"/>
      <x:c r="H35" s="83" t="str"/>
      <x:c r="I35" s="83" t="str"/>
      <x:c r="J35" s="83" t="str"/>
      <x:c r="K35" s="83" t="str"/>
      <x:c r="L35" s="83" t="str"/>
      <x:c r="M35" s="121" t="str"/>
      <x:c r="N35" s="83" t="str"/>
    </x:row>
  </x:sheetData>
  <x:mergeCells>
    <x:mergeCell ref="A1:N1"/>
    <x:mergeCell ref="A2:N2"/>
    <x:mergeCell ref="A3:N3"/>
  </x:mergeCells>
  <x:dataValidations count="2">
    <x:dataValidation type="list" sqref="C6:C35">
      <x:formula1>"SEC filing,FactSet,Company IR,Peer filing,Industry/regulatory,Other credible"</x:formula1>
    </x:dataValidation>
    <x:dataValidation type="list" sqref="N6:N35">
      <x:formula1>"Reported fact,Student calculation,Forecast assumption,Interpretation"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9" hidden="0" customWidth="1"/>
    <x:col min="4" max="4" width="16" hidden="0" customWidth="1"/>
    <x:col min="5" max="5" width="31" hidden="0" customWidth="1"/>
    <x:col min="6" max="6" width="35" hidden="0" customWidth="1"/>
    <x:col min="7" max="7" width="34" hidden="0" customWidth="1"/>
  </x:cols>
  <x:sheetData>
    <x:row r="1" ht="28" customHeight="1">
      <x:c r="A1" s="128" t="str">
        <x:v>BUS311 Capstone Milestone 2 | Checks &amp; Submission</x:v>
      </x:c>
      <x:c r="B1" s="128"/>
      <x:c r="C1" s="128"/>
      <x:c r="D1" s="128"/>
      <x:c r="E1" s="128"/>
      <x:c r="F1" s="128"/>
      <x:c r="G1" s="128"/>
    </x:row>
    <x:row r="2" ht="30" customHeight="1">
      <x:c r="A2" s="89" t="str">
        <x:v>These checks test structural completeness. PASS does not prove analytical quality; use the rubric and instructor feedback.</x:v>
      </x:c>
      <x:c r="B2" s="89"/>
      <x:c r="C2" s="89"/>
      <x:c r="D2" s="89"/>
      <x:c r="E2" s="89"/>
      <x:c r="F2" s="89"/>
      <x:c r="G2" s="89"/>
    </x:row>
    <x:row r="3">
      <x:c r="A3" s="88" t="str">
        <x:v>MODEL STATUS</x:v>
      </x:c>
      <x:c r="B3" s="126" t="str">
        <x:f>IF(COUNTIF(D6:D20,"INCOMPLETE")=0,"PASS","INCOMPLETE")</x:f>
        <x:v>INCOMPLETE</x:v>
      </x:c>
      <x:c r="C3" s="91"/>
      <x:c r="D3" s="91"/>
      <x:c r="E3" s="91"/>
      <x:c r="F3" s="91"/>
      <x:c r="G3" s="91"/>
    </x:row>
    <x:row r="4">
      <x:c r="A4" s="91"/>
      <x:c r="B4" s="91"/>
      <x:c r="C4" s="91"/>
      <x:c r="D4" s="91"/>
      <x:c r="E4" s="91"/>
      <x:c r="F4" s="91"/>
      <x:c r="G4" s="91"/>
    </x:row>
    <x:row r="5" ht="34" customHeight="1">
      <x:c r="A5" s="82" t="str">
        <x:v>Check</x:v>
      </x:c>
      <x:c r="B5" s="82" t="str">
        <x:v>Actual</x:v>
      </x:c>
      <x:c r="C5" s="82" t="str">
        <x:v>Requirement</x:v>
      </x:c>
      <x:c r="D5" s="82" t="str">
        <x:v>Status</x:v>
      </x:c>
      <x:c r="E5" s="82" t="str">
        <x:v>Where to fix</x:v>
      </x:c>
      <x:c r="F5" s="82" t="str">
        <x:v>Why it matters</x:v>
      </x:c>
      <x:c r="G5" s="82" t="str">
        <x:v>Student note / limitation</x:v>
      </x:c>
    </x:row>
    <x:row r="6" ht="38" customHeight="1">
      <x:c r="A6" s="95" t="str">
        <x:v>Revenue-map dimensions</x:v>
      </x:c>
      <x:c r="B6" s="113" t="n">
        <x:f>COUNTIF('Revenue Map'!B6:B13,"?*")</x:f>
        <x:v>0</x:v>
      </x:c>
      <x:c r="C6" s="84" t="str">
        <x:v>8</x:v>
      </x:c>
      <x:c r="D6" s="124" t="str">
        <x:f>IF(B6=8,"PASS","INCOMPLETE")</x:f>
        <x:v>INCOMPLETE</x:v>
      </x:c>
      <x:c r="E6" s="84" t="str">
        <x:v>Revenue Map B6:B13</x:v>
      </x:c>
      <x:c r="F6" s="84" t="str">
        <x:v>Complete sales-generation map</x:v>
      </x:c>
      <x:c r="G6" s="83" t="str"/>
    </x:row>
    <x:row r="7" ht="38" customHeight="1">
      <x:c r="A7" s="95" t="str">
        <x:v>Fiscal-year labels</x:v>
      </x:c>
      <x:c r="B7" s="113" t="n">
        <x:f>COUNT('Revenue History'!D5:H5)+COUNTIF('Revenue History'!D5:H5,"?*")</x:f>
        <x:v>0</x:v>
      </x:c>
      <x:c r="C7" s="84" t="str">
        <x:v>3–5</x:v>
      </x:c>
      <x:c r="D7" s="124" t="str">
        <x:f>IF(AND(B7&gt;=3,B7&lt;=5),"PASS","INCOMPLETE")</x:f>
        <x:v>INCOMPLETE</x:v>
      </x:c>
      <x:c r="E7" s="84" t="str">
        <x:v>Revenue History D5:H5</x:v>
      </x:c>
      <x:c r="F7" s="84" t="str">
        <x:v>Comparable periods</x:v>
      </x:c>
      <x:c r="G7" s="83" t="str"/>
    </x:row>
    <x:row r="8" ht="38" customHeight="1">
      <x:c r="A8" s="95" t="str">
        <x:v>Total-revenue observations</x:v>
      </x:c>
      <x:c r="B8" s="113" t="n">
        <x:f>COUNT('Revenue History'!D6:H6)</x:f>
        <x:v>0</x:v>
      </x:c>
      <x:c r="C8" s="84" t="str">
        <x:v>3–5</x:v>
      </x:c>
      <x:c r="D8" s="124" t="str">
        <x:f>IF(AND(B8&gt;=3,B8&lt;=5),"PASS","INCOMPLETE")</x:f>
        <x:v>INCOMPLETE</x:v>
      </x:c>
      <x:c r="E8" s="84" t="str">
        <x:v>Revenue History D6:H6</x:v>
      </x:c>
      <x:c r="F8" s="84" t="str">
        <x:v>LO2 historical evidence</x:v>
      </x:c>
      <x:c r="G8" s="83" t="str"/>
    </x:row>
    <x:row r="9" ht="38" customHeight="1">
      <x:c r="A9" s="95" t="str">
        <x:v>Segment evidence or limitation</x:v>
      </x:c>
      <x:c r="B9" s="113" t="n">
        <x:f>COUNTIF('Revenue History'!C8:C12,"?*")+IF('Revenue History'!B22&lt;&gt;"",1,0)</x:f>
        <x:v>0</x:v>
      </x:c>
      <x:c r="C9" s="84" t="str">
        <x:v>&gt;=1</x:v>
      </x:c>
      <x:c r="D9" s="124" t="str">
        <x:f>IF(B9&gt;=1,"PASS","INCOMPLETE")</x:f>
        <x:v>INCOMPLETE</x:v>
      </x:c>
      <x:c r="E9" s="84" t="str">
        <x:v>Revenue History C8:C12 or B22</x:v>
      </x:c>
      <x:c r="F9" s="84" t="str">
        <x:v>Segment support or honest limitation</x:v>
      </x:c>
      <x:c r="G9" s="83" t="str"/>
    </x:row>
    <x:row r="10" ht="38" customHeight="1">
      <x:c r="A10" s="95" t="str">
        <x:v>Material driver rows</x:v>
      </x:c>
      <x:c r="B10" s="113" t="n">
        <x:f>COUNTIF('Driver Analysis'!B6:B17,"?*")</x:f>
        <x:v>0</x:v>
      </x:c>
      <x:c r="C10" s="84" t="str">
        <x:v>3–6</x:v>
      </x:c>
      <x:c r="D10" s="124" t="str">
        <x:f>IF(AND(B10&gt;=3,B10&lt;=6),"PASS",IF(B10&gt;6,"REVIEW","INCOMPLETE"))</x:f>
        <x:v>INCOMPLETE</x:v>
      </x:c>
      <x:c r="E10" s="84" t="str">
        <x:v>Driver Analysis B6:B17</x:v>
      </x:c>
      <x:c r="F10" s="84" t="str">
        <x:v>Bounded company-specific decomposition</x:v>
      </x:c>
      <x:c r="G10" s="83" t="str"/>
    </x:row>
    <x:row r="11" ht="38" customHeight="1">
      <x:c r="A11" s="95" t="str">
        <x:v>Peer companies or limitation</x:v>
      </x:c>
      <x:c r="B11" s="113" t="n">
        <x:f>COUNTIF('Peers &amp; Demand'!A21:A25,"?*")+IF('Peers &amp; Demand'!B31&lt;&gt;"",1,0)</x:f>
        <x:v>0</x:v>
      </x:c>
      <x:c r="C11" s="84" t="str">
        <x:v>&gt;=3 or limitation</x:v>
      </x:c>
      <x:c r="D11" s="124" t="str">
        <x:f>IF(B11&gt;=3,"PASS","INCOMPLETE")</x:f>
        <x:v>INCOMPLETE</x:v>
      </x:c>
      <x:c r="E11" s="84" t="str">
        <x:v>Peers &amp; Demand A21:A25 or B31</x:v>
      </x:c>
      <x:c r="F11" s="84" t="str">
        <x:v>Defensible comparative context</x:v>
      </x:c>
      <x:c r="G11" s="83" t="str"/>
    </x:row>
    <x:row r="12" ht="38" customHeight="1">
      <x:c r="A12" s="95" t="str">
        <x:v>Leading indicators</x:v>
      </x:c>
      <x:c r="B12" s="113" t="n">
        <x:f>COUNTIF('Indicators &amp; Risks'!A7:A12,"?*")</x:f>
        <x:v>0</x:v>
      </x:c>
      <x:c r="C12" s="84" t="str">
        <x:v>4–6</x:v>
      </x:c>
      <x:c r="D12" s="124" t="str">
        <x:f>IF(AND(B12&gt;=4,B12&lt;=6),"PASS","INCOMPLETE")</x:f>
        <x:v>INCOMPLETE</x:v>
      </x:c>
      <x:c r="E12" s="84" t="str">
        <x:v>Indicators &amp; Risks A7:A12</x:v>
      </x:c>
      <x:c r="F12" s="84" t="str">
        <x:v>Forward monitoring</x:v>
      </x:c>
      <x:c r="G12" s="83" t="str"/>
    </x:row>
    <x:row r="13" ht="38" customHeight="1">
      <x:c r="A13" s="95" t="str">
        <x:v>Principal risks</x:v>
      </x:c>
      <x:c r="B13" s="113" t="n">
        <x:f>COUNTIF('Indicators &amp; Risks'!B16:B20,"?*")</x:f>
        <x:v>0</x:v>
      </x:c>
      <x:c r="C13" s="84" t="str">
        <x:v>3–5</x:v>
      </x:c>
      <x:c r="D13" s="124" t="str">
        <x:f>IF(AND(B13&gt;=3,B13&lt;=5),"PASS","INCOMPLETE")</x:f>
        <x:v>INCOMPLETE</x:v>
      </x:c>
      <x:c r="E13" s="84" t="str">
        <x:v>Indicators &amp; Risks B16:B20</x:v>
      </x:c>
      <x:c r="F13" s="84" t="str">
        <x:v>Downside and decision triggers</x:v>
      </x:c>
      <x:c r="G13" s="83" t="str"/>
    </x:row>
    <x:row r="14" ht="38" customHeight="1">
      <x:c r="A14" s="95" t="str">
        <x:v>Required exposure scan</x:v>
      </x:c>
      <x:c r="B14" s="113" t="n">
        <x:f>COUNTIF('Indicators &amp; Risks'!B24:B26,"?*")</x:f>
        <x:v>0</x:v>
      </x:c>
      <x:c r="C14" s="84" t="str">
        <x:v>3</x:v>
      </x:c>
      <x:c r="D14" s="124" t="str">
        <x:f>IF(B14=3,"PASS","INCOMPLETE")</x:f>
        <x:v>INCOMPLETE</x:v>
      </x:c>
      <x:c r="E14" s="84" t="str">
        <x:v>Indicators &amp; Risks B24:B26</x:v>
      </x:c>
      <x:c r="F14" s="84" t="str">
        <x:v>Concentration, seasonality, capacity</x:v>
      </x:c>
      <x:c r="G14" s="83" t="str"/>
    </x:row>
    <x:row r="15" ht="38" customHeight="1">
      <x:c r="A15" s="95" t="str">
        <x:v>Hypothesis components</x:v>
      </x:c>
      <x:c r="B15" s="113" t="n">
        <x:f>COUNTIF('Hypothesis &amp; Scenarios'!B7:B13,"?*")</x:f>
        <x:v>0</x:v>
      </x:c>
      <x:c r="C15" s="84" t="str">
        <x:v>7</x:v>
      </x:c>
      <x:c r="D15" s="124" t="str">
        <x:f>IF(B15=7,"PASS","INCOMPLETE")</x:f>
        <x:v>INCOMPLETE</x:v>
      </x:c>
      <x:c r="E15" s="84" t="str">
        <x:v>Hypothesis &amp; Scenarios B7:B13</x:v>
      </x:c>
      <x:c r="F15" s="84" t="str">
        <x:v>Testable claim quality</x:v>
      </x:c>
      <x:c r="G15" s="83" t="str"/>
    </x:row>
    <x:row r="16" ht="38" customHeight="1">
      <x:c r="A16" s="95" t="str">
        <x:v>Scenario driver assumptions</x:v>
      </x:c>
      <x:c r="B16" s="113" t="n">
        <x:f>COUNTIF('Hypothesis &amp; Scenarios'!B20:B22,"?*")</x:f>
        <x:v>0</x:v>
      </x:c>
      <x:c r="C16" s="84" t="str">
        <x:v>3</x:v>
      </x:c>
      <x:c r="D16" s="124" t="str">
        <x:f>IF(B16=3,"PASS","INCOMPLETE")</x:f>
        <x:v>INCOMPLETE</x:v>
      </x:c>
      <x:c r="E16" s="84" t="str">
        <x:v>Hypothesis &amp; Scenarios B20:B22</x:v>
      </x:c>
      <x:c r="F16" s="84" t="str">
        <x:v>Base/upside/downside handoff</x:v>
      </x:c>
      <x:c r="G16" s="83" t="str"/>
    </x:row>
    <x:row r="17" ht="38" customHeight="1">
      <x:c r="A17" s="95" t="str">
        <x:v>SEC evidence entries</x:v>
      </x:c>
      <x:c r="B17" s="113" t="n">
        <x:f>COUNTIF('Evidence Register'!C6:C35,"SEC filing")</x:f>
        <x:v>0</x:v>
      </x:c>
      <x:c r="C17" s="84" t="str">
        <x:v>&gt;=1</x:v>
      </x:c>
      <x:c r="D17" s="124" t="str">
        <x:f>IF(B17&gt;=1,"PASS","INCOMPLETE")</x:f>
        <x:v>INCOMPLETE</x:v>
      </x:c>
      <x:c r="E17" s="84" t="str">
        <x:v>Evidence Register</x:v>
      </x:c>
      <x:c r="F17" s="84" t="str">
        <x:v>Primary filing evidence</x:v>
      </x:c>
      <x:c r="G17" s="83" t="str"/>
    </x:row>
    <x:row r="18" ht="38" customHeight="1">
      <x:c r="A18" s="95" t="str">
        <x:v>FactSet evidence entries</x:v>
      </x:c>
      <x:c r="B18" s="113" t="n">
        <x:f>COUNTIF('Evidence Register'!C6:C35,"FactSet")</x:f>
        <x:v>0</x:v>
      </x:c>
      <x:c r="C18" s="84" t="str">
        <x:v>&gt;=1</x:v>
      </x:c>
      <x:c r="D18" s="124" t="str">
        <x:f>IF(B18&gt;=1,"PASS","INCOMPLETE")</x:f>
        <x:v>INCOMPLETE</x:v>
      </x:c>
      <x:c r="E18" s="84" t="str">
        <x:v>Evidence Register</x:v>
      </x:c>
      <x:c r="F18" s="84" t="str">
        <x:v>Permitted labeled course evidence</x:v>
      </x:c>
      <x:c r="G18" s="83" t="str"/>
    </x:row>
    <x:row r="19" ht="38" customHeight="1">
      <x:c r="A19" s="95" t="str">
        <x:v>Skeptical-CFO record</x:v>
      </x:c>
      <x:c r="B19" s="113" t="n">
        <x:f>COUNTIF('Hypothesis &amp; Scenarios'!B28:B34,"?*")</x:f>
        <x:v>0</x:v>
      </x:c>
      <x:c r="C19" s="84" t="str">
        <x:v>7</x:v>
      </x:c>
      <x:c r="D19" s="124" t="str">
        <x:f>IF(B19=7,"PASS","INCOMPLETE")</x:f>
        <x:v>INCOMPLETE</x:v>
      </x:c>
      <x:c r="E19" s="84" t="str">
        <x:v>Hypothesis &amp; Scenarios B28:B34</x:v>
      </x:c>
      <x:c r="F19" s="84" t="str">
        <x:v>Independent verification and judgment</x:v>
      </x:c>
      <x:c r="G19" s="83" t="str"/>
    </x:row>
    <x:row r="20" ht="38" customHeight="1">
      <x:c r="A20" s="95" t="str">
        <x:v>Final revised hypothesis</x:v>
      </x:c>
      <x:c r="B20" s="113" t="n">
        <x:f>COUNTIF('Hypothesis &amp; Scenarios'!B36,"?*")</x:f>
        <x:v>0</x:v>
      </x:c>
      <x:c r="C20" s="84" t="str">
        <x:v>1</x:v>
      </x:c>
      <x:c r="D20" s="124" t="str">
        <x:f>IF(B20=1,"PASS","INCOMPLETE")</x:f>
        <x:v>INCOMPLETE</x:v>
      </x:c>
      <x:c r="E20" s="84" t="str">
        <x:v>Hypothesis &amp; Scenarios B36</x:v>
      </x:c>
      <x:c r="F20" s="84" t="str">
        <x:v>Milestone 3 handoff</x:v>
      </x:c>
      <x:c r="G20" s="83" t="str"/>
    </x:row>
    <x:row r="21">
      <x:c r="A21" s="91"/>
      <x:c r="B21" s="91"/>
      <x:c r="C21" s="91"/>
      <x:c r="D21" s="91"/>
      <x:c r="E21" s="91"/>
      <x:c r="F21" s="91"/>
      <x:c r="G21" s="91"/>
    </x:row>
    <x:row r="22" ht="22" customHeight="1">
      <x:c r="A22" s="92" t="str">
        <x:v>Student submission confirmation</x:v>
      </x:c>
      <x:c r="B22" s="92"/>
      <x:c r="C22" s="92"/>
      <x:c r="D22" s="92"/>
      <x:c r="E22" s="92"/>
      <x:c r="F22" s="92"/>
      <x:c r="G22" s="92"/>
    </x:row>
    <x:row r="23" ht="30" customHeight="1">
      <x:c r="A23" s="127" t="str">
        <x:v>☐ Every material figure and claim has an evidence ID with source, date, period, units, definition, exact location, use, and limitation.</x:v>
      </x:c>
      <x:c r="B23" s="127"/>
      <x:c r="C23" s="127"/>
      <x:c r="D23" s="127"/>
      <x:c r="E23" s="127"/>
      <x:c r="F23" s="127"/>
      <x:c r="G23" s="127"/>
    </x:row>
    <x:row r="24" ht="30" customHeight="1">
      <x:c r="A24" s="127" t="str">
        <x:v>☐ FactSet evidence is labeled for course use; no raw export or screenshot was uploaded to a public AI tool.</x:v>
      </x:c>
      <x:c r="B24" s="127"/>
      <x:c r="C24" s="127"/>
      <x:c r="D24" s="127"/>
      <x:c r="E24" s="127"/>
      <x:c r="F24" s="127"/>
      <x:c r="G24" s="127"/>
    </x:row>
    <x:row r="25" ht="30" customHeight="1">
      <x:c r="A25" s="127" t="str">
        <x:v>☐ Quantified driver effects are disclosed or calculated; directional effects are not presented as invented numbers.</x:v>
      </x:c>
      <x:c r="B25" s="127"/>
      <x:c r="C25" s="127"/>
      <x:c r="D25" s="127"/>
      <x:c r="E25" s="127"/>
      <x:c r="F25" s="127"/>
      <x:c r="G25" s="127"/>
    </x:row>
    <x:row r="26" ht="30" customHeight="1">
      <x:c r="A26" s="127" t="str">
        <x:v>☐ The hypothesis names a mechanism, effect, period, support, falsifier, and alternative explanation.</x:v>
      </x:c>
      <x:c r="B26" s="127"/>
      <x:c r="C26" s="127"/>
      <x:c r="D26" s="127"/>
      <x:c r="E26" s="127"/>
      <x:c r="F26" s="127"/>
      <x:c r="G26" s="127"/>
    </x:row>
    <x:row r="27" ht="30" customHeight="1">
      <x:c r="A27" s="127" t="str">
        <x:v>☐ Base, upside, and downside cases change the named driver and connect to later valuation and the approved CFO decision.</x:v>
      </x:c>
      <x:c r="B27" s="127"/>
      <x:c r="C27" s="127"/>
      <x:c r="D27" s="127"/>
      <x:c r="E27" s="127"/>
      <x:c r="F27" s="127"/>
      <x:c r="G27" s="127"/>
    </x:row>
    <x:row r="28" ht="30" customHeight="1">
      <x:c r="A28" s="127" t="str">
        <x:v>☐ The skeptical-CFO challenge was checked independently, and the final judgment is my own.</x:v>
      </x:c>
      <x:c r="B28" s="127"/>
      <x:c r="C28" s="127"/>
      <x:c r="D28" s="127"/>
      <x:c r="E28" s="127"/>
      <x:c r="F28" s="127"/>
      <x:c r="G28" s="127"/>
    </x:row>
  </x:sheetData>
  <x:mergeCells>
    <x:mergeCell ref="A1:G1"/>
    <x:mergeCell ref="A2:G2"/>
    <x:mergeCell ref="A22:G22"/>
    <x:mergeCell ref="A23:G23"/>
    <x:mergeCell ref="A24:G24"/>
    <x:mergeCell ref="A25:G25"/>
    <x:mergeCell ref="A26:G26"/>
    <x:mergeCell ref="A27:G27"/>
    <x:mergeCell ref="A28:G28"/>
  </x:mergeCells>
  <x:pageMargins left="0.7" right="0.7" top="0.75" bottom="0.75" header="0.3" footer="0.3"/>
</x:worksheet>
</file>