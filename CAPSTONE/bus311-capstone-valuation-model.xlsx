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9ace7b73f04a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94990601f834b0b"/>
    <x:sheet xmlns:r="http://schemas.openxmlformats.org/officeDocument/2006/relationships" name="Revenue Handoff" sheetId="2" r:id="R612c325817334267"/>
    <x:sheet xmlns:r="http://schemas.openxmlformats.org/officeDocument/2006/relationships" name="Inputs &amp; Sources" sheetId="3" r:id="Rfd5d3bbb8e2842ae"/>
    <x:sheet xmlns:r="http://schemas.openxmlformats.org/officeDocument/2006/relationships" name="Scenario Forecasts" sheetId="4" r:id="R1b2a86ae8f3a4ad6"/>
    <x:sheet xmlns:r="http://schemas.openxmlformats.org/officeDocument/2006/relationships" name="Valuation" sheetId="5" r:id="R6948c65c373941ce"/>
    <x:sheet xmlns:r="http://schemas.openxmlformats.org/officeDocument/2006/relationships" name="Decision Economics" sheetId="6" r:id="Rf309cc1ab24f4abd"/>
    <x:sheet xmlns:r="http://schemas.openxmlformats.org/officeDocument/2006/relationships" name="Sensitivities" sheetId="7" r:id="Rfe9a3e2980e24938"/>
    <x:sheet xmlns:r="http://schemas.openxmlformats.org/officeDocument/2006/relationships" name="Board Appendix" sheetId="8" r:id="R3d85cf2d96e1455e"/>
    <x:sheet xmlns:r="http://schemas.openxmlformats.org/officeDocument/2006/relationships" name="Checks" sheetId="9" r:id="R7c9546b08ff2470f"/>
    <x:sheet xmlns:r="http://schemas.openxmlformats.org/officeDocument/2006/relationships" name="Sources" sheetId="10" r:id="Rf1de07be335945bf"/>
  </x:sheets>
</x:workbook>
</file>

<file path=xl/comments1.xml><?xml version="1.0" encoding="utf-8"?>
<x:comments xmlns:x="http://schemas.openxmlformats.org/spreadsheetml/2006/main">
  <x:authors>
    <x:author>tc={69B2E8BA-1F4B-3F2C-B722-D0ECA0C9FC69}</x:author>
    <x:author>tc={528F954B-EF99-E0AF-368D-AEAFEB576959}</x:author>
    <x:author>tc={E939AB76-953E-9495-2CED-1E7AAA1B7C49}</x:author>
    <x:author>tc={E820617F-7ADB-7550-91EC-00A14252F35C}</x:author>
    <x:author>tc={A2C7ABC4-35F0-E691-AE95-925CE4965CE0}</x:author>
    <x:author>tc={2AEBB633-1A07-B8D9-D848-6EFB7EEC7DED}</x:author>
    <x:author>tc={387AA1F4-1AC7-990E-E4A4-A88730ADB773}</x:author>
    <x:author>tc={6CE321E3-7354-3732-7F34-51F972270409}</x:author>
    <x:author>tc={AF3C1614-C8F7-1032-19D0-64A9368FB52C}</x:author>
    <x:author>tc={ADFF0B9E-F33D-2CBE-4948-EE7D05F9F4BD}</x:author>
    <x:author>tc={41A071BF-8D27-6388-BD0D-48DD1C8CD3C5}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3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4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5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7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8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19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20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  <x:comment ref="B2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;[Red](#,##0.0);-"/>
    <x:numFmt numFmtId="202" formatCode="0.0%;[Red](0.0%);-"/>
    <x:numFmt numFmtId="203" formatCode="yyyy-mm-dd"/>
    <x:numFmt numFmtId="204" formatCode="0.00x"/>
    <x:numFmt numFmtId="205" formatCode="0.00;[Red](0.00);-"/>
    <x:numFmt numFmtId="206" formatCode="0.0x;[Red](0.0x);-"/>
    <x:numFmt numFmtId="207" formatCode="0.00"/>
  </x:numFmts>
  <x:fonts count="13">
    <x:font>
      <x:sz val="11"/>
      <x:name val="Carlito"/>
    </x:font>
    <x:font>
      <x:b/>
      <x:sz val="16"/>
      <x:color rgb="FFFFFFFF"/>
      <x:name val="Aptos Display"/>
    </x:font>
    <x:font>
      <x:i/>
      <x:sz val="10"/>
      <x:color rgb="FF0A2540"/>
      <x:name val="Carlito"/>
    </x:font>
    <x:font>
      <x:sz val="9"/>
      <x:color rgb="FF5E6B75"/>
      <x:name val="Carlito"/>
    </x:font>
    <x:font>
      <x:b/>
      <x:sz val="11"/>
      <x:color rgb="FFFFFFFF"/>
      <x:name val="Carlito"/>
    </x:font>
    <x:font>
      <x:b/>
      <x:sz val="11"/>
      <x:color rgb="FF0A2540"/>
      <x:name val="Carlito"/>
    </x:font>
    <x:font>
      <x:sz val="11"/>
      <x:color rgb="FF0000FF"/>
      <x:name val="Carlito"/>
    </x:font>
    <x:font>
      <x:i/>
      <x:sz val="11"/>
      <x:color rgb="FF0A254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2"/>
      <x:color rgb="FFFFFFFF"/>
      <x:name val="Carlito"/>
    </x:font>
    <x:font>
      <x:b/>
      <x:sz val="12"/>
      <x:color rgb="FF000000"/>
      <x:name val="Carlito"/>
    </x:font>
    <x:font>
      <x:b/>
      <x:sz val="11"/>
      <x:color rgb="FF000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A2540"/>
      </x:patternFill>
    </x:fill>
    <x:fill>
      <x:patternFill patternType="solid">
        <x:fgColor rgb="FFF7F3ED"/>
      </x:patternFill>
    </x:fill>
    <x:fill>
      <x:patternFill patternType="solid">
        <x:fgColor rgb="FFEEF1F4"/>
      </x:patternFill>
    </x:fill>
    <x:fill>
      <x:patternFill patternType="solid">
        <x:fgColor rgb="FF175FA9"/>
      </x:patternFill>
    </x:fill>
    <x:fill>
      <x:patternFill patternType="solid">
        <x:fgColor rgb="FFEAF2F8"/>
      </x:patternFill>
    </x:fill>
    <x:fill>
      <x:patternFill patternType="solid">
        <x:fgColor rgb="FFFFF4CC"/>
      </x:patternFill>
    </x:fill>
    <x:fill>
      <x:patternFill patternType="solid">
        <x:fgColor rgb="FFC66A3D"/>
      </x:patternFill>
    </x:fill>
    <x:fill>
      <x:patternFill patternType="solid">
        <x:fgColor rgb="FFF7E9E2"/>
      </x:patternFill>
    </x:fill>
  </x:fills>
  <x:borders count="3">
    <x:border/>
    <x:border>
      <x:left style="thin">
        <x:color rgb="FFC8D1D9"/>
      </x:left>
      <x:right style="thin">
        <x:color rgb="FFC8D1D9"/>
      </x:right>
      <x:top style="thin">
        <x:color rgb="FFC8D1D9"/>
      </x:top>
      <x:bottom style="thin">
        <x:color rgb="FFC8D1D9"/>
      </x:bottom>
    </x:border>
    <x:border>
      <x:left style="thin">
        <x:color rgb="FFC8D1D9"/>
      </x:left>
      <x:right style="thin">
        <x:color rgb="FFC8D1D9"/>
      </x:right>
      <x:top style="thin">
        <x:color rgb="FFC8D1D9"/>
      </x:top>
      <x:bottom style="double">
        <x:color rgb="FF0A2540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0" fillId="0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201" fontId="6" fillId="7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vertical="top" wrapText="1"/>
    </x:xf>
    <x:xf numFmtId="203" fontId="6" fillId="7" borderId="1" xfId="0" applyNumberFormat="1" applyFont="1" applyFill="1" applyBorder="1" applyAlignment="1">
      <x:alignment vertical="top" wrapText="1"/>
    </x:xf>
    <x:xf numFmtId="201" fontId="8" fillId="7" borderId="1" xfId="0" applyNumberFormat="1" applyFont="1" applyFill="1" applyBorder="1" applyAlignment="1">
      <x:alignment vertical="top" wrapText="1"/>
    </x:xf>
    <x:xf numFmtId="202" fontId="6" fillId="7" borderId="1" xfId="0" applyNumberFormat="1" applyFont="1" applyFill="1" applyBorder="1" applyAlignment="1">
      <x:alignment vertical="top" wrapText="1"/>
    </x:xf>
    <x:xf numFmtId="204" fontId="6" fillId="7" borderId="1" xfId="0" applyNumberFormat="1" applyFont="1" applyFill="1" applyBorder="1" applyAlignment="1">
      <x:alignment vertical="top" wrapText="1"/>
    </x:xf>
    <x:xf numFmtId="205" fontId="6" fillId="7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201" fontId="8" fillId="0" borderId="1" xfId="0" applyNumberFormat="1" applyFont="1" applyFill="1" applyBorder="1" applyAlignment="1">
      <x:alignment vertical="top" wrapText="1"/>
    </x:xf>
    <x:xf numFmtId="202" fontId="8" fillId="0" borderId="1" xfId="0" applyNumberFormat="1" applyFont="1" applyFill="1" applyBorder="1" applyAlignment="1">
      <x:alignment vertical="top" wrapText="1"/>
    </x:xf>
    <x:xf numFmtId="0" fontId="5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5" fontId="8" fillId="0" borderId="1" xfId="0" applyNumberFormat="1" applyFont="1" applyFill="1" applyBorder="1" applyAlignment="1">
      <x:alignment vertical="top" wrapText="1"/>
    </x:xf>
    <x:xf numFmtId="206" fontId="8" fillId="0" borderId="1" xfId="0" applyNumberFormat="1" applyFont="1" applyFill="1" applyBorder="1" applyAlignment="1">
      <x:alignment vertical="top" wrapText="1"/>
    </x:xf>
    <x:xf numFmtId="207" fontId="0" fillId="0" borderId="1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center" wrapText="1"/>
    </x:xf>
    <x:xf numFmtId="202" fontId="9" fillId="6" borderId="1" xfId="0" applyNumberFormat="1" applyFont="1" applyFill="1" applyBorder="1" applyAlignment="1">
      <x:alignment vertical="top" wrapText="1"/>
    </x:xf>
    <x:xf numFmtId="202" fontId="9" fillId="6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205" fontId="0" fillId="0" borderId="1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/>
    <x:xf numFmtId="0" fontId="11" fillId="7" borderId="0" xfId="0" applyNumberFormat="1" applyFont="1" applyFill="1" applyBorder="1"/>
    <x:xf numFmtId="0" fontId="12" fillId="0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4" fillId="8" borderId="0" xfId="0" applyNumberFormat="1" applyFont="1" applyFill="1" applyBorder="1" applyAlignment="1">
      <x:alignment vertical="top"/>
    </x:xf>
    <x:xf numFmtId="0" fontId="0" fillId="3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top"/>
    </x:xf>
    <x:xf numFmtId="0" fontId="7" fillId="9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top"/>
    </x:xf>
    <x:xf numFmtId="0" fontId="11" fillId="7" borderId="0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ont>
        <x:b/>
        <x:color rgb="FF19733B"/>
      </x:font>
      <x:fill>
        <x:patternFill>
          <x:bgColor rgb="FFE8F5EC"/>
        </x:patternFill>
      </x:fill>
    </x:dxf>
    <x:dxf>
      <x:font>
        <x:b/>
        <x:color rgb="FFA32626"/>
      </x:font>
      <x:fill>
        <x:patternFill>
          <x:bgColor rgb="FFFCE8E6"/>
        </x:patternFill>
      </x:fill>
    </x:dxf>
    <x:dxf>
      <x:font>
        <x:b/>
        <x:color rgb="FF000000"/>
      </x:font>
      <x:fill>
        <x:patternFill>
          <x:bgColor rgb="FFFFF4CC"/>
        </x:patternFill>
      </x:fill>
    </x:dxf>
    <x:dxf>
      <x:font>
        <x:b/>
        <x:color rgb="FFC66A3D"/>
      </x:font>
      <x:fill>
        <x:patternFill>
          <x:bgColor rgb="FFF7E9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2d35ca2918422a" /><Relationship Type="http://schemas.openxmlformats.org/officeDocument/2006/relationships/theme" Target="/xl/theme/theme1.xml" Id="R6e63519b51634696" /><Relationship Type="http://schemas.openxmlformats.org/officeDocument/2006/relationships/sharedStrings" Target="/xl/sharedStrings.xml" Id="R7c73383efc1e4278" /><Relationship Type="http://schemas.openxmlformats.org/officeDocument/2006/relationships/worksheet" Target="/xl/worksheets/sheet1.xml" Id="R194990601f834b0b" /><Relationship Type="http://schemas.openxmlformats.org/officeDocument/2006/relationships/worksheet" Target="/xl/worksheets/sheet2.xml" Id="R612c325817334267" /><Relationship Type="http://schemas.openxmlformats.org/officeDocument/2006/relationships/worksheet" Target="/xl/worksheets/sheet3.xml" Id="Rfd5d3bbb8e2842ae" /><Relationship Type="http://schemas.openxmlformats.org/officeDocument/2006/relationships/worksheet" Target="/xl/worksheets/sheet4.xml" Id="R1b2a86ae8f3a4ad6" /><Relationship Type="http://schemas.openxmlformats.org/officeDocument/2006/relationships/worksheet" Target="/xl/worksheets/sheet5.xml" Id="R6948c65c373941ce" /><Relationship Type="http://schemas.openxmlformats.org/officeDocument/2006/relationships/worksheet" Target="/xl/worksheets/sheet6.xml" Id="Rf309cc1ab24f4abd" /><Relationship Type="http://schemas.openxmlformats.org/officeDocument/2006/relationships/worksheet" Target="/xl/worksheets/sheet7.xml" Id="Rfe9a3e2980e24938" /><Relationship Type="http://schemas.openxmlformats.org/officeDocument/2006/relationships/worksheet" Target="/xl/worksheets/sheet8.xml" Id="R3d85cf2d96e1455e" /><Relationship Type="http://schemas.openxmlformats.org/officeDocument/2006/relationships/worksheet" Target="/xl/worksheets/sheet9.xml" Id="R7c9546b08ff2470f" /><Relationship Type="http://schemas.openxmlformats.org/officeDocument/2006/relationships/worksheet" Target="/xl/worksheets/sheet10.xml" Id="Rf1de07be335945bf" /><Relationship Type="http://schemas.microsoft.com/office/2017/10/relationships/person" Target="/xl/persons/person.xml" Id="Rd92ee6ccecc14f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8406c7cc0f4092" /><Relationship Type="http://schemas.openxmlformats.org/officeDocument/2006/relationships/chart" Target="/xl/drawings/charts/chart2.xml" Id="R27ce8f3f170d4ba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path by scenario (model units)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Base</c:v>
          </c:tx>
          <c:marker>
            <c:symbol val="none"/>
          </c:marker>
          <c:cat>
            <c:strRef>
              <c:f>'Board Appendix'!$A$13:$A$18</c:f>
              <c:strCache>
                <c:ptCount val="0"/>
              </c:strCache>
            </c:strRef>
          </c:cat>
          <c:val>
            <c:numRef>
              <c:f>'Board Appendix'!$B$13:$B$18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Upside</c:v>
          </c:tx>
          <c:marker>
            <c:symbol val="none"/>
          </c:marker>
          <c:cat>
            <c:strRef>
              <c:f>'Board Appendix'!$A$13:$A$18</c:f>
              <c:strCache>
                <c:ptCount val="0"/>
              </c:strCache>
            </c:strRef>
          </c:cat>
          <c:val>
            <c:numRef>
              <c:f>'Board Appendix'!$C$13:$C$18</c:f>
              <c:numCache>
                <c:formatCode>#,##0.0;[Red](#,##0.0);-</c:formatCode>
                <c:ptCount val="0"/>
              </c:numCache>
            </c:numRef>
          </c:val>
        </c:ser>
        <c:ser>
          <c:idx val="2"/>
          <c:order val="2"/>
          <c:tx>
            <c:v>Downside</c:v>
          </c:tx>
          <c:marker>
            <c:symbol val="none"/>
          </c:marker>
          <c:cat>
            <c:strRef>
              <c:f>'Board Appendix'!$A$13:$A$18</c:f>
              <c:strCache>
                <c:ptCount val="0"/>
              </c:strCache>
            </c:strRef>
          </c:cat>
          <c:val>
            <c:numRef>
              <c:f>'Board Appendix'!$D$13:$D$18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Implied value per share vs. current price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Implied value / share</c:v>
          </c:tx>
          <c:cat>
            <c:strRef>
              <c:f>'Board Appendix'!$A$23:$A$25</c:f>
              <c:strCache>
                <c:ptCount val="0"/>
              </c:strCache>
            </c:strRef>
          </c:cat>
          <c:val>
            <c:numRef>
              <c:f>'Board Appendix'!$B$23:$B$25</c:f>
              <c:numCache>
                <c:formatCode>0.00;[Red](0.00);-</c:formatCode>
                <c:ptCount val="0"/>
              </c:numCache>
            </c:numRef>
          </c:val>
        </c:ser>
        <c:ser>
          <c:idx val="1"/>
          <c:order val="1"/>
          <c:tx>
            <c:v>Current price</c:v>
          </c:tx>
          <c:cat>
            <c:strRef>
              <c:f>'Board Appendix'!$A$23:$A$25</c:f>
              <c:strCache>
                <c:ptCount val="0"/>
              </c:strCache>
            </c:strRef>
          </c:cat>
          <c:val>
            <c:numRef>
              <c:f>'Board Appendix'!$C$23:$C$25</c:f>
              <c:numCache>
                <c:formatCode>0.00;[Red](0.00);-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8406c7cc0f4092"/>
        </a:graphicData>
      </a:graphic>
    </xdr:graphicFrame>
    <xdr:clientData/>
  </xdr:twoCellAnchor>
  <xdr:twoCellAnchor>
    <xdr:from>
      <xdr:col>5</xdr:col>
      <xdr:colOff>0</xdr:colOff>
      <xdr:row>27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ce8f3f170d4ba5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Bethany Evitts" id="{7B3F46B0-6052-4AAF-8E34-54B9390BEE3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1" dT="2026-07-29T12:29:22.359" personId="{7B3F46B0-6052-4AAF-8E34-54B9390BEE36}" id="{69B2E8BA-1F4B-3F2C-B722-D0ECA0C9FC69}">
    <xltc:text>Enter or link one assumption only once. Cite it with the adjacent Source ID and complete the Sources sheet, including period, definition, exact location, and limitation.</xltc:text>
  </xltc:threadedComment>
  <xltc:threadedComment ref="B12" dT="2026-07-29T12:29:22.36" personId="{7B3F46B0-6052-4AAF-8E34-54B9390BEE36}" id="{528F954B-EF99-E0AF-368D-AEAFEB576959}">
    <xltc:text>Enter or link one assumption only once. Cite it with the adjacent Source ID and complete the Sources sheet, including period, definition, exact location, and limitation.</xltc:text>
  </xltc:threadedComment>
  <xltc:threadedComment ref="B13" dT="2026-07-29T12:29:22.36" personId="{7B3F46B0-6052-4AAF-8E34-54B9390BEE36}" id="{E939AB76-953E-9495-2CED-1E7AAA1B7C49}">
    <xltc:text>Enter or link one assumption only once. Cite it with the adjacent Source ID and complete the Sources sheet, including period, definition, exact location, and limitation.</xltc:text>
  </xltc:threadedComment>
  <xltc:threadedComment ref="B14" dT="2026-07-29T12:29:22.36" personId="{7B3F46B0-6052-4AAF-8E34-54B9390BEE36}" id="{E820617F-7ADB-7550-91EC-00A14252F35C}">
    <xltc:text>Enter or link one assumption only once. Cite it with the adjacent Source ID and complete the Sources sheet, including period, definition, exact location, and limitation.</xltc:text>
  </xltc:threadedComment>
  <xltc:threadedComment ref="B15" dT="2026-07-29T12:29:22.36" personId="{7B3F46B0-6052-4AAF-8E34-54B9390BEE36}" id="{A2C7ABC4-35F0-E691-AE95-925CE4965CE0}">
    <xltc:text>Enter or link one assumption only once. Cite it with the adjacent Source ID and complete the Sources sheet, including period, definition, exact location, and limitation.</xltc:text>
  </xltc:threadedComment>
  <xltc:threadedComment ref="B16" dT="2026-07-29T12:29:22.36" personId="{7B3F46B0-6052-4AAF-8E34-54B9390BEE36}" id="{2AEBB633-1A07-B8D9-D848-6EFB7EEC7DED}">
    <xltc:text>Enter or link one assumption only once. Cite it with the adjacent Source ID and complete the Sources sheet, including period, definition, exact location, and limitation.</xltc:text>
  </xltc:threadedComment>
  <xltc:threadedComment ref="B17" dT="2026-07-29T12:29:22.36" personId="{7B3F46B0-6052-4AAF-8E34-54B9390BEE36}" id="{387AA1F4-1AC7-990E-E4A4-A88730ADB773}">
    <xltc:text>Enter or link one assumption only once. Cite it with the adjacent Source ID and complete the Sources sheet, including period, definition, exact location, and limitation.</xltc:text>
  </xltc:threadedComment>
  <xltc:threadedComment ref="B18" dT="2026-07-29T12:29:22.36" personId="{7B3F46B0-6052-4AAF-8E34-54B9390BEE36}" id="{6CE321E3-7354-3732-7F34-51F972270409}">
    <xltc:text>Enter or link one assumption only once. Cite it with the adjacent Source ID and complete the Sources sheet, including period, definition, exact location, and limitation.</xltc:text>
  </xltc:threadedComment>
  <xltc:threadedComment ref="B19" dT="2026-07-29T12:29:22.36" personId="{7B3F46B0-6052-4AAF-8E34-54B9390BEE36}" id="{AF3C1614-C8F7-1032-19D0-64A9368FB52C}">
    <xltc:text>Enter or link one assumption only once. Cite it with the adjacent Source ID and complete the Sources sheet, including period, definition, exact location, and limitation.</xltc:text>
  </xltc:threadedComment>
  <xltc:threadedComment ref="B20" dT="2026-07-29T12:29:22.36" personId="{7B3F46B0-6052-4AAF-8E34-54B9390BEE36}" id="{ADFF0B9E-F33D-2CBE-4948-EE7D05F9F4BD}">
    <xltc:text>Enter or link one assumption only once. Cite it with the adjacent Source ID and complete the Sources sheet, including period, definition, exact location, and limitation.</xltc:text>
  </xltc:threadedComment>
  <xltc:threadedComment ref="B21" dT="2026-07-29T12:29:22.36" personId="{7B3F46B0-6052-4AAF-8E34-54B9390BEE36}" id="{41A071BF-8D27-6388-BD0D-48DD1C8CD3C5}">
    <xltc:text>Enter or link one assumption only once. Cite it with the adjacent Source ID and complete the Sources sheet, including period, definition, exact location, and limitation.</xltc:text>
  </xltc:threadedComment>
</xltc:ThreadedComment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5418ce06ba494f60" /><Relationship Type="http://schemas.openxmlformats.org/officeDocument/2006/relationships/vmlDrawing" Target="/xl/drawings/vmldrawing.vml" Id="Ra046855ee2024965" /><Relationship Type="http://schemas.microsoft.com/office/2017/10/relationships/threadedComment" Target="/xl/threadedcomments/threadedcomment.xml" Id="R5814c5ae676e49e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5368eab2efea444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5" hidden="0" customWidth="1"/>
    <x:col min="3" max="3" width="30" hidden="0" customWidth="1"/>
    <x:col min="4" max="4" width="28" hidden="0" customWidth="1"/>
    <x:col min="5" max="5" width="24" hidden="0" customWidth="1"/>
    <x:col min="6" max="6" width="26" hidden="0" customWidth="1"/>
    <x:col min="7" max="7" width="22" hidden="0" customWidth="1"/>
    <x:col min="8" max="8" width="15" hidden="0" customWidth="1"/>
  </x:cols>
  <x:sheetData>
    <x:row r="1" ht="28" customHeight="1">
      <x:c r="A1" s="70" t="str">
        <x:v>BUS311 Capstone Milestone 3 | Read Me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Build a source-traceable valuation that carries the Milestone 2 revenue hypothesis into base, upside, and downside decisions.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Student and project information</x:v>
      </x:c>
      <x:c r="B5" s="74"/>
      <x:c r="C5" s="74"/>
      <x:c r="D5" s="74"/>
      <x:c r="E5" s="74"/>
      <x:c r="F5" s="74"/>
      <x:c r="G5" s="74"/>
      <x:c r="H5" s="74"/>
    </x:row>
    <x:row r="6">
      <x:c r="A6" s="20" t="str">
        <x:v>Student name</x:v>
      </x:c>
      <x:c r="B6" s="23" t="str"/>
      <x:c r="C6" s="73"/>
      <x:c r="D6" s="20" t="str">
        <x:v>Workbook version</x:v>
      </x:c>
      <x:c r="E6" s="21" t="str">
        <x:v>1.0</x:v>
      </x:c>
      <x:c r="F6" s="73"/>
      <x:c r="G6" s="73"/>
      <x:c r="H6" s="73"/>
    </x:row>
    <x:row r="7">
      <x:c r="A7" s="20" t="str">
        <x:v>Course section</x:v>
      </x:c>
      <x:c r="B7" s="23" t="str"/>
      <x:c r="C7" s="73"/>
      <x:c r="D7" s="20" t="str">
        <x:v>Updated</x:v>
      </x:c>
      <x:c r="E7" s="21" t="str">
        <x:v>2026-07-29</x:v>
      </x:c>
      <x:c r="F7" s="73"/>
      <x:c r="G7" s="73"/>
      <x:c r="H7" s="73"/>
    </x:row>
    <x:row r="8">
      <x:c r="A8" s="20" t="str">
        <x:v>Company legal name</x:v>
      </x:c>
      <x:c r="B8" s="23" t="str"/>
      <x:c r="C8" s="73"/>
      <x:c r="D8" s="20" t="str">
        <x:v>Milestone points</x:v>
      </x:c>
      <x:c r="E8" s="21" t="n">
        <x:v>8</x:v>
      </x:c>
      <x:c r="F8" s="73"/>
      <x:c r="G8" s="73"/>
      <x:c r="H8" s="73"/>
    </x:row>
    <x:row r="9">
      <x:c r="A9" s="20" t="str">
        <x:v>Ticker / exchange</x:v>
      </x:c>
      <x:c r="B9" s="23" t="str"/>
      <x:c r="C9" s="73"/>
      <x:c r="D9" s="20" t="str">
        <x:v>Primary outcomes</x:v>
      </x:c>
      <x:c r="E9" s="21" t="str">
        <x:v>LO4–LO6</x:v>
      </x:c>
      <x:c r="F9" s="73"/>
      <x:c r="G9" s="73"/>
      <x:c r="H9" s="73"/>
    </x:row>
    <x:row r="10">
      <x:c r="A10" s="20" t="str">
        <x:v>Fiscal year-end</x:v>
      </x:c>
      <x:c r="B10" s="23" t="str"/>
      <x:c r="C10" s="73"/>
      <x:c r="D10" s="20" t="str">
        <x:v>Forecast horizon</x:v>
      </x:c>
      <x:c r="E10" s="21" t="str">
        <x:v>Five annual periods</x:v>
      </x:c>
      <x:c r="F10" s="73"/>
      <x:c r="G10" s="73"/>
      <x:c r="H10" s="73"/>
    </x:row>
    <x:row r="11">
      <x:c r="A11" s="20" t="str">
        <x:v>Approved CFO decision</x:v>
      </x:c>
      <x:c r="B11" s="23" t="str"/>
      <x:c r="C11" s="73"/>
      <x:c r="D11" s="20" t="str">
        <x:v>Terminal method</x:v>
      </x:c>
      <x:c r="E11" s="21" t="str">
        <x:v>Gordon growth</x:v>
      </x:c>
      <x:c r="F11" s="73"/>
      <x:c r="G11" s="73"/>
      <x:c r="H11" s="73"/>
    </x:row>
    <x:row r="12">
      <x:c r="A12" s="20" t="str">
        <x:v>Prior milestone file</x:v>
      </x:c>
      <x:c r="B12" s="23" t="str"/>
      <x:c r="C12" s="73"/>
      <x:c r="D12" s="20" t="str">
        <x:v>Workbook status</x:v>
      </x:c>
      <x:c r="E12" s="21" t="str">
        <x:v>See Checks</x:v>
      </x:c>
      <x:c r="F12" s="73"/>
      <x:c r="G12" s="73"/>
      <x:c r="H12" s="73"/>
    </x:row>
    <x:row r="13">
      <x:c r="A13" s="73"/>
      <x:c r="B13" s="73"/>
      <x:c r="C13" s="73"/>
      <x:c r="D13" s="73"/>
      <x:c r="E13" s="73"/>
      <x:c r="F13" s="73"/>
      <x:c r="G13" s="73"/>
      <x:c r="H13" s="73"/>
    </x:row>
    <x:row r="14" ht="22" customHeight="1">
      <x:c r="A14" s="74" t="str">
        <x:v>Required workflow</x:v>
      </x:c>
      <x:c r="B14" s="74"/>
      <x:c r="C14" s="74"/>
      <x:c r="D14" s="74"/>
      <x:c r="E14" s="74"/>
      <x:c r="F14" s="74"/>
      <x:c r="G14" s="74"/>
      <x:c r="H14" s="74"/>
    </x:row>
    <x:row r="15" ht="42" customHeight="1">
      <x:c r="A15" s="20" t="str">
        <x:v>1</x:v>
      </x:c>
      <x:c r="B15" s="20" t="str">
        <x:v>Revenue Handoff</x:v>
      </x:c>
      <x:c r="C15" s="20" t="str">
        <x:v>Transfer Milestone 2 history and final hypothesis</x:v>
      </x:c>
      <x:c r="D15" s="20" t="str">
        <x:v>Use the latest reported year as FY0</x:v>
      </x:c>
      <x:c r="E15" s="20" t="str">
        <x:v>Three cases</x:v>
      </x:c>
      <x:c r="F15" s="20" t="str">
        <x:v>Evidence IDs</x:v>
      </x:c>
      <x:c r="G15" s="20" t="str">
        <x:v>CFO trigger</x:v>
      </x:c>
      <x:c r="H15" s="20" t="str">
        <x:v>Required</x:v>
      </x:c>
    </x:row>
    <x:row r="16" ht="42" customHeight="1">
      <x:c r="A16" s="21" t="str">
        <x:v>2</x:v>
      </x:c>
      <x:c r="B16" s="21" t="str">
        <x:v>Inputs &amp; Sources</x:v>
      </x:c>
      <x:c r="C16" s="21" t="str">
        <x:v>Enter operating and capital assumptions once</x:v>
      </x:c>
      <x:c r="D16" s="21" t="str">
        <x:v>Source IDs and rationale</x:v>
      </x:c>
      <x:c r="E16" s="21" t="str">
        <x:v>No magic numbers</x:v>
      </x:c>
      <x:c r="F16" s="21" t="str">
        <x:v>Market-value WACC</x:v>
      </x:c>
      <x:c r="G16" s="21" t="str">
        <x:v>Units</x:v>
      </x:c>
      <x:c r="H16" s="21" t="str">
        <x:v>Required</x:v>
      </x:c>
    </x:row>
    <x:row r="17" ht="42" customHeight="1">
      <x:c r="A17" s="21" t="str">
        <x:v>3</x:v>
      </x:c>
      <x:c r="B17" s="21" t="str">
        <x:v>Scenario Forecasts</x:v>
      </x:c>
      <x:c r="C17" s="21" t="str">
        <x:v>Review revenue, EBIT, tax, NOPAT, D&amp;A, CapEx, NWC, and UFCF</x:v>
      </x:c>
      <x:c r="D17" s="21" t="str">
        <x:v>Base/upside/downside</x:v>
      </x:c>
      <x:c r="E17" s="21" t="str">
        <x:v>Positive uses subtracted</x:v>
      </x:c>
      <x:c r="F17" s="21" t="str">
        <x:v>Five years</x:v>
      </x:c>
      <x:c r="G17" s="21" t="str">
        <x:v>No plugs</x:v>
      </x:c>
      <x:c r="H17" s="21" t="str">
        <x:v>Required</x:v>
      </x:c>
    </x:row>
    <x:row r="18" ht="42" customHeight="1">
      <x:c r="A18" s="21" t="str">
        <x:v>4</x:v>
      </x:c>
      <x:c r="B18" s="21" t="str">
        <x:v>Valuation</x:v>
      </x:c>
      <x:c r="C18" s="21" t="str">
        <x:v>Review PV of forecast FCF and terminal value</x:v>
      </x:c>
      <x:c r="D18" s="21" t="str">
        <x:v>EV to equity bridge</x:v>
      </x:c>
      <x:c r="E18" s="21" t="str">
        <x:v>Debt and cash separate</x:v>
      </x:c>
      <x:c r="F18" s="21" t="str">
        <x:v>Per share</x:v>
      </x:c>
      <x:c r="G18" s="21" t="str">
        <x:v>Reasonableness</x:v>
      </x:c>
      <x:c r="H18" s="21" t="str">
        <x:v>Required</x:v>
      </x:c>
    </x:row>
    <x:row r="19" ht="42" customHeight="1">
      <x:c r="A19" s="21" t="str">
        <x:v>5</x:v>
      </x:c>
      <x:c r="B19" s="21" t="str">
        <x:v>Decision Economics</x:v>
      </x:c>
      <x:c r="C19" s="21" t="str">
        <x:v>Use only for a discrete project or investment decision</x:v>
      </x:c>
      <x:c r="D19" s="21" t="str">
        <x:v>Incremental after-tax FCF</x:v>
      </x:c>
      <x:c r="E19" s="21" t="str">
        <x:v>NPV/IRR</x:v>
      </x:c>
      <x:c r="F19" s="21" t="str">
        <x:v>Fractional payback</x:v>
      </x:c>
      <x:c r="G19" s="21" t="str">
        <x:v>Guarded blanks</x:v>
      </x:c>
      <x:c r="H19" s="21" t="str">
        <x:v>As applicable</x:v>
      </x:c>
    </x:row>
    <x:row r="20" ht="42" customHeight="1">
      <x:c r="A20" s="21" t="str">
        <x:v>6</x:v>
      </x:c>
      <x:c r="B20" s="21" t="str">
        <x:v>Sensitivities</x:v>
      </x:c>
      <x:c r="C20" s="21" t="str">
        <x:v>Test WACC and terminal growth</x:v>
      </x:c>
      <x:c r="D20" s="21" t="str">
        <x:v>Live formulas</x:v>
      </x:c>
      <x:c r="E20" s="21" t="str">
        <x:v>Center ties to base case</x:v>
      </x:c>
      <x:c r="F20" s="21" t="str">
        <x:v>Direction checks</x:v>
      </x:c>
      <x:c r="G20" s="21" t="str">
        <x:v>No pasted values</x:v>
      </x:c>
      <x:c r="H20" s="21" t="str">
        <x:v>Required</x:v>
      </x:c>
    </x:row>
    <x:row r="21" ht="42" customHeight="1">
      <x:c r="A21" s="21" t="str">
        <x:v>7</x:v>
      </x:c>
      <x:c r="B21" s="21" t="str">
        <x:v>Board Appendix</x:v>
      </x:c>
      <x:c r="C21" s="21" t="str">
        <x:v>Select decision-useful outputs for the PPTX appendix</x:v>
      </x:c>
      <x:c r="D21" s="21" t="str">
        <x:v>Scenario valuation</x:v>
      </x:c>
      <x:c r="E21" s="21" t="str">
        <x:v>Revenue path</x:v>
      </x:c>
      <x:c r="F21" s="21" t="str">
        <x:v>Trigger</x:v>
      </x:c>
      <x:c r="G21" s="21" t="str">
        <x:v>Limitation</x:v>
      </x:c>
      <x:c r="H21" s="21" t="str">
        <x:v>Required</x:v>
      </x:c>
    </x:row>
    <x:row r="22" ht="42" customHeight="1">
      <x:c r="A22" s="21" t="str">
        <x:v>8</x:v>
      </x:c>
      <x:c r="B22" s="21" t="str">
        <x:v>Checks &amp; Sources</x:v>
      </x:c>
      <x:c r="C22" s="21" t="str">
        <x:v>Resolve incomplete/failed controls and explain review items</x:v>
      </x:c>
      <x:c r="D22" s="21" t="str">
        <x:v>Source every material input</x:v>
      </x:c>
      <x:c r="E22" s="21" t="str">
        <x:v>No formula errors</x:v>
      </x:c>
      <x:c r="F22" s="21" t="str">
        <x:v>Defend assumptions</x:v>
      </x:c>
      <x:c r="G22" s="21" t="str">
        <x:v>Submit workbook</x:v>
      </x:c>
      <x:c r="H22" s="21" t="str">
        <x:v>Required</x:v>
      </x:c>
    </x:row>
    <x:row r="23">
      <x:c r="A23" s="73"/>
      <x:c r="B23" s="73"/>
      <x:c r="C23" s="73"/>
      <x:c r="D23" s="73"/>
      <x:c r="E23" s="73"/>
      <x:c r="F23" s="73"/>
      <x:c r="G23" s="73"/>
      <x:c r="H23" s="73"/>
    </x:row>
    <x:row r="24" ht="22" customHeight="1">
      <x:c r="A24" s="74" t="str">
        <x:v>Milestone 3 rubric | 8 points</x:v>
      </x:c>
      <x:c r="B24" s="74"/>
      <x:c r="C24" s="74"/>
      <x:c r="D24" s="74"/>
      <x:c r="E24" s="74"/>
      <x:c r="F24" s="74"/>
      <x:c r="G24" s="74"/>
      <x:c r="H24" s="74"/>
    </x:row>
    <x:row r="25" ht="34" customHeight="1">
      <x:c r="A25" s="20" t="str">
        <x:v>Criterion</x:v>
      </x:c>
      <x:c r="B25" s="20" t="str">
        <x:v>Points</x:v>
      </x:c>
      <x:c r="C25" s="20" t="str">
        <x:v>Required evidence</x:v>
      </x:c>
      <x:c r="D25" s="20" t="str">
        <x:v>Scoring focus</x:v>
      </x:c>
      <x:c r="E25" s="73"/>
      <x:c r="F25" s="75" t="str">
        <x:v>Integrity rules</x:v>
      </x:c>
      <x:c r="G25" s="75"/>
      <x:c r="H25" s="75"/>
    </x:row>
    <x:row r="26" ht="62" customHeight="1">
      <x:c r="A26" s="21" t="str">
        <x:v>Revenue-to-forecast linkage and scenarios</x:v>
      </x:c>
      <x:c r="B26" s="25" t="n">
        <x:v>2</x:v>
      </x:c>
      <x:c r="C26" s="21" t="str">
        <x:v>Milestone 2 hypothesis, drivers, triggers, and three forecast paths</x:v>
      </x:c>
      <x:c r="D26" s="21" t="str">
        <x:v>Company-specific logic, not generic percentages</x:v>
      </x:c>
      <x:c r="E26" s="73"/>
      <x:c r="F26" s="76" t="str">
        <x:v>Use SEC, FactSet, company IR, peer filings, and other credible evidence; AI output is not a financial source.</x:v>
      </x:c>
      <x:c r="G26" s="76"/>
      <x:c r="H26" s="76"/>
    </x:row>
    <x:row r="27" ht="62" customHeight="1">
      <x:c r="A27" s="21" t="str">
        <x:v>DCF and decision mechanics</x:v>
      </x:c>
      <x:c r="B27" s="25" t="n">
        <x:v>3</x:v>
      </x:c>
      <x:c r="C27" s="21" t="str">
        <x:v>Correct tax/NOPAT, D&amp;A, CapEx, ΔNWC, WACC, terminal value, EV-to-equity bridge, and payback if applicable</x:v>
      </x:c>
      <x:c r="D27" s="21" t="str">
        <x:v>Formula integrity, signs, and finance concepts</x:v>
      </x:c>
      <x:c r="E27" s="73"/>
      <x:c r="F27" s="76" t="str">
        <x:v>Do not upload raw FactSet exports, private data, instructor content, or nonpublic information to a public AI tool.</x:v>
      </x:c>
      <x:c r="G27" s="76"/>
      <x:c r="H27" s="76"/>
    </x:row>
    <x:row r="28" ht="62" customHeight="1">
      <x:c r="A28" s="21" t="str">
        <x:v>Sources, assumptions, and checks</x:v>
      </x:c>
      <x:c r="B28" s="25" t="n">
        <x:v>2</x:v>
      </x:c>
      <x:c r="C28" s="21" t="str">
        <x:v>Source IDs, definitions, dates, visible controls, and resolved model issues</x:v>
      </x:c>
      <x:c r="D28" s="21" t="str">
        <x:v>Auditability and honest limitations</x:v>
      </x:c>
      <x:c r="E28" s="73"/>
      <x:c r="F28" s="76" t="str">
        <x:v>A passing control proves structure, not judgment. Explain unusual margins, growth, capital intensity, terminal assumptions, and scenario ordering.</x:v>
      </x:c>
      <x:c r="G28" s="76"/>
      <x:c r="H28" s="76"/>
    </x:row>
    <x:row r="29" ht="62" customHeight="1">
      <x:c r="A29" s="21" t="str">
        <x:v>Board-ready decision output</x:v>
      </x:c>
      <x:c r="B29" s="25" t="n">
        <x:v>1</x:v>
      </x:c>
      <x:c r="C29" s="21" t="str">
        <x:v>Scenario outputs, sensitivity, trigger, takeaway, and limitation</x:v>
      </x:c>
      <x:c r="D29" s="21" t="str">
        <x:v>Useful CFO/Board evidence and oral-presentation readiness</x:v>
      </x:c>
      <x:c r="E29" s="73"/>
      <x:c r="F29" s="76" t="str">
        <x:v>The Excel model is graded here as a working milestone; selected outputs belong in the final PPTX appendix.</x:v>
      </x:c>
      <x:c r="G29" s="76"/>
      <x:c r="H29" s="76"/>
    </x:row>
  </x:sheetData>
  <x:mergeCells>
    <x:mergeCell ref="A1:H1"/>
    <x:mergeCell ref="A2:H2"/>
    <x:mergeCell ref="A3:H3"/>
    <x:mergeCell ref="A5:H5"/>
    <x:mergeCell ref="A14:H14"/>
    <x:mergeCell ref="A24:H24"/>
    <x:mergeCell ref="F25:H25"/>
    <x:mergeCell ref="F26:H26"/>
    <x:mergeCell ref="F27:H27"/>
    <x:mergeCell ref="F28:H28"/>
    <x:mergeCell ref="F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35" hidden="0" customWidth="1"/>
    <x:col min="3" max="3" width="27" hidden="0" customWidth="1"/>
    <x:col min="4" max="4" width="28" hidden="0" customWidth="1"/>
    <x:col min="5" max="5" width="24" hidden="0" customWidth="1"/>
    <x:col min="6" max="6" width="31" hidden="0" customWidth="1"/>
    <x:col min="7" max="7" width="16" hidden="0" customWidth="1"/>
    <x:col min="8" max="8" width="14" hidden="0" customWidth="1"/>
  </x:cols>
  <x:sheetData>
    <x:row r="1" ht="28" customHeight="1">
      <x:c r="A1" s="70" t="str">
        <x:v>BUS311 Capstone Milestone 3 | Revenue Handoff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Transfer the evidence-backed revenue history, final hypothesis, scenario drivers, and CFO triggers from Milestone 2.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Milestone 2 handoff</x:v>
      </x:c>
      <x:c r="B5" s="74"/>
      <x:c r="C5" s="74"/>
      <x:c r="D5" s="74"/>
      <x:c r="E5" s="74"/>
      <x:c r="F5" s="74"/>
      <x:c r="G5" s="74"/>
      <x:c r="H5" s="74"/>
    </x:row>
    <x:row r="6" ht="52" customHeight="1">
      <x:c r="A6" s="77" t="str">
        <x:v>Final revised revenue hypothesis</x:v>
      </x:c>
      <x:c r="B6" s="23" t="str"/>
      <x:c r="C6" s="23"/>
      <x:c r="D6" s="23"/>
      <x:c r="E6" s="23"/>
      <x:c r="F6" s="23"/>
      <x:c r="G6" s="23"/>
      <x:c r="H6" s="23"/>
    </x:row>
    <x:row r="7" ht="52" customHeight="1">
      <x:c r="A7" s="77" t="str">
        <x:v>Milestone 3 forecast and valuation handoff</x:v>
      </x:c>
      <x:c r="B7" s="23" t="str"/>
      <x:c r="C7" s="23"/>
      <x:c r="D7" s="23"/>
      <x:c r="E7" s="23"/>
      <x:c r="F7" s="23"/>
      <x:c r="G7" s="23"/>
      <x:c r="H7" s="23"/>
    </x:row>
    <x:row r="8" ht="52" customHeight="1">
      <x:c r="A8" s="77" t="str">
        <x:v>Approved CFO decision and stage / pause / modify / reject trigger</x:v>
      </x:c>
      <x:c r="B8" s="23" t="str"/>
      <x:c r="C8" s="23"/>
      <x:c r="D8" s="23"/>
      <x:c r="E8" s="23"/>
      <x:c r="F8" s="23"/>
      <x:c r="G8" s="23"/>
      <x:c r="H8" s="23"/>
    </x:row>
    <x:row r="9">
      <x:c r="A9" s="73"/>
      <x:c r="B9" s="73"/>
      <x:c r="C9" s="73"/>
      <x:c r="D9" s="73"/>
      <x:c r="E9" s="73"/>
      <x:c r="F9" s="73"/>
      <x:c r="G9" s="73"/>
      <x:c r="H9" s="73"/>
    </x:row>
    <x:row r="10" ht="22" customHeight="1">
      <x:c r="A10" s="74" t="str">
        <x:v>Directional scenario bridge from Milestone 2</x:v>
      </x:c>
      <x:c r="B10" s="74"/>
      <x:c r="C10" s="74"/>
      <x:c r="D10" s="74"/>
      <x:c r="E10" s="74"/>
      <x:c r="F10" s="74"/>
      <x:c r="G10" s="74"/>
      <x:c r="H10" s="74"/>
    </x:row>
    <x:row r="11" ht="34" customHeight="1">
      <x:c r="A11" s="20" t="str">
        <x:v>Case</x:v>
      </x:c>
      <x:c r="B11" s="20" t="str">
        <x:v>Driver assumption</x:v>
      </x:c>
      <x:c r="C11" s="20" t="str">
        <x:v>Observable indicator / trigger</x:v>
      </x:c>
      <x:c r="D11" s="20" t="str">
        <x:v>Forecast revenue or margin effect</x:v>
      </x:c>
      <x:c r="E11" s="20" t="str">
        <x:v>Valuation channel</x:v>
      </x:c>
      <x:c r="F11" s="20" t="str">
        <x:v>CFO action / decision implication</x:v>
      </x:c>
      <x:c r="G11" s="20" t="str">
        <x:v>Evidence ID(s)</x:v>
      </x:c>
      <x:c r="H11" s="20" t="str">
        <x:v>Complete?</x:v>
      </x:c>
    </x:row>
    <x:row r="12" ht="55" customHeight="1">
      <x:c r="A12" s="78" t="str">
        <x:v>Base</x:v>
      </x:c>
      <x:c r="B12" s="23" t="str"/>
      <x:c r="C12" s="23" t="str"/>
      <x:c r="D12" s="23" t="str"/>
      <x:c r="E12" s="23" t="str"/>
      <x:c r="F12" s="23" t="str"/>
      <x:c r="G12" s="23" t="str"/>
      <x:c r="H12" s="21" t="str">
        <x:f>IF(COUNTIF(B12:G12,"?*")=6,"COMPLETE","INCOMPLETE")</x:f>
        <x:v>INCOMPLETE</x:v>
      </x:c>
    </x:row>
    <x:row r="13" ht="55" customHeight="1">
      <x:c r="A13" s="78" t="str">
        <x:v>Upside</x:v>
      </x:c>
      <x:c r="B13" s="23" t="str"/>
      <x:c r="C13" s="23" t="str"/>
      <x:c r="D13" s="23" t="str"/>
      <x:c r="E13" s="23" t="str"/>
      <x:c r="F13" s="23" t="str"/>
      <x:c r="G13" s="23" t="str"/>
      <x:c r="H13" s="21" t="str">
        <x:f>IF(COUNTIF(B13:G13,"?*")=6,"COMPLETE","INCOMPLETE")</x:f>
        <x:v>INCOMPLETE</x:v>
      </x:c>
    </x:row>
    <x:row r="14" ht="55" customHeight="1">
      <x:c r="A14" s="78" t="str">
        <x:v>Downside</x:v>
      </x:c>
      <x:c r="B14" s="23" t="str"/>
      <x:c r="C14" s="23" t="str"/>
      <x:c r="D14" s="23" t="str"/>
      <x:c r="E14" s="23" t="str"/>
      <x:c r="F14" s="23" t="str"/>
      <x:c r="G14" s="23" t="str"/>
      <x:c r="H14" s="21" t="str">
        <x:f>IF(COUNTIF(B14:G14,"?*")=6,"COMPLETE","INCOMPLETE")</x:f>
        <x:v>INCOMPLETE</x:v>
      </x:c>
    </x:row>
    <x:row r="15">
      <x:c r="A15" s="73"/>
      <x:c r="B15" s="73"/>
      <x:c r="C15" s="73"/>
      <x:c r="D15" s="73"/>
      <x:c r="E15" s="73"/>
      <x:c r="F15" s="73"/>
      <x:c r="G15" s="73"/>
      <x:c r="H15" s="73"/>
    </x:row>
    <x:row r="16" ht="22" customHeight="1">
      <x:c r="A16" s="74" t="str">
        <x:v>Revenue history transfer | copy from Milestone 2 Revenue History D5:H6</x:v>
      </x:c>
      <x:c r="B16" s="74"/>
      <x:c r="C16" s="74"/>
      <x:c r="D16" s="74"/>
      <x:c r="E16" s="74"/>
      <x:c r="F16" s="74"/>
      <x:c r="G16" s="74"/>
      <x:c r="H16" s="74"/>
    </x:row>
    <x:row r="17" ht="34" customHeight="1">
      <x:c r="A17" s="20" t="str">
        <x:v>Revenue line</x:v>
      </x:c>
      <x:c r="B17" s="20" t="str">
        <x:v>Definition / units</x:v>
      </x:c>
      <x:c r="C17" s="20" t="str">
        <x:v>Evidence ID(s)</x:v>
      </x:c>
      <x:c r="D17" s="20"/>
      <x:c r="E17" s="20"/>
      <x:c r="F17" s="20"/>
      <x:c r="G17" s="20"/>
      <x:c r="H17" s="20"/>
    </x:row>
    <x:row r="18">
      <x:c r="A18" s="37" t="str">
        <x:v>Fiscal year</x:v>
      </x:c>
      <x:c r="B18" s="21" t="str">
        <x:v>Oldest to newest; latest in H</x:v>
      </x:c>
      <x:c r="C18" s="23" t="str"/>
      <x:c r="D18" s="23"/>
      <x:c r="E18" s="23"/>
      <x:c r="F18" s="23"/>
      <x:c r="G18" s="23"/>
      <x:c r="H18" s="23"/>
    </x:row>
    <x:row r="19">
      <x:c r="A19" s="37" t="str">
        <x:v>Reported total revenue</x:v>
      </x:c>
      <x:c r="B19" s="21" t="str">
        <x:v>Same units across years</x:v>
      </x:c>
      <x:c r="C19" s="23" t="str"/>
      <x:c r="D19" s="38"/>
      <x:c r="E19" s="38"/>
      <x:c r="F19" s="38"/>
      <x:c r="G19" s="38"/>
      <x:c r="H19" s="38"/>
    </x:row>
    <x:row r="20">
      <x:c r="A20" s="37" t="str">
        <x:v>Year-over-year growth</x:v>
      </x:c>
      <x:c r="B20" s="21" t="str">
        <x:v>Calculated</x:v>
      </x:c>
      <x:c r="C20" s="21"/>
      <x:c r="D20" s="21"/>
      <x:c r="E20" s="39" t="str">
        <x:f>IFERROR(E19/D19-1,"")</x:f>
      </x:c>
      <x:c r="F20" s="39" t="str">
        <x:f>IFERROR(F19/E19-1,"")</x:f>
      </x:c>
      <x:c r="G20" s="39" t="str">
        <x:f>IFERROR(G19/F19-1,"")</x:f>
      </x:c>
      <x:c r="H20" s="39" t="str">
        <x:f>IFERROR(H19/G19-1,"")</x:f>
      </x:c>
    </x:row>
    <x:row r="21">
      <x:c r="A21" s="73"/>
      <x:c r="B21" s="73"/>
      <x:c r="C21" s="73"/>
      <x:c r="D21" s="73"/>
      <x:c r="E21" s="73"/>
      <x:c r="F21" s="73"/>
      <x:c r="G21" s="73"/>
      <x:c r="H21" s="73"/>
    </x:row>
    <x:row r="22">
      <x:c r="A22" s="79" t="str">
        <x:v>Control: the latest reported fiscal year and total revenue must be in H18:H19. Do not paste forecasts from Milestone 2; build them from the scenario assumptions in this workbook.</x:v>
      </x:c>
      <x:c r="B22" s="79"/>
      <x:c r="C22" s="79"/>
      <x:c r="D22" s="79"/>
      <x:c r="E22" s="79"/>
      <x:c r="F22" s="79"/>
      <x:c r="G22" s="79"/>
      <x:c r="H22" s="79"/>
    </x:row>
  </x:sheetData>
  <x:mergeCells>
    <x:mergeCell ref="A1:H1"/>
    <x:mergeCell ref="A2:H2"/>
    <x:mergeCell ref="A3:H3"/>
    <x:mergeCell ref="A5:H5"/>
    <x:mergeCell ref="B6:H6"/>
    <x:mergeCell ref="B7:H7"/>
    <x:mergeCell ref="B8:H8"/>
    <x:mergeCell ref="A10:H10"/>
    <x:mergeCell ref="A16:H16"/>
    <x:mergeCell ref="A22:H22"/>
  </x:mergeCells>
  <x:dataValidations count="2">
    <x:dataValidation type="list" sqref="G12:G14">
      <x:formula1>"S01,S02,S03,S04,S05,S06,S07,S08,S09,S10,S11,S12,S13,S14,S15,S16,S17,S18,S19,S20,S21,S22,S23,S24,S25,S26,S27,S28,S29,S30,S31,S32,S33,S34,S35,S36,S37,S38,S39,S40"</x:formula1>
    </x:dataValidation>
    <x:dataValidation type="list" sqref="C18:C19">
      <x:formula1>"S01,S02,S03,S04,S05,S06,S07,S08,S09,S10,S11,S12,S13,S14,S15,S16,S17,S18,S19,S20,S21,S22,S23,S24,S25,S26,S27,S28,S29,S30,S31,S32,S33,S34,S35,S36,S37,S38,S39,S40"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5" hidden="0" customWidth="1"/>
    <x:col min="3" max="3" width="27" hidden="0" customWidth="1"/>
    <x:col min="4" max="4" width="1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28" customHeight="1">
      <x:c r="A1" s="70" t="str">
        <x:v>BUS311 Capstone Milestone 3 | Inputs &amp; Sources</x:v>
      </x:c>
      <x:c r="B1" s="70"/>
      <x:c r="C1" s="70"/>
      <x:c r="D1" s="70"/>
      <x:c r="E1" s="70"/>
      <x:c r="F1" s="70"/>
      <x:c r="G1" s="70"/>
      <x:c r="H1" s="70"/>
      <x:c r="I1" s="70"/>
      <x:c r="J1" s="70"/>
    </x:row>
    <x:row r="2" ht="30" customHeight="1">
      <x:c r="A2" s="71" t="str">
        <x:v>Enter each assumption once, identify its source, and explain how it connects to the revenue engine or valuation method.</x:v>
      </x:c>
      <x:c r="B2" s="71"/>
      <x:c r="C2" s="71"/>
      <x:c r="D2" s="71"/>
      <x:c r="E2" s="71"/>
      <x:c r="F2" s="71"/>
      <x:c r="G2" s="71"/>
      <x:c r="H2" s="71"/>
      <x:c r="I2" s="71"/>
      <x:c r="J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  <x:c r="I3" s="72"/>
      <x:c r="J3" s="72"/>
    </x:row>
    <x:row r="4">
      <x:c r="A4" s="73"/>
      <x:c r="B4" s="73"/>
      <x:c r="C4" s="73"/>
      <x:c r="D4" s="73"/>
      <x:c r="E4" s="73"/>
      <x:c r="F4" s="73"/>
      <x:c r="G4" s="73"/>
      <x:c r="H4" s="73"/>
      <x:c r="I4" s="73"/>
      <x:c r="J4" s="73"/>
    </x:row>
    <x:row r="5" ht="22" customHeight="1">
      <x:c r="A5" s="74" t="str">
        <x:v>Global valuation inputs</x:v>
      </x:c>
      <x:c r="B5" s="74"/>
      <x:c r="C5" s="74"/>
      <x:c r="D5" s="74"/>
      <x:c r="E5" s="74"/>
      <x:c r="F5" s="74"/>
      <x:c r="G5" s="74"/>
      <x:c r="H5" s="74"/>
      <x:c r="I5" s="74"/>
      <x:c r="J5" s="74"/>
    </x:row>
    <x:row r="6" ht="34" customHeight="1">
      <x:c r="A6" s="20" t="str">
        <x:v>Input</x:v>
      </x:c>
      <x:c r="B6" s="20" t="str">
        <x:v>Value</x:v>
      </x:c>
      <x:c r="C6" s="20" t="str">
        <x:v>Units</x:v>
      </x:c>
      <x:c r="D6" s="20" t="str">
        <x:v>Source ID</x:v>
      </x:c>
      <x:c r="E6" s="20" t="str">
        <x:v>Rationale / definition / adjustment</x:v>
      </x:c>
      <x:c r="F6" s="20"/>
      <x:c r="G6" s="20"/>
      <x:c r="H6" s="20"/>
      <x:c r="I6" s="20"/>
      <x:c r="J6" s="20"/>
    </x:row>
    <x:row r="7">
      <x:c r="A7" s="37" t="str">
        <x:v>Valuation date</x:v>
      </x:c>
      <x:c r="B7" s="44"/>
      <x:c r="C7" s="21" t="str">
        <x:v>date</x:v>
      </x:c>
      <x:c r="D7" s="23" t="str"/>
      <x:c r="E7" s="21" t="str">
        <x:v>As-of date for market inputs</x:v>
      </x:c>
      <x:c r="F7" s="21"/>
      <x:c r="G7" s="21"/>
      <x:c r="H7" s="21"/>
      <x:c r="I7" s="21"/>
      <x:c r="J7" s="21"/>
    </x:row>
    <x:row r="8">
      <x:c r="A8" s="37" t="str">
        <x:v>Currency / model units</x:v>
      </x:c>
      <x:c r="B8" s="23" t="str"/>
      <x:c r="C8" s="21" t="str">
        <x:v>text</x:v>
      </x:c>
      <x:c r="D8" s="23" t="str"/>
      <x:c r="E8" s="21" t="str">
        <x:v>Use one scale throughout</x:v>
      </x:c>
      <x:c r="F8" s="21"/>
      <x:c r="G8" s="21"/>
      <x:c r="H8" s="21"/>
      <x:c r="I8" s="21"/>
      <x:c r="J8" s="21"/>
    </x:row>
    <x:row r="9">
      <x:c r="A9" s="37" t="str">
        <x:v>Latest actual fiscal year</x:v>
      </x:c>
      <x:c r="B9" s="43" t="str">
        <x:f>IF('Revenue Handoff'!H18="","",'Revenue Handoff'!H18)</x:f>
      </x:c>
      <x:c r="C9" s="21" t="str">
        <x:v>FY</x:v>
      </x:c>
      <x:c r="D9" s="43" t="str">
        <x:f>IF('Revenue Handoff'!C18="","",'Revenue Handoff'!C18)</x:f>
      </x:c>
      <x:c r="E9" s="21" t="str">
        <x:v>Linked from Revenue Handoff H18</x:v>
      </x:c>
      <x:c r="F9" s="21"/>
      <x:c r="G9" s="21"/>
      <x:c r="H9" s="21"/>
      <x:c r="I9" s="21"/>
      <x:c r="J9" s="21"/>
    </x:row>
    <x:row r="10">
      <x:c r="A10" s="37" t="str">
        <x:v>Latest actual revenue</x:v>
      </x:c>
      <x:c r="B10" s="45" t="str">
        <x:f>IF('Revenue Handoff'!H19="","",'Revenue Handoff'!H19)</x:f>
      </x:c>
      <x:c r="C10" s="21" t="str">
        <x:v>model units</x:v>
      </x:c>
      <x:c r="D10" s="43" t="str">
        <x:f>IF('Revenue Handoff'!C19="","",'Revenue Handoff'!C19)</x:f>
      </x:c>
      <x:c r="E10" s="21" t="str">
        <x:v>Linked from Revenue Handoff H19</x:v>
      </x:c>
      <x:c r="F10" s="21"/>
      <x:c r="G10" s="21"/>
      <x:c r="H10" s="21"/>
      <x:c r="I10" s="21"/>
      <x:c r="J10" s="21"/>
    </x:row>
    <x:row r="11">
      <x:c r="A11" s="37" t="str">
        <x:v>Latest actual operating NWC</x:v>
      </x:c>
      <x:c r="B11" s="38"/>
      <x:c r="C11" s="21" t="str">
        <x:v>model units</x:v>
      </x:c>
      <x:c r="D11" s="23" t="str"/>
      <x:c r="E11" s="21" t="str">
        <x:v>Operating current assets less operating current liabilities; exclude cash and debt</x:v>
      </x:c>
      <x:c r="F11" s="21"/>
      <x:c r="G11" s="21"/>
      <x:c r="H11" s="21"/>
      <x:c r="I11" s="21"/>
      <x:c r="J11" s="21"/>
    </x:row>
    <x:row r="12">
      <x:c r="A12" s="37" t="str">
        <x:v>Normalized cash tax rate</x:v>
      </x:c>
      <x:c r="B12" s="46"/>
      <x:c r="C12" s="21" t="str">
        <x:v>%</x:v>
      </x:c>
      <x:c r="D12" s="23" t="str"/>
      <x:c r="E12" s="21" t="str">
        <x:v>Use a defensible marginal/normalized cash tax rate; NOL benefits require separate support</x:v>
      </x:c>
      <x:c r="F12" s="21"/>
      <x:c r="G12" s="21"/>
      <x:c r="H12" s="21"/>
      <x:c r="I12" s="21"/>
      <x:c r="J12" s="21"/>
    </x:row>
    <x:row r="13">
      <x:c r="A13" s="37" t="str">
        <x:v>Risk-free rate</x:v>
      </x:c>
      <x:c r="B13" s="46"/>
      <x:c r="C13" s="21" t="str">
        <x:v>%</x:v>
      </x:c>
      <x:c r="D13" s="23" t="str"/>
      <x:c r="E13" s="21" t="str">
        <x:v>Maturity should be consistent with long-duration valuation</x:v>
      </x:c>
      <x:c r="F13" s="21"/>
      <x:c r="G13" s="21"/>
      <x:c r="H13" s="21"/>
      <x:c r="I13" s="21"/>
      <x:c r="J13" s="21"/>
    </x:row>
    <x:row r="14">
      <x:c r="A14" s="37" t="str">
        <x:v>Levered beta</x:v>
      </x:c>
      <x:c r="B14" s="47"/>
      <x:c r="C14" s="21" t="str">
        <x:v>x</x:v>
      </x:c>
      <x:c r="D14" s="23" t="str"/>
      <x:c r="E14" s="21" t="str">
        <x:v>Company or defensible peer-based beta</x:v>
      </x:c>
      <x:c r="F14" s="21"/>
      <x:c r="G14" s="21"/>
      <x:c r="H14" s="21"/>
      <x:c r="I14" s="21"/>
      <x:c r="J14" s="21"/>
    </x:row>
    <x:row r="15">
      <x:c r="A15" s="37" t="str">
        <x:v>Equity risk premium</x:v>
      </x:c>
      <x:c r="B15" s="46"/>
      <x:c r="C15" s="21" t="str">
        <x:v>%</x:v>
      </x:c>
      <x:c r="D15" s="23" t="str"/>
      <x:c r="E15" s="21" t="str">
        <x:v>Market risk premium used in CAPM</x:v>
      </x:c>
      <x:c r="F15" s="21"/>
      <x:c r="G15" s="21"/>
      <x:c r="H15" s="21"/>
      <x:c r="I15" s="21"/>
      <x:c r="J15" s="21"/>
    </x:row>
    <x:row r="16">
      <x:c r="A16" s="37" t="str">
        <x:v>Pre-tax cost of debt</x:v>
      </x:c>
      <x:c r="B16" s="46"/>
      <x:c r="C16" s="21" t="str">
        <x:v>%</x:v>
      </x:c>
      <x:c r="D16" s="23" t="str"/>
      <x:c r="E16" s="21" t="str">
        <x:v>Current marginal borrowing cost, not historical coupon</x:v>
      </x:c>
      <x:c r="F16" s="21"/>
      <x:c r="G16" s="21"/>
      <x:c r="H16" s="21"/>
      <x:c r="I16" s="21"/>
      <x:c r="J16" s="21"/>
    </x:row>
    <x:row r="17">
      <x:c r="A17" s="37" t="str">
        <x:v>Market value of equity</x:v>
      </x:c>
      <x:c r="B17" s="38"/>
      <x:c r="C17" s="21" t="str">
        <x:v>model units</x:v>
      </x:c>
      <x:c r="D17" s="23" t="str"/>
      <x:c r="E17" s="21" t="str">
        <x:v>Share price times diluted shares, as of valuation date</x:v>
      </x:c>
      <x:c r="F17" s="21"/>
      <x:c r="G17" s="21"/>
      <x:c r="H17" s="21"/>
      <x:c r="I17" s="21"/>
      <x:c r="J17" s="21"/>
    </x:row>
    <x:row r="18">
      <x:c r="A18" s="37" t="str">
        <x:v>Gross interest-bearing debt</x:v>
      </x:c>
      <x:c r="B18" s="38"/>
      <x:c r="C18" s="21" t="str">
        <x:v>model units</x:v>
      </x:c>
      <x:c r="D18" s="23" t="str"/>
      <x:c r="E18" s="21" t="str">
        <x:v>Current and long-term interest-bearing debt</x:v>
      </x:c>
      <x:c r="F18" s="21"/>
      <x:c r="G18" s="21"/>
      <x:c r="H18" s="21"/>
      <x:c r="I18" s="21"/>
      <x:c r="J18" s="21"/>
    </x:row>
    <x:row r="19">
      <x:c r="A19" s="37" t="str">
        <x:v>Cash and cash equivalents</x:v>
      </x:c>
      <x:c r="B19" s="38"/>
      <x:c r="C19" s="21" t="str">
        <x:v>model units</x:v>
      </x:c>
      <x:c r="D19" s="23" t="str"/>
      <x:c r="E19" s="21" t="str">
        <x:v>Use a consistent excess-cash convention and disclose it</x:v>
      </x:c>
      <x:c r="F19" s="21"/>
      <x:c r="G19" s="21"/>
      <x:c r="H19" s="21"/>
      <x:c r="I19" s="21"/>
      <x:c r="J19" s="21"/>
    </x:row>
    <x:row r="20">
      <x:c r="A20" s="37" t="str">
        <x:v>Diluted shares outstanding</x:v>
      </x:c>
      <x:c r="B20" s="38"/>
      <x:c r="C20" s="21" t="str">
        <x:v>millions</x:v>
      </x:c>
      <x:c r="D20" s="23" t="str"/>
      <x:c r="E20" s="21" t="str">
        <x:v>Use diluted, not basic, shares when appropriate</x:v>
      </x:c>
      <x:c r="F20" s="21"/>
      <x:c r="G20" s="21"/>
      <x:c r="H20" s="21"/>
      <x:c r="I20" s="21"/>
      <x:c r="J20" s="21"/>
    </x:row>
    <x:row r="21">
      <x:c r="A21" s="37" t="str">
        <x:v>Current share price</x:v>
      </x:c>
      <x:c r="B21" s="48"/>
      <x:c r="C21" s="21" t="str">
        <x:v>per share</x:v>
      </x:c>
      <x:c r="D21" s="23" t="str"/>
      <x:c r="E21" s="21" t="str">
        <x:v>As of valuation date; context only, not a required investment call</x:v>
      </x:c>
      <x:c r="F21" s="21"/>
      <x:c r="G21" s="21"/>
      <x:c r="H21" s="21"/>
      <x:c r="I21" s="21"/>
      <x:c r="J21" s="21"/>
    </x:row>
    <x:row r="22">
      <x:c r="A22" s="73"/>
      <x:c r="B22" s="73"/>
      <x:c r="C22" s="73"/>
      <x:c r="D22" s="73"/>
      <x:c r="E22" s="73"/>
      <x:c r="F22" s="73"/>
      <x:c r="G22" s="73"/>
      <x:c r="H22" s="73"/>
      <x:c r="I22" s="73"/>
      <x:c r="J22" s="73"/>
    </x:row>
    <x:row r="23" ht="22" customHeight="1">
      <x:c r="A23" s="74" t="str">
        <x:v>Calculated discount rate and capital bridge</x:v>
      </x:c>
      <x:c r="B23" s="74"/>
      <x:c r="C23" s="74"/>
      <x:c r="D23" s="74"/>
      <x:c r="E23" s="74"/>
      <x:c r="F23" s="74"/>
      <x:c r="G23" s="74"/>
      <x:c r="H23" s="74"/>
      <x:c r="I23" s="74"/>
      <x:c r="J23" s="74"/>
    </x:row>
    <x:row r="24" ht="34" customHeight="1">
      <x:c r="A24" s="20" t="str">
        <x:v>Calculation</x:v>
      </x:c>
      <x:c r="B24" s="20" t="str">
        <x:v>Value</x:v>
      </x:c>
      <x:c r="C24" s="20" t="str">
        <x:v>Check / definition</x:v>
      </x:c>
      <x:c r="D24" s="73"/>
      <x:c r="E24" s="73"/>
      <x:c r="F24" s="73"/>
      <x:c r="G24" s="73"/>
      <x:c r="H24" s="73"/>
      <x:c r="I24" s="73"/>
      <x:c r="J24" s="73"/>
    </x:row>
    <x:row r="25">
      <x:c r="A25" s="20" t="str">
        <x:v>Cost of equity</x:v>
      </x:c>
      <x:c r="B25" s="39" t="str">
        <x:f>IF(COUNT(B13:B15)&lt;3,"",B13+B14*B15)</x:f>
      </x:c>
      <x:c r="C25" s="21" t="str">
        <x:v>Risk-free + beta × equity risk premium</x:v>
      </x:c>
      <x:c r="D25" s="73"/>
      <x:c r="E25" s="73"/>
      <x:c r="F25" s="73"/>
      <x:c r="G25" s="73"/>
      <x:c r="H25" s="73"/>
      <x:c r="I25" s="73"/>
      <x:c r="J25" s="73"/>
    </x:row>
    <x:row r="26">
      <x:c r="A26" s="20" t="str">
        <x:v>After-tax cost of debt</x:v>
      </x:c>
      <x:c r="B26" s="39" t="str">
        <x:f>IF(OR(B16="",B12=""),"",B16*(1-B12))</x:f>
      </x:c>
      <x:c r="C26" s="21" t="str">
        <x:v>Pre-tax cost × (1 − tax rate)</x:v>
      </x:c>
      <x:c r="D26" s="73"/>
      <x:c r="E26" s="73"/>
      <x:c r="F26" s="73"/>
      <x:c r="G26" s="73"/>
      <x:c r="H26" s="73"/>
      <x:c r="I26" s="73"/>
      <x:c r="J26" s="73"/>
    </x:row>
    <x:row r="27">
      <x:c r="A27" s="20" t="str">
        <x:v>Total market capital</x:v>
      </x:c>
      <x:c r="B27" s="50" t="str">
        <x:f>IF(COUNT(B17:B18)&lt;2,"",B17+B18)</x:f>
      </x:c>
      <x:c r="C27" s="21" t="str">
        <x:v>Market equity + gross debt</x:v>
      </x:c>
      <x:c r="D27" s="73"/>
      <x:c r="E27" s="73"/>
      <x:c r="F27" s="73"/>
      <x:c r="G27" s="73"/>
      <x:c r="H27" s="73"/>
      <x:c r="I27" s="73"/>
      <x:c r="J27" s="73"/>
    </x:row>
    <x:row r="28">
      <x:c r="A28" s="20" t="str">
        <x:v>Equity weight</x:v>
      </x:c>
      <x:c r="B28" s="39" t="str">
        <x:f>IFERROR(B17/B27,"")</x:f>
      </x:c>
      <x:c r="C28" s="21" t="str">
        <x:v>Market equity / total capital</x:v>
      </x:c>
      <x:c r="D28" s="73"/>
      <x:c r="E28" s="73"/>
      <x:c r="F28" s="73"/>
      <x:c r="G28" s="73"/>
      <x:c r="H28" s="73"/>
      <x:c r="I28" s="73"/>
      <x:c r="J28" s="73"/>
    </x:row>
    <x:row r="29">
      <x:c r="A29" s="20" t="str">
        <x:v>Debt weight</x:v>
      </x:c>
      <x:c r="B29" s="39" t="str">
        <x:f>IFERROR(B18/B27,"")</x:f>
      </x:c>
      <x:c r="C29" s="21" t="str">
        <x:v>Gross debt / total capital</x:v>
      </x:c>
      <x:c r="D29" s="73"/>
      <x:c r="E29" s="73"/>
      <x:c r="F29" s="73"/>
      <x:c r="G29" s="73"/>
      <x:c r="H29" s="73"/>
      <x:c r="I29" s="73"/>
      <x:c r="J29" s="73"/>
    </x:row>
    <x:row r="30">
      <x:c r="A30" s="20" t="str">
        <x:v>WACC</x:v>
      </x:c>
      <x:c r="B30" s="39" t="str">
        <x:f>IF(COUNT(B28:B29)&lt;2,"",B28*B25+B29*B16*(1-B12))</x:f>
      </x:c>
      <x:c r="C30" s="21" t="str">
        <x:v>E/V × cost of equity + D/V × after-tax cost of debt</x:v>
      </x:c>
      <x:c r="D30" s="73"/>
      <x:c r="E30" s="73"/>
      <x:c r="F30" s="73"/>
      <x:c r="G30" s="73"/>
      <x:c r="H30" s="73"/>
      <x:c r="I30" s="73"/>
      <x:c r="J30" s="73"/>
    </x:row>
    <x:row r="31">
      <x:c r="A31" s="20" t="str">
        <x:v>Net debt</x:v>
      </x:c>
      <x:c r="B31" s="50" t="str">
        <x:f>IF(COUNT(B18:B19)&lt;2,"",B18-B19)</x:f>
      </x:c>
      <x:c r="C31" s="21" t="str">
        <x:v>Gross debt − cash</x:v>
      </x:c>
      <x:c r="D31" s="73"/>
      <x:c r="E31" s="73"/>
      <x:c r="F31" s="73"/>
      <x:c r="G31" s="73"/>
      <x:c r="H31" s="73"/>
      <x:c r="I31" s="73"/>
      <x:c r="J31" s="73"/>
    </x:row>
    <x:row r="32">
      <x:c r="A32" s="20" t="str">
        <x:v>Capital-weight check</x:v>
      </x:c>
      <x:c r="B32" s="39" t="str">
        <x:f>IF(COUNT(B28:B29)&lt;2,"",B28+B29)</x:f>
      </x:c>
      <x:c r="C32" s="21" t="str">
        <x:v>Equity weight + debt weight = 100%</x:v>
      </x:c>
      <x:c r="D32" s="73"/>
      <x:c r="E32" s="73"/>
      <x:c r="F32" s="73"/>
      <x:c r="G32" s="73"/>
      <x:c r="H32" s="73"/>
      <x:c r="I32" s="73"/>
      <x:c r="J32" s="73"/>
    </x:row>
    <x:row r="33">
      <x:c r="A33" s="73"/>
      <x:c r="B33" s="73"/>
      <x:c r="C33" s="73"/>
      <x:c r="D33" s="73"/>
      <x:c r="E33" s="73"/>
      <x:c r="F33" s="73"/>
      <x:c r="G33" s="73"/>
      <x:c r="H33" s="73"/>
      <x:c r="I33" s="73"/>
      <x:c r="J33" s="73"/>
    </x:row>
    <x:row r="34" ht="22" customHeight="1">
      <x:c r="A34" s="74" t="str">
        <x:v>Scenario assumptions | link each row to a Milestone 2 driver, evidence item, or clearly labeled student assumption</x:v>
      </x:c>
      <x:c r="B34" s="74"/>
      <x:c r="C34" s="74"/>
      <x:c r="D34" s="74"/>
      <x:c r="E34" s="74"/>
      <x:c r="F34" s="74"/>
      <x:c r="G34" s="74"/>
      <x:c r="H34" s="74"/>
      <x:c r="I34" s="74"/>
      <x:c r="J34" s="74"/>
    </x:row>
    <x:row r="35" ht="34" customHeight="1">
      <x:c r="A35" s="20" t="str">
        <x:v>Case / assumption</x:v>
      </x:c>
      <x:c r="B35" s="20" t="str">
        <x:v>Source ID</x:v>
      </x:c>
      <x:c r="C35" s="20" t="str">
        <x:v>Driver link / rationale</x:v>
      </x:c>
      <x:c r="D35" s="20"/>
      <x:c r="E35" s="20" t="str">
        <x:v>Year 1E</x:v>
      </x:c>
      <x:c r="F35" s="20" t="str">
        <x:v>Year 2E</x:v>
      </x:c>
      <x:c r="G35" s="20" t="str">
        <x:v>Year 3E</x:v>
      </x:c>
      <x:c r="H35" s="20" t="str">
        <x:v>Year 4E</x:v>
      </x:c>
      <x:c r="I35" s="20" t="str">
        <x:v>Year 5E</x:v>
      </x:c>
      <x:c r="J35" s="20" t="str">
        <x:v>Terminal</x:v>
      </x:c>
    </x:row>
    <x:row r="36" ht="38" customHeight="1">
      <x:c r="A36" s="37" t="str">
        <x:v>Base | Revenue growth</x:v>
      </x:c>
      <x:c r="B36" s="23" t="str"/>
      <x:c r="C36" s="21" t="str">
        <x:v>Base revenue-engine driver path</x:v>
      </x:c>
      <x:c r="D36" s="21"/>
      <x:c r="E36" s="46"/>
      <x:c r="F36" s="46"/>
      <x:c r="G36" s="46"/>
      <x:c r="H36" s="46"/>
      <x:c r="I36" s="46"/>
      <x:c r="J36" s="39"/>
    </x:row>
    <x:row r="37" ht="38" customHeight="1">
      <x:c r="A37" s="37" t="str">
        <x:v>Base | EBIT margin</x:v>
      </x:c>
      <x:c r="B37" s="23" t="str"/>
      <x:c r="C37" s="21" t="str">
        <x:v>Explain the operating or capital-intensity rationale</x:v>
      </x:c>
      <x:c r="D37" s="21"/>
      <x:c r="E37" s="46"/>
      <x:c r="F37" s="46"/>
      <x:c r="G37" s="46"/>
      <x:c r="H37" s="46"/>
      <x:c r="I37" s="46"/>
      <x:c r="J37" s="39"/>
    </x:row>
    <x:row r="38" ht="38" customHeight="1">
      <x:c r="A38" s="37" t="str">
        <x:v>Base | D&amp;A as % of revenue</x:v>
      </x:c>
      <x:c r="B38" s="23" t="str"/>
      <x:c r="C38" s="21" t="str">
        <x:v>Explain the operating or capital-intensity rationale</x:v>
      </x:c>
      <x:c r="D38" s="21"/>
      <x:c r="E38" s="46"/>
      <x:c r="F38" s="46"/>
      <x:c r="G38" s="46"/>
      <x:c r="H38" s="46"/>
      <x:c r="I38" s="46"/>
      <x:c r="J38" s="39"/>
    </x:row>
    <x:row r="39" ht="38" customHeight="1">
      <x:c r="A39" s="37" t="str">
        <x:v>Base | CapEx as % of revenue</x:v>
      </x:c>
      <x:c r="B39" s="23" t="str"/>
      <x:c r="C39" s="21" t="str">
        <x:v>Explain the operating or capital-intensity rationale</x:v>
      </x:c>
      <x:c r="D39" s="21"/>
      <x:c r="E39" s="46"/>
      <x:c r="F39" s="46"/>
      <x:c r="G39" s="46"/>
      <x:c r="H39" s="46"/>
      <x:c r="I39" s="46"/>
      <x:c r="J39" s="39"/>
    </x:row>
    <x:row r="40" ht="38" customHeight="1">
      <x:c r="A40" s="37" t="str">
        <x:v>Base | Operating NWC as % of revenue</x:v>
      </x:c>
      <x:c r="B40" s="23" t="str"/>
      <x:c r="C40" s="21" t="str">
        <x:v>Explain the operating or capital-intensity rationale</x:v>
      </x:c>
      <x:c r="D40" s="21"/>
      <x:c r="E40" s="46"/>
      <x:c r="F40" s="46"/>
      <x:c r="G40" s="46"/>
      <x:c r="H40" s="46"/>
      <x:c r="I40" s="46"/>
      <x:c r="J40" s="39"/>
    </x:row>
    <x:row r="41" ht="38" customHeight="1">
      <x:c r="A41" s="37" t="str">
        <x:v>Base | Terminal growth rate</x:v>
      </x:c>
      <x:c r="B41" s="23" t="str"/>
      <x:c r="C41" s="21" t="str">
        <x:v>Long-run growth consistent with a mature-state assumption</x:v>
      </x:c>
      <x:c r="D41" s="21"/>
      <x:c r="E41" s="39"/>
      <x:c r="F41" s="39"/>
      <x:c r="G41" s="39"/>
      <x:c r="H41" s="39"/>
      <x:c r="I41" s="39"/>
      <x:c r="J41" s="46"/>
    </x:row>
    <x:row r="42">
      <x:c r="A42" s="73"/>
      <x:c r="B42" s="73"/>
      <x:c r="C42" s="73"/>
      <x:c r="D42" s="73"/>
      <x:c r="E42" s="73"/>
      <x:c r="F42" s="73"/>
      <x:c r="G42" s="73"/>
      <x:c r="H42" s="73"/>
      <x:c r="I42" s="73"/>
      <x:c r="J42" s="73"/>
    </x:row>
    <x:row r="43">
      <x:c r="A43" s="73"/>
      <x:c r="B43" s="73"/>
      <x:c r="C43" s="73"/>
      <x:c r="D43" s="73"/>
      <x:c r="E43" s="73"/>
      <x:c r="F43" s="73"/>
      <x:c r="G43" s="73"/>
      <x:c r="H43" s="73"/>
      <x:c r="I43" s="73"/>
      <x:c r="J43" s="73"/>
    </x:row>
    <x:row r="44" ht="38" customHeight="1">
      <x:c r="A44" s="37" t="str">
        <x:v>Upside | Revenue growth</x:v>
      </x:c>
      <x:c r="B44" s="23" t="str"/>
      <x:c r="C44" s="21" t="str">
        <x:v>Upside revenue-engine driver path</x:v>
      </x:c>
      <x:c r="D44" s="21"/>
      <x:c r="E44" s="46"/>
      <x:c r="F44" s="46"/>
      <x:c r="G44" s="46"/>
      <x:c r="H44" s="46"/>
      <x:c r="I44" s="46"/>
      <x:c r="J44" s="39"/>
    </x:row>
    <x:row r="45" ht="38" customHeight="1">
      <x:c r="A45" s="37" t="str">
        <x:v>Upside | EBIT margin</x:v>
      </x:c>
      <x:c r="B45" s="23" t="str"/>
      <x:c r="C45" s="21" t="str">
        <x:v>Explain the operating or capital-intensity rationale</x:v>
      </x:c>
      <x:c r="D45" s="21"/>
      <x:c r="E45" s="46"/>
      <x:c r="F45" s="46"/>
      <x:c r="G45" s="46"/>
      <x:c r="H45" s="46"/>
      <x:c r="I45" s="46"/>
      <x:c r="J45" s="39"/>
    </x:row>
    <x:row r="46" ht="38" customHeight="1">
      <x:c r="A46" s="37" t="str">
        <x:v>Upside | D&amp;A as % of revenue</x:v>
      </x:c>
      <x:c r="B46" s="23" t="str"/>
      <x:c r="C46" s="21" t="str">
        <x:v>Explain the operating or capital-intensity rationale</x:v>
      </x:c>
      <x:c r="D46" s="21"/>
      <x:c r="E46" s="46"/>
      <x:c r="F46" s="46"/>
      <x:c r="G46" s="46"/>
      <x:c r="H46" s="46"/>
      <x:c r="I46" s="46"/>
      <x:c r="J46" s="39"/>
    </x:row>
    <x:row r="47" ht="38" customHeight="1">
      <x:c r="A47" s="37" t="str">
        <x:v>Upside | CapEx as % of revenue</x:v>
      </x:c>
      <x:c r="B47" s="23" t="str"/>
      <x:c r="C47" s="21" t="str">
        <x:v>Explain the operating or capital-intensity rationale</x:v>
      </x:c>
      <x:c r="D47" s="21"/>
      <x:c r="E47" s="46"/>
      <x:c r="F47" s="46"/>
      <x:c r="G47" s="46"/>
      <x:c r="H47" s="46"/>
      <x:c r="I47" s="46"/>
      <x:c r="J47" s="39"/>
    </x:row>
    <x:row r="48" ht="38" customHeight="1">
      <x:c r="A48" s="37" t="str">
        <x:v>Upside | Operating NWC as % of revenue</x:v>
      </x:c>
      <x:c r="B48" s="23" t="str"/>
      <x:c r="C48" s="21" t="str">
        <x:v>Explain the operating or capital-intensity rationale</x:v>
      </x:c>
      <x:c r="D48" s="21"/>
      <x:c r="E48" s="46"/>
      <x:c r="F48" s="46"/>
      <x:c r="G48" s="46"/>
      <x:c r="H48" s="46"/>
      <x:c r="I48" s="46"/>
      <x:c r="J48" s="39"/>
    </x:row>
    <x:row r="49" ht="38" customHeight="1">
      <x:c r="A49" s="37" t="str">
        <x:v>Upside | Terminal growth rate</x:v>
      </x:c>
      <x:c r="B49" s="23" t="str"/>
      <x:c r="C49" s="21" t="str">
        <x:v>Long-run growth consistent with a mature-state assumption</x:v>
      </x:c>
      <x:c r="D49" s="21"/>
      <x:c r="E49" s="39"/>
      <x:c r="F49" s="39"/>
      <x:c r="G49" s="39"/>
      <x:c r="H49" s="39"/>
      <x:c r="I49" s="39"/>
      <x:c r="J49" s="46"/>
    </x:row>
    <x:row r="50">
      <x:c r="A50" s="73"/>
      <x:c r="B50" s="73"/>
      <x:c r="C50" s="73"/>
      <x:c r="D50" s="73"/>
      <x:c r="E50" s="73"/>
      <x:c r="F50" s="73"/>
      <x:c r="G50" s="73"/>
      <x:c r="H50" s="73"/>
      <x:c r="I50" s="73"/>
      <x:c r="J50" s="73"/>
    </x:row>
    <x:row r="51">
      <x:c r="A51" s="73"/>
      <x:c r="B51" s="73"/>
      <x:c r="C51" s="73"/>
      <x:c r="D51" s="73"/>
      <x:c r="E51" s="73"/>
      <x:c r="F51" s="73"/>
      <x:c r="G51" s="73"/>
      <x:c r="H51" s="73"/>
      <x:c r="I51" s="73"/>
      <x:c r="J51" s="73"/>
    </x:row>
    <x:row r="52" ht="38" customHeight="1">
      <x:c r="A52" s="37" t="str">
        <x:v>Downside | Revenue growth</x:v>
      </x:c>
      <x:c r="B52" s="23" t="str"/>
      <x:c r="C52" s="21" t="str">
        <x:v>Downside revenue-engine driver path</x:v>
      </x:c>
      <x:c r="D52" s="21"/>
      <x:c r="E52" s="46"/>
      <x:c r="F52" s="46"/>
      <x:c r="G52" s="46"/>
      <x:c r="H52" s="46"/>
      <x:c r="I52" s="46"/>
      <x:c r="J52" s="39"/>
    </x:row>
    <x:row r="53" ht="38" customHeight="1">
      <x:c r="A53" s="37" t="str">
        <x:v>Downside | EBIT margin</x:v>
      </x:c>
      <x:c r="B53" s="23" t="str"/>
      <x:c r="C53" s="21" t="str">
        <x:v>Explain the operating or capital-intensity rationale</x:v>
      </x:c>
      <x:c r="D53" s="21"/>
      <x:c r="E53" s="46"/>
      <x:c r="F53" s="46"/>
      <x:c r="G53" s="46"/>
      <x:c r="H53" s="46"/>
      <x:c r="I53" s="46"/>
      <x:c r="J53" s="39"/>
    </x:row>
    <x:row r="54" ht="38" customHeight="1">
      <x:c r="A54" s="37" t="str">
        <x:v>Downside | D&amp;A as % of revenue</x:v>
      </x:c>
      <x:c r="B54" s="23" t="str"/>
      <x:c r="C54" s="21" t="str">
        <x:v>Explain the operating or capital-intensity rationale</x:v>
      </x:c>
      <x:c r="D54" s="21"/>
      <x:c r="E54" s="46"/>
      <x:c r="F54" s="46"/>
      <x:c r="G54" s="46"/>
      <x:c r="H54" s="46"/>
      <x:c r="I54" s="46"/>
      <x:c r="J54" s="39"/>
    </x:row>
    <x:row r="55" ht="38" customHeight="1">
      <x:c r="A55" s="37" t="str">
        <x:v>Downside | CapEx as % of revenue</x:v>
      </x:c>
      <x:c r="B55" s="23" t="str"/>
      <x:c r="C55" s="21" t="str">
        <x:v>Explain the operating or capital-intensity rationale</x:v>
      </x:c>
      <x:c r="D55" s="21"/>
      <x:c r="E55" s="46"/>
      <x:c r="F55" s="46"/>
      <x:c r="G55" s="46"/>
      <x:c r="H55" s="46"/>
      <x:c r="I55" s="46"/>
      <x:c r="J55" s="39"/>
    </x:row>
    <x:row r="56" ht="38" customHeight="1">
      <x:c r="A56" s="37" t="str">
        <x:v>Downside | Operating NWC as % of revenue</x:v>
      </x:c>
      <x:c r="B56" s="23" t="str"/>
      <x:c r="C56" s="21" t="str">
        <x:v>Explain the operating or capital-intensity rationale</x:v>
      </x:c>
      <x:c r="D56" s="21"/>
      <x:c r="E56" s="46"/>
      <x:c r="F56" s="46"/>
      <x:c r="G56" s="46"/>
      <x:c r="H56" s="46"/>
      <x:c r="I56" s="46"/>
      <x:c r="J56" s="39"/>
    </x:row>
    <x:row r="57" ht="38" customHeight="1">
      <x:c r="A57" s="37" t="str">
        <x:v>Downside | Terminal growth rate</x:v>
      </x:c>
      <x:c r="B57" s="23" t="str"/>
      <x:c r="C57" s="21" t="str">
        <x:v>Long-run growth consistent with a mature-state assumption</x:v>
      </x:c>
      <x:c r="D57" s="21"/>
      <x:c r="E57" s="39"/>
      <x:c r="F57" s="39"/>
      <x:c r="G57" s="39"/>
      <x:c r="H57" s="39"/>
      <x:c r="I57" s="39"/>
      <x:c r="J57" s="46"/>
    </x:row>
  </x:sheetData>
  <x:mergeCells>
    <x:mergeCell ref="A1:J1"/>
    <x:mergeCell ref="A2:J2"/>
    <x:mergeCell ref="A3:J3"/>
    <x:mergeCell ref="A5:J5"/>
    <x:mergeCell ref="E6:J6"/>
    <x:mergeCell ref="E7:J7"/>
    <x:mergeCell ref="E8:J8"/>
    <x:mergeCell ref="E9:J9"/>
    <x:mergeCell ref="E10:J10"/>
    <x:mergeCell ref="E11:J11"/>
    <x:mergeCell ref="E12:J12"/>
    <x:mergeCell ref="E13:J13"/>
    <x:mergeCell ref="E14:J14"/>
    <x:mergeCell ref="E15:J15"/>
    <x:mergeCell ref="E16:J16"/>
    <x:mergeCell ref="E17:J17"/>
    <x:mergeCell ref="E18:J18"/>
    <x:mergeCell ref="E19:J19"/>
    <x:mergeCell ref="E20:J20"/>
    <x:mergeCell ref="E21:J21"/>
    <x:mergeCell ref="A23:J23"/>
    <x:mergeCell ref="A34:J34"/>
    <x:mergeCell ref="C36:D36"/>
    <x:mergeCell ref="C37:D37"/>
    <x:mergeCell ref="C38:D38"/>
    <x:mergeCell ref="C39:D39"/>
    <x:mergeCell ref="C40:D40"/>
    <x:mergeCell ref="C41:D41"/>
    <x:mergeCell ref="C44:D44"/>
    <x:mergeCell ref="C45:D45"/>
    <x:mergeCell ref="C46:D46"/>
    <x:mergeCell ref="C47:D47"/>
    <x:mergeCell ref="C48:D48"/>
    <x:mergeCell ref="C49:D49"/>
    <x:mergeCell ref="C52:D52"/>
    <x:mergeCell ref="C53:D53"/>
    <x:mergeCell ref="C54:D54"/>
    <x:mergeCell ref="C55:D55"/>
    <x:mergeCell ref="C56:D56"/>
    <x:mergeCell ref="C57:D57"/>
  </x:mergeCells>
  <x:dataValidations count="4">
    <x:dataValidation type="list" sqref="D7:D21">
      <x:formula1>"S01,S02,S03,S04,S05,S06,S07,S08,S09,S10,S11,S12,S13,S14,S15,S16,S17,S18,S19,S20,S21,S22,S23,S24,S25,S26,S27,S28,S29,S30,S31,S32,S33,S34,S35,S36,S37,S38,S39,S40"</x:formula1>
    </x:dataValidation>
    <x:dataValidation type="list" sqref="B36:B41">
      <x:formula1>"S01,S02,S03,S04,S05,S06,S07,S08,S09,S10,S11,S12,S13,S14,S15,S16,S17,S18,S19,S20,S21,S22,S23,S24,S25,S26,S27,S28,S29,S30,S31,S32,S33,S34,S35,S36,S37,S38,S39,S40"</x:formula1>
    </x:dataValidation>
    <x:dataValidation type="list" sqref="B44:B49">
      <x:formula1>"S01,S02,S03,S04,S05,S06,S07,S08,S09,S10,S11,S12,S13,S14,S15,S16,S17,S18,S19,S20,S21,S22,S23,S24,S25,S26,S27,S28,S29,S30,S31,S32,S33,S34,S35,S36,S37,S38,S39,S40"</x:formula1>
    </x:dataValidation>
    <x:dataValidation type="list" sqref="B52:B57">
      <x:formula1>"S01,S02,S03,S04,S05,S06,S07,S08,S09,S10,S11,S12,S13,S14,S15,S16,S17,S18,S19,S20,S21,S22,S23,S24,S25,S26,S27,S28,S29,S30,S31,S32,S33,S34,S35,S36,S37,S38,S39,S40"</x:formula1>
    </x:dataValidation>
  </x:dataValidations>
  <x:pageMargins left="0.7" right="0.7" top="0.75" bottom="0.75" header="0.3" footer="0.3"/>
  <x:legacyDrawing xmlns:r="http://schemas.openxmlformats.org/officeDocument/2006/relationships" r:id="Ra046855ee2024965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70" t="str">
        <x:v>BUS311 Capstone Milestone 3 | Scenario Forecasts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Formula-driven unlevered cash flow for all three cases; expenses and investment rows are shown as positive uses and subtracted in FCF.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Base case | Revenue engine → unlevered free cash flow</x:v>
      </x:c>
      <x:c r="B5" s="74"/>
      <x:c r="C5" s="74"/>
      <x:c r="D5" s="74"/>
      <x:c r="E5" s="74"/>
      <x:c r="F5" s="74"/>
      <x:c r="G5" s="74"/>
      <x:c r="H5" s="74"/>
    </x:row>
    <x:row r="6">
      <x:c r="A6" s="37" t="str">
        <x:v>Fiscal year</x:v>
      </x:c>
      <x:c r="B6" s="21" t="str">
        <x:v>FY</x:v>
      </x:c>
      <x:c r="C6" s="51" t="str">
        <x:f>IF('Inputs &amp; Sources'!$B$9="","",'Inputs &amp; Sources'!$B$9)</x:f>
      </x:c>
      <x:c r="D6" s="51" t="str">
        <x:f>IF(C6="","",C6+1)</x:f>
      </x:c>
      <x:c r="E6" s="51" t="str">
        <x:f>IF(D6="","",D6+1)</x:f>
      </x:c>
      <x:c r="F6" s="51" t="str">
        <x:f>IF(E6="","",E6+1)</x:f>
      </x:c>
      <x:c r="G6" s="51" t="str">
        <x:f>IF(F6="","",F6+1)</x:f>
      </x:c>
      <x:c r="H6" s="51" t="str">
        <x:f>IF(G6="","",G6+1)</x:f>
      </x:c>
    </x:row>
    <x:row r="7">
      <x:c r="A7" s="37" t="str">
        <x:v>Revenue growth</x:v>
      </x:c>
      <x:c r="B7" s="21" t="str">
        <x:v>%</x:v>
      </x:c>
      <x:c r="C7" s="39"/>
      <x:c r="D7" s="53" t="str">
        <x:f>IF(COUNT('Inputs &amp; Sources'!E36)=0,"",'Inputs &amp; Sources'!E36)</x:f>
      </x:c>
      <x:c r="E7" s="53" t="str">
        <x:f>IF(COUNT('Inputs &amp; Sources'!F36)=0,"",'Inputs &amp; Sources'!F36)</x:f>
      </x:c>
      <x:c r="F7" s="53" t="str">
        <x:f>IF(COUNT('Inputs &amp; Sources'!G36)=0,"",'Inputs &amp; Sources'!G36)</x:f>
      </x:c>
      <x:c r="G7" s="53" t="str">
        <x:f>IF(COUNT('Inputs &amp; Sources'!H36)=0,"",'Inputs &amp; Sources'!H36)</x:f>
      </x:c>
      <x:c r="H7" s="53" t="str">
        <x:f>IF(COUNT('Inputs &amp; Sources'!I36)=0,"",'Inputs &amp; Sources'!I36)</x:f>
      </x:c>
    </x:row>
    <x:row r="8">
      <x:c r="A8" s="37" t="str">
        <x:v>Revenue</x:v>
      </x:c>
      <x:c r="B8" s="21" t="str">
        <x:v>model units</x:v>
      </x:c>
      <x:c r="C8" s="52" t="str">
        <x:f>IF('Inputs &amp; Sources'!$B$10="","",'Inputs &amp; Sources'!$B$10)</x:f>
      </x:c>
      <x:c r="D8" s="50" t="str">
        <x:f>IF(COUNT(C8,D7)&lt;2,"",C8*(1+D7))</x:f>
      </x:c>
      <x:c r="E8" s="50" t="str">
        <x:f>IF(COUNT(D8,E7)&lt;2,"",D8*(1+E7))</x:f>
      </x:c>
      <x:c r="F8" s="50" t="str">
        <x:f>IF(COUNT(E8,F7)&lt;2,"",E8*(1+F7))</x:f>
      </x:c>
      <x:c r="G8" s="50" t="str">
        <x:f>IF(COUNT(F8,G7)&lt;2,"",F8*(1+G7))</x:f>
      </x:c>
      <x:c r="H8" s="50" t="str">
        <x:f>IF(COUNT(G8,H7)&lt;2,"",G8*(1+H7))</x:f>
      </x:c>
    </x:row>
    <x:row r="9">
      <x:c r="A9" s="37" t="str">
        <x:v>EBIT margin</x:v>
      </x:c>
      <x:c r="B9" s="21" t="str">
        <x:v>%</x:v>
      </x:c>
      <x:c r="C9" s="39"/>
      <x:c r="D9" s="53" t="str">
        <x:f>IF(COUNT('Inputs &amp; Sources'!E37)=0,"",'Inputs &amp; Sources'!E37)</x:f>
      </x:c>
      <x:c r="E9" s="53" t="str">
        <x:f>IF(COUNT('Inputs &amp; Sources'!F37)=0,"",'Inputs &amp; Sources'!F37)</x:f>
      </x:c>
      <x:c r="F9" s="53" t="str">
        <x:f>IF(COUNT('Inputs &amp; Sources'!G37)=0,"",'Inputs &amp; Sources'!G37)</x:f>
      </x:c>
      <x:c r="G9" s="53" t="str">
        <x:f>IF(COUNT('Inputs &amp; Sources'!H37)=0,"",'Inputs &amp; Sources'!H37)</x:f>
      </x:c>
      <x:c r="H9" s="53" t="str">
        <x:f>IF(COUNT('Inputs &amp; Sources'!I37)=0,"",'Inputs &amp; Sources'!I37)</x:f>
      </x:c>
    </x:row>
    <x:row r="10">
      <x:c r="A10" s="37" t="str">
        <x:v>EBIT</x:v>
      </x:c>
      <x:c r="B10" s="21" t="str">
        <x:v>model units</x:v>
      </x:c>
      <x:c r="C10" s="50"/>
      <x:c r="D10" s="50" t="str">
        <x:f>IF(OR(D8="",D9=""),"",D8*D9)</x:f>
      </x:c>
      <x:c r="E10" s="50" t="str">
        <x:f>IF(OR(E8="",E9=""),"",E8*E9)</x:f>
      </x:c>
      <x:c r="F10" s="50" t="str">
        <x:f>IF(OR(F8="",F9=""),"",F8*F9)</x:f>
      </x:c>
      <x:c r="G10" s="50" t="str">
        <x:f>IF(OR(G8="",G9=""),"",G8*G9)</x:f>
      </x:c>
      <x:c r="H10" s="50" t="str">
        <x:f>IF(OR(H8="",H9=""),"",H8*H9)</x:f>
      </x:c>
    </x:row>
    <x:row r="11">
      <x:c r="A11" s="37" t="str">
        <x:v>Normalized cash tax rate</x:v>
      </x:c>
      <x:c r="B11" s="21" t="str">
        <x:v>%</x:v>
      </x:c>
      <x:c r="C11" s="39"/>
      <x:c r="D11" s="53" t="str">
        <x:f>IF('Inputs &amp; Sources'!$B$12="","",'Inputs &amp; Sources'!$B$12)</x:f>
      </x:c>
      <x:c r="E11" s="53" t="str">
        <x:f>IF('Inputs &amp; Sources'!$B$12="","",'Inputs &amp; Sources'!$B$12)</x:f>
      </x:c>
      <x:c r="F11" s="53" t="str">
        <x:f>IF('Inputs &amp; Sources'!$B$12="","",'Inputs &amp; Sources'!$B$12)</x:f>
      </x:c>
      <x:c r="G11" s="53" t="str">
        <x:f>IF('Inputs &amp; Sources'!$B$12="","",'Inputs &amp; Sources'!$B$12)</x:f>
      </x:c>
      <x:c r="H11" s="53" t="str">
        <x:f>IF('Inputs &amp; Sources'!$B$12="","",'Inputs &amp; Sources'!$B$12)</x:f>
      </x:c>
    </x:row>
    <x:row r="12">
      <x:c r="A12" s="37" t="str">
        <x:v>Cash taxes on EBIT</x:v>
      </x:c>
      <x:c r="B12" s="21" t="str">
        <x:v>model units</x:v>
      </x:c>
      <x:c r="C12" s="50"/>
      <x:c r="D12" s="50" t="str">
        <x:f>IF(OR(D10="",D11=""),"",MAX(0,D10*D11))</x:f>
      </x:c>
      <x:c r="E12" s="50" t="str">
        <x:f>IF(OR(E10="",E11=""),"",MAX(0,E10*E11))</x:f>
      </x:c>
      <x:c r="F12" s="50" t="str">
        <x:f>IF(OR(F10="",F11=""),"",MAX(0,F10*F11))</x:f>
      </x:c>
      <x:c r="G12" s="50" t="str">
        <x:f>IF(OR(G10="",G11=""),"",MAX(0,G10*G11))</x:f>
      </x:c>
      <x:c r="H12" s="50" t="str">
        <x:f>IF(OR(H10="",H11=""),"",MAX(0,H10*H11))</x:f>
      </x:c>
    </x:row>
    <x:row r="13">
      <x:c r="A13" s="37" t="str">
        <x:v>NOPAT</x:v>
      </x:c>
      <x:c r="B13" s="21" t="str">
        <x:v>model units</x:v>
      </x:c>
      <x:c r="C13" s="50"/>
      <x:c r="D13" s="50" t="str">
        <x:f>IF(D10="","",D10-D12)</x:f>
      </x:c>
      <x:c r="E13" s="50" t="str">
        <x:f>IF(E10="","",E10-E12)</x:f>
      </x:c>
      <x:c r="F13" s="50" t="str">
        <x:f>IF(F10="","",F10-F12)</x:f>
      </x:c>
      <x:c r="G13" s="50" t="str">
        <x:f>IF(G10="","",G10-G12)</x:f>
      </x:c>
      <x:c r="H13" s="50" t="str">
        <x:f>IF(H10="","",H10-H12)</x:f>
      </x:c>
    </x:row>
    <x:row r="14">
      <x:c r="A14" s="37" t="str">
        <x:v>D&amp;A as % of revenue</x:v>
      </x:c>
      <x:c r="B14" s="21" t="str">
        <x:v>%</x:v>
      </x:c>
      <x:c r="C14" s="39"/>
      <x:c r="D14" s="53" t="str">
        <x:f>IF(COUNT('Inputs &amp; Sources'!E38)=0,"",'Inputs &amp; Sources'!E38)</x:f>
      </x:c>
      <x:c r="E14" s="53" t="str">
        <x:f>IF(COUNT('Inputs &amp; Sources'!F38)=0,"",'Inputs &amp; Sources'!F38)</x:f>
      </x:c>
      <x:c r="F14" s="53" t="str">
        <x:f>IF(COUNT('Inputs &amp; Sources'!G38)=0,"",'Inputs &amp; Sources'!G38)</x:f>
      </x:c>
      <x:c r="G14" s="53" t="str">
        <x:f>IF(COUNT('Inputs &amp; Sources'!H38)=0,"",'Inputs &amp; Sources'!H38)</x:f>
      </x:c>
      <x:c r="H14" s="53" t="str">
        <x:f>IF(COUNT('Inputs &amp; Sources'!I38)=0,"",'Inputs &amp; Sources'!I38)</x:f>
      </x:c>
    </x:row>
    <x:row r="15">
      <x:c r="A15" s="37" t="str">
        <x:v>D&amp;A</x:v>
      </x:c>
      <x:c r="B15" s="21" t="str">
        <x:v>model units</x:v>
      </x:c>
      <x:c r="C15" s="50"/>
      <x:c r="D15" s="50" t="str">
        <x:f>IF(OR(D8="",D14=""),"",D8*D14)</x:f>
      </x:c>
      <x:c r="E15" s="50" t="str">
        <x:f>IF(OR(E8="",E14=""),"",E8*E14)</x:f>
      </x:c>
      <x:c r="F15" s="50" t="str">
        <x:f>IF(OR(F8="",F14=""),"",F8*F14)</x:f>
      </x:c>
      <x:c r="G15" s="50" t="str">
        <x:f>IF(OR(G8="",G14=""),"",G8*G14)</x:f>
      </x:c>
      <x:c r="H15" s="50" t="str">
        <x:f>IF(OR(H8="",H14=""),"",H8*H14)</x:f>
      </x:c>
    </x:row>
    <x:row r="16">
      <x:c r="A16" s="37" t="str">
        <x:v>EBITDA</x:v>
      </x:c>
      <x:c r="B16" s="21" t="str">
        <x:v>model units</x:v>
      </x:c>
      <x:c r="C16" s="50"/>
      <x:c r="D16" s="50" t="str">
        <x:f>IF(D10="","",D10+D15)</x:f>
      </x:c>
      <x:c r="E16" s="50" t="str">
        <x:f>IF(E10="","",E10+E15)</x:f>
      </x:c>
      <x:c r="F16" s="50" t="str">
        <x:f>IF(F10="","",F10+F15)</x:f>
      </x:c>
      <x:c r="G16" s="50" t="str">
        <x:f>IF(G10="","",G10+G15)</x:f>
      </x:c>
      <x:c r="H16" s="50" t="str">
        <x:f>IF(H10="","",H10+H15)</x:f>
      </x:c>
    </x:row>
    <x:row r="17">
      <x:c r="A17" s="37" t="str">
        <x:v>CapEx as % of revenue</x:v>
      </x:c>
      <x:c r="B17" s="21" t="str">
        <x:v>%</x:v>
      </x:c>
      <x:c r="C17" s="39"/>
      <x:c r="D17" s="53" t="str">
        <x:f>IF(COUNT('Inputs &amp; Sources'!E39)=0,"",'Inputs &amp; Sources'!E39)</x:f>
      </x:c>
      <x:c r="E17" s="53" t="str">
        <x:f>IF(COUNT('Inputs &amp; Sources'!F39)=0,"",'Inputs &amp; Sources'!F39)</x:f>
      </x:c>
      <x:c r="F17" s="53" t="str">
        <x:f>IF(COUNT('Inputs &amp; Sources'!G39)=0,"",'Inputs &amp; Sources'!G39)</x:f>
      </x:c>
      <x:c r="G17" s="53" t="str">
        <x:f>IF(COUNT('Inputs &amp; Sources'!H39)=0,"",'Inputs &amp; Sources'!H39)</x:f>
      </x:c>
      <x:c r="H17" s="53" t="str">
        <x:f>IF(COUNT('Inputs &amp; Sources'!I39)=0,"",'Inputs &amp; Sources'!I39)</x:f>
      </x:c>
    </x:row>
    <x:row r="18">
      <x:c r="A18" s="37" t="str">
        <x:v>CapEx | positive cash use</x:v>
      </x:c>
      <x:c r="B18" s="21" t="str">
        <x:v>model units</x:v>
      </x:c>
      <x:c r="C18" s="50"/>
      <x:c r="D18" s="50" t="str">
        <x:f>IF(OR(D8="",D17=""),"",D8*D17)</x:f>
      </x:c>
      <x:c r="E18" s="50" t="str">
        <x:f>IF(OR(E8="",E17=""),"",E8*E17)</x:f>
      </x:c>
      <x:c r="F18" s="50" t="str">
        <x:f>IF(OR(F8="",F17=""),"",F8*F17)</x:f>
      </x:c>
      <x:c r="G18" s="50" t="str">
        <x:f>IF(OR(G8="",G17=""),"",G8*G17)</x:f>
      </x:c>
      <x:c r="H18" s="50" t="str">
        <x:f>IF(OR(H8="",H17=""),"",H8*H17)</x:f>
      </x:c>
    </x:row>
    <x:row r="19">
      <x:c r="A19" s="37" t="str">
        <x:v>Operating NWC as % of revenue</x:v>
      </x:c>
      <x:c r="B19" s="21" t="str">
        <x:v>%</x:v>
      </x:c>
      <x:c r="C19" s="39"/>
      <x:c r="D19" s="53" t="str">
        <x:f>IF(COUNT('Inputs &amp; Sources'!E40)=0,"",'Inputs &amp; Sources'!E40)</x:f>
      </x:c>
      <x:c r="E19" s="53" t="str">
        <x:f>IF(COUNT('Inputs &amp; Sources'!F40)=0,"",'Inputs &amp; Sources'!F40)</x:f>
      </x:c>
      <x:c r="F19" s="53" t="str">
        <x:f>IF(COUNT('Inputs &amp; Sources'!G40)=0,"",'Inputs &amp; Sources'!G40)</x:f>
      </x:c>
      <x:c r="G19" s="53" t="str">
        <x:f>IF(COUNT('Inputs &amp; Sources'!H40)=0,"",'Inputs &amp; Sources'!H40)</x:f>
      </x:c>
      <x:c r="H19" s="53" t="str">
        <x:f>IF(COUNT('Inputs &amp; Sources'!I40)=0,"",'Inputs &amp; Sources'!I40)</x:f>
      </x:c>
    </x:row>
    <x:row r="20">
      <x:c r="A20" s="37" t="str">
        <x:v>Operating NWC balance</x:v>
      </x:c>
      <x:c r="B20" s="21" t="str">
        <x:v>model units</x:v>
      </x:c>
      <x:c r="C20" s="52" t="str">
        <x:f>IF('Inputs &amp; Sources'!$B$11="","",'Inputs &amp; Sources'!$B$11)</x:f>
      </x:c>
      <x:c r="D20" s="50" t="str">
        <x:f>IF(OR(D8="",D19=""),"",D8*D19)</x:f>
      </x:c>
      <x:c r="E20" s="50" t="str">
        <x:f>IF(OR(E8="",E19=""),"",E8*E19)</x:f>
      </x:c>
      <x:c r="F20" s="50" t="str">
        <x:f>IF(OR(F8="",F19=""),"",F8*F19)</x:f>
      </x:c>
      <x:c r="G20" s="50" t="str">
        <x:f>IF(OR(G8="",G19=""),"",G8*G19)</x:f>
      </x:c>
      <x:c r="H20" s="50" t="str">
        <x:f>IF(OR(H8="",H19=""),"",H8*H19)</x:f>
      </x:c>
    </x:row>
    <x:row r="21">
      <x:c r="A21" s="37" t="str">
        <x:v>Change in NWC | positive increase is a cash use</x:v>
      </x:c>
      <x:c r="B21" s="21" t="str">
        <x:v>model units</x:v>
      </x:c>
      <x:c r="C21" s="50"/>
      <x:c r="D21" s="50" t="str">
        <x:f>IF(OR(C20="",D20=""),"",D20-C20)</x:f>
      </x:c>
      <x:c r="E21" s="50" t="str">
        <x:f>IF(OR(D20="",E20=""),"",E20-D20)</x:f>
      </x:c>
      <x:c r="F21" s="50" t="str">
        <x:f>IF(OR(E20="",F20=""),"",F20-E20)</x:f>
      </x:c>
      <x:c r="G21" s="50" t="str">
        <x:f>IF(OR(F20="",G20=""),"",G20-F20)</x:f>
      </x:c>
      <x:c r="H21" s="50" t="str">
        <x:f>IF(OR(G20="",H20=""),"",H20-G20)</x:f>
      </x:c>
    </x:row>
    <x:row r="22">
      <x:c r="A22" s="54" t="str">
        <x:v>Unlevered free cash flow</x:v>
      </x:c>
      <x:c r="B22" s="55" t="str">
        <x:v>model units</x:v>
      </x:c>
      <x:c r="C22" s="56"/>
      <x:c r="D22" s="56" t="str">
        <x:f>IF(COUNT(D13,D15,D18,D21)&lt;4,"",D13+D15-D18-D21)</x:f>
      </x:c>
      <x:c r="E22" s="56" t="str">
        <x:f>IF(COUNT(E13,E15,E18,E21)&lt;4,"",E13+E15-E18-E21)</x:f>
      </x:c>
      <x:c r="F22" s="56" t="str">
        <x:f>IF(COUNT(F13,F15,F18,F21)&lt;4,"",F13+F15-F18-F21)</x:f>
      </x:c>
      <x:c r="G22" s="56" t="str">
        <x:f>IF(COUNT(G13,G15,G18,G21)&lt;4,"",G13+G15-G18-G21)</x:f>
      </x:c>
      <x:c r="H22" s="56" t="str">
        <x:f>IF(COUNT(H13,H15,H18,H21)&lt;4,"",H13+H15-H18-H21)</x:f>
      </x:c>
    </x:row>
    <x:row r="23">
      <x:c r="A23" s="37" t="str">
        <x:v>Discount period</x:v>
      </x:c>
      <x:c r="B23" s="21" t="str">
        <x:v>years</x:v>
      </x:c>
      <x:c r="C23" s="50"/>
      <x:c r="D23" s="50" t="n">
        <x:v>1</x:v>
      </x:c>
      <x:c r="E23" s="50" t="n">
        <x:v>2</x:v>
      </x:c>
      <x:c r="F23" s="50" t="n">
        <x:v>3</x:v>
      </x:c>
      <x:c r="G23" s="50" t="n">
        <x:v>4</x:v>
      </x:c>
      <x:c r="H23" s="50" t="n">
        <x:v>5</x:v>
      </x:c>
    </x:row>
    <x:row r="24">
      <x:c r="A24" s="37" t="str">
        <x:v>Discount factor</x:v>
      </x:c>
      <x:c r="B24" s="21" t="str">
        <x:v>x</x:v>
      </x:c>
      <x:c r="C24" s="39"/>
      <x:c r="D24" s="53" t="str">
        <x:f>IF('Inputs &amp; Sources'!$B$30="","",1/(1+'Inputs &amp; Sources'!$B$30)^D23)</x:f>
      </x:c>
      <x:c r="E24" s="53" t="str">
        <x:f>IF('Inputs &amp; Sources'!$B$30="","",1/(1+'Inputs &amp; Sources'!$B$30)^E23)</x:f>
      </x:c>
      <x:c r="F24" s="53" t="str">
        <x:f>IF('Inputs &amp; Sources'!$B$30="","",1/(1+'Inputs &amp; Sources'!$B$30)^F23)</x:f>
      </x:c>
      <x:c r="G24" s="53" t="str">
        <x:f>IF('Inputs &amp; Sources'!$B$30="","",1/(1+'Inputs &amp; Sources'!$B$30)^G23)</x:f>
      </x:c>
      <x:c r="H24" s="53" t="str">
        <x:f>IF('Inputs &amp; Sources'!$B$30="","",1/(1+'Inputs &amp; Sources'!$B$30)^H23)</x:f>
      </x:c>
    </x:row>
    <x:row r="25">
      <x:c r="A25" s="37" t="str">
        <x:v>PV of unlevered FCF</x:v>
      </x:c>
      <x:c r="B25" s="21" t="str">
        <x:v>model units</x:v>
      </x:c>
      <x:c r="C25" s="50"/>
      <x:c r="D25" s="50" t="str">
        <x:f>IF(OR(D22="",D24=""),"",D22*D24)</x:f>
      </x:c>
      <x:c r="E25" s="50" t="str">
        <x:f>IF(OR(E22="",E24=""),"",E22*E24)</x:f>
      </x:c>
      <x:c r="F25" s="50" t="str">
        <x:f>IF(OR(F22="",F24=""),"",F22*F24)</x:f>
      </x:c>
      <x:c r="G25" s="50" t="str">
        <x:f>IF(OR(G22="",G24=""),"",G22*G24)</x:f>
      </x:c>
      <x:c r="H25" s="50" t="str">
        <x:f>IF(OR(H22="",H24=""),"",H22*H24)</x:f>
      </x:c>
    </x:row>
    <x:row r="26">
      <x:c r="A26" s="73"/>
      <x:c r="B26" s="73"/>
      <x:c r="C26" s="73"/>
      <x:c r="D26" s="73"/>
      <x:c r="E26" s="73"/>
      <x:c r="F26" s="73"/>
      <x:c r="G26" s="73"/>
      <x:c r="H26" s="73"/>
    </x:row>
    <x:row r="27">
      <x:c r="A27" s="73"/>
      <x:c r="B27" s="73"/>
      <x:c r="C27" s="73"/>
      <x:c r="D27" s="73"/>
      <x:c r="E27" s="73"/>
      <x:c r="F27" s="73"/>
      <x:c r="G27" s="73"/>
      <x:c r="H27" s="73"/>
    </x:row>
    <x:row r="28" ht="22" customHeight="1">
      <x:c r="A28" s="74" t="str">
        <x:v>Upside case | Revenue engine → unlevered free cash flow</x:v>
      </x:c>
      <x:c r="B28" s="74"/>
      <x:c r="C28" s="74"/>
      <x:c r="D28" s="74"/>
      <x:c r="E28" s="74"/>
      <x:c r="F28" s="74"/>
      <x:c r="G28" s="74"/>
      <x:c r="H28" s="74"/>
    </x:row>
    <x:row r="29">
      <x:c r="A29" s="37" t="str">
        <x:v>Fiscal year</x:v>
      </x:c>
      <x:c r="B29" s="21" t="str">
        <x:v>FY</x:v>
      </x:c>
      <x:c r="C29" s="51" t="str">
        <x:f>IF('Inputs &amp; Sources'!$B$9="","",'Inputs &amp; Sources'!$B$9)</x:f>
      </x:c>
      <x:c r="D29" s="51" t="str">
        <x:f>IF(C29="","",C29+1)</x:f>
      </x:c>
      <x:c r="E29" s="51" t="str">
        <x:f>IF(D29="","",D29+1)</x:f>
      </x:c>
      <x:c r="F29" s="51" t="str">
        <x:f>IF(E29="","",E29+1)</x:f>
      </x:c>
      <x:c r="G29" s="51" t="str">
        <x:f>IF(F29="","",F29+1)</x:f>
      </x:c>
      <x:c r="H29" s="51" t="str">
        <x:f>IF(G29="","",G29+1)</x:f>
      </x:c>
    </x:row>
    <x:row r="30">
      <x:c r="A30" s="37" t="str">
        <x:v>Revenue growth</x:v>
      </x:c>
      <x:c r="B30" s="21" t="str">
        <x:v>%</x:v>
      </x:c>
      <x:c r="C30" s="39"/>
      <x:c r="D30" s="53" t="str">
        <x:f>IF(COUNT('Inputs &amp; Sources'!E44)=0,"",'Inputs &amp; Sources'!E44)</x:f>
      </x:c>
      <x:c r="E30" s="53" t="str">
        <x:f>IF(COUNT('Inputs &amp; Sources'!F44)=0,"",'Inputs &amp; Sources'!F44)</x:f>
      </x:c>
      <x:c r="F30" s="53" t="str">
        <x:f>IF(COUNT('Inputs &amp; Sources'!G44)=0,"",'Inputs &amp; Sources'!G44)</x:f>
      </x:c>
      <x:c r="G30" s="53" t="str">
        <x:f>IF(COUNT('Inputs &amp; Sources'!H44)=0,"",'Inputs &amp; Sources'!H44)</x:f>
      </x:c>
      <x:c r="H30" s="53" t="str">
        <x:f>IF(COUNT('Inputs &amp; Sources'!I44)=0,"",'Inputs &amp; Sources'!I44)</x:f>
      </x:c>
    </x:row>
    <x:row r="31">
      <x:c r="A31" s="37" t="str">
        <x:v>Revenue</x:v>
      </x:c>
      <x:c r="B31" s="21" t="str">
        <x:v>model units</x:v>
      </x:c>
      <x:c r="C31" s="52" t="str">
        <x:f>IF('Inputs &amp; Sources'!$B$10="","",'Inputs &amp; Sources'!$B$10)</x:f>
      </x:c>
      <x:c r="D31" s="50" t="str">
        <x:f>IF(COUNT(C31,D30)&lt;2,"",C31*(1+D30))</x:f>
      </x:c>
      <x:c r="E31" s="50" t="str">
        <x:f>IF(COUNT(D31,E30)&lt;2,"",D31*(1+E30))</x:f>
      </x:c>
      <x:c r="F31" s="50" t="str">
        <x:f>IF(COUNT(E31,F30)&lt;2,"",E31*(1+F30))</x:f>
      </x:c>
      <x:c r="G31" s="50" t="str">
        <x:f>IF(COUNT(F31,G30)&lt;2,"",F31*(1+G30))</x:f>
      </x:c>
      <x:c r="H31" s="50" t="str">
        <x:f>IF(COUNT(G31,H30)&lt;2,"",G31*(1+H30))</x:f>
      </x:c>
    </x:row>
    <x:row r="32">
      <x:c r="A32" s="37" t="str">
        <x:v>EBIT margin</x:v>
      </x:c>
      <x:c r="B32" s="21" t="str">
        <x:v>%</x:v>
      </x:c>
      <x:c r="C32" s="39"/>
      <x:c r="D32" s="53" t="str">
        <x:f>IF(COUNT('Inputs &amp; Sources'!E45)=0,"",'Inputs &amp; Sources'!E45)</x:f>
      </x:c>
      <x:c r="E32" s="53" t="str">
        <x:f>IF(COUNT('Inputs &amp; Sources'!F45)=0,"",'Inputs &amp; Sources'!F45)</x:f>
      </x:c>
      <x:c r="F32" s="53" t="str">
        <x:f>IF(COUNT('Inputs &amp; Sources'!G45)=0,"",'Inputs &amp; Sources'!G45)</x:f>
      </x:c>
      <x:c r="G32" s="53" t="str">
        <x:f>IF(COUNT('Inputs &amp; Sources'!H45)=0,"",'Inputs &amp; Sources'!H45)</x:f>
      </x:c>
      <x:c r="H32" s="53" t="str">
        <x:f>IF(COUNT('Inputs &amp; Sources'!I45)=0,"",'Inputs &amp; Sources'!I45)</x:f>
      </x:c>
    </x:row>
    <x:row r="33">
      <x:c r="A33" s="37" t="str">
        <x:v>EBIT</x:v>
      </x:c>
      <x:c r="B33" s="21" t="str">
        <x:v>model units</x:v>
      </x:c>
      <x:c r="C33" s="50"/>
      <x:c r="D33" s="50" t="str">
        <x:f>IF(OR(D31="",D32=""),"",D31*D32)</x:f>
      </x:c>
      <x:c r="E33" s="50" t="str">
        <x:f>IF(OR(E31="",E32=""),"",E31*E32)</x:f>
      </x:c>
      <x:c r="F33" s="50" t="str">
        <x:f>IF(OR(F31="",F32=""),"",F31*F32)</x:f>
      </x:c>
      <x:c r="G33" s="50" t="str">
        <x:f>IF(OR(G31="",G32=""),"",G31*G32)</x:f>
      </x:c>
      <x:c r="H33" s="50" t="str">
        <x:f>IF(OR(H31="",H32=""),"",H31*H32)</x:f>
      </x:c>
    </x:row>
    <x:row r="34">
      <x:c r="A34" s="37" t="str">
        <x:v>Normalized cash tax rate</x:v>
      </x:c>
      <x:c r="B34" s="21" t="str">
        <x:v>%</x:v>
      </x:c>
      <x:c r="C34" s="39"/>
      <x:c r="D34" s="53" t="str">
        <x:f>IF('Inputs &amp; Sources'!$B$12="","",'Inputs &amp; Sources'!$B$12)</x:f>
      </x:c>
      <x:c r="E34" s="53" t="str">
        <x:f>IF('Inputs &amp; Sources'!$B$12="","",'Inputs &amp; Sources'!$B$12)</x:f>
      </x:c>
      <x:c r="F34" s="53" t="str">
        <x:f>IF('Inputs &amp; Sources'!$B$12="","",'Inputs &amp; Sources'!$B$12)</x:f>
      </x:c>
      <x:c r="G34" s="53" t="str">
        <x:f>IF('Inputs &amp; Sources'!$B$12="","",'Inputs &amp; Sources'!$B$12)</x:f>
      </x:c>
      <x:c r="H34" s="53" t="str">
        <x:f>IF('Inputs &amp; Sources'!$B$12="","",'Inputs &amp; Sources'!$B$12)</x:f>
      </x:c>
    </x:row>
    <x:row r="35">
      <x:c r="A35" s="37" t="str">
        <x:v>Cash taxes on EBIT</x:v>
      </x:c>
      <x:c r="B35" s="21" t="str">
        <x:v>model units</x:v>
      </x:c>
      <x:c r="C35" s="50"/>
      <x:c r="D35" s="50" t="str">
        <x:f>IF(OR(D33="",D34=""),"",MAX(0,D33*D34))</x:f>
      </x:c>
      <x:c r="E35" s="50" t="str">
        <x:f>IF(OR(E33="",E34=""),"",MAX(0,E33*E34))</x:f>
      </x:c>
      <x:c r="F35" s="50" t="str">
        <x:f>IF(OR(F33="",F34=""),"",MAX(0,F33*F34))</x:f>
      </x:c>
      <x:c r="G35" s="50" t="str">
        <x:f>IF(OR(G33="",G34=""),"",MAX(0,G33*G34))</x:f>
      </x:c>
      <x:c r="H35" s="50" t="str">
        <x:f>IF(OR(H33="",H34=""),"",MAX(0,H33*H34))</x:f>
      </x:c>
    </x:row>
    <x:row r="36">
      <x:c r="A36" s="37" t="str">
        <x:v>NOPAT</x:v>
      </x:c>
      <x:c r="B36" s="21" t="str">
        <x:v>model units</x:v>
      </x:c>
      <x:c r="C36" s="50"/>
      <x:c r="D36" s="50" t="str">
        <x:f>IF(D33="","",D33-D35)</x:f>
      </x:c>
      <x:c r="E36" s="50" t="str">
        <x:f>IF(E33="","",E33-E35)</x:f>
      </x:c>
      <x:c r="F36" s="50" t="str">
        <x:f>IF(F33="","",F33-F35)</x:f>
      </x:c>
      <x:c r="G36" s="50" t="str">
        <x:f>IF(G33="","",G33-G35)</x:f>
      </x:c>
      <x:c r="H36" s="50" t="str">
        <x:f>IF(H33="","",H33-H35)</x:f>
      </x:c>
    </x:row>
    <x:row r="37">
      <x:c r="A37" s="37" t="str">
        <x:v>D&amp;A as % of revenue</x:v>
      </x:c>
      <x:c r="B37" s="21" t="str">
        <x:v>%</x:v>
      </x:c>
      <x:c r="C37" s="39"/>
      <x:c r="D37" s="53" t="str">
        <x:f>IF(COUNT('Inputs &amp; Sources'!E46)=0,"",'Inputs &amp; Sources'!E46)</x:f>
      </x:c>
      <x:c r="E37" s="53" t="str">
        <x:f>IF(COUNT('Inputs &amp; Sources'!F46)=0,"",'Inputs &amp; Sources'!F46)</x:f>
      </x:c>
      <x:c r="F37" s="53" t="str">
        <x:f>IF(COUNT('Inputs &amp; Sources'!G46)=0,"",'Inputs &amp; Sources'!G46)</x:f>
      </x:c>
      <x:c r="G37" s="53" t="str">
        <x:f>IF(COUNT('Inputs &amp; Sources'!H46)=0,"",'Inputs &amp; Sources'!H46)</x:f>
      </x:c>
      <x:c r="H37" s="53" t="str">
        <x:f>IF(COUNT('Inputs &amp; Sources'!I46)=0,"",'Inputs &amp; Sources'!I46)</x:f>
      </x:c>
    </x:row>
    <x:row r="38">
      <x:c r="A38" s="37" t="str">
        <x:v>D&amp;A</x:v>
      </x:c>
      <x:c r="B38" s="21" t="str">
        <x:v>model units</x:v>
      </x:c>
      <x:c r="C38" s="50"/>
      <x:c r="D38" s="50" t="str">
        <x:f>IF(OR(D31="",D37=""),"",D31*D37)</x:f>
      </x:c>
      <x:c r="E38" s="50" t="str">
        <x:f>IF(OR(E31="",E37=""),"",E31*E37)</x:f>
      </x:c>
      <x:c r="F38" s="50" t="str">
        <x:f>IF(OR(F31="",F37=""),"",F31*F37)</x:f>
      </x:c>
      <x:c r="G38" s="50" t="str">
        <x:f>IF(OR(G31="",G37=""),"",G31*G37)</x:f>
      </x:c>
      <x:c r="H38" s="50" t="str">
        <x:f>IF(OR(H31="",H37=""),"",H31*H37)</x:f>
      </x:c>
    </x:row>
    <x:row r="39">
      <x:c r="A39" s="37" t="str">
        <x:v>EBITDA</x:v>
      </x:c>
      <x:c r="B39" s="21" t="str">
        <x:v>model units</x:v>
      </x:c>
      <x:c r="C39" s="50"/>
      <x:c r="D39" s="50" t="str">
        <x:f>IF(D33="","",D33+D38)</x:f>
      </x:c>
      <x:c r="E39" s="50" t="str">
        <x:f>IF(E33="","",E33+E38)</x:f>
      </x:c>
      <x:c r="F39" s="50" t="str">
        <x:f>IF(F33="","",F33+F38)</x:f>
      </x:c>
      <x:c r="G39" s="50" t="str">
        <x:f>IF(G33="","",G33+G38)</x:f>
      </x:c>
      <x:c r="H39" s="50" t="str">
        <x:f>IF(H33="","",H33+H38)</x:f>
      </x:c>
    </x:row>
    <x:row r="40">
      <x:c r="A40" s="37" t="str">
        <x:v>CapEx as % of revenue</x:v>
      </x:c>
      <x:c r="B40" s="21" t="str">
        <x:v>%</x:v>
      </x:c>
      <x:c r="C40" s="39"/>
      <x:c r="D40" s="53" t="str">
        <x:f>IF(COUNT('Inputs &amp; Sources'!E47)=0,"",'Inputs &amp; Sources'!E47)</x:f>
      </x:c>
      <x:c r="E40" s="53" t="str">
        <x:f>IF(COUNT('Inputs &amp; Sources'!F47)=0,"",'Inputs &amp; Sources'!F47)</x:f>
      </x:c>
      <x:c r="F40" s="53" t="str">
        <x:f>IF(COUNT('Inputs &amp; Sources'!G47)=0,"",'Inputs &amp; Sources'!G47)</x:f>
      </x:c>
      <x:c r="G40" s="53" t="str">
        <x:f>IF(COUNT('Inputs &amp; Sources'!H47)=0,"",'Inputs &amp; Sources'!H47)</x:f>
      </x:c>
      <x:c r="H40" s="53" t="str">
        <x:f>IF(COUNT('Inputs &amp; Sources'!I47)=0,"",'Inputs &amp; Sources'!I47)</x:f>
      </x:c>
    </x:row>
    <x:row r="41">
      <x:c r="A41" s="37" t="str">
        <x:v>CapEx | positive cash use</x:v>
      </x:c>
      <x:c r="B41" s="21" t="str">
        <x:v>model units</x:v>
      </x:c>
      <x:c r="C41" s="50"/>
      <x:c r="D41" s="50" t="str">
        <x:f>IF(OR(D31="",D40=""),"",D31*D40)</x:f>
      </x:c>
      <x:c r="E41" s="50" t="str">
        <x:f>IF(OR(E31="",E40=""),"",E31*E40)</x:f>
      </x:c>
      <x:c r="F41" s="50" t="str">
        <x:f>IF(OR(F31="",F40=""),"",F31*F40)</x:f>
      </x:c>
      <x:c r="G41" s="50" t="str">
        <x:f>IF(OR(G31="",G40=""),"",G31*G40)</x:f>
      </x:c>
      <x:c r="H41" s="50" t="str">
        <x:f>IF(OR(H31="",H40=""),"",H31*H40)</x:f>
      </x:c>
    </x:row>
    <x:row r="42">
      <x:c r="A42" s="37" t="str">
        <x:v>Operating NWC as % of revenue</x:v>
      </x:c>
      <x:c r="B42" s="21" t="str">
        <x:v>%</x:v>
      </x:c>
      <x:c r="C42" s="39"/>
      <x:c r="D42" s="53" t="str">
        <x:f>IF(COUNT('Inputs &amp; Sources'!E48)=0,"",'Inputs &amp; Sources'!E48)</x:f>
      </x:c>
      <x:c r="E42" s="53" t="str">
        <x:f>IF(COUNT('Inputs &amp; Sources'!F48)=0,"",'Inputs &amp; Sources'!F48)</x:f>
      </x:c>
      <x:c r="F42" s="53" t="str">
        <x:f>IF(COUNT('Inputs &amp; Sources'!G48)=0,"",'Inputs &amp; Sources'!G48)</x:f>
      </x:c>
      <x:c r="G42" s="53" t="str">
        <x:f>IF(COUNT('Inputs &amp; Sources'!H48)=0,"",'Inputs &amp; Sources'!H48)</x:f>
      </x:c>
      <x:c r="H42" s="53" t="str">
        <x:f>IF(COUNT('Inputs &amp; Sources'!I48)=0,"",'Inputs &amp; Sources'!I48)</x:f>
      </x:c>
    </x:row>
    <x:row r="43">
      <x:c r="A43" s="37" t="str">
        <x:v>Operating NWC balance</x:v>
      </x:c>
      <x:c r="B43" s="21" t="str">
        <x:v>model units</x:v>
      </x:c>
      <x:c r="C43" s="52" t="str">
        <x:f>IF('Inputs &amp; Sources'!$B$11="","",'Inputs &amp; Sources'!$B$11)</x:f>
      </x:c>
      <x:c r="D43" s="50" t="str">
        <x:f>IF(OR(D31="",D42=""),"",D31*D42)</x:f>
      </x:c>
      <x:c r="E43" s="50" t="str">
        <x:f>IF(OR(E31="",E42=""),"",E31*E42)</x:f>
      </x:c>
      <x:c r="F43" s="50" t="str">
        <x:f>IF(OR(F31="",F42=""),"",F31*F42)</x:f>
      </x:c>
      <x:c r="G43" s="50" t="str">
        <x:f>IF(OR(G31="",G42=""),"",G31*G42)</x:f>
      </x:c>
      <x:c r="H43" s="50" t="str">
        <x:f>IF(OR(H31="",H42=""),"",H31*H42)</x:f>
      </x:c>
    </x:row>
    <x:row r="44">
      <x:c r="A44" s="37" t="str">
        <x:v>Change in NWC | positive increase is a cash use</x:v>
      </x:c>
      <x:c r="B44" s="21" t="str">
        <x:v>model units</x:v>
      </x:c>
      <x:c r="C44" s="50"/>
      <x:c r="D44" s="50" t="str">
        <x:f>IF(OR(C43="",D43=""),"",D43-C43)</x:f>
      </x:c>
      <x:c r="E44" s="50" t="str">
        <x:f>IF(OR(D43="",E43=""),"",E43-D43)</x:f>
      </x:c>
      <x:c r="F44" s="50" t="str">
        <x:f>IF(OR(E43="",F43=""),"",F43-E43)</x:f>
      </x:c>
      <x:c r="G44" s="50" t="str">
        <x:f>IF(OR(F43="",G43=""),"",G43-F43)</x:f>
      </x:c>
      <x:c r="H44" s="50" t="str">
        <x:f>IF(OR(G43="",H43=""),"",H43-G43)</x:f>
      </x:c>
    </x:row>
    <x:row r="45">
      <x:c r="A45" s="54" t="str">
        <x:v>Unlevered free cash flow</x:v>
      </x:c>
      <x:c r="B45" s="55" t="str">
        <x:v>model units</x:v>
      </x:c>
      <x:c r="C45" s="56"/>
      <x:c r="D45" s="56" t="str">
        <x:f>IF(COUNT(D36,D38,D41,D44)&lt;4,"",D36+D38-D41-D44)</x:f>
      </x:c>
      <x:c r="E45" s="56" t="str">
        <x:f>IF(COUNT(E36,E38,E41,E44)&lt;4,"",E36+E38-E41-E44)</x:f>
      </x:c>
      <x:c r="F45" s="56" t="str">
        <x:f>IF(COUNT(F36,F38,F41,F44)&lt;4,"",F36+F38-F41-F44)</x:f>
      </x:c>
      <x:c r="G45" s="56" t="str">
        <x:f>IF(COUNT(G36,G38,G41,G44)&lt;4,"",G36+G38-G41-G44)</x:f>
      </x:c>
      <x:c r="H45" s="56" t="str">
        <x:f>IF(COUNT(H36,H38,H41,H44)&lt;4,"",H36+H38-H41-H44)</x:f>
      </x:c>
    </x:row>
    <x:row r="46">
      <x:c r="A46" s="37" t="str">
        <x:v>Discount period</x:v>
      </x:c>
      <x:c r="B46" s="21" t="str">
        <x:v>years</x:v>
      </x:c>
      <x:c r="C46" s="50"/>
      <x:c r="D46" s="50" t="n">
        <x:v>1</x:v>
      </x:c>
      <x:c r="E46" s="50" t="n">
        <x:v>2</x:v>
      </x:c>
      <x:c r="F46" s="50" t="n">
        <x:v>3</x:v>
      </x:c>
      <x:c r="G46" s="50" t="n">
        <x:v>4</x:v>
      </x:c>
      <x:c r="H46" s="50" t="n">
        <x:v>5</x:v>
      </x:c>
    </x:row>
    <x:row r="47">
      <x:c r="A47" s="37" t="str">
        <x:v>Discount factor</x:v>
      </x:c>
      <x:c r="B47" s="21" t="str">
        <x:v>x</x:v>
      </x:c>
      <x:c r="C47" s="39"/>
      <x:c r="D47" s="53" t="str">
        <x:f>IF('Inputs &amp; Sources'!$B$30="","",1/(1+'Inputs &amp; Sources'!$B$30)^D46)</x:f>
      </x:c>
      <x:c r="E47" s="53" t="str">
        <x:f>IF('Inputs &amp; Sources'!$B$30="","",1/(1+'Inputs &amp; Sources'!$B$30)^E46)</x:f>
      </x:c>
      <x:c r="F47" s="53" t="str">
        <x:f>IF('Inputs &amp; Sources'!$B$30="","",1/(1+'Inputs &amp; Sources'!$B$30)^F46)</x:f>
      </x:c>
      <x:c r="G47" s="53" t="str">
        <x:f>IF('Inputs &amp; Sources'!$B$30="","",1/(1+'Inputs &amp; Sources'!$B$30)^G46)</x:f>
      </x:c>
      <x:c r="H47" s="53" t="str">
        <x:f>IF('Inputs &amp; Sources'!$B$30="","",1/(1+'Inputs &amp; Sources'!$B$30)^H46)</x:f>
      </x:c>
    </x:row>
    <x:row r="48">
      <x:c r="A48" s="37" t="str">
        <x:v>PV of unlevered FCF</x:v>
      </x:c>
      <x:c r="B48" s="21" t="str">
        <x:v>model units</x:v>
      </x:c>
      <x:c r="C48" s="50"/>
      <x:c r="D48" s="50" t="str">
        <x:f>IF(OR(D45="",D47=""),"",D45*D47)</x:f>
      </x:c>
      <x:c r="E48" s="50" t="str">
        <x:f>IF(OR(E45="",E47=""),"",E45*E47)</x:f>
      </x:c>
      <x:c r="F48" s="50" t="str">
        <x:f>IF(OR(F45="",F47=""),"",F45*F47)</x:f>
      </x:c>
      <x:c r="G48" s="50" t="str">
        <x:f>IF(OR(G45="",G47=""),"",G45*G47)</x:f>
      </x:c>
      <x:c r="H48" s="50" t="str">
        <x:f>IF(OR(H45="",H47=""),"",H45*H47)</x:f>
      </x:c>
    </x:row>
    <x:row r="49">
      <x:c r="A49" s="73"/>
      <x:c r="B49" s="73"/>
      <x:c r="C49" s="73"/>
      <x:c r="D49" s="73"/>
      <x:c r="E49" s="73"/>
      <x:c r="F49" s="73"/>
      <x:c r="G49" s="73"/>
      <x:c r="H49" s="73"/>
    </x:row>
    <x:row r="50">
      <x:c r="A50" s="73"/>
      <x:c r="B50" s="73"/>
      <x:c r="C50" s="73"/>
      <x:c r="D50" s="73"/>
      <x:c r="E50" s="73"/>
      <x:c r="F50" s="73"/>
      <x:c r="G50" s="73"/>
      <x:c r="H50" s="73"/>
    </x:row>
    <x:row r="51" ht="22" customHeight="1">
      <x:c r="A51" s="74" t="str">
        <x:v>Downside case | Revenue engine → unlevered free cash flow</x:v>
      </x:c>
      <x:c r="B51" s="74"/>
      <x:c r="C51" s="74"/>
      <x:c r="D51" s="74"/>
      <x:c r="E51" s="74"/>
      <x:c r="F51" s="74"/>
      <x:c r="G51" s="74"/>
      <x:c r="H51" s="74"/>
    </x:row>
    <x:row r="52">
      <x:c r="A52" s="37" t="str">
        <x:v>Fiscal year</x:v>
      </x:c>
      <x:c r="B52" s="21" t="str">
        <x:v>FY</x:v>
      </x:c>
      <x:c r="C52" s="51" t="str">
        <x:f>IF('Inputs &amp; Sources'!$B$9="","",'Inputs &amp; Sources'!$B$9)</x:f>
      </x:c>
      <x:c r="D52" s="51" t="str">
        <x:f>IF(C52="","",C52+1)</x:f>
      </x:c>
      <x:c r="E52" s="51" t="str">
        <x:f>IF(D52="","",D52+1)</x:f>
      </x:c>
      <x:c r="F52" s="51" t="str">
        <x:f>IF(E52="","",E52+1)</x:f>
      </x:c>
      <x:c r="G52" s="51" t="str">
        <x:f>IF(F52="","",F52+1)</x:f>
      </x:c>
      <x:c r="H52" s="51" t="str">
        <x:f>IF(G52="","",G52+1)</x:f>
      </x:c>
    </x:row>
    <x:row r="53">
      <x:c r="A53" s="37" t="str">
        <x:v>Revenue growth</x:v>
      </x:c>
      <x:c r="B53" s="21" t="str">
        <x:v>%</x:v>
      </x:c>
      <x:c r="C53" s="39"/>
      <x:c r="D53" s="53" t="str">
        <x:f>IF(COUNT('Inputs &amp; Sources'!E52)=0,"",'Inputs &amp; Sources'!E52)</x:f>
      </x:c>
      <x:c r="E53" s="53" t="str">
        <x:f>IF(COUNT('Inputs &amp; Sources'!F52)=0,"",'Inputs &amp; Sources'!F52)</x:f>
      </x:c>
      <x:c r="F53" s="53" t="str">
        <x:f>IF(COUNT('Inputs &amp; Sources'!G52)=0,"",'Inputs &amp; Sources'!G52)</x:f>
      </x:c>
      <x:c r="G53" s="53" t="str">
        <x:f>IF(COUNT('Inputs &amp; Sources'!H52)=0,"",'Inputs &amp; Sources'!H52)</x:f>
      </x:c>
      <x:c r="H53" s="53" t="str">
        <x:f>IF(COUNT('Inputs &amp; Sources'!I52)=0,"",'Inputs &amp; Sources'!I52)</x:f>
      </x:c>
    </x:row>
    <x:row r="54">
      <x:c r="A54" s="37" t="str">
        <x:v>Revenue</x:v>
      </x:c>
      <x:c r="B54" s="21" t="str">
        <x:v>model units</x:v>
      </x:c>
      <x:c r="C54" s="52" t="str">
        <x:f>IF('Inputs &amp; Sources'!$B$10="","",'Inputs &amp; Sources'!$B$10)</x:f>
      </x:c>
      <x:c r="D54" s="50" t="str">
        <x:f>IF(COUNT(C54,D53)&lt;2,"",C54*(1+D53))</x:f>
      </x:c>
      <x:c r="E54" s="50" t="str">
        <x:f>IF(COUNT(D54,E53)&lt;2,"",D54*(1+E53))</x:f>
      </x:c>
      <x:c r="F54" s="50" t="str">
        <x:f>IF(COUNT(E54,F53)&lt;2,"",E54*(1+F53))</x:f>
      </x:c>
      <x:c r="G54" s="50" t="str">
        <x:f>IF(COUNT(F54,G53)&lt;2,"",F54*(1+G53))</x:f>
      </x:c>
      <x:c r="H54" s="50" t="str">
        <x:f>IF(COUNT(G54,H53)&lt;2,"",G54*(1+H53))</x:f>
      </x:c>
    </x:row>
    <x:row r="55">
      <x:c r="A55" s="37" t="str">
        <x:v>EBIT margin</x:v>
      </x:c>
      <x:c r="B55" s="21" t="str">
        <x:v>%</x:v>
      </x:c>
      <x:c r="C55" s="39"/>
      <x:c r="D55" s="53" t="str">
        <x:f>IF(COUNT('Inputs &amp; Sources'!E53)=0,"",'Inputs &amp; Sources'!E53)</x:f>
      </x:c>
      <x:c r="E55" s="53" t="str">
        <x:f>IF(COUNT('Inputs &amp; Sources'!F53)=0,"",'Inputs &amp; Sources'!F53)</x:f>
      </x:c>
      <x:c r="F55" s="53" t="str">
        <x:f>IF(COUNT('Inputs &amp; Sources'!G53)=0,"",'Inputs &amp; Sources'!G53)</x:f>
      </x:c>
      <x:c r="G55" s="53" t="str">
        <x:f>IF(COUNT('Inputs &amp; Sources'!H53)=0,"",'Inputs &amp; Sources'!H53)</x:f>
      </x:c>
      <x:c r="H55" s="53" t="str">
        <x:f>IF(COUNT('Inputs &amp; Sources'!I53)=0,"",'Inputs &amp; Sources'!I53)</x:f>
      </x:c>
    </x:row>
    <x:row r="56">
      <x:c r="A56" s="37" t="str">
        <x:v>EBIT</x:v>
      </x:c>
      <x:c r="B56" s="21" t="str">
        <x:v>model units</x:v>
      </x:c>
      <x:c r="C56" s="50"/>
      <x:c r="D56" s="50" t="str">
        <x:f>IF(OR(D54="",D55=""),"",D54*D55)</x:f>
      </x:c>
      <x:c r="E56" s="50" t="str">
        <x:f>IF(OR(E54="",E55=""),"",E54*E55)</x:f>
      </x:c>
      <x:c r="F56" s="50" t="str">
        <x:f>IF(OR(F54="",F55=""),"",F54*F55)</x:f>
      </x:c>
      <x:c r="G56" s="50" t="str">
        <x:f>IF(OR(G54="",G55=""),"",G54*G55)</x:f>
      </x:c>
      <x:c r="H56" s="50" t="str">
        <x:f>IF(OR(H54="",H55=""),"",H54*H55)</x:f>
      </x:c>
    </x:row>
    <x:row r="57">
      <x:c r="A57" s="37" t="str">
        <x:v>Normalized cash tax rate</x:v>
      </x:c>
      <x:c r="B57" s="21" t="str">
        <x:v>%</x:v>
      </x:c>
      <x:c r="C57" s="39"/>
      <x:c r="D57" s="53" t="str">
        <x:f>IF('Inputs &amp; Sources'!$B$12="","",'Inputs &amp; Sources'!$B$12)</x:f>
      </x:c>
      <x:c r="E57" s="53" t="str">
        <x:f>IF('Inputs &amp; Sources'!$B$12="","",'Inputs &amp; Sources'!$B$12)</x:f>
      </x:c>
      <x:c r="F57" s="53" t="str">
        <x:f>IF('Inputs &amp; Sources'!$B$12="","",'Inputs &amp; Sources'!$B$12)</x:f>
      </x:c>
      <x:c r="G57" s="53" t="str">
        <x:f>IF('Inputs &amp; Sources'!$B$12="","",'Inputs &amp; Sources'!$B$12)</x:f>
      </x:c>
      <x:c r="H57" s="53" t="str">
        <x:f>IF('Inputs &amp; Sources'!$B$12="","",'Inputs &amp; Sources'!$B$12)</x:f>
      </x:c>
    </x:row>
    <x:row r="58">
      <x:c r="A58" s="37" t="str">
        <x:v>Cash taxes on EBIT</x:v>
      </x:c>
      <x:c r="B58" s="21" t="str">
        <x:v>model units</x:v>
      </x:c>
      <x:c r="C58" s="50"/>
      <x:c r="D58" s="50" t="str">
        <x:f>IF(OR(D56="",D57=""),"",MAX(0,D56*D57))</x:f>
      </x:c>
      <x:c r="E58" s="50" t="str">
        <x:f>IF(OR(E56="",E57=""),"",MAX(0,E56*E57))</x:f>
      </x:c>
      <x:c r="F58" s="50" t="str">
        <x:f>IF(OR(F56="",F57=""),"",MAX(0,F56*F57))</x:f>
      </x:c>
      <x:c r="G58" s="50" t="str">
        <x:f>IF(OR(G56="",G57=""),"",MAX(0,G56*G57))</x:f>
      </x:c>
      <x:c r="H58" s="50" t="str">
        <x:f>IF(OR(H56="",H57=""),"",MAX(0,H56*H57))</x:f>
      </x:c>
    </x:row>
    <x:row r="59">
      <x:c r="A59" s="37" t="str">
        <x:v>NOPAT</x:v>
      </x:c>
      <x:c r="B59" s="21" t="str">
        <x:v>model units</x:v>
      </x:c>
      <x:c r="C59" s="50"/>
      <x:c r="D59" s="50" t="str">
        <x:f>IF(D56="","",D56-D58)</x:f>
      </x:c>
      <x:c r="E59" s="50" t="str">
        <x:f>IF(E56="","",E56-E58)</x:f>
      </x:c>
      <x:c r="F59" s="50" t="str">
        <x:f>IF(F56="","",F56-F58)</x:f>
      </x:c>
      <x:c r="G59" s="50" t="str">
        <x:f>IF(G56="","",G56-G58)</x:f>
      </x:c>
      <x:c r="H59" s="50" t="str">
        <x:f>IF(H56="","",H56-H58)</x:f>
      </x:c>
    </x:row>
    <x:row r="60">
      <x:c r="A60" s="37" t="str">
        <x:v>D&amp;A as % of revenue</x:v>
      </x:c>
      <x:c r="B60" s="21" t="str">
        <x:v>%</x:v>
      </x:c>
      <x:c r="C60" s="39"/>
      <x:c r="D60" s="53" t="str">
        <x:f>IF(COUNT('Inputs &amp; Sources'!E54)=0,"",'Inputs &amp; Sources'!E54)</x:f>
      </x:c>
      <x:c r="E60" s="53" t="str">
        <x:f>IF(COUNT('Inputs &amp; Sources'!F54)=0,"",'Inputs &amp; Sources'!F54)</x:f>
      </x:c>
      <x:c r="F60" s="53" t="str">
        <x:f>IF(COUNT('Inputs &amp; Sources'!G54)=0,"",'Inputs &amp; Sources'!G54)</x:f>
      </x:c>
      <x:c r="G60" s="53" t="str">
        <x:f>IF(COUNT('Inputs &amp; Sources'!H54)=0,"",'Inputs &amp; Sources'!H54)</x:f>
      </x:c>
      <x:c r="H60" s="53" t="str">
        <x:f>IF(COUNT('Inputs &amp; Sources'!I54)=0,"",'Inputs &amp; Sources'!I54)</x:f>
      </x:c>
    </x:row>
    <x:row r="61">
      <x:c r="A61" s="37" t="str">
        <x:v>D&amp;A</x:v>
      </x:c>
      <x:c r="B61" s="21" t="str">
        <x:v>model units</x:v>
      </x:c>
      <x:c r="C61" s="50"/>
      <x:c r="D61" s="50" t="str">
        <x:f>IF(OR(D54="",D60=""),"",D54*D60)</x:f>
      </x:c>
      <x:c r="E61" s="50" t="str">
        <x:f>IF(OR(E54="",E60=""),"",E54*E60)</x:f>
      </x:c>
      <x:c r="F61" s="50" t="str">
        <x:f>IF(OR(F54="",F60=""),"",F54*F60)</x:f>
      </x:c>
      <x:c r="G61" s="50" t="str">
        <x:f>IF(OR(G54="",G60=""),"",G54*G60)</x:f>
      </x:c>
      <x:c r="H61" s="50" t="str">
        <x:f>IF(OR(H54="",H60=""),"",H54*H60)</x:f>
      </x:c>
    </x:row>
    <x:row r="62">
      <x:c r="A62" s="37" t="str">
        <x:v>EBITDA</x:v>
      </x:c>
      <x:c r="B62" s="21" t="str">
        <x:v>model units</x:v>
      </x:c>
      <x:c r="C62" s="50"/>
      <x:c r="D62" s="50" t="str">
        <x:f>IF(D56="","",D56+D61)</x:f>
      </x:c>
      <x:c r="E62" s="50" t="str">
        <x:f>IF(E56="","",E56+E61)</x:f>
      </x:c>
      <x:c r="F62" s="50" t="str">
        <x:f>IF(F56="","",F56+F61)</x:f>
      </x:c>
      <x:c r="G62" s="50" t="str">
        <x:f>IF(G56="","",G56+G61)</x:f>
      </x:c>
      <x:c r="H62" s="50" t="str">
        <x:f>IF(H56="","",H56+H61)</x:f>
      </x:c>
    </x:row>
    <x:row r="63">
      <x:c r="A63" s="37" t="str">
        <x:v>CapEx as % of revenue</x:v>
      </x:c>
      <x:c r="B63" s="21" t="str">
        <x:v>%</x:v>
      </x:c>
      <x:c r="C63" s="39"/>
      <x:c r="D63" s="53" t="str">
        <x:f>IF(COUNT('Inputs &amp; Sources'!E55)=0,"",'Inputs &amp; Sources'!E55)</x:f>
      </x:c>
      <x:c r="E63" s="53" t="str">
        <x:f>IF(COUNT('Inputs &amp; Sources'!F55)=0,"",'Inputs &amp; Sources'!F55)</x:f>
      </x:c>
      <x:c r="F63" s="53" t="str">
        <x:f>IF(COUNT('Inputs &amp; Sources'!G55)=0,"",'Inputs &amp; Sources'!G55)</x:f>
      </x:c>
      <x:c r="G63" s="53" t="str">
        <x:f>IF(COUNT('Inputs &amp; Sources'!H55)=0,"",'Inputs &amp; Sources'!H55)</x:f>
      </x:c>
      <x:c r="H63" s="53" t="str">
        <x:f>IF(COUNT('Inputs &amp; Sources'!I55)=0,"",'Inputs &amp; Sources'!I55)</x:f>
      </x:c>
    </x:row>
    <x:row r="64">
      <x:c r="A64" s="37" t="str">
        <x:v>CapEx | positive cash use</x:v>
      </x:c>
      <x:c r="B64" s="21" t="str">
        <x:v>model units</x:v>
      </x:c>
      <x:c r="C64" s="50"/>
      <x:c r="D64" s="50" t="str">
        <x:f>IF(OR(D54="",D63=""),"",D54*D63)</x:f>
      </x:c>
      <x:c r="E64" s="50" t="str">
        <x:f>IF(OR(E54="",E63=""),"",E54*E63)</x:f>
      </x:c>
      <x:c r="F64" s="50" t="str">
        <x:f>IF(OR(F54="",F63=""),"",F54*F63)</x:f>
      </x:c>
      <x:c r="G64" s="50" t="str">
        <x:f>IF(OR(G54="",G63=""),"",G54*G63)</x:f>
      </x:c>
      <x:c r="H64" s="50" t="str">
        <x:f>IF(OR(H54="",H63=""),"",H54*H63)</x:f>
      </x:c>
    </x:row>
    <x:row r="65">
      <x:c r="A65" s="37" t="str">
        <x:v>Operating NWC as % of revenue</x:v>
      </x:c>
      <x:c r="B65" s="21" t="str">
        <x:v>%</x:v>
      </x:c>
      <x:c r="C65" s="39"/>
      <x:c r="D65" s="53" t="str">
        <x:f>IF(COUNT('Inputs &amp; Sources'!E56)=0,"",'Inputs &amp; Sources'!E56)</x:f>
      </x:c>
      <x:c r="E65" s="53" t="str">
        <x:f>IF(COUNT('Inputs &amp; Sources'!F56)=0,"",'Inputs &amp; Sources'!F56)</x:f>
      </x:c>
      <x:c r="F65" s="53" t="str">
        <x:f>IF(COUNT('Inputs &amp; Sources'!G56)=0,"",'Inputs &amp; Sources'!G56)</x:f>
      </x:c>
      <x:c r="G65" s="53" t="str">
        <x:f>IF(COUNT('Inputs &amp; Sources'!H56)=0,"",'Inputs &amp; Sources'!H56)</x:f>
      </x:c>
      <x:c r="H65" s="53" t="str">
        <x:f>IF(COUNT('Inputs &amp; Sources'!I56)=0,"",'Inputs &amp; Sources'!I56)</x:f>
      </x:c>
    </x:row>
    <x:row r="66">
      <x:c r="A66" s="37" t="str">
        <x:v>Operating NWC balance</x:v>
      </x:c>
      <x:c r="B66" s="21" t="str">
        <x:v>model units</x:v>
      </x:c>
      <x:c r="C66" s="52" t="str">
        <x:f>IF('Inputs &amp; Sources'!$B$11="","",'Inputs &amp; Sources'!$B$11)</x:f>
      </x:c>
      <x:c r="D66" s="50" t="str">
        <x:f>IF(OR(D54="",D65=""),"",D54*D65)</x:f>
      </x:c>
      <x:c r="E66" s="50" t="str">
        <x:f>IF(OR(E54="",E65=""),"",E54*E65)</x:f>
      </x:c>
      <x:c r="F66" s="50" t="str">
        <x:f>IF(OR(F54="",F65=""),"",F54*F65)</x:f>
      </x:c>
      <x:c r="G66" s="50" t="str">
        <x:f>IF(OR(G54="",G65=""),"",G54*G65)</x:f>
      </x:c>
      <x:c r="H66" s="50" t="str">
        <x:f>IF(OR(H54="",H65=""),"",H54*H65)</x:f>
      </x:c>
    </x:row>
    <x:row r="67">
      <x:c r="A67" s="37" t="str">
        <x:v>Change in NWC | positive increase is a cash use</x:v>
      </x:c>
      <x:c r="B67" s="21" t="str">
        <x:v>model units</x:v>
      </x:c>
      <x:c r="C67" s="50"/>
      <x:c r="D67" s="50" t="str">
        <x:f>IF(OR(C66="",D66=""),"",D66-C66)</x:f>
      </x:c>
      <x:c r="E67" s="50" t="str">
        <x:f>IF(OR(D66="",E66=""),"",E66-D66)</x:f>
      </x:c>
      <x:c r="F67" s="50" t="str">
        <x:f>IF(OR(E66="",F66=""),"",F66-E66)</x:f>
      </x:c>
      <x:c r="G67" s="50" t="str">
        <x:f>IF(OR(F66="",G66=""),"",G66-F66)</x:f>
      </x:c>
      <x:c r="H67" s="50" t="str">
        <x:f>IF(OR(G66="",H66=""),"",H66-G66)</x:f>
      </x:c>
    </x:row>
    <x:row r="68">
      <x:c r="A68" s="54" t="str">
        <x:v>Unlevered free cash flow</x:v>
      </x:c>
      <x:c r="B68" s="55" t="str">
        <x:v>model units</x:v>
      </x:c>
      <x:c r="C68" s="56"/>
      <x:c r="D68" s="56" t="str">
        <x:f>IF(COUNT(D59,D61,D64,D67)&lt;4,"",D59+D61-D64-D67)</x:f>
      </x:c>
      <x:c r="E68" s="56" t="str">
        <x:f>IF(COUNT(E59,E61,E64,E67)&lt;4,"",E59+E61-E64-E67)</x:f>
      </x:c>
      <x:c r="F68" s="56" t="str">
        <x:f>IF(COUNT(F59,F61,F64,F67)&lt;4,"",F59+F61-F64-F67)</x:f>
      </x:c>
      <x:c r="G68" s="56" t="str">
        <x:f>IF(COUNT(G59,G61,G64,G67)&lt;4,"",G59+G61-G64-G67)</x:f>
      </x:c>
      <x:c r="H68" s="56" t="str">
        <x:f>IF(COUNT(H59,H61,H64,H67)&lt;4,"",H59+H61-H64-H67)</x:f>
      </x:c>
    </x:row>
    <x:row r="69">
      <x:c r="A69" s="37" t="str">
        <x:v>Discount period</x:v>
      </x:c>
      <x:c r="B69" s="21" t="str">
        <x:v>years</x:v>
      </x:c>
      <x:c r="C69" s="50"/>
      <x:c r="D69" s="50" t="n">
        <x:v>1</x:v>
      </x:c>
      <x:c r="E69" s="50" t="n">
        <x:v>2</x:v>
      </x:c>
      <x:c r="F69" s="50" t="n">
        <x:v>3</x:v>
      </x:c>
      <x:c r="G69" s="50" t="n">
        <x:v>4</x:v>
      </x:c>
      <x:c r="H69" s="50" t="n">
        <x:v>5</x:v>
      </x:c>
    </x:row>
    <x:row r="70">
      <x:c r="A70" s="37" t="str">
        <x:v>Discount factor</x:v>
      </x:c>
      <x:c r="B70" s="21" t="str">
        <x:v>x</x:v>
      </x:c>
      <x:c r="C70" s="39"/>
      <x:c r="D70" s="53" t="str">
        <x:f>IF('Inputs &amp; Sources'!$B$30="","",1/(1+'Inputs &amp; Sources'!$B$30)^D69)</x:f>
      </x:c>
      <x:c r="E70" s="53" t="str">
        <x:f>IF('Inputs &amp; Sources'!$B$30="","",1/(1+'Inputs &amp; Sources'!$B$30)^E69)</x:f>
      </x:c>
      <x:c r="F70" s="53" t="str">
        <x:f>IF('Inputs &amp; Sources'!$B$30="","",1/(1+'Inputs &amp; Sources'!$B$30)^F69)</x:f>
      </x:c>
      <x:c r="G70" s="53" t="str">
        <x:f>IF('Inputs &amp; Sources'!$B$30="","",1/(1+'Inputs &amp; Sources'!$B$30)^G69)</x:f>
      </x:c>
      <x:c r="H70" s="53" t="str">
        <x:f>IF('Inputs &amp; Sources'!$B$30="","",1/(1+'Inputs &amp; Sources'!$B$30)^H69)</x:f>
      </x:c>
    </x:row>
    <x:row r="71">
      <x:c r="A71" s="37" t="str">
        <x:v>PV of unlevered FCF</x:v>
      </x:c>
      <x:c r="B71" s="21" t="str">
        <x:v>model units</x:v>
      </x:c>
      <x:c r="C71" s="50"/>
      <x:c r="D71" s="50" t="str">
        <x:f>IF(OR(D68="",D70=""),"",D68*D70)</x:f>
      </x:c>
      <x:c r="E71" s="50" t="str">
        <x:f>IF(OR(E68="",E70=""),"",E68*E70)</x:f>
      </x:c>
      <x:c r="F71" s="50" t="str">
        <x:f>IF(OR(F68="",F70=""),"",F68*F70)</x:f>
      </x:c>
      <x:c r="G71" s="50" t="str">
        <x:f>IF(OR(G68="",G70=""),"",G68*G70)</x:f>
      </x:c>
      <x:c r="H71" s="50" t="str">
        <x:f>IF(OR(H68="",H70=""),"",H68*H70)</x:f>
      </x:c>
    </x:row>
  </x:sheetData>
  <x:mergeCells>
    <x:mergeCell ref="A1:H1"/>
    <x:mergeCell ref="A2:H2"/>
    <x:mergeCell ref="A3:H3"/>
    <x:mergeCell ref="A5:H5"/>
    <x:mergeCell ref="A28:H28"/>
    <x:mergeCell ref="A51:H5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42" hidden="0" customWidth="1"/>
  </x:cols>
  <x:sheetData>
    <x:row r="1" ht="28" customHeight="1">
      <x:c r="A1" s="70" t="str">
        <x:v>BUS311 Capstone Milestone 3 | Valuation</x:v>
      </x:c>
      <x:c r="B1" s="70"/>
      <x:c r="C1" s="70"/>
      <x:c r="D1" s="70"/>
      <x:c r="E1" s="70"/>
      <x:c r="F1" s="70"/>
    </x:row>
    <x:row r="2" ht="30" customHeight="1">
      <x:c r="A2" s="71" t="str">
        <x:v>Gordon-growth DCF, enterprise-to-equity bridge, and decision-useful scenario outputs. This is supporting CFO evidence, not a required Buy/Hold/Sell call.</x:v>
      </x:c>
      <x:c r="B2" s="71"/>
      <x:c r="C2" s="71"/>
      <x:c r="D2" s="71"/>
      <x:c r="E2" s="71"/>
      <x:c r="F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</x:row>
    <x:row r="4">
      <x:c r="A4" s="73"/>
      <x:c r="B4" s="73"/>
      <x:c r="C4" s="73"/>
      <x:c r="D4" s="73"/>
      <x:c r="E4" s="73"/>
      <x:c r="F4" s="73"/>
    </x:row>
    <x:row r="5" ht="22" customHeight="1">
      <x:c r="A5" s="74" t="str">
        <x:v>Scenario valuation summary</x:v>
      </x:c>
      <x:c r="B5" s="74"/>
      <x:c r="C5" s="74"/>
      <x:c r="D5" s="74"/>
      <x:c r="E5" s="74"/>
      <x:c r="F5" s="74"/>
    </x:row>
    <x:row r="6" ht="34" customHeight="1">
      <x:c r="A6" s="20" t="str">
        <x:v>Valuation bridge</x:v>
      </x:c>
      <x:c r="B6" s="20" t="str">
        <x:v>Units</x:v>
      </x:c>
      <x:c r="C6" s="20" t="str">
        <x:v>Base</x:v>
      </x:c>
      <x:c r="D6" s="20" t="str">
        <x:v>Upside</x:v>
      </x:c>
      <x:c r="E6" s="20" t="str">
        <x:v>Downside</x:v>
      </x:c>
      <x:c r="F6" s="20" t="str">
        <x:v>Decision use</x:v>
      </x:c>
    </x:row>
    <x:row r="7">
      <x:c r="A7" s="37" t="str">
        <x:v>PV of forecast UFCF</x:v>
      </x:c>
      <x:c r="B7" s="21" t="str">
        <x:v>model units</x:v>
      </x:c>
      <x:c r="C7" s="52" t="str">
        <x:f>IF(COUNT('Scenario Forecasts'!D25:H25)&lt;5,"",SUM('Scenario Forecasts'!D25:H25))</x:f>
      </x:c>
      <x:c r="D7" s="52" t="str">
        <x:f>IF(COUNT('Scenario Forecasts'!D48:H48)&lt;5,"",SUM('Scenario Forecasts'!D48:H48))</x:f>
      </x:c>
      <x:c r="E7" s="52" t="str">
        <x:f>IF(COUNT('Scenario Forecasts'!D71:H71)&lt;5,"",SUM('Scenario Forecasts'!D71:H71))</x:f>
      </x:c>
      <x:c r="F7" s="21" t="str"/>
    </x:row>
    <x:row r="8">
      <x:c r="A8" s="37" t="str">
        <x:v>PV of terminal value</x:v>
      </x:c>
      <x:c r="B8" s="21" t="str">
        <x:v>model units</x:v>
      </x:c>
      <x:c r="C8" s="52" t="str">
        <x:f>IF(OR('Scenario Forecasts'!H22="",'Inputs &amp; Sources'!$B$30&lt;='Inputs &amp; Sources'!$J$41),"",('Scenario Forecasts'!H22*(1+'Inputs &amp; Sources'!$J$41)/('Inputs &amp; Sources'!$B$30-'Inputs &amp; Sources'!$J$41))/(1+'Inputs &amp; Sources'!$B$30)^5)</x:f>
      </x:c>
      <x:c r="D8" s="52" t="str">
        <x:f>IF(OR('Scenario Forecasts'!H45="",'Inputs &amp; Sources'!$B$30&lt;='Inputs &amp; Sources'!$J$49),"",('Scenario Forecasts'!H45*(1+'Inputs &amp; Sources'!$J$49)/('Inputs &amp; Sources'!$B$30-'Inputs &amp; Sources'!$J$49))/(1+'Inputs &amp; Sources'!$B$30)^5)</x:f>
      </x:c>
      <x:c r="E8" s="52" t="str">
        <x:f>IF(OR('Scenario Forecasts'!H68="",'Inputs &amp; Sources'!$B$30&lt;='Inputs &amp; Sources'!$J$57),"",('Scenario Forecasts'!H68*(1+'Inputs &amp; Sources'!$J$57)/('Inputs &amp; Sources'!$B$30-'Inputs &amp; Sources'!$J$57))/(1+'Inputs &amp; Sources'!$B$30)^5)</x:f>
      </x:c>
      <x:c r="F8" s="21" t="str"/>
    </x:row>
    <x:row r="9">
      <x:c r="A9" s="54" t="str">
        <x:v>Enterprise value</x:v>
      </x:c>
      <x:c r="B9" s="55" t="str">
        <x:v>model units</x:v>
      </x:c>
      <x:c r="C9" s="56" t="str">
        <x:f>IF(COUNT(C7:C8)&lt;2,"",SUM(C7:C8))</x:f>
      </x:c>
      <x:c r="D9" s="56" t="str">
        <x:f>IF(COUNT(D7:D8)&lt;2,"",SUM(D7:D8))</x:f>
      </x:c>
      <x:c r="E9" s="56" t="str">
        <x:f>IF(COUNT(E7:E8)&lt;2,"",SUM(E7:E8))</x:f>
      </x:c>
      <x:c r="F9" s="55" t="str">
        <x:v>Value of operations</x:v>
      </x:c>
    </x:row>
    <x:row r="10">
      <x:c r="A10" s="37" t="str">
        <x:v>Gross debt</x:v>
      </x:c>
      <x:c r="B10" s="21" t="str">
        <x:v>model units</x:v>
      </x:c>
      <x:c r="C10" s="52" t="str">
        <x:f>IF('Inputs &amp; Sources'!$B$18="","",'Inputs &amp; Sources'!$B$18)</x:f>
      </x:c>
      <x:c r="D10" s="52" t="str">
        <x:f>IF('Inputs &amp; Sources'!$B$18="","",'Inputs &amp; Sources'!$B$18)</x:f>
      </x:c>
      <x:c r="E10" s="52" t="str">
        <x:f>IF('Inputs &amp; Sources'!$B$18="","",'Inputs &amp; Sources'!$B$18)</x:f>
      </x:c>
      <x:c r="F10" s="21" t="str"/>
    </x:row>
    <x:row r="11">
      <x:c r="A11" s="37" t="str">
        <x:v>Cash and equivalents</x:v>
      </x:c>
      <x:c r="B11" s="21" t="str">
        <x:v>model units</x:v>
      </x:c>
      <x:c r="C11" s="52" t="str">
        <x:f>IF('Inputs &amp; Sources'!$B$19="","",'Inputs &amp; Sources'!$B$19)</x:f>
      </x:c>
      <x:c r="D11" s="52" t="str">
        <x:f>IF('Inputs &amp; Sources'!$B$19="","",'Inputs &amp; Sources'!$B$19)</x:f>
      </x:c>
      <x:c r="E11" s="52" t="str">
        <x:f>IF('Inputs &amp; Sources'!$B$19="","",'Inputs &amp; Sources'!$B$19)</x:f>
      </x:c>
      <x:c r="F11" s="21" t="str"/>
    </x:row>
    <x:row r="12">
      <x:c r="A12" s="54" t="str">
        <x:v>Equity value</x:v>
      </x:c>
      <x:c r="B12" s="55" t="str">
        <x:v>model units</x:v>
      </x:c>
      <x:c r="C12" s="56" t="str">
        <x:f>IF(C9="","",C9-C10+C11)</x:f>
      </x:c>
      <x:c r="D12" s="56" t="str">
        <x:f>IF(D9="","",D9-D10+D11)</x:f>
      </x:c>
      <x:c r="E12" s="56" t="str">
        <x:f>IF(E9="","",E9-E10+E11)</x:f>
      </x:c>
      <x:c r="F12" s="55" t="str">
        <x:v>Enterprise value − debt + cash</x:v>
      </x:c>
    </x:row>
    <x:row r="13">
      <x:c r="A13" s="37" t="str">
        <x:v>Diluted shares</x:v>
      </x:c>
      <x:c r="B13" s="21" t="str">
        <x:v>millions</x:v>
      </x:c>
      <x:c r="C13" s="52" t="str">
        <x:f>IF('Inputs &amp; Sources'!$B$20="","",'Inputs &amp; Sources'!$B$20)</x:f>
      </x:c>
      <x:c r="D13" s="52" t="str">
        <x:f>IF('Inputs &amp; Sources'!$B$20="","",'Inputs &amp; Sources'!$B$20)</x:f>
      </x:c>
      <x:c r="E13" s="52" t="str">
        <x:f>IF('Inputs &amp; Sources'!$B$20="","",'Inputs &amp; Sources'!$B$20)</x:f>
      </x:c>
      <x:c r="F13" s="21" t="str"/>
    </x:row>
    <x:row r="14">
      <x:c r="A14" s="37" t="str">
        <x:v>Implied value per share</x:v>
      </x:c>
      <x:c r="B14" s="21" t="str">
        <x:v>per share</x:v>
      </x:c>
      <x:c r="C14" s="57" t="str">
        <x:f>IFERROR(C12/C13,"")</x:f>
      </x:c>
      <x:c r="D14" s="57" t="str">
        <x:f>IFERROR(D12/D13,"")</x:f>
      </x:c>
      <x:c r="E14" s="57" t="str">
        <x:f>IFERROR(E12/E13,"")</x:f>
      </x:c>
      <x:c r="F14" s="21" t="str">
        <x:v>Scenario evidence for the CFO/Board</x:v>
      </x:c>
    </x:row>
    <x:row r="15">
      <x:c r="A15" s="37" t="str">
        <x:v>Current share price</x:v>
      </x:c>
      <x:c r="B15" s="21" t="str">
        <x:v>per share</x:v>
      </x:c>
      <x:c r="C15" s="57" t="str">
        <x:f>IF('Inputs &amp; Sources'!$B$21="","",'Inputs &amp; Sources'!$B$21)</x:f>
      </x:c>
      <x:c r="D15" s="57" t="str">
        <x:f>IF('Inputs &amp; Sources'!$B$21="","",'Inputs &amp; Sources'!$B$21)</x:f>
      </x:c>
      <x:c r="E15" s="57" t="str">
        <x:f>IF('Inputs &amp; Sources'!$B$21="","",'Inputs &amp; Sources'!$B$21)</x:f>
      </x:c>
      <x:c r="F15" s="21" t="str"/>
    </x:row>
    <x:row r="16">
      <x:c r="A16" s="37" t="str">
        <x:v>Implied upside / (downside)</x:v>
      </x:c>
      <x:c r="B16" s="21" t="str">
        <x:v>%</x:v>
      </x:c>
      <x:c r="C16" s="39" t="str">
        <x:f>IFERROR(C14/C15-1,"")</x:f>
      </x:c>
      <x:c r="D16" s="39" t="str">
        <x:f>IFERROR(D14/D15-1,"")</x:f>
      </x:c>
      <x:c r="E16" s="39" t="str">
        <x:f>IFERROR(E14/E15-1,"")</x:f>
      </x:c>
      <x:c r="F16" s="21" t="str"/>
    </x:row>
    <x:row r="17">
      <x:c r="A17" s="73"/>
      <x:c r="B17" s="73"/>
      <x:c r="C17" s="73"/>
      <x:c r="D17" s="73"/>
      <x:c r="E17" s="73"/>
      <x:c r="F17" s="73"/>
    </x:row>
    <x:row r="18" ht="22" customHeight="1">
      <x:c r="A18" s="74" t="str">
        <x:v>Terminal value reasonableness</x:v>
      </x:c>
      <x:c r="B18" s="74"/>
      <x:c r="C18" s="74"/>
      <x:c r="D18" s="74"/>
      <x:c r="E18" s="74"/>
      <x:c r="F18" s="74"/>
    </x:row>
    <x:row r="19" ht="34" customHeight="1">
      <x:c r="A19" s="20" t="str">
        <x:v>Metric</x:v>
      </x:c>
      <x:c r="B19" s="20" t="str">
        <x:v>Units</x:v>
      </x:c>
      <x:c r="C19" s="20" t="str">
        <x:v>Base</x:v>
      </x:c>
      <x:c r="D19" s="20" t="str">
        <x:v>Upside</x:v>
      </x:c>
      <x:c r="E19" s="20" t="str">
        <x:v>Downside</x:v>
      </x:c>
      <x:c r="F19" s="20" t="str">
        <x:v>Review question</x:v>
      </x:c>
    </x:row>
    <x:row r="20">
      <x:c r="A20" s="37" t="str">
        <x:v>Terminal growth</x:v>
      </x:c>
      <x:c r="B20" s="21" t="str">
        <x:v>%</x:v>
      </x:c>
      <x:c r="C20" s="53" t="str">
        <x:f>IF('Inputs &amp; Sources'!$J$41="","",'Inputs &amp; Sources'!$J$41)</x:f>
      </x:c>
      <x:c r="D20" s="53" t="str">
        <x:f>IF('Inputs &amp; Sources'!$J$49="","",'Inputs &amp; Sources'!$J$49)</x:f>
      </x:c>
      <x:c r="E20" s="53" t="str">
        <x:f>IF('Inputs &amp; Sources'!$J$57="","",'Inputs &amp; Sources'!$J$57)</x:f>
      </x:c>
      <x:c r="F20" s="21" t="str">
        <x:v>Is long-run growth defensible?</x:v>
      </x:c>
    </x:row>
    <x:row r="21">
      <x:c r="A21" s="37" t="str">
        <x:v>WACC</x:v>
      </x:c>
      <x:c r="B21" s="21" t="str">
        <x:v>%</x:v>
      </x:c>
      <x:c r="C21" s="53" t="str">
        <x:f>IF('Inputs &amp; Sources'!$B$30="","",'Inputs &amp; Sources'!$B$30)</x:f>
      </x:c>
      <x:c r="D21" s="53" t="str">
        <x:f>IF('Inputs &amp; Sources'!$B$30="","",'Inputs &amp; Sources'!$B$30)</x:f>
      </x:c>
      <x:c r="E21" s="53" t="str">
        <x:f>IF('Inputs &amp; Sources'!$B$30="","",'Inputs &amp; Sources'!$B$30)</x:f>
      </x:c>
      <x:c r="F21" s="21" t="str">
        <x:v>Does it reflect current market-value financing?</x:v>
      </x:c>
    </x:row>
    <x:row r="22">
      <x:c r="A22" s="37" t="str">
        <x:v>Year 5 UFCF</x:v>
      </x:c>
      <x:c r="B22" s="21" t="str">
        <x:v>model units</x:v>
      </x:c>
      <x:c r="C22" s="52" t="str">
        <x:f>IF('Scenario Forecasts'!H22="","",'Scenario Forecasts'!H22)</x:f>
      </x:c>
      <x:c r="D22" s="52" t="str">
        <x:f>IF('Scenario Forecasts'!H45="","",'Scenario Forecasts'!H45)</x:f>
      </x:c>
      <x:c r="E22" s="52" t="str">
        <x:f>IF('Scenario Forecasts'!H68="","",'Scenario Forecasts'!H68)</x:f>
      </x:c>
      <x:c r="F22" s="21" t="str">
        <x:v>Does cash flow reflect the operating case?</x:v>
      </x:c>
    </x:row>
    <x:row r="23">
      <x:c r="A23" s="37" t="str">
        <x:v>Year 6 terminal FCF</x:v>
      </x:c>
      <x:c r="B23" s="21" t="str">
        <x:v>model units</x:v>
      </x:c>
      <x:c r="C23" s="50" t="str">
        <x:f>IF(OR(C20="",C22=""),"",C22*(1+C20))</x:f>
      </x:c>
      <x:c r="D23" s="50" t="str">
        <x:f>IF(OR(D20="",D22=""),"",D22*(1+D20))</x:f>
      </x:c>
      <x:c r="E23" s="50" t="str">
        <x:f>IF(OR(E20="",E22=""),"",E22*(1+E20))</x:f>
      </x:c>
      <x:c r="F23" s="21" t="str">
        <x:v>Year 5 FCF × (1 + g)</x:v>
      </x:c>
    </x:row>
    <x:row r="24">
      <x:c r="A24" s="37" t="str">
        <x:v>Undiscounted terminal value</x:v>
      </x:c>
      <x:c r="B24" s="21" t="str">
        <x:v>model units</x:v>
      </x:c>
      <x:c r="C24" s="50" t="str">
        <x:f>IF(OR(C21&lt;=C20,C23=""),"",C23/(C21-C20))</x:f>
      </x:c>
      <x:c r="D24" s="50" t="str">
        <x:f>IF(OR(D21&lt;=D20,D23=""),"",D23/(D21-D20))</x:f>
      </x:c>
      <x:c r="E24" s="50" t="str">
        <x:f>IF(OR(E21&lt;=E20,E23=""),"",E23/(E21-E20))</x:f>
      </x:c>
      <x:c r="F24" s="21" t="str">
        <x:v>Requires WACC &gt; g</x:v>
      </x:c>
    </x:row>
    <x:row r="25">
      <x:c r="A25" s="37" t="str">
        <x:v>PV of terminal value</x:v>
      </x:c>
      <x:c r="B25" s="21" t="str">
        <x:v>model units</x:v>
      </x:c>
      <x:c r="C25" s="50" t="str">
        <x:f>IF(C24="","",C24/(1+C21)^5)</x:f>
      </x:c>
      <x:c r="D25" s="50" t="str">
        <x:f>IF(D24="","",D24/(1+D21)^5)</x:f>
      </x:c>
      <x:c r="E25" s="50" t="str">
        <x:f>IF(E24="","",E24/(1+E21)^5)</x:f>
      </x:c>
      <x:c r="F25" s="21" t="str">
        <x:v>Discounted on the same end-year convention</x:v>
      </x:c>
    </x:row>
    <x:row r="26">
      <x:c r="A26" s="37" t="str">
        <x:v>PV terminal value / enterprise value</x:v>
      </x:c>
      <x:c r="B26" s="21" t="str">
        <x:v>%</x:v>
      </x:c>
      <x:c r="C26" s="39" t="str">
        <x:f>IFERROR(C25/C9,"")</x:f>
      </x:c>
      <x:c r="D26" s="39" t="str">
        <x:f>IFERROR(D25/D9,"")</x:f>
      </x:c>
      <x:c r="E26" s="39" t="str">
        <x:f>IFERROR(E25/E9,"")</x:f>
      </x:c>
      <x:c r="F26" s="21" t="str">
        <x:v>High dependence requires explicit discussion</x:v>
      </x:c>
    </x:row>
    <x:row r="27">
      <x:c r="A27" s="37" t="str">
        <x:v>Implied terminal EV / EBITDA</x:v>
      </x:c>
      <x:c r="B27" s="21" t="str">
        <x:v>x</x:v>
      </x:c>
      <x:c r="C27" s="58" t="str">
        <x:f>IFERROR(C24/'Scenario Forecasts'!H16,"")</x:f>
      </x:c>
      <x:c r="D27" s="58" t="str">
        <x:f>IFERROR(D24/'Scenario Forecasts'!H39,"")</x:f>
      </x:c>
      <x:c r="E27" s="58" t="str">
        <x:f>IFERROR(E24/'Scenario Forecasts'!H62,"")</x:f>
      </x:c>
      <x:c r="F27" s="21" t="str">
        <x:v>Compare with company/peer economics; not a substitute for judgment</x:v>
      </x:c>
    </x:row>
    <x:row r="28">
      <x:c r="A28" s="37" t="str">
        <x:v>WACC − terminal growth spread</x:v>
      </x:c>
      <x:c r="B28" s="21" t="str">
        <x:v>%</x:v>
      </x:c>
      <x:c r="C28" s="39" t="str">
        <x:f>IF(COUNT(C20:C21)&lt;2,"",C21-C20)</x:f>
      </x:c>
      <x:c r="D28" s="39" t="str">
        <x:f>IF(COUNT(D20:D21)&lt;2,"",D21-D20)</x:f>
      </x:c>
      <x:c r="E28" s="39" t="str">
        <x:f>IF(COUNT(E20:E21)&lt;2,"",E21-E20)</x:f>
      </x:c>
      <x:c r="F28" s="21" t="str">
        <x:v>A narrow spread magnifies value and risk</x:v>
      </x:c>
    </x:row>
  </x:sheetData>
  <x:mergeCells>
    <x:mergeCell ref="A1:F1"/>
    <x:mergeCell ref="A2:F2"/>
    <x:mergeCell ref="A3:F3"/>
    <x:mergeCell ref="A5:F5"/>
    <x:mergeCell ref="A18:F1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" hidden="0" customWidth="1"/>
    <x:col min="2" max="2" width="1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70" t="str">
        <x:v>BUS311 Capstone Milestone 3 | Decision Economics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Optional for a discrete investment decision. Uses after-tax incremental cash flow and fractional, guarded payback logic.</x:v>
      </x:c>
      <x:c r="B2" s="71"/>
      <x:c r="C2" s="71"/>
      <x:c r="D2" s="71"/>
      <x:c r="E2" s="71"/>
      <x:c r="F2" s="71"/>
      <x:c r="G2" s="71"/>
      <x:c r="H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22" customHeight="1">
      <x:c r="A5" s="74" t="str">
        <x:v>Applicability and project inputs</x:v>
      </x:c>
      <x:c r="B5" s="74"/>
      <x:c r="C5" s="74"/>
      <x:c r="D5" s="74"/>
      <x:c r="E5" s="74"/>
      <x:c r="F5" s="74"/>
      <x:c r="G5" s="74"/>
      <x:c r="H5" s="74"/>
    </x:row>
    <x:row r="6" ht="66" customHeight="1">
      <x:c r="A6" s="20" t="str">
        <x:v>Input</x:v>
      </x:c>
      <x:c r="B6" s="20" t="str">
        <x:v>Value</x:v>
      </x:c>
      <x:c r="C6" s="20" t="str">
        <x:v>Units</x:v>
      </x:c>
      <x:c r="D6" s="20" t="str">
        <x:v>Source ID</x:v>
      </x:c>
      <x:c r="E6" s="73"/>
      <x:c r="F6" s="76" t="str">
        <x:v>When to use</x:v>
      </x:c>
      <x:c r="G6" s="76"/>
      <x:c r="H6" s="76"/>
    </x:row>
    <x:row r="7" ht="66" customHeight="1">
      <x:c r="A7" s="37" t="str">
        <x:v>Applicable?</x:v>
      </x:c>
      <x:c r="B7" s="23" t="str">
        <x:v>No</x:v>
      </x:c>
      <x:c r="C7" s="21" t="str">
        <x:v>Yes / No</x:v>
      </x:c>
      <x:c r="D7" s="23" t="str"/>
      <x:c r="E7" s="73"/>
      <x:c r="F7" s="76" t="str">
        <x:v>Complete this schedule only when the approved CFO decision has a discrete incremental investment, acquisition, capacity, technology, or other project cash-flow path.</x:v>
      </x:c>
      <x:c r="G7" s="76"/>
      <x:c r="H7" s="76"/>
    </x:row>
    <x:row r="8" ht="66" customHeight="1">
      <x:c r="A8" s="37" t="str">
        <x:v>Decision / project name</x:v>
      </x:c>
      <x:c r="B8" s="23" t="str"/>
      <x:c r="C8" s="21" t="str">
        <x:v>text</x:v>
      </x:c>
      <x:c r="D8" s="23" t="str"/>
      <x:c r="E8" s="73"/>
      <x:c r="F8" s="76" t="str">
        <x:v>Depreciation</x:v>
      </x:c>
      <x:c r="G8" s="76"/>
      <x:c r="H8" s="76"/>
    </x:row>
    <x:row r="9" ht="66" customHeight="1">
      <x:c r="A9" s="37" t="str">
        <x:v>Initial capital outlay</x:v>
      </x:c>
      <x:c r="B9" s="38"/>
      <x:c r="C9" s="21" t="str">
        <x:v>model units</x:v>
      </x:c>
      <x:c r="D9" s="23" t="str"/>
      <x:c r="E9" s="73"/>
      <x:c r="F9" s="76" t="str">
        <x:v>The template calculates straight-line depreciation on the initial depreciable basis. If follow-on CapEx or tax depreciation is material, expand the schedule and source the method.</x:v>
      </x:c>
      <x:c r="G9" s="76"/>
      <x:c r="H9" s="76"/>
    </x:row>
    <x:row r="10" ht="66" customHeight="1">
      <x:c r="A10" s="37" t="str">
        <x:v>Initial operating NWC investment</x:v>
      </x:c>
      <x:c r="B10" s="38"/>
      <x:c r="C10" s="21" t="str">
        <x:v>model units</x:v>
      </x:c>
      <x:c r="D10" s="23" t="str"/>
      <x:c r="E10" s="73"/>
      <x:c r="F10" s="76" t="str">
        <x:v>Taxes</x:v>
      </x:c>
      <x:c r="G10" s="76"/>
      <x:c r="H10" s="76"/>
    </x:row>
    <x:row r="11" ht="66" customHeight="1">
      <x:c r="A11" s="37" t="str">
        <x:v>Depreciable basis</x:v>
      </x:c>
      <x:c r="B11" s="38"/>
      <x:c r="C11" s="21" t="str">
        <x:v>model units</x:v>
      </x:c>
      <x:c r="D11" s="23" t="str"/>
      <x:c r="E11" s="73"/>
      <x:c r="F11" s="76" t="str">
        <x:v>Cash taxes are not negative. Any immediate loss benefit or NOL utilization must be modeled and sourced separately.</x:v>
      </x:c>
      <x:c r="G11" s="76"/>
      <x:c r="H11" s="76"/>
    </x:row>
    <x:row r="12" ht="66" customHeight="1">
      <x:c r="A12" s="37" t="str">
        <x:v>Useful life</x:v>
      </x:c>
      <x:c r="B12" s="38"/>
      <x:c r="C12" s="21" t="str">
        <x:v>years</x:v>
      </x:c>
      <x:c r="D12" s="23" t="str"/>
      <x:c r="E12" s="73"/>
      <x:c r="F12" s="76" t="str">
        <x:v>Payback</x:v>
      </x:c>
      <x:c r="G12" s="76"/>
      <x:c r="H12" s="76"/>
    </x:row>
    <x:row r="13" ht="66" customHeight="1">
      <x:c r="A13" s="37" t="str">
        <x:v>Terminal tax book value</x:v>
      </x:c>
      <x:c r="B13" s="38"/>
      <x:c r="C13" s="21" t="str">
        <x:v>model units</x:v>
      </x:c>
      <x:c r="D13" s="23" t="str"/>
      <x:c r="E13" s="73"/>
      <x:c r="F13" s="76" t="str">
        <x:v>Payback uses undiscounted incremental FCF, reports a fractional year, handles exact zero, and returns No payback instead of an error.</x:v>
      </x:c>
      <x:c r="G13" s="76"/>
      <x:c r="H13" s="76"/>
    </x:row>
    <x:row r="14" ht="66" customHeight="1">
      <x:c r="A14" s="37" t="str">
        <x:v>Tax rate</x:v>
      </x:c>
      <x:c r="B14" s="53" t="str">
        <x:f>IF('Inputs &amp; Sources'!$B$12="","",'Inputs &amp; Sources'!$B$12)</x:f>
      </x:c>
      <x:c r="C14" s="21" t="str">
        <x:v>%</x:v>
      </x:c>
      <x:c r="D14" s="21" t="str">
        <x:v>linked</x:v>
      </x:c>
      <x:c r="E14" s="73"/>
      <x:c r="F14" s="76" t="str">
        <x:v>Decision rule</x:v>
      </x:c>
      <x:c r="G14" s="76"/>
      <x:c r="H14" s="76"/>
    </x:row>
    <x:row r="15" ht="66" customHeight="1">
      <x:c r="A15" s="37" t="str">
        <x:v>Discount rate</x:v>
      </x:c>
      <x:c r="B15" s="53" t="str">
        <x:f>IF('Inputs &amp; Sources'!$B$30="","",'Inputs &amp; Sources'!$B$30)</x:f>
      </x:c>
      <x:c r="C15" s="21" t="str">
        <x:v>%</x:v>
      </x:c>
      <x:c r="D15" s="21" t="str">
        <x:v>linked</x:v>
      </x:c>
      <x:c r="E15" s="73"/>
      <x:c r="F15" s="76" t="str">
        <x:v>NPV is the primary value-creation metric; IRR and payback are supporting constraints, not substitutes for strategy and risk.</x:v>
      </x:c>
      <x:c r="G15" s="76"/>
      <x:c r="H15" s="76"/>
    </x:row>
    <x:row r="16">
      <x:c r="A16" s="73"/>
      <x:c r="B16" s="73"/>
      <x:c r="C16" s="73"/>
      <x:c r="D16" s="73"/>
      <x:c r="E16" s="73"/>
      <x:c r="F16" s="73"/>
      <x:c r="G16" s="73"/>
      <x:c r="H16" s="73"/>
    </x:row>
    <x:row r="17" ht="22" customHeight="1">
      <x:c r="A17" s="74" t="str">
        <x:v>Incremental after-tax cash flow</x:v>
      </x:c>
      <x:c r="B17" s="74"/>
      <x:c r="C17" s="74"/>
      <x:c r="D17" s="74"/>
      <x:c r="E17" s="74"/>
      <x:c r="F17" s="74"/>
      <x:c r="G17" s="74"/>
      <x:c r="H17" s="74"/>
    </x:row>
    <x:row r="18" ht="34" customHeight="1">
      <x:c r="A18" s="20" t="str">
        <x:v>Line item</x:v>
      </x:c>
      <x:c r="B18" s="20" t="str">
        <x:v>Source ID</x:v>
      </x:c>
      <x:c r="C18" s="20" t="str">
        <x:v>Year 0</x:v>
      </x:c>
      <x:c r="D18" s="20" t="str">
        <x:v>Year 1</x:v>
      </x:c>
      <x:c r="E18" s="20" t="str">
        <x:v>Year 2</x:v>
      </x:c>
      <x:c r="F18" s="20" t="str">
        <x:v>Year 3</x:v>
      </x:c>
      <x:c r="G18" s="20" t="str">
        <x:v>Year 4</x:v>
      </x:c>
      <x:c r="H18" s="20" t="str">
        <x:v>Year 5</x:v>
      </x:c>
    </x:row>
    <x:row r="19">
      <x:c r="A19" s="37" t="str">
        <x:v>Incremental revenue</x:v>
      </x:c>
      <x:c r="B19" s="23" t="str"/>
      <x:c r="C19" s="50"/>
      <x:c r="D19" s="38"/>
      <x:c r="E19" s="38"/>
      <x:c r="F19" s="38"/>
      <x:c r="G19" s="38"/>
      <x:c r="H19" s="38"/>
    </x:row>
    <x:row r="20">
      <x:c r="A20" s="37" t="str">
        <x:v>Cash operating costs | positive use</x:v>
      </x:c>
      <x:c r="B20" s="23" t="str"/>
      <x:c r="C20" s="50"/>
      <x:c r="D20" s="38"/>
      <x:c r="E20" s="38"/>
      <x:c r="F20" s="38"/>
      <x:c r="G20" s="38"/>
      <x:c r="H20" s="38"/>
    </x:row>
    <x:row r="21">
      <x:c r="A21" s="37" t="str">
        <x:v>Straight-line depreciation</x:v>
      </x:c>
      <x:c r="B21" s="21" t="str"/>
      <x:c r="C21" s="50"/>
      <x:c r="D21" s="50" t="str">
        <x:f>IF(OR($B$7&lt;&gt;"Yes",$B$11="",$B$12=""),"",IF(COLUMN()-3&lt;=$B$12,($B$11-$B$13)/$B$12,0))</x:f>
      </x:c>
      <x:c r="E21" s="50" t="str">
        <x:f>IF(OR($B$7&lt;&gt;"Yes",$B$11="",$B$12=""),"",IF(COLUMN()-3&lt;=$B$12,($B$11-$B$13)/$B$12,0))</x:f>
      </x:c>
      <x:c r="F21" s="50" t="str">
        <x:f>IF(OR($B$7&lt;&gt;"Yes",$B$11="",$B$12=""),"",IF(COLUMN()-3&lt;=$B$12,($B$11-$B$13)/$B$12,0))</x:f>
      </x:c>
      <x:c r="G21" s="50" t="str">
        <x:f>IF(OR($B$7&lt;&gt;"Yes",$B$11="",$B$12=""),"",IF(COLUMN()-3&lt;=$B$12,($B$11-$B$13)/$B$12,0))</x:f>
      </x:c>
      <x:c r="H21" s="50" t="str">
        <x:f>IF(OR($B$7&lt;&gt;"Yes",$B$11="",$B$12=""),"",IF(COLUMN()-3&lt;=$B$12,($B$11-$B$13)/$B$12,0))</x:f>
      </x:c>
    </x:row>
    <x:row r="22">
      <x:c r="A22" s="37" t="str">
        <x:v>EBIT</x:v>
      </x:c>
      <x:c r="B22" s="21" t="str"/>
      <x:c r="C22" s="50"/>
      <x:c r="D22" s="50" t="str">
        <x:f>IF(COUNT(D19:D21)&lt;3,"",D19-D20-D21)</x:f>
      </x:c>
      <x:c r="E22" s="50" t="str">
        <x:f>IF(COUNT(E19:E21)&lt;3,"",E19-E20-E21)</x:f>
      </x:c>
      <x:c r="F22" s="50" t="str">
        <x:f>IF(COUNT(F19:F21)&lt;3,"",F19-F20-F21)</x:f>
      </x:c>
      <x:c r="G22" s="50" t="str">
        <x:f>IF(COUNT(G19:G21)&lt;3,"",G19-G20-G21)</x:f>
      </x:c>
      <x:c r="H22" s="50" t="str">
        <x:f>IF(COUNT(H19:H21)&lt;3,"",H19-H20-H21)</x:f>
      </x:c>
    </x:row>
    <x:row r="23">
      <x:c r="A23" s="37" t="str">
        <x:v>Cash taxes on EBIT</x:v>
      </x:c>
      <x:c r="B23" s="21" t="str"/>
      <x:c r="C23" s="50"/>
      <x:c r="D23" s="50" t="str">
        <x:f>IF(OR(D22="",$B$14=""),"",MAX(0,D22*$B$14))</x:f>
      </x:c>
      <x:c r="E23" s="50" t="str">
        <x:f>IF(OR(E22="",$B$14=""),"",MAX(0,E22*$B$14))</x:f>
      </x:c>
      <x:c r="F23" s="50" t="str">
        <x:f>IF(OR(F22="",$B$14=""),"",MAX(0,F22*$B$14))</x:f>
      </x:c>
      <x:c r="G23" s="50" t="str">
        <x:f>IF(OR(G22="",$B$14=""),"",MAX(0,G22*$B$14))</x:f>
      </x:c>
      <x:c r="H23" s="50" t="str">
        <x:f>IF(OR(H22="",$B$14=""),"",MAX(0,H22*$B$14))</x:f>
      </x:c>
    </x:row>
    <x:row r="24">
      <x:c r="A24" s="37" t="str">
        <x:v>NOPAT</x:v>
      </x:c>
      <x:c r="B24" s="21" t="str"/>
      <x:c r="C24" s="50"/>
      <x:c r="D24" s="50" t="str">
        <x:f>IF(D22="","",D22-D23)</x:f>
      </x:c>
      <x:c r="E24" s="50" t="str">
        <x:f>IF(E22="","",E22-E23)</x:f>
      </x:c>
      <x:c r="F24" s="50" t="str">
        <x:f>IF(F22="","",F22-F23)</x:f>
      </x:c>
      <x:c r="G24" s="50" t="str">
        <x:f>IF(G22="","",G22-G23)</x:f>
      </x:c>
      <x:c r="H24" s="50" t="str">
        <x:f>IF(H22="","",H22-H23)</x:f>
      </x:c>
    </x:row>
    <x:row r="25">
      <x:c r="A25" s="37" t="str">
        <x:v>Add: depreciation</x:v>
      </x:c>
      <x:c r="B25" s="21" t="str"/>
      <x:c r="C25" s="50"/>
      <x:c r="D25" s="50" t="str">
        <x:f>IF(D21="","",D21)</x:f>
      </x:c>
      <x:c r="E25" s="50" t="str">
        <x:f>IF(E21="","",E21)</x:f>
      </x:c>
      <x:c r="F25" s="50" t="str">
        <x:f>IF(F21="","",F21)</x:f>
      </x:c>
      <x:c r="G25" s="50" t="str">
        <x:f>IF(G21="","",G21)</x:f>
      </x:c>
      <x:c r="H25" s="50" t="str">
        <x:f>IF(H21="","",H21)</x:f>
      </x:c>
    </x:row>
    <x:row r="26">
      <x:c r="A26" s="37" t="str">
        <x:v>Capital expenditures | positive use</x:v>
      </x:c>
      <x:c r="B26" s="23" t="str"/>
      <x:c r="C26" s="52" t="str">
        <x:f>IF($B$7&lt;&gt;"Yes","",$B$9)</x:f>
      </x:c>
      <x:c r="D26" s="38"/>
      <x:c r="E26" s="38"/>
      <x:c r="F26" s="38"/>
      <x:c r="G26" s="38"/>
      <x:c r="H26" s="38"/>
    </x:row>
    <x:row r="27">
      <x:c r="A27" s="37" t="str">
        <x:v>Change in NWC | positive increase is a use</x:v>
      </x:c>
      <x:c r="B27" s="23" t="str"/>
      <x:c r="C27" s="50"/>
      <x:c r="D27" s="38"/>
      <x:c r="E27" s="38"/>
      <x:c r="F27" s="38"/>
      <x:c r="G27" s="38"/>
      <x:c r="H27" s="38"/>
    </x:row>
    <x:row r="28">
      <x:c r="A28" s="37" t="str">
        <x:v>Pre-tax salvage proceeds</x:v>
      </x:c>
      <x:c r="B28" s="23" t="str"/>
      <x:c r="C28" s="50"/>
      <x:c r="D28" s="38"/>
      <x:c r="E28" s="38"/>
      <x:c r="F28" s="38"/>
      <x:c r="G28" s="38"/>
      <x:c r="H28" s="38"/>
    </x:row>
    <x:row r="29">
      <x:c r="A29" s="37" t="str">
        <x:v>Tax book value at disposal</x:v>
      </x:c>
      <x:c r="B29" s="21" t="str"/>
      <x:c r="C29" s="50"/>
      <x:c r="D29" s="50"/>
      <x:c r="E29" s="50"/>
      <x:c r="F29" s="50"/>
      <x:c r="G29" s="50"/>
      <x:c r="H29" s="52" t="str">
        <x:f>IF($B$7&lt;&gt;"Yes","",$B$13)</x:f>
      </x:c>
    </x:row>
    <x:row r="30">
      <x:c r="A30" s="37" t="str">
        <x:v>After-tax salvage proceeds</x:v>
      </x:c>
      <x:c r="B30" s="21" t="str"/>
      <x:c r="C30" s="50"/>
      <x:c r="D30" s="50"/>
      <x:c r="E30" s="50"/>
      <x:c r="F30" s="50"/>
      <x:c r="G30" s="50"/>
      <x:c r="H30" s="50" t="str">
        <x:f>IF(COUNT(H28,H29,$B$14)&lt;3,"",H28-(H28-H29)*$B$14)</x:f>
      </x:c>
    </x:row>
    <x:row r="31">
      <x:c r="A31" s="37" t="str">
        <x:v>NWC recovery</x:v>
      </x:c>
      <x:c r="B31" s="23" t="str"/>
      <x:c r="C31" s="50"/>
      <x:c r="D31" s="50"/>
      <x:c r="E31" s="50"/>
      <x:c r="F31" s="50"/>
      <x:c r="G31" s="50"/>
      <x:c r="H31" s="38"/>
    </x:row>
    <x:row r="32">
      <x:c r="A32" s="54" t="str">
        <x:v>Unlevered free cash flow</x:v>
      </x:c>
      <x:c r="B32" s="55" t="str"/>
      <x:c r="C32" s="56" t="str">
        <x:f>IF($B$7&lt;&gt;"Yes","",-C26-C27)</x:f>
      </x:c>
      <x:c r="D32" s="56" t="str">
        <x:f>IF($B$7&lt;&gt;"Yes","",IF(COUNT(D24:D27)&lt;4,"",SUM(D24:D25)-SUM(D26:D27)+SUM(D30:D31)))</x:f>
      </x:c>
      <x:c r="E32" s="56" t="str">
        <x:f>IF($B$7&lt;&gt;"Yes","",IF(COUNT(E24:E27)&lt;4,"",SUM(E24:E25)-SUM(E26:E27)+SUM(E30:E31)))</x:f>
      </x:c>
      <x:c r="F32" s="56" t="str">
        <x:f>IF($B$7&lt;&gt;"Yes","",IF(COUNT(F24:F27)&lt;4,"",SUM(F24:F25)-SUM(F26:F27)+SUM(F30:F31)))</x:f>
      </x:c>
      <x:c r="G32" s="56" t="str">
        <x:f>IF($B$7&lt;&gt;"Yes","",IF(COUNT(G24:G27)&lt;4,"",SUM(G24:G25)-SUM(G26:G27)+SUM(G30:G31)))</x:f>
      </x:c>
      <x:c r="H32" s="56" t="str">
        <x:f>IF($B$7&lt;&gt;"Yes","",IF(COUNT(H24:H27)&lt;4,"",SUM(H24:H25)-SUM(H26:H27)+SUM(H30:H31)))</x:f>
      </x:c>
    </x:row>
    <x:row r="33">
      <x:c r="A33" s="37" t="str">
        <x:v>Cumulative cash flow</x:v>
      </x:c>
      <x:c r="B33" s="21" t="str"/>
      <x:c r="C33" s="50" t="str">
        <x:f>IF(C32="","",C32)</x:f>
      </x:c>
      <x:c r="D33" s="50" t="str">
        <x:f>IF(D32="","",C33+D32)</x:f>
      </x:c>
      <x:c r="E33" s="50" t="str">
        <x:f>IF(E32="","",D33+E32)</x:f>
      </x:c>
      <x:c r="F33" s="50" t="str">
        <x:f>IF(F32="","",E33+F32)</x:f>
      </x:c>
      <x:c r="G33" s="50" t="str">
        <x:f>IF(G32="","",F33+G32)</x:f>
      </x:c>
      <x:c r="H33" s="50" t="str">
        <x:f>IF(H32="","",G33+H32)</x:f>
      </x:c>
    </x:row>
    <x:row r="34">
      <x:c r="A34" s="37" t="str">
        <x:v>Payback-year contribution</x:v>
      </x:c>
      <x:c r="B34" s="21" t="str"/>
      <x:c r="C34" s="21"/>
      <x:c r="D34" s="59" t="str">
        <x:f>IF($B$7&lt;&gt;"Yes","",IF(C33&gt;=0,0,IF(D33&lt;0,1,IFERROR(ABS(C33)/D32,0))))</x:f>
      </x:c>
      <x:c r="E34" s="59" t="str">
        <x:f>IF($B$7&lt;&gt;"Yes","",IF(D33&gt;=0,0,IF(E33&lt;0,1,IFERROR(ABS(D33)/E32,0))))</x:f>
      </x:c>
      <x:c r="F34" s="59" t="str">
        <x:f>IF($B$7&lt;&gt;"Yes","",IF(E33&gt;=0,0,IF(F33&lt;0,1,IFERROR(ABS(E33)/F32,0))))</x:f>
      </x:c>
      <x:c r="G34" s="59" t="str">
        <x:f>IF($B$7&lt;&gt;"Yes","",IF(F33&gt;=0,0,IF(G33&lt;0,1,IFERROR(ABS(F33)/G32,0))))</x:f>
      </x:c>
      <x:c r="H34" s="59" t="str">
        <x:f>IF($B$7&lt;&gt;"Yes","",IF(G33&gt;=0,0,IF(H33&lt;0,1,IFERROR(ABS(G33)/H32,0))))</x:f>
      </x:c>
    </x:row>
    <x:row r="35">
      <x:c r="A35" s="73"/>
      <x:c r="B35" s="73"/>
      <x:c r="C35" s="73"/>
      <x:c r="D35" s="73"/>
      <x:c r="E35" s="73"/>
      <x:c r="F35" s="73"/>
      <x:c r="G35" s="73"/>
      <x:c r="H35" s="73"/>
    </x:row>
    <x:row r="36" ht="22" customHeight="1">
      <x:c r="A36" s="74" t="str">
        <x:v>Decision metrics</x:v>
      </x:c>
      <x:c r="B36" s="74"/>
      <x:c r="C36" s="74"/>
      <x:c r="D36" s="74"/>
      <x:c r="E36" s="74"/>
      <x:c r="F36" s="74"/>
      <x:c r="G36" s="74"/>
      <x:c r="H36" s="74"/>
    </x:row>
    <x:row r="37" ht="34" customHeight="1">
      <x:c r="A37" s="20" t="str">
        <x:v>Metric</x:v>
      </x:c>
      <x:c r="B37" s="20" t="str">
        <x:v>Value</x:v>
      </x:c>
      <x:c r="C37" s="20" t="str">
        <x:v>Decision criterion</x:v>
      </x:c>
      <x:c r="D37" s="20" t="str">
        <x:v>Interpretation</x:v>
      </x:c>
      <x:c r="E37" s="73"/>
      <x:c r="F37" s="73"/>
      <x:c r="G37" s="73"/>
      <x:c r="H37" s="73"/>
    </x:row>
    <x:row r="38" ht="48" customHeight="1">
      <x:c r="A38" s="20" t="str">
        <x:v>NPV</x:v>
      </x:c>
      <x:c r="B38" s="50" t="str">
        <x:f>IF($B$7&lt;&gt;"Yes","",IF(COUNT(C32:H32)&lt;6,"",C32+D32/(1+$B$15)^1+E32/(1+$B$15)^2+F32/(1+$B$15)^3+G32/(1+$B$15)^4+H32/(1+$B$15)^5))</x:f>
      </x:c>
      <x:c r="C38" s="21" t="str">
        <x:v>NPV &gt; 0</x:v>
      </x:c>
      <x:c r="D38" s="21" t="str">
        <x:v>Value created above the required return</x:v>
      </x:c>
      <x:c r="E38" s="73"/>
      <x:c r="F38" s="73"/>
      <x:c r="G38" s="73"/>
      <x:c r="H38" s="73"/>
    </x:row>
    <x:row r="39" ht="48" customHeight="1">
      <x:c r="A39" s="20" t="str">
        <x:v>IRR</x:v>
      </x:c>
      <x:c r="B39" s="39" t="str">
        <x:f>IF(OR($B$7&lt;&gt;"Yes",COUNTIF(C32:H32,"&gt;0")=0,COUNTIF(C32:H32,"&lt;0")=0),"",IRR(C32:H32))</x:f>
      </x:c>
      <x:c r="C39" s="21" t="str">
        <x:v>IRR &gt; discount rate</x:v>
      </x:c>
      <x:c r="D39" s="21" t="str">
        <x:v>Supporting rate-of-return evidence</x:v>
      </x:c>
      <x:c r="E39" s="73"/>
      <x:c r="F39" s="73"/>
      <x:c r="G39" s="73"/>
      <x:c r="H39" s="73"/>
    </x:row>
    <x:row r="40" ht="48" customHeight="1">
      <x:c r="A40" s="20" t="str">
        <x:v>Undiscounted payback</x:v>
      </x:c>
      <x:c r="B40" s="59" t="str">
        <x:f>IF($B$7&lt;&gt;"Yes","Not applicable",IF(COUNT(C32:H32)&lt;6,"Incomplete",IF(MAX(D33:H33)&lt;0,"No payback",SUM(D34:H34))))</x:f>
        <x:v>Not applicable</x:v>
      </x:c>
      <x:c r="C40" s="21" t="str">
        <x:v>Within the approved liquidity/risk limit</x:v>
      </x:c>
      <x:c r="D40" s="21" t="str">
        <x:v>Supporting capital-at-risk evidence</x:v>
      </x:c>
      <x:c r="E40" s="73"/>
      <x:c r="F40" s="73"/>
      <x:c r="G40" s="73"/>
      <x:c r="H40" s="73"/>
    </x:row>
  </x:sheetData>
  <x:mergeCells>
    <x:mergeCell ref="A1:H1"/>
    <x:mergeCell ref="A2:H2"/>
    <x:mergeCell ref="A3:H3"/>
    <x:mergeCell ref="A5:H5"/>
    <x:mergeCell ref="F6:H6"/>
    <x:mergeCell ref="F7:H7"/>
    <x:mergeCell ref="F8:H8"/>
    <x:mergeCell ref="F9:H9"/>
    <x:mergeCell ref="F10:H10"/>
    <x:mergeCell ref="F11:H11"/>
    <x:mergeCell ref="F12:H12"/>
    <x:mergeCell ref="F13:H13"/>
    <x:mergeCell ref="F14:H14"/>
    <x:mergeCell ref="F15:H15"/>
    <x:mergeCell ref="A17:H17"/>
    <x:mergeCell ref="A36:H36"/>
  </x:mergeCells>
  <x:dataValidations count="5">
    <x:dataValidation type="list" sqref="D7:D13">
      <x:formula1>"S01,S02,S03,S04,S05,S06,S07,S08,S09,S10,S11,S12,S13,S14,S15,S16,S17,S18,S19,S20,S21,S22,S23,S24,S25,S26,S27,S28,S29,S30,S31,S32,S33,S34,S35,S36,S37,S38,S39,S40"</x:formula1>
    </x:dataValidation>
    <x:dataValidation type="list" sqref="B7">
      <x:formula1>"No,Yes"</x:formula1>
    </x:dataValidation>
    <x:dataValidation type="list" sqref="B19:B20">
      <x:formula1>"S01,S02,S03,S04,S05,S06,S07,S08,S09,S10,S11,S12,S13,S14,S15,S16,S17,S18,S19,S20,S21,S22,S23,S24,S25,S26,S27,S28,S29,S30,S31,S32,S33,S34,S35,S36,S37,S38,S39,S40"</x:formula1>
    </x:dataValidation>
    <x:dataValidation type="list" sqref="B26:B28">
      <x:formula1>"S01,S02,S03,S04,S05,S06,S07,S08,S09,S10,S11,S12,S13,S14,S15,S16,S17,S18,S19,S20,S21,S22,S23,S24,S25,S26,S27,S28,S29,S30,S31,S32,S33,S34,S35,S36,S37,S38,S39,S40"</x:formula1>
    </x:dataValidation>
    <x:dataValidation type="list" sqref="B31">
      <x:formula1>"S01,S02,S03,S04,S05,S06,S07,S08,S09,S10,S11,S12,S13,S14,S15,S16,S17,S18,S19,S20,S21,S22,S23,S24,S25,S26,S27,S28,S29,S30,S31,S32,S33,S34,S35,S36,S37,S38,S39,S40"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28" customHeight="1">
      <x:c r="A1" s="70" t="str">
        <x:v>BUS311 Capstone Milestone 3 | Sensitivities</x:v>
      </x:c>
      <x:c r="B1" s="70"/>
      <x:c r="C1" s="70"/>
      <x:c r="D1" s="70"/>
      <x:c r="E1" s="70"/>
      <x:c r="F1" s="70"/>
      <x:c r="G1" s="70"/>
    </x:row>
    <x:row r="2" ht="30" customHeight="1">
      <x:c r="A2" s="71" t="str">
        <x:v>Value per share recalculated across WACC and terminal-growth assumptions; every table cell is formula-linked to the base-case FCF stream.</x:v>
      </x:c>
      <x:c r="B2" s="71"/>
      <x:c r="C2" s="71"/>
      <x:c r="D2" s="71"/>
      <x:c r="E2" s="71"/>
      <x:c r="F2" s="71"/>
      <x:c r="G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</x:row>
    <x:row r="4">
      <x:c r="A4" s="73"/>
      <x:c r="B4" s="73"/>
      <x:c r="C4" s="73"/>
      <x:c r="D4" s="73"/>
      <x:c r="E4" s="73"/>
      <x:c r="F4" s="73"/>
      <x:c r="G4" s="73"/>
    </x:row>
    <x:row r="5" ht="22" customHeight="1">
      <x:c r="A5" s="74" t="str">
        <x:v>Base-case implied value per share | WACC × terminal growth</x:v>
      </x:c>
      <x:c r="B5" s="74"/>
      <x:c r="C5" s="74"/>
      <x:c r="D5" s="74"/>
      <x:c r="E5" s="74"/>
      <x:c r="F5" s="74"/>
      <x:c r="G5" s="74"/>
    </x:row>
    <x:row r="6">
      <x:c r="A6" s="73" t="str">
        <x:v>WACC ↓ / terminal growth →</x:v>
      </x:c>
      <x:c r="B6" s="73"/>
      <x:c r="C6" s="73"/>
      <x:c r="D6" s="73"/>
      <x:c r="E6" s="73"/>
      <x:c r="F6" s="73"/>
      <x:c r="G6" s="73"/>
    </x:row>
    <x:row r="7" ht="28" customHeight="1">
      <x:c r="A7" s="20"/>
      <x:c r="B7" s="62" t="str">
        <x:f>IF('Inputs &amp; Sources'!$J$41="","",'Inputs &amp; Sources'!$J$41-0.01)</x:f>
      </x:c>
      <x:c r="C7" s="62" t="str">
        <x:f>IF('Inputs &amp; Sources'!$J$41="","",'Inputs &amp; Sources'!$J$41-0.005)</x:f>
      </x:c>
      <x:c r="D7" s="62" t="str">
        <x:f>IF('Inputs &amp; Sources'!$J$41="","",'Inputs &amp; Sources'!$J$41+0)</x:f>
      </x:c>
      <x:c r="E7" s="62" t="str">
        <x:f>IF('Inputs &amp; Sources'!$J$41="","",'Inputs &amp; Sources'!$J$41+0.005)</x:f>
      </x:c>
      <x:c r="F7" s="62" t="str">
        <x:f>IF('Inputs &amp; Sources'!$J$41="","",'Inputs &amp; Sources'!$J$41+0.01)</x:f>
      </x:c>
      <x:c r="G7" s="76" t="str">
        <x:v>Check: higher WACC lowers value; higher g raises value. Center cell = base case.</x:v>
      </x:c>
    </x:row>
    <x:row r="8" ht="28" customHeight="1">
      <x:c r="A8" s="62" t="str">
        <x:f>IF('Inputs &amp; Sources'!$B$30="","",'Inputs &amp; Sources'!$B$30-0.02)</x:f>
      </x:c>
      <x:c r="B8" s="57" t="str">
        <x:f>IF(OR($A8="",B$7="",$A8&lt;=B$7,'Inputs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Forecasts'!$H$22*(1+B$7)/($A8-B$7))/(1+$A8)^5-'Inputs &amp; Sources'!$B$18+'Inputs &amp; Sources'!$B$19)/'Inputs &amp; Sources'!$B$20)</x:f>
      </x:c>
      <x:c r="C8" s="57" t="str">
        <x:f>IF(OR($A8="",C$7="",$A8&lt;=C$7,'Inputs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Forecasts'!$H$22*(1+C$7)/($A8-C$7))/(1+$A8)^5-'Inputs &amp; Sources'!$B$18+'Inputs &amp; Sources'!$B$19)/'Inputs &amp; Sources'!$B$20)</x:f>
      </x:c>
      <x:c r="D8" s="57" t="str">
        <x:f>IF(OR($A8="",D$7="",$A8&lt;=D$7,'Inputs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Forecasts'!$H$22*(1+D$7)/($A8-D$7))/(1+$A8)^5-'Inputs &amp; Sources'!$B$18+'Inputs &amp; Sources'!$B$19)/'Inputs &amp; Sources'!$B$20)</x:f>
      </x:c>
      <x:c r="E8" s="57" t="str">
        <x:f>IF(OR($A8="",E$7="",$A8&lt;=E$7,'Inputs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Forecasts'!$H$22*(1+E$7)/($A8-E$7))/(1+$A8)^5-'Inputs &amp; Sources'!$B$18+'Inputs &amp; Sources'!$B$19)/'Inputs &amp; Sources'!$B$20)</x:f>
      </x:c>
      <x:c r="F8" s="57" t="str">
        <x:f>IF(OR($A8="",F$7="",$A8&lt;=F$7,'Inputs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Forecasts'!$H$22*(1+F$7)/($A8-F$7))/(1+$A8)^5-'Inputs &amp; Sources'!$B$18+'Inputs &amp; Sources'!$B$19)/'Inputs &amp; Sources'!$B$20)</x:f>
      </x:c>
      <x:c r="G8" s="76"/>
    </x:row>
    <x:row r="9" ht="28" customHeight="1">
      <x:c r="A9" s="62" t="str">
        <x:f>IF('Inputs &amp; Sources'!$B$30="","",'Inputs &amp; Sources'!$B$30-0.01)</x:f>
      </x:c>
      <x:c r="B9" s="57" t="str">
        <x:f>IF(OR($A9="",B$7="",$A9&lt;=B$7,'Inputs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Forecasts'!$H$22*(1+B$7)/($A9-B$7))/(1+$A9)^5-'Inputs &amp; Sources'!$B$18+'Inputs &amp; Sources'!$B$19)/'Inputs &amp; Sources'!$B$20)</x:f>
      </x:c>
      <x:c r="C9" s="57" t="str">
        <x:f>IF(OR($A9="",C$7="",$A9&lt;=C$7,'Inputs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Forecasts'!$H$22*(1+C$7)/($A9-C$7))/(1+$A9)^5-'Inputs &amp; Sources'!$B$18+'Inputs &amp; Sources'!$B$19)/'Inputs &amp; Sources'!$B$20)</x:f>
      </x:c>
      <x:c r="D9" s="57" t="str">
        <x:f>IF(OR($A9="",D$7="",$A9&lt;=D$7,'Inputs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Forecasts'!$H$22*(1+D$7)/($A9-D$7))/(1+$A9)^5-'Inputs &amp; Sources'!$B$18+'Inputs &amp; Sources'!$B$19)/'Inputs &amp; Sources'!$B$20)</x:f>
      </x:c>
      <x:c r="E9" s="57" t="str">
        <x:f>IF(OR($A9="",E$7="",$A9&lt;=E$7,'Inputs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Forecasts'!$H$22*(1+E$7)/($A9-E$7))/(1+$A9)^5-'Inputs &amp; Sources'!$B$18+'Inputs &amp; Sources'!$B$19)/'Inputs &amp; Sources'!$B$20)</x:f>
      </x:c>
      <x:c r="F9" s="57" t="str">
        <x:f>IF(OR($A9="",F$7="",$A9&lt;=F$7,'Inputs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Forecasts'!$H$22*(1+F$7)/($A9-F$7))/(1+$A9)^5-'Inputs &amp; Sources'!$B$18+'Inputs &amp; Sources'!$B$19)/'Inputs &amp; Sources'!$B$20)</x:f>
      </x:c>
      <x:c r="G9" s="76"/>
    </x:row>
    <x:row r="10" ht="28" customHeight="1">
      <x:c r="A10" s="62" t="str">
        <x:f>IF('Inputs &amp; Sources'!$B$30="","",'Inputs &amp; Sources'!$B$30+0)</x:f>
      </x:c>
      <x:c r="B10" s="57" t="str">
        <x:f>IF(OR($A10="",B$7="",$A10&lt;=B$7,'Inputs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Forecasts'!$H$22*(1+B$7)/($A10-B$7))/(1+$A10)^5-'Inputs &amp; Sources'!$B$18+'Inputs &amp; Sources'!$B$19)/'Inputs &amp; Sources'!$B$20)</x:f>
      </x:c>
      <x:c r="C10" s="57" t="str">
        <x:f>IF(OR($A10="",C$7="",$A10&lt;=C$7,'Inputs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Forecasts'!$H$22*(1+C$7)/($A10-C$7))/(1+$A10)^5-'Inputs &amp; Sources'!$B$18+'Inputs &amp; Sources'!$B$19)/'Inputs &amp; Sources'!$B$20)</x:f>
      </x:c>
      <x:c r="D10" s="57" t="str">
        <x:f>IF(OR($A10="",D$7="",$A10&lt;=D$7,'Inputs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Forecasts'!$H$22*(1+D$7)/($A10-D$7))/(1+$A10)^5-'Inputs &amp; Sources'!$B$18+'Inputs &amp; Sources'!$B$19)/'Inputs &amp; Sources'!$B$20)</x:f>
      </x:c>
      <x:c r="E10" s="57" t="str">
        <x:f>IF(OR($A10="",E$7="",$A10&lt;=E$7,'Inputs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Forecasts'!$H$22*(1+E$7)/($A10-E$7))/(1+$A10)^5-'Inputs &amp; Sources'!$B$18+'Inputs &amp; Sources'!$B$19)/'Inputs &amp; Sources'!$B$20)</x:f>
      </x:c>
      <x:c r="F10" s="57" t="str">
        <x:f>IF(OR($A10="",F$7="",$A10&lt;=F$7,'Inputs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Forecasts'!$H$22*(1+F$7)/($A10-F$7))/(1+$A10)^5-'Inputs &amp; Sources'!$B$18+'Inputs &amp; Sources'!$B$19)/'Inputs &amp; Sources'!$B$20)</x:f>
      </x:c>
      <x:c r="G10" s="76"/>
    </x:row>
    <x:row r="11" ht="28" customHeight="1">
      <x:c r="A11" s="62" t="str">
        <x:f>IF('Inputs &amp; Sources'!$B$30="","",'Inputs &amp; Sources'!$B$30+0.01)</x:f>
      </x:c>
      <x:c r="B11" s="57" t="str">
        <x:f>IF(OR($A11="",B$7="",$A11&lt;=B$7,'Inputs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Forecasts'!$H$22*(1+B$7)/($A11-B$7))/(1+$A11)^5-'Inputs &amp; Sources'!$B$18+'Inputs &amp; Sources'!$B$19)/'Inputs &amp; Sources'!$B$20)</x:f>
      </x:c>
      <x:c r="C11" s="57" t="str">
        <x:f>IF(OR($A11="",C$7="",$A11&lt;=C$7,'Inputs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Forecasts'!$H$22*(1+C$7)/($A11-C$7))/(1+$A11)^5-'Inputs &amp; Sources'!$B$18+'Inputs &amp; Sources'!$B$19)/'Inputs &amp; Sources'!$B$20)</x:f>
      </x:c>
      <x:c r="D11" s="57" t="str">
        <x:f>IF(OR($A11="",D$7="",$A11&lt;=D$7,'Inputs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Forecasts'!$H$22*(1+D$7)/($A11-D$7))/(1+$A11)^5-'Inputs &amp; Sources'!$B$18+'Inputs &amp; Sources'!$B$19)/'Inputs &amp; Sources'!$B$20)</x:f>
      </x:c>
      <x:c r="E11" s="57" t="str">
        <x:f>IF(OR($A11="",E$7="",$A11&lt;=E$7,'Inputs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Forecasts'!$H$22*(1+E$7)/($A11-E$7))/(1+$A11)^5-'Inputs &amp; Sources'!$B$18+'Inputs &amp; Sources'!$B$19)/'Inputs &amp; Sources'!$B$20)</x:f>
      </x:c>
      <x:c r="F11" s="57" t="str">
        <x:f>IF(OR($A11="",F$7="",$A11&lt;=F$7,'Inputs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Forecasts'!$H$22*(1+F$7)/($A11-F$7))/(1+$A11)^5-'Inputs &amp; Sources'!$B$18+'Inputs &amp; Sources'!$B$19)/'Inputs &amp; Sources'!$B$20)</x:f>
      </x:c>
      <x:c r="G11" s="76"/>
    </x:row>
    <x:row r="12" ht="28" customHeight="1">
      <x:c r="A12" s="62" t="str">
        <x:f>IF('Inputs &amp; Sources'!$B$30="","",'Inputs &amp; Sources'!$B$30+0.02)</x:f>
      </x:c>
      <x:c r="B12" s="57" t="str">
        <x:f>IF(OR($A12="",B$7="",$A12&lt;=B$7,'Inputs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Forecasts'!$H$22*(1+B$7)/($A12-B$7))/(1+$A12)^5-'Inputs &amp; Sources'!$B$18+'Inputs &amp; Sources'!$B$19)/'Inputs &amp; Sources'!$B$20)</x:f>
      </x:c>
      <x:c r="C12" s="57" t="str">
        <x:f>IF(OR($A12="",C$7="",$A12&lt;=C$7,'Inputs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Forecasts'!$H$22*(1+C$7)/($A12-C$7))/(1+$A12)^5-'Inputs &amp; Sources'!$B$18+'Inputs &amp; Sources'!$B$19)/'Inputs &amp; Sources'!$B$20)</x:f>
      </x:c>
      <x:c r="D12" s="57" t="str">
        <x:f>IF(OR($A12="",D$7="",$A12&lt;=D$7,'Inputs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Forecasts'!$H$22*(1+D$7)/($A12-D$7))/(1+$A12)^5-'Inputs &amp; Sources'!$B$18+'Inputs &amp; Sources'!$B$19)/'Inputs &amp; Sources'!$B$20)</x:f>
      </x:c>
      <x:c r="E12" s="57" t="str">
        <x:f>IF(OR($A12="",E$7="",$A12&lt;=E$7,'Inputs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Forecasts'!$H$22*(1+E$7)/($A12-E$7))/(1+$A12)^5-'Inputs &amp; Sources'!$B$18+'Inputs &amp; Sources'!$B$19)/'Inputs &amp; Sources'!$B$20)</x:f>
      </x:c>
      <x:c r="F12" s="57" t="str">
        <x:f>IF(OR($A12="",F$7="",$A12&lt;=F$7,'Inputs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Forecasts'!$H$22*(1+F$7)/($A12-F$7))/(1+$A12)^5-'Inputs &amp; Sources'!$B$18+'Inputs &amp; Sources'!$B$19)/'Inputs &amp; Sources'!$B$20)</x:f>
      </x:c>
      <x:c r="G12" s="76"/>
    </x:row>
    <x:row r="13">
      <x:c r="A13" s="73"/>
      <x:c r="B13" s="73"/>
      <x:c r="C13" s="73"/>
      <x:c r="D13" s="73"/>
      <x:c r="E13" s="73"/>
      <x:c r="F13" s="73"/>
      <x:c r="G13" s="73"/>
    </x:row>
    <x:row r="14">
      <x:c r="A14" s="73"/>
      <x:c r="B14" s="73"/>
      <x:c r="C14" s="73"/>
      <x:c r="D14" s="73"/>
      <x:c r="E14" s="73"/>
      <x:c r="F14" s="73"/>
      <x:c r="G14" s="73"/>
    </x:row>
    <x:row r="15" ht="22" customHeight="1">
      <x:c r="A15" s="74" t="str">
        <x:v>Scenario comparison</x:v>
      </x:c>
      <x:c r="B15" s="74"/>
      <x:c r="C15" s="74"/>
      <x:c r="D15" s="74"/>
      <x:c r="E15" s="74"/>
      <x:c r="F15" s="74"/>
      <x:c r="G15" s="74"/>
    </x:row>
    <x:row r="16" ht="34" customHeight="1">
      <x:c r="A16" s="20" t="str">
        <x:v>Case</x:v>
      </x:c>
      <x:c r="B16" s="20" t="str">
        <x:v>Year 1 revenue growth</x:v>
      </x:c>
      <x:c r="C16" s="20" t="str">
        <x:v>Year 5 EBIT margin</x:v>
      </x:c>
      <x:c r="D16" s="20" t="str">
        <x:v>Implied value / share</x:v>
      </x:c>
      <x:c r="E16" s="20" t="str">
        <x:v>Current price</x:v>
      </x:c>
      <x:c r="F16" s="20" t="str">
        <x:v>Implied upside / (downside)</x:v>
      </x:c>
      <x:c r="G16" s="20" t="str">
        <x:v>Board question</x:v>
      </x:c>
    </x:row>
    <x:row r="17">
      <x:c r="A17" s="21" t="str">
        <x:v>Base</x:v>
      </x:c>
      <x:c r="B17" s="53" t="n">
        <x:f>'Scenario Forecasts'!D7</x:f>
        <x:v>0</x:v>
      </x:c>
      <x:c r="C17" s="53" t="n">
        <x:f>'Scenario Forecasts'!H9</x:f>
        <x:v>0</x:v>
      </x:c>
      <x:c r="D17" s="57" t="str">
        <x:f>'Valuation'!C14</x:f>
      </x:c>
      <x:c r="E17" s="57" t="n">
        <x:f>'Valuation'!C15</x:f>
        <x:v>0</x:v>
      </x:c>
      <x:c r="F17" s="53" t="n">
        <x:f>'Valuation'!C16</x:f>
        <x:v>0</x:v>
      </x:c>
      <x:c r="G17" s="21" t="str">
        <x:v>What must be true for the base case?</x:v>
      </x:c>
    </x:row>
    <x:row r="18">
      <x:c r="A18" s="21" t="str">
        <x:v>Upside</x:v>
      </x:c>
      <x:c r="B18" s="53" t="n">
        <x:f>'Scenario Forecasts'!D30</x:f>
        <x:v>0</x:v>
      </x:c>
      <x:c r="C18" s="53" t="n">
        <x:f>'Scenario Forecasts'!H32</x:f>
        <x:v>0</x:v>
      </x:c>
      <x:c r="D18" s="57" t="str">
        <x:f>'Valuation'!D14</x:f>
      </x:c>
      <x:c r="E18" s="57" t="n">
        <x:f>'Valuation'!D15</x:f>
        <x:v>0</x:v>
      </x:c>
      <x:c r="F18" s="53" t="n">
        <x:f>'Valuation'!D16</x:f>
        <x:v>0</x:v>
      </x:c>
      <x:c r="G18" s="21" t="str">
        <x:v>What evidence triggers acceleration?</x:v>
      </x:c>
    </x:row>
    <x:row r="19">
      <x:c r="A19" s="21" t="str">
        <x:v>Downside</x:v>
      </x:c>
      <x:c r="B19" s="53" t="n">
        <x:f>'Scenario Forecasts'!D53</x:f>
        <x:v>0</x:v>
      </x:c>
      <x:c r="C19" s="53" t="n">
        <x:f>'Scenario Forecasts'!H55</x:f>
        <x:v>0</x:v>
      </x:c>
      <x:c r="D19" s="57" t="n">
        <x:f>'Valuation'!E14</x:f>
        <x:v>0</x:v>
      </x:c>
      <x:c r="E19" s="57" t="n">
        <x:f>'Valuation'!E15</x:f>
        <x:v>0</x:v>
      </x:c>
      <x:c r="F19" s="53" t="n">
        <x:f>'Valuation'!E16</x:f>
        <x:v>0</x:v>
      </x:c>
      <x:c r="G19" s="21" t="str">
        <x:v>What protects liquidity and option value?</x:v>
      </x:c>
    </x:row>
  </x:sheetData>
  <x:mergeCells>
    <x:mergeCell ref="A1:G1"/>
    <x:mergeCell ref="A2:G2"/>
    <x:mergeCell ref="A3:G3"/>
    <x:mergeCell ref="A5:G5"/>
    <x:mergeCell ref="A15:G1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28" customHeight="1">
      <x:c r="A1" s="70" t="str">
        <x:v>BUS311 Capstone Milestone 3 | Board Appendix</x:v>
      </x:c>
      <x:c r="B1" s="70"/>
      <x:c r="C1" s="70"/>
      <x:c r="D1" s="70"/>
      <x:c r="E1" s="70"/>
      <x:c r="F1" s="70"/>
      <x:c r="G1" s="70"/>
      <x:c r="H1" s="70"/>
      <x:c r="I1" s="70"/>
      <x:c r="J1" s="70"/>
      <x:c r="K1" s="70"/>
      <x:c r="L1" s="70"/>
      <x:c r="M1" s="70"/>
      <x:c r="N1" s="70"/>
      <x:c r="O1" s="70"/>
    </x:row>
    <x:row r="2" ht="30" customHeight="1">
      <x:c r="A2" s="71" t="str">
        <x:v>Model-linked outputs and visuals designed for the PowerPoint appendix and live-question support during the oral Board presentation.</x:v>
      </x:c>
      <x:c r="B2" s="71"/>
      <x:c r="C2" s="71"/>
      <x:c r="D2" s="71"/>
      <x:c r="E2" s="71"/>
      <x:c r="F2" s="71"/>
      <x:c r="G2" s="71"/>
      <x:c r="H2" s="71"/>
      <x:c r="I2" s="71"/>
      <x:c r="J2" s="71"/>
      <x:c r="K2" s="71"/>
      <x:c r="L2" s="71"/>
      <x:c r="M2" s="71"/>
      <x:c r="N2" s="71"/>
      <x:c r="O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  <x:c r="I3" s="72"/>
      <x:c r="J3" s="72"/>
      <x:c r="K3" s="72"/>
      <x:c r="L3" s="72"/>
      <x:c r="M3" s="72"/>
      <x:c r="N3" s="72"/>
      <x:c r="O3" s="72"/>
    </x:row>
    <x:row r="4">
      <x:c r="A4" s="73"/>
      <x:c r="B4" s="73"/>
      <x:c r="C4" s="73"/>
      <x:c r="D4" s="73"/>
      <x:c r="E4" s="73"/>
      <x:c r="F4" s="73"/>
      <x:c r="G4" s="73"/>
      <x:c r="H4" s="73"/>
      <x:c r="I4" s="73"/>
      <x:c r="J4" s="73"/>
      <x:c r="K4" s="73"/>
      <x:c r="L4" s="73"/>
      <x:c r="M4" s="73"/>
      <x:c r="N4" s="73"/>
      <x:c r="O4" s="73"/>
    </x:row>
    <x:row r="5" ht="22" customHeight="1">
      <x:c r="A5" s="74" t="str">
        <x:v>Scenario valuation and operating evidence</x:v>
      </x:c>
      <x:c r="B5" s="74"/>
      <x:c r="C5" s="74"/>
      <x:c r="D5" s="74"/>
      <x:c r="E5" s="74"/>
      <x:c r="F5" s="74"/>
      <x:c r="G5" s="74"/>
      <x:c r="H5" s="74"/>
      <x:c r="I5" s="74"/>
      <x:c r="J5" s="74"/>
      <x:c r="K5" s="74"/>
      <x:c r="L5" s="74"/>
      <x:c r="M5" s="74"/>
      <x:c r="N5" s="74"/>
      <x:c r="O5" s="74"/>
    </x:row>
    <x:row r="6" ht="34" customHeight="1">
      <x:c r="A6" s="20" t="str">
        <x:v>Case</x:v>
      </x:c>
      <x:c r="B6" s="20" t="str">
        <x:v>Implied value / share</x:v>
      </x:c>
      <x:c r="C6" s="20" t="str">
        <x:v>Current price</x:v>
      </x:c>
      <x:c r="D6" s="20" t="str">
        <x:v>Implied upside / (downside)</x:v>
      </x:c>
      <x:c r="E6" s="20" t="str">
        <x:v>Enterprise value</x:v>
      </x:c>
      <x:c r="F6" s="20" t="str">
        <x:v>Equity value</x:v>
      </x:c>
      <x:c r="G6" s="20" t="str">
        <x:v>PV terminal / EV</x:v>
      </x:c>
      <x:c r="H6" s="20" t="str">
        <x:v>Year 5 revenue</x:v>
      </x:c>
      <x:c r="I6" s="20" t="str">
        <x:v>Year 5 EBIT margin</x:v>
      </x:c>
      <x:c r="J6" s="20" t="str">
        <x:v>CFO decision trigger</x:v>
      </x:c>
      <x:c r="K6" s="73"/>
      <x:c r="L6" s="73"/>
      <x:c r="M6" s="73"/>
      <x:c r="N6" s="73"/>
      <x:c r="O6" s="73"/>
    </x:row>
    <x:row r="7">
      <x:c r="A7" s="21" t="str">
        <x:v>Base</x:v>
      </x:c>
      <x:c r="B7" s="57" t="str">
        <x:f>IF('Valuation'!C14="","",'Valuation'!C14)</x:f>
      </x:c>
      <x:c r="C7" s="57" t="str">
        <x:f>IF('Valuation'!C15="","",'Valuation'!C15)</x:f>
      </x:c>
      <x:c r="D7" s="53" t="str">
        <x:f>IF('Valuation'!C16="","",'Valuation'!C16)</x:f>
      </x:c>
      <x:c r="E7" s="52" t="str">
        <x:f>IF('Valuation'!C9="","",'Valuation'!C9)</x:f>
      </x:c>
      <x:c r="F7" s="52" t="str">
        <x:f>IF('Valuation'!C12="","",'Valuation'!C12)</x:f>
      </x:c>
      <x:c r="G7" s="53" t="str">
        <x:f>IF('Valuation'!C26="","",'Valuation'!C26)</x:f>
      </x:c>
      <x:c r="H7" s="52" t="str">
        <x:f>IF('Scenario Forecasts'!H8="","",'Scenario Forecasts'!H8)</x:f>
      </x:c>
      <x:c r="I7" s="53" t="str">
        <x:f>IF('Scenario Forecasts'!H9="","",'Scenario Forecasts'!H9)</x:f>
      </x:c>
      <x:c r="J7" s="23" t="str"/>
      <x:c r="K7" s="73"/>
      <x:c r="L7" s="73"/>
      <x:c r="M7" s="73"/>
      <x:c r="N7" s="73"/>
      <x:c r="O7" s="73"/>
    </x:row>
    <x:row r="8">
      <x:c r="A8" s="21" t="str">
        <x:v>Upside</x:v>
      </x:c>
      <x:c r="B8" s="57" t="str">
        <x:f>IF('Valuation'!D14="","",'Valuation'!D14)</x:f>
      </x:c>
      <x:c r="C8" s="57" t="str">
        <x:f>IF('Valuation'!D15="","",'Valuation'!D15)</x:f>
      </x:c>
      <x:c r="D8" s="53" t="str">
        <x:f>IF('Valuation'!D16="","",'Valuation'!D16)</x:f>
      </x:c>
      <x:c r="E8" s="52" t="str">
        <x:f>IF('Valuation'!D9="","",'Valuation'!D9)</x:f>
      </x:c>
      <x:c r="F8" s="52" t="str">
        <x:f>IF('Valuation'!D12="","",'Valuation'!D12)</x:f>
      </x:c>
      <x:c r="G8" s="53" t="str">
        <x:f>IF('Valuation'!D26="","",'Valuation'!D26)</x:f>
      </x:c>
      <x:c r="H8" s="52" t="str">
        <x:f>IF('Scenario Forecasts'!H31="","",'Scenario Forecasts'!H31)</x:f>
      </x:c>
      <x:c r="I8" s="53" t="str">
        <x:f>IF('Scenario Forecasts'!H32="","",'Scenario Forecasts'!H32)</x:f>
      </x:c>
      <x:c r="J8" s="23" t="str"/>
      <x:c r="K8" s="73"/>
      <x:c r="L8" s="73"/>
      <x:c r="M8" s="73"/>
      <x:c r="N8" s="73"/>
      <x:c r="O8" s="73"/>
    </x:row>
    <x:row r="9">
      <x:c r="A9" s="21" t="str">
        <x:v>Downside</x:v>
      </x:c>
      <x:c r="B9" s="57" t="str">
        <x:f>IF('Valuation'!E14="","",'Valuation'!E14)</x:f>
      </x:c>
      <x:c r="C9" s="57" t="str">
        <x:f>IF('Valuation'!E15="","",'Valuation'!E15)</x:f>
      </x:c>
      <x:c r="D9" s="53" t="str">
        <x:f>IF('Valuation'!E16="","",'Valuation'!E16)</x:f>
      </x:c>
      <x:c r="E9" s="52" t="str">
        <x:f>IF('Valuation'!E9="","",'Valuation'!E9)</x:f>
      </x:c>
      <x:c r="F9" s="52" t="str">
        <x:f>IF('Valuation'!E12="","",'Valuation'!E12)</x:f>
      </x:c>
      <x:c r="G9" s="53" t="str">
        <x:f>IF('Valuation'!E26="","",'Valuation'!E26)</x:f>
      </x:c>
      <x:c r="H9" s="52" t="str">
        <x:f>IF('Scenario Forecasts'!H54="","",'Scenario Forecasts'!H54)</x:f>
      </x:c>
      <x:c r="I9" s="53" t="str">
        <x:f>IF('Scenario Forecasts'!H55="","",'Scenario Forecasts'!H55)</x:f>
      </x:c>
      <x:c r="J9" s="23" t="str"/>
      <x:c r="K9" s="73"/>
      <x:c r="L9" s="73"/>
      <x:c r="M9" s="73"/>
      <x:c r="N9" s="73"/>
      <x:c r="O9" s="73"/>
    </x:row>
    <x:row r="10">
      <x:c r="A10" s="73"/>
      <x:c r="B10" s="73"/>
      <x:c r="C10" s="73"/>
      <x:c r="D10" s="73"/>
      <x:c r="E10" s="73"/>
      <x:c r="F10" s="73"/>
      <x:c r="G10" s="73"/>
      <x:c r="H10" s="73"/>
      <x:c r="I10" s="73"/>
      <x:c r="J10" s="73"/>
      <x:c r="K10" s="73"/>
      <x:c r="L10" s="73"/>
      <x:c r="M10" s="73"/>
      <x:c r="N10" s="73"/>
      <x:c r="O10" s="73"/>
    </x:row>
    <x:row r="11" ht="22" customHeight="1">
      <x:c r="A11" s="74" t="str">
        <x:v>Revenue path by scenario</x:v>
      </x:c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</x:row>
    <x:row r="12" ht="34" customHeight="1">
      <x:c r="A12" s="20" t="str">
        <x:v>Fiscal year</x:v>
      </x:c>
      <x:c r="B12" s="20" t="str">
        <x:v>Base</x:v>
      </x:c>
      <x:c r="C12" s="20" t="str">
        <x:v>Upside</x:v>
      </x:c>
      <x:c r="D12" s="20" t="str">
        <x:v>Downside</x:v>
      </x:c>
      <x:c r="E12" s="73"/>
      <x:c r="F12" s="73"/>
      <x:c r="G12" s="73"/>
      <x:c r="H12" s="73"/>
      <x:c r="I12" s="73"/>
      <x:c r="J12" s="73"/>
      <x:c r="K12" s="73"/>
      <x:c r="L12" s="73"/>
      <x:c r="M12" s="73"/>
      <x:c r="N12" s="73"/>
      <x:c r="O12" s="73"/>
    </x:row>
    <x:row r="13">
      <x:c r="A13" s="51" t="str">
        <x:f>IF('Scenario Forecasts'!C6="","",'Scenario Forecasts'!C6)</x:f>
      </x:c>
      <x:c r="B13" s="52" t="str">
        <x:f>IF('Scenario Forecasts'!C8="","",'Scenario Forecasts'!C8)</x:f>
      </x:c>
      <x:c r="C13" s="52" t="str">
        <x:f>IF('Scenario Forecasts'!C31="","",'Scenario Forecasts'!C31)</x:f>
      </x:c>
      <x:c r="D13" s="52" t="str">
        <x:f>IF('Scenario Forecasts'!C54="","",'Scenario Forecasts'!C54)</x:f>
      </x:c>
      <x:c r="E13" s="73"/>
      <x:c r="F13" s="73"/>
      <x:c r="G13" s="73"/>
      <x:c r="H13" s="73"/>
      <x:c r="I13" s="73"/>
      <x:c r="J13" s="73"/>
      <x:c r="K13" s="73"/>
      <x:c r="L13" s="73"/>
      <x:c r="M13" s="73"/>
      <x:c r="N13" s="73"/>
      <x:c r="O13" s="73"/>
    </x:row>
    <x:row r="14">
      <x:c r="A14" s="51" t="str">
        <x:f>IF('Scenario Forecasts'!D6="","",'Scenario Forecasts'!D6)</x:f>
      </x:c>
      <x:c r="B14" s="52" t="str">
        <x:f>IF('Scenario Forecasts'!D8="","",'Scenario Forecasts'!D8)</x:f>
      </x:c>
      <x:c r="C14" s="52" t="str">
        <x:f>IF('Scenario Forecasts'!D31="","",'Scenario Forecasts'!D31)</x:f>
      </x:c>
      <x:c r="D14" s="52" t="str">
        <x:f>IF('Scenario Forecasts'!D54="","",'Scenario Forecasts'!D54)</x:f>
      </x:c>
      <x:c r="E14" s="73"/>
      <x:c r="F14" s="73"/>
      <x:c r="G14" s="73"/>
      <x:c r="H14" s="73"/>
      <x:c r="I14" s="73"/>
      <x:c r="J14" s="73"/>
      <x:c r="K14" s="73"/>
      <x:c r="L14" s="73"/>
      <x:c r="M14" s="73"/>
      <x:c r="N14" s="73"/>
      <x:c r="O14" s="73"/>
    </x:row>
    <x:row r="15">
      <x:c r="A15" s="51" t="str">
        <x:f>IF('Scenario Forecasts'!E6="","",'Scenario Forecasts'!E6)</x:f>
      </x:c>
      <x:c r="B15" s="52" t="str">
        <x:f>IF('Scenario Forecasts'!E8="","",'Scenario Forecasts'!E8)</x:f>
      </x:c>
      <x:c r="C15" s="52" t="str">
        <x:f>IF('Scenario Forecasts'!E31="","",'Scenario Forecasts'!E31)</x:f>
      </x:c>
      <x:c r="D15" s="52" t="str">
        <x:f>IF('Scenario Forecasts'!E54="","",'Scenario Forecasts'!E54)</x:f>
      </x:c>
      <x:c r="E15" s="73"/>
      <x:c r="F15" s="73"/>
      <x:c r="G15" s="73"/>
      <x:c r="H15" s="73"/>
      <x:c r="I15" s="73"/>
      <x:c r="J15" s="73"/>
      <x:c r="K15" s="73"/>
      <x:c r="L15" s="73"/>
      <x:c r="M15" s="73"/>
      <x:c r="N15" s="73"/>
      <x:c r="O15" s="73"/>
    </x:row>
    <x:row r="16">
      <x:c r="A16" s="51" t="str">
        <x:f>IF('Scenario Forecasts'!F6="","",'Scenario Forecasts'!F6)</x:f>
      </x:c>
      <x:c r="B16" s="52" t="str">
        <x:f>IF('Scenario Forecasts'!F8="","",'Scenario Forecasts'!F8)</x:f>
      </x:c>
      <x:c r="C16" s="52" t="str">
        <x:f>IF('Scenario Forecasts'!F31="","",'Scenario Forecasts'!F31)</x:f>
      </x:c>
      <x:c r="D16" s="52" t="str">
        <x:f>IF('Scenario Forecasts'!F54="","",'Scenario Forecasts'!F54)</x:f>
      </x:c>
      <x:c r="E16" s="73"/>
      <x:c r="F16" s="73"/>
      <x:c r="G16" s="73"/>
      <x:c r="H16" s="73"/>
      <x:c r="I16" s="73"/>
      <x:c r="J16" s="73"/>
      <x:c r="K16" s="73"/>
      <x:c r="L16" s="73"/>
      <x:c r="M16" s="73"/>
      <x:c r="N16" s="73"/>
      <x:c r="O16" s="73"/>
    </x:row>
    <x:row r="17">
      <x:c r="A17" s="51" t="str">
        <x:f>IF('Scenario Forecasts'!G6="","",'Scenario Forecasts'!G6)</x:f>
      </x:c>
      <x:c r="B17" s="52" t="str">
        <x:f>IF('Scenario Forecasts'!G8="","",'Scenario Forecasts'!G8)</x:f>
      </x:c>
      <x:c r="C17" s="52" t="str">
        <x:f>IF('Scenario Forecasts'!G31="","",'Scenario Forecasts'!G31)</x:f>
      </x:c>
      <x:c r="D17" s="52" t="str">
        <x:f>IF('Scenario Forecasts'!G54="","",'Scenario Forecasts'!G54)</x:f>
      </x:c>
      <x:c r="E17" s="73"/>
      <x:c r="F17" s="73"/>
      <x:c r="G17" s="73"/>
      <x:c r="H17" s="73"/>
      <x:c r="I17" s="73"/>
      <x:c r="J17" s="73"/>
      <x:c r="K17" s="73"/>
      <x:c r="L17" s="73"/>
      <x:c r="M17" s="73"/>
      <x:c r="N17" s="73"/>
      <x:c r="O17" s="73"/>
    </x:row>
    <x:row r="18">
      <x:c r="A18" s="51" t="str">
        <x:f>IF('Scenario Forecasts'!H6="","",'Scenario Forecasts'!H6)</x:f>
      </x:c>
      <x:c r="B18" s="52" t="str">
        <x:f>IF('Scenario Forecasts'!H8="","",'Scenario Forecasts'!H8)</x:f>
      </x:c>
      <x:c r="C18" s="52" t="str">
        <x:f>IF('Scenario Forecasts'!H31="","",'Scenario Forecasts'!H31)</x:f>
      </x:c>
      <x:c r="D18" s="52" t="str">
        <x:f>IF('Scenario Forecasts'!H54="","",'Scenario Forecasts'!H54)</x:f>
      </x:c>
      <x:c r="E18" s="73"/>
      <x:c r="F18" s="73"/>
      <x:c r="G18" s="73"/>
      <x:c r="H18" s="73"/>
      <x:c r="I18" s="73"/>
      <x:c r="J18" s="73"/>
      <x:c r="K18" s="73"/>
      <x:c r="L18" s="73"/>
      <x:c r="M18" s="73"/>
      <x:c r="N18" s="73"/>
      <x:c r="O18" s="73"/>
    </x:row>
    <x:row r="19">
      <x:c r="A19" s="73"/>
      <x:c r="B19" s="73"/>
      <x:c r="C19" s="73"/>
      <x:c r="D19" s="73"/>
      <x:c r="E19" s="73"/>
      <x:c r="F19" s="73"/>
      <x:c r="G19" s="73"/>
      <x:c r="H19" s="73"/>
      <x:c r="I19" s="73"/>
      <x:c r="J19" s="73"/>
      <x:c r="K19" s="73"/>
      <x:c r="L19" s="73"/>
      <x:c r="M19" s="73"/>
      <x:c r="N19" s="73"/>
      <x:c r="O19" s="73"/>
    </x:row>
    <x:row r="20">
      <x:c r="A20" s="73"/>
      <x:c r="B20" s="73"/>
      <x:c r="C20" s="73"/>
      <x:c r="D20" s="73"/>
      <x:c r="E20" s="73"/>
      <x:c r="F20" s="73"/>
      <x:c r="G20" s="73"/>
      <x:c r="H20" s="73"/>
      <x:c r="I20" s="73"/>
      <x:c r="J20" s="73"/>
      <x:c r="K20" s="73"/>
      <x:c r="L20" s="73"/>
      <x:c r="M20" s="73"/>
      <x:c r="N20" s="73"/>
      <x:c r="O20" s="73"/>
    </x:row>
    <x:row r="21" ht="22" customHeight="1">
      <x:c r="A21" s="74" t="str">
        <x:v>Implied value per share</x:v>
      </x:c>
      <x:c r="B21" s="74"/>
      <x:c r="C21" s="74"/>
      <x:c r="D21" s="74"/>
      <x:c r="E21" s="73"/>
      <x:c r="F21" s="73"/>
      <x:c r="G21" s="73"/>
      <x:c r="H21" s="73"/>
      <x:c r="I21" s="73"/>
      <x:c r="J21" s="73"/>
      <x:c r="K21" s="73"/>
      <x:c r="L21" s="73"/>
      <x:c r="M21" s="73"/>
      <x:c r="N21" s="73"/>
      <x:c r="O21" s="73"/>
    </x:row>
    <x:row r="22" ht="34" customHeight="1">
      <x:c r="A22" s="20" t="str">
        <x:v>Case</x:v>
      </x:c>
      <x:c r="B22" s="20" t="str">
        <x:v>Implied value / share</x:v>
      </x:c>
      <x:c r="C22" s="20" t="str">
        <x:v>Current price</x:v>
      </x:c>
      <x:c r="D22" s="73"/>
      <x:c r="E22" s="73"/>
      <x:c r="F22" s="73"/>
      <x:c r="G22" s="73"/>
      <x:c r="H22" s="73"/>
      <x:c r="I22" s="73"/>
      <x:c r="J22" s="73"/>
      <x:c r="K22" s="73"/>
      <x:c r="L22" s="73"/>
      <x:c r="M22" s="73"/>
      <x:c r="N22" s="73"/>
      <x:c r="O22" s="73"/>
    </x:row>
    <x:row r="23">
      <x:c r="A23" s="21" t="str">
        <x:v>Base</x:v>
      </x:c>
      <x:c r="B23" s="65" t="str">
        <x:f>IF(B7="","",B7)</x:f>
      </x:c>
      <x:c r="C23" s="65" t="str">
        <x:f>IF(C7="","",C7)</x:f>
      </x:c>
      <x:c r="D23" s="73"/>
      <x:c r="E23" s="73"/>
      <x:c r="F23" s="73"/>
      <x:c r="G23" s="73"/>
      <x:c r="H23" s="73"/>
      <x:c r="I23" s="73"/>
      <x:c r="J23" s="73"/>
      <x:c r="K23" s="73"/>
      <x:c r="L23" s="73"/>
      <x:c r="M23" s="73"/>
      <x:c r="N23" s="73"/>
      <x:c r="O23" s="73"/>
    </x:row>
    <x:row r="24">
      <x:c r="A24" s="21" t="str">
        <x:v>Upside</x:v>
      </x:c>
      <x:c r="B24" s="65" t="str">
        <x:f>IF(B8="","",B8)</x:f>
      </x:c>
      <x:c r="C24" s="65" t="str">
        <x:f>IF(C8="","",C8)</x:f>
      </x:c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  <x:c r="O24" s="73"/>
    </x:row>
    <x:row r="25">
      <x:c r="A25" s="21" t="str">
        <x:v>Downside</x:v>
      </x:c>
      <x:c r="B25" s="65" t="str">
        <x:f>IF(B9="","",B9)</x:f>
      </x:c>
      <x:c r="C25" s="65" t="str">
        <x:f>IF(C9="","",C9)</x:f>
      </x:c>
      <x:c r="D25" s="73"/>
      <x:c r="E25" s="73"/>
      <x:c r="F25" s="73"/>
      <x:c r="G25" s="73"/>
      <x:c r="H25" s="73"/>
      <x:c r="I25" s="73"/>
      <x:c r="J25" s="73"/>
      <x:c r="K25" s="73"/>
      <x:c r="L25" s="73"/>
      <x:c r="M25" s="73"/>
      <x:c r="N25" s="73"/>
      <x:c r="O25" s="73"/>
    </x:row>
    <x:row r="26">
      <x:c r="A26" s="73"/>
      <x:c r="B26" s="73"/>
      <x:c r="C26" s="73"/>
      <x:c r="D26" s="73"/>
      <x:c r="E26" s="73"/>
      <x:c r="F26" s="73"/>
      <x:c r="G26" s="73"/>
      <x:c r="H26" s="73"/>
      <x:c r="I26" s="73"/>
      <x:c r="J26" s="73"/>
      <x:c r="K26" s="73"/>
      <x:c r="L26" s="73"/>
      <x:c r="M26" s="73"/>
      <x:c r="N26" s="73"/>
      <x:c r="O26" s="73"/>
    </x:row>
    <x:row r="27">
      <x:c r="A27" s="73"/>
      <x:c r="B27" s="73"/>
      <x:c r="C27" s="73"/>
      <x:c r="D27" s="73"/>
      <x:c r="E27" s="73"/>
      <x:c r="F27" s="73"/>
      <x:c r="G27" s="73"/>
      <x:c r="H27" s="73"/>
      <x:c r="I27" s="73"/>
      <x:c r="J27" s="73"/>
      <x:c r="K27" s="73"/>
      <x:c r="L27" s="73"/>
      <x:c r="M27" s="73"/>
      <x:c r="N27" s="73"/>
      <x:c r="O27" s="73"/>
    </x:row>
    <x:row r="28">
      <x:c r="A28" s="73"/>
      <x:c r="B28" s="73"/>
      <x:c r="C28" s="73"/>
      <x:c r="D28" s="73"/>
      <x:c r="E28" s="73"/>
      <x:c r="F28" s="73"/>
      <x:c r="G28" s="73"/>
      <x:c r="H28" s="73"/>
      <x:c r="I28" s="73"/>
      <x:c r="J28" s="73"/>
      <x:c r="K28" s="73"/>
      <x:c r="L28" s="73"/>
      <x:c r="M28" s="73"/>
      <x:c r="N28" s="73"/>
      <x:c r="O28" s="73"/>
    </x:row>
    <x:row r="29">
      <x:c r="A29" s="73"/>
      <x:c r="B29" s="73"/>
      <x:c r="C29" s="73"/>
      <x:c r="D29" s="73"/>
      <x:c r="E29" s="73"/>
      <x:c r="F29" s="73"/>
      <x:c r="G29" s="73"/>
      <x:c r="H29" s="73"/>
      <x:c r="I29" s="73"/>
      <x:c r="J29" s="73"/>
      <x:c r="K29" s="73"/>
      <x:c r="L29" s="73"/>
      <x:c r="M29" s="73"/>
      <x:c r="N29" s="73"/>
      <x:c r="O29" s="73"/>
    </x:row>
    <x:row r="30">
      <x:c r="A30" s="73"/>
      <x:c r="B30" s="73"/>
      <x:c r="C30" s="73"/>
      <x:c r="D30" s="73"/>
      <x:c r="E30" s="73"/>
      <x:c r="F30" s="73"/>
      <x:c r="G30" s="73"/>
      <x:c r="H30" s="73"/>
      <x:c r="I30" s="73"/>
      <x:c r="J30" s="73"/>
      <x:c r="K30" s="73"/>
      <x:c r="L30" s="73"/>
      <x:c r="M30" s="73"/>
      <x:c r="N30" s="73"/>
      <x:c r="O30" s="73"/>
    </x:row>
    <x:row r="31">
      <x:c r="A31" s="73"/>
      <x:c r="B31" s="73"/>
      <x:c r="C31" s="73"/>
      <x:c r="D31" s="73"/>
      <x:c r="E31" s="73"/>
      <x:c r="F31" s="73"/>
      <x:c r="G31" s="73"/>
      <x:c r="H31" s="73"/>
      <x:c r="I31" s="73"/>
      <x:c r="J31" s="73"/>
      <x:c r="K31" s="73"/>
      <x:c r="L31" s="73"/>
      <x:c r="M31" s="73"/>
      <x:c r="N31" s="73"/>
      <x:c r="O31" s="73"/>
    </x:row>
    <x:row r="32">
      <x:c r="A32" s="73"/>
      <x:c r="B32" s="73"/>
      <x:c r="C32" s="73"/>
      <x:c r="D32" s="73"/>
      <x:c r="E32" s="73"/>
      <x:c r="F32" s="73"/>
      <x:c r="G32" s="73"/>
      <x:c r="H32" s="73"/>
      <x:c r="I32" s="73"/>
      <x:c r="J32" s="73"/>
      <x:c r="K32" s="73"/>
      <x:c r="L32" s="73"/>
      <x:c r="M32" s="73"/>
      <x:c r="N32" s="73"/>
      <x:c r="O32" s="73"/>
    </x:row>
    <x:row r="33">
      <x:c r="A33" s="73"/>
      <x:c r="B33" s="73"/>
      <x:c r="C33" s="73"/>
      <x:c r="D33" s="73"/>
      <x:c r="E33" s="73"/>
      <x:c r="F33" s="73"/>
      <x:c r="G33" s="73"/>
      <x:c r="H33" s="73"/>
      <x:c r="I33" s="73"/>
      <x:c r="J33" s="73"/>
      <x:c r="K33" s="73"/>
      <x:c r="L33" s="73"/>
      <x:c r="M33" s="73"/>
      <x:c r="N33" s="73"/>
      <x:c r="O33" s="73"/>
    </x:row>
    <x:row r="34">
      <x:c r="A34" s="73"/>
      <x:c r="B34" s="73"/>
      <x:c r="C34" s="73"/>
      <x:c r="D34" s="73"/>
      <x:c r="E34" s="73"/>
      <x:c r="F34" s="73"/>
      <x:c r="G34" s="73"/>
      <x:c r="H34" s="73"/>
      <x:c r="I34" s="73"/>
      <x:c r="J34" s="73"/>
      <x:c r="K34" s="73"/>
      <x:c r="L34" s="73"/>
      <x:c r="M34" s="73"/>
      <x:c r="N34" s="73"/>
      <x:c r="O34" s="73"/>
    </x:row>
    <x:row r="35">
      <x:c r="A35" s="73"/>
      <x:c r="B35" s="73"/>
      <x:c r="C35" s="73"/>
      <x:c r="D35" s="73"/>
      <x:c r="E35" s="73"/>
      <x:c r="F35" s="73"/>
      <x:c r="G35" s="73"/>
      <x:c r="H35" s="73"/>
      <x:c r="I35" s="73"/>
      <x:c r="J35" s="73"/>
      <x:c r="K35" s="73"/>
      <x:c r="L35" s="73"/>
      <x:c r="M35" s="73"/>
      <x:c r="N35" s="73"/>
      <x:c r="O35" s="73"/>
    </x:row>
    <x:row r="36">
      <x:c r="A36" s="73"/>
      <x:c r="B36" s="73"/>
      <x:c r="C36" s="73"/>
      <x:c r="D36" s="73"/>
      <x:c r="E36" s="73"/>
      <x:c r="F36" s="73"/>
      <x:c r="G36" s="73"/>
      <x:c r="H36" s="73"/>
      <x:c r="I36" s="73"/>
      <x:c r="J36" s="73"/>
      <x:c r="K36" s="73"/>
      <x:c r="L36" s="73"/>
      <x:c r="M36" s="73"/>
      <x:c r="N36" s="73"/>
      <x:c r="O36" s="73"/>
    </x:row>
    <x:row r="37">
      <x:c r="A37" s="73"/>
      <x:c r="B37" s="73"/>
      <x:c r="C37" s="73"/>
      <x:c r="D37" s="73"/>
      <x:c r="E37" s="73"/>
      <x:c r="F37" s="73"/>
      <x:c r="G37" s="73"/>
      <x:c r="H37" s="73"/>
      <x:c r="I37" s="73"/>
      <x:c r="J37" s="73"/>
      <x:c r="K37" s="73"/>
      <x:c r="L37" s="73"/>
      <x:c r="M37" s="73"/>
      <x:c r="N37" s="73"/>
      <x:c r="O37" s="73"/>
    </x:row>
    <x:row r="38">
      <x:c r="A38" s="73"/>
      <x:c r="B38" s="73"/>
      <x:c r="C38" s="73"/>
      <x:c r="D38" s="73"/>
      <x:c r="E38" s="73"/>
      <x:c r="F38" s="73"/>
      <x:c r="G38" s="73"/>
      <x:c r="H38" s="73"/>
      <x:c r="I38" s="73"/>
      <x:c r="J38" s="73"/>
      <x:c r="K38" s="73"/>
      <x:c r="L38" s="73"/>
      <x:c r="M38" s="73"/>
      <x:c r="N38" s="73"/>
      <x:c r="O38" s="73"/>
    </x:row>
    <x:row r="39">
      <x:c r="A39" s="73"/>
      <x:c r="B39" s="73"/>
      <x:c r="C39" s="73"/>
      <x:c r="D39" s="73"/>
      <x:c r="E39" s="73"/>
      <x:c r="F39" s="73"/>
      <x:c r="G39" s="73"/>
      <x:c r="H39" s="73"/>
      <x:c r="I39" s="73"/>
      <x:c r="J39" s="73"/>
      <x:c r="K39" s="73"/>
      <x:c r="L39" s="73"/>
      <x:c r="M39" s="73"/>
      <x:c r="N39" s="73"/>
      <x:c r="O39" s="73"/>
    </x:row>
    <x:row r="40">
      <x:c r="A40" s="73"/>
      <x:c r="B40" s="73"/>
      <x:c r="C40" s="73"/>
      <x:c r="D40" s="73"/>
      <x:c r="E40" s="73"/>
      <x:c r="F40" s="73"/>
      <x:c r="G40" s="73"/>
      <x:c r="H40" s="73"/>
      <x:c r="I40" s="73"/>
      <x:c r="J40" s="73"/>
      <x:c r="K40" s="73"/>
      <x:c r="L40" s="73"/>
      <x:c r="M40" s="73"/>
      <x:c r="N40" s="73"/>
      <x:c r="O40" s="73"/>
    </x:row>
    <x:row r="41">
      <x:c r="A41" s="73"/>
      <x:c r="B41" s="73"/>
      <x:c r="C41" s="73"/>
      <x:c r="D41" s="73"/>
      <x:c r="E41" s="73"/>
      <x:c r="F41" s="73"/>
      <x:c r="G41" s="73"/>
      <x:c r="H41" s="73"/>
      <x:c r="I41" s="73"/>
      <x:c r="J41" s="73"/>
      <x:c r="K41" s="73"/>
      <x:c r="L41" s="73"/>
      <x:c r="M41" s="73"/>
      <x:c r="N41" s="73"/>
      <x:c r="O41" s="73"/>
    </x:row>
    <x:row r="42">
      <x:c r="A42" s="73"/>
      <x:c r="B42" s="73"/>
      <x:c r="C42" s="73"/>
      <x:c r="D42" s="73"/>
      <x:c r="E42" s="73"/>
      <x:c r="F42" s="73"/>
      <x:c r="G42" s="73"/>
      <x:c r="H42" s="73"/>
      <x:c r="I42" s="73"/>
      <x:c r="J42" s="73"/>
      <x:c r="K42" s="73"/>
      <x:c r="L42" s="73"/>
      <x:c r="M42" s="73"/>
      <x:c r="N42" s="73"/>
      <x:c r="O42" s="73"/>
    </x:row>
    <x:row r="43">
      <x:c r="A43" s="73"/>
      <x:c r="B43" s="73"/>
      <x:c r="C43" s="73"/>
      <x:c r="D43" s="73"/>
      <x:c r="E43" s="73"/>
      <x:c r="F43" s="73"/>
      <x:c r="G43" s="73"/>
      <x:c r="H43" s="73"/>
      <x:c r="I43" s="73"/>
      <x:c r="J43" s="73"/>
      <x:c r="K43" s="73"/>
      <x:c r="L43" s="73"/>
      <x:c r="M43" s="73"/>
      <x:c r="N43" s="73"/>
      <x:c r="O43" s="73"/>
    </x:row>
    <x:row r="44">
      <x:c r="A44" s="73"/>
      <x:c r="B44" s="73"/>
      <x:c r="C44" s="73"/>
      <x:c r="D44" s="73"/>
      <x:c r="E44" s="73"/>
      <x:c r="F44" s="73"/>
      <x:c r="G44" s="73"/>
      <x:c r="H44" s="73"/>
      <x:c r="I44" s="73"/>
      <x:c r="J44" s="73"/>
      <x:c r="K44" s="73"/>
      <x:c r="L44" s="73"/>
      <x:c r="M44" s="73"/>
      <x:c r="N44" s="73"/>
      <x:c r="O44" s="73"/>
    </x:row>
    <x:row r="45" ht="22" customHeight="1">
      <x:c r="A45" s="74" t="str">
        <x:v>Student Board takeaway and limitations</x:v>
      </x:c>
      <x:c r="B45" s="74"/>
      <x:c r="C45" s="74"/>
      <x:c r="D45" s="74"/>
      <x:c r="E45" s="74"/>
      <x:c r="F45" s="74"/>
      <x:c r="G45" s="74"/>
      <x:c r="H45" s="74"/>
      <x:c r="I45" s="74"/>
      <x:c r="J45" s="74"/>
      <x:c r="K45" s="74"/>
      <x:c r="L45" s="74"/>
      <x:c r="M45" s="74"/>
      <x:c r="N45" s="74"/>
      <x:c r="O45" s="74"/>
    </x:row>
    <x:row r="46" ht="42" customHeight="1">
      <x:c r="A46" s="77" t="str">
        <x:v>Primary valuation takeaway</x:v>
      </x:c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  <x:c r="L46" s="23"/>
      <x:c r="M46" s="23"/>
      <x:c r="N46" s="23"/>
      <x:c r="O46" s="23"/>
    </x:row>
    <x:row r="47" ht="42" customHeight="1">
      <x:c r="A47" s="77" t="str">
        <x:v>CFO decision implication</x:v>
      </x:c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  <x:c r="L47" s="23"/>
      <x:c r="M47" s="23"/>
      <x:c r="N47" s="23"/>
      <x:c r="O47" s="23"/>
    </x:row>
    <x:row r="48" ht="42" customHeight="1">
      <x:c r="A48" s="77" t="str">
        <x:v>Trigger that changes the recommendation</x:v>
      </x:c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  <x:c r="L48" s="23"/>
      <x:c r="M48" s="23"/>
      <x:c r="N48" s="23"/>
      <x:c r="O48" s="23"/>
    </x:row>
    <x:row r="49" ht="42" customHeight="1">
      <x:c r="A49" s="77" t="str">
        <x:v>Most important model limitation</x:v>
      </x:c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  <x:c r="L49" s="23"/>
      <x:c r="M49" s="23"/>
      <x:c r="N49" s="23"/>
      <x:c r="O49" s="23"/>
    </x:row>
  </x:sheetData>
  <x:mergeCells>
    <x:mergeCell ref="A1:O1"/>
    <x:mergeCell ref="A2:O2"/>
    <x:mergeCell ref="A3:O3"/>
    <x:mergeCell ref="A5:O5"/>
    <x:mergeCell ref="A11:O11"/>
    <x:mergeCell ref="A21:D21"/>
    <x:mergeCell ref="A45:O45"/>
    <x:mergeCell ref="B46:O46"/>
    <x:mergeCell ref="B47:O47"/>
    <x:mergeCell ref="B48:O48"/>
    <x:mergeCell ref="B49:O49"/>
  </x:mergeCells>
  <x:pageMargins left="0.7" right="0.7" top="0.75" bottom="0.75" header="0.3" footer="0.3"/>
  <x:drawing xmlns:r="http://schemas.openxmlformats.org/officeDocument/2006/relationships" r:id="R5368eab2efea4444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6" hidden="0" customWidth="1"/>
    <x:col min="4" max="4" width="18" hidden="0" customWidth="1"/>
    <x:col min="5" max="5" width="15" hidden="0" customWidth="1"/>
    <x:col min="6" max="6" width="31" hidden="0" customWidth="1"/>
    <x:col min="7" max="7" width="39" hidden="0" customWidth="1"/>
    <x:col min="8" max="8" width="30" hidden="0" customWidth="1"/>
  </x:cols>
  <x:sheetData>
    <x:row r="1" ht="28" customHeight="1">
      <x:c r="A1" s="70" t="str">
        <x:v>BUS311 Capstone Milestone 3 | Checks</x:v>
      </x:c>
      <x:c r="B1" s="70"/>
      <x:c r="C1" s="70"/>
      <x:c r="D1" s="70"/>
      <x:c r="E1" s="70"/>
      <x:c r="F1" s="70"/>
      <x:c r="G1" s="70"/>
      <x:c r="H1" s="70"/>
    </x:row>
    <x:row r="2" ht="30" customHeight="1">
      <x:c r="A2" s="71" t="str">
        <x:v>Visible controls for completeness, signs, cash-flow identities, valuation bridges, scenario order, terminal value, sources, and optional payback.</x:v>
      </x:c>
      <x:c r="B2" s="71"/>
      <x:c r="C2" s="71"/>
      <x:c r="D2" s="71"/>
      <x:c r="E2" s="71"/>
      <x:c r="F2" s="71"/>
      <x:c r="G2" s="71"/>
      <x:c r="H2" s="71"/>
    </x:row>
    <x:row r="3">
      <x:c r="A3" s="80" t="str">
        <x:v>MODEL STATUS</x:v>
      </x:c>
      <x:c r="B3" s="81" t="str">
        <x:f>IF(COUNTIF(E6:E25,"FAIL")&gt;0,"FAIL",IF(COUNTIF(E6:E25,"INCOMPLETE")&gt;0,"INCOMPLETE",IF(COUNTIF(E6:E25,"REVIEW")&gt;0,"REVIEW","PASS")))</x:f>
        <x:v>INCOMPLETE</x:v>
      </x:c>
      <x:c r="C3" s="73"/>
      <x:c r="D3" s="73"/>
      <x:c r="E3" s="73"/>
      <x:c r="F3" s="73"/>
      <x:c r="G3" s="73"/>
      <x:c r="H3" s="73"/>
    </x:row>
    <x:row r="4">
      <x:c r="A4" s="73"/>
      <x:c r="B4" s="73"/>
      <x:c r="C4" s="73"/>
      <x:c r="D4" s="73"/>
      <x:c r="E4" s="73"/>
      <x:c r="F4" s="73"/>
      <x:c r="G4" s="73"/>
      <x:c r="H4" s="73"/>
    </x:row>
    <x:row r="5" ht="34" customHeight="1">
      <x:c r="A5" s="20" t="str">
        <x:v>Check</x:v>
      </x:c>
      <x:c r="B5" s="20" t="str">
        <x:v>Actual</x:v>
      </x:c>
      <x:c r="C5" s="20" t="str">
        <x:v>Expected</x:v>
      </x:c>
      <x:c r="D5" s="20" t="str">
        <x:v>Difference / tolerance</x:v>
      </x:c>
      <x:c r="E5" s="20" t="str">
        <x:v>Status</x:v>
      </x:c>
      <x:c r="F5" s="20" t="str">
        <x:v>Where to fix</x:v>
      </x:c>
      <x:c r="G5" s="20" t="str">
        <x:v>Why it matters</x:v>
      </x:c>
      <x:c r="H5" s="20" t="str">
        <x:v>Student note / limitation</x:v>
      </x:c>
    </x:row>
    <x:row r="6" ht="40" customHeight="1">
      <x:c r="A6" s="37" t="str">
        <x:v>Revenue handoff completeness</x:v>
      </x:c>
      <x:c r="B6" s="51" t="n">
        <x:f>IF('Revenue Handoff'!B6&lt;&gt;"",1,0)+IF('Revenue Handoff'!B7&lt;&gt;"",1,0)+IF('Revenue Handoff'!B8&lt;&gt;"",1,0)+IF('Revenue Handoff'!H19&lt;&gt;"",1,0)+IF('Revenue Handoff'!B12&lt;&gt;"",1,0)+IF('Revenue Handoff'!B13&lt;&gt;"",1,0)+IF('Revenue Handoff'!B14&lt;&gt;"",1,0)+IF('Revenue Handoff'!G12&lt;&gt;"",1,0)+IF('Revenue Handoff'!G13&lt;&gt;"",1,0)+IF('Revenue Handoff'!G14&lt;&gt;"",1,0)</x:f>
        <x:v>0</x:v>
      </x:c>
      <x:c r="C6" s="21" t="n">
        <x:v>10</x:v>
      </x:c>
      <x:c r="D6" s="21" t="str">
        <x:v>0</x:v>
      </x:c>
      <x:c r="E6" s="68" t="str">
        <x:f>IF(B6=0,"INCOMPLETE",IF(B6=C6,"PASS","INCOMPLETE"))</x:f>
        <x:v>INCOMPLETE</x:v>
      </x:c>
      <x:c r="F6" s="21" t="str">
        <x:v>Revenue Handoff</x:v>
      </x:c>
      <x:c r="G6" s="21" t="str">
        <x:v>Revenue hypothesis and scenario logic drive valuation</x:v>
      </x:c>
      <x:c r="H6" s="23" t="str"/>
    </x:row>
    <x:row r="7" ht="40" customHeight="1">
      <x:c r="A7" s="37" t="str">
        <x:v>Core valuation inputs and sources</x:v>
      </x:c>
      <x:c r="B7" s="51" t="n">
        <x:f>COUNT('Inputs &amp; Sources'!B11:B21)+IF('Inputs &amp; Sources'!D11&lt;&gt;"",1,0)+IF('Inputs &amp; Sources'!D12&lt;&gt;"",1,0)+IF('Inputs &amp; Sources'!D13&lt;&gt;"",1,0)+IF('Inputs &amp; Sources'!D14&lt;&gt;"",1,0)+IF('Inputs &amp; Sources'!D15&lt;&gt;"",1,0)+IF('Inputs &amp; Sources'!D16&lt;&gt;"",1,0)+IF('Inputs &amp; Sources'!D17&lt;&gt;"",1,0)+IF('Inputs &amp; Sources'!D18&lt;&gt;"",1,0)+IF('Inputs &amp; Sources'!D19&lt;&gt;"",1,0)+IF('Inputs &amp; Sources'!D20&lt;&gt;"",1,0)+IF('Inputs &amp; Sources'!D21&lt;&gt;"",1,0)</x:f>
        <x:v>0</x:v>
      </x:c>
      <x:c r="C7" s="21" t="n">
        <x:v>22</x:v>
      </x:c>
      <x:c r="D7" s="21" t="str">
        <x:v>0</x:v>
      </x:c>
      <x:c r="E7" s="68" t="str">
        <x:f>IF(B7=0,"INCOMPLETE",IF(B7=C7,"PASS","INCOMPLETE"))</x:f>
        <x:v>INCOMPLETE</x:v>
      </x:c>
      <x:c r="F7" s="21" t="str">
        <x:v>Inputs &amp; Sources B11:D21</x:v>
      </x:c>
      <x:c r="G7" s="21" t="str">
        <x:v>Required assumptions must be populated and sourced</x:v>
      </x:c>
      <x:c r="H7" s="23" t="str"/>
    </x:row>
    <x:row r="8" ht="40" customHeight="1">
      <x:c r="A8" s="37" t="str">
        <x:v>Scenario assumption completeness</x:v>
      </x:c>
      <x:c r="B8" s="51" t="n">
        <x:f>COUNT('Inputs &amp; Sources'!E36:I40)+COUNT('Inputs &amp; Sources'!J41)+COUNT('Inputs &amp; Sources'!E44:I48)+COUNT('Inputs &amp; Sources'!J49)+COUNT('Inputs &amp; Sources'!E52:I56)+COUNT('Inputs &amp; Sources'!J57)</x:f>
        <x:v>0</x:v>
      </x:c>
      <x:c r="C8" s="21" t="n">
        <x:v>78</x:v>
      </x:c>
      <x:c r="D8" s="21" t="str">
        <x:v>0</x:v>
      </x:c>
      <x:c r="E8" s="68" t="str">
        <x:f>IF(B8=0,"INCOMPLETE",IF(B8=C8,"PASS","INCOMPLETE"))</x:f>
        <x:v>INCOMPLETE</x:v>
      </x:c>
      <x:c r="F8" s="21" t="str">
        <x:v>Inputs &amp; Sources E36:J57</x:v>
      </x:c>
      <x:c r="G8" s="21" t="str">
        <x:v>All three cases require complete operating assumptions</x:v>
      </x:c>
      <x:c r="H8" s="23" t="str"/>
    </x:row>
    <x:row r="9" ht="40" customHeight="1">
      <x:c r="A9" s="37" t="str">
        <x:v>Capital weights sum</x:v>
      </x:c>
      <x:c r="B9" s="53" t="n">
        <x:f>'Inputs &amp; Sources'!B32</x:f>
        <x:v>0</x:v>
      </x:c>
      <x:c r="C9" s="21" t="n">
        <x:v>1</x:v>
      </x:c>
      <x:c r="D9" s="21" t="str">
        <x:v>0.01%</x:v>
      </x:c>
      <x:c r="E9" s="68" t="str">
        <x:f>IF(B9="","INCOMPLETE",IF(ABS(B9-C9)&lt;=0.0001,"PASS","FAIL"))</x:f>
        <x:v>INCOMPLETE</x:v>
      </x:c>
      <x:c r="F9" s="21" t="str">
        <x:v>Inputs &amp; Sources B17:B18</x:v>
      </x:c>
      <x:c r="G9" s="21" t="str">
        <x:v>Market-value weights must total 100%</x:v>
      </x:c>
      <x:c r="H9" s="23" t="str"/>
    </x:row>
    <x:row r="10" ht="40" customHeight="1">
      <x:c r="A10" s="37" t="str">
        <x:v>WACC exceeds base terminal growth</x:v>
      </x:c>
      <x:c r="B10" s="53" t="n">
        <x:f>'Inputs &amp; Sources'!B30-'Inputs &amp; Sources'!J41</x:f>
        <x:v>0</x:v>
      </x:c>
      <x:c r="C10" s="21" t="n">
        <x:v>0</x:v>
      </x:c>
      <x:c r="D10" s="21" t="str">
        <x:v>&gt; 0</x:v>
      </x:c>
      <x:c r="E10" s="68" t="str">
        <x:f>IF(B10="","INCOMPLETE",IF(B10&gt;0,"PASS","FAIL"))</x:f>
        <x:v>INCOMPLETE</x:v>
      </x:c>
      <x:c r="F10" s="21" t="str">
        <x:v>Inputs &amp; Sources B30/J41</x:v>
      </x:c>
      <x:c r="G10" s="21" t="str">
        <x:v>Gordon growth requires WACC &gt; g</x:v>
      </x:c>
      <x:c r="H10" s="23" t="str"/>
    </x:row>
    <x:row r="11" ht="40" customHeight="1">
      <x:c r="A11" s="37" t="str">
        <x:v>WACC exceeds upside terminal growth</x:v>
      </x:c>
      <x:c r="B11" s="53" t="n">
        <x:f>'Inputs &amp; Sources'!B30-'Inputs &amp; Sources'!J49</x:f>
        <x:v>0</x:v>
      </x:c>
      <x:c r="C11" s="21" t="n">
        <x:v>0</x:v>
      </x:c>
      <x:c r="D11" s="21" t="str">
        <x:v>&gt; 0</x:v>
      </x:c>
      <x:c r="E11" s="68" t="str">
        <x:f>IF(B11="","INCOMPLETE",IF(B11&gt;0,"PASS","FAIL"))</x:f>
        <x:v>INCOMPLETE</x:v>
      </x:c>
      <x:c r="F11" s="21" t="str">
        <x:v>Inputs &amp; Sources B30/J49</x:v>
      </x:c>
      <x:c r="G11" s="21" t="str">
        <x:v>Gordon growth requires WACC &gt; g</x:v>
      </x:c>
      <x:c r="H11" s="23" t="str"/>
    </x:row>
    <x:row r="12" ht="40" customHeight="1">
      <x:c r="A12" s="37" t="str">
        <x:v>WACC exceeds downside terminal growth</x:v>
      </x:c>
      <x:c r="B12" s="53" t="n">
        <x:f>'Inputs &amp; Sources'!B30-'Inputs &amp; Sources'!J57</x:f>
        <x:v>0</x:v>
      </x:c>
      <x:c r="C12" s="21" t="n">
        <x:v>0</x:v>
      </x:c>
      <x:c r="D12" s="21" t="str">
        <x:v>&gt; 0</x:v>
      </x:c>
      <x:c r="E12" s="68" t="str">
        <x:f>IF(B12="","INCOMPLETE",IF(B12&gt;0,"PASS","FAIL"))</x:f>
        <x:v>INCOMPLETE</x:v>
      </x:c>
      <x:c r="F12" s="21" t="str">
        <x:v>Inputs &amp; Sources B30/J57</x:v>
      </x:c>
      <x:c r="G12" s="21" t="str">
        <x:v>Gordon growth requires WACC &gt; g</x:v>
      </x:c>
      <x:c r="H12" s="23" t="str"/>
    </x:row>
    <x:row r="13" ht="40" customHeight="1">
      <x:c r="A13" s="37" t="str">
        <x:v>Base FCF identity</x:v>
      </x:c>
      <x:c r="B13" s="52" t="n">
        <x:f>ABS('Scenario Forecasts'!D22-('Scenario Forecasts'!D13+'Scenario Forecasts'!D15-'Scenario Forecasts'!D18-'Scenario Forecasts'!D21))+ABS('Scenario Forecasts'!E22-('Scenario Forecasts'!E13+'Scenario Forecasts'!E15-'Scenario Forecasts'!E18-'Scenario Forecasts'!E21))+ABS('Scenario Forecasts'!F22-('Scenario Forecasts'!F13+'Scenario Forecasts'!F15-'Scenario Forecasts'!F18-'Scenario Forecasts'!F21))+ABS('Scenario Forecasts'!G22-('Scenario Forecasts'!G13+'Scenario Forecasts'!G15-'Scenario Forecasts'!G18-'Scenario Forecasts'!G21))+ABS('Scenario Forecasts'!H22-('Scenario Forecasts'!H13+'Scenario Forecasts'!H15-'Scenario Forecasts'!H18-'Scenario Forecasts'!H21))</x:f>
        <x:v>0</x:v>
      </x:c>
      <x:c r="C13" s="21" t="n">
        <x:v>0</x:v>
      </x:c>
      <x:c r="D13" s="21" t="str">
        <x:v>&lt; 0.1</x:v>
      </x:c>
      <x:c r="E13" s="68" t="str">
        <x:f>IF(COUNT('Scenario Forecasts'!D22:H22)&lt;5,"INCOMPLETE",IF(B13&lt;0.1,"PASS","FAIL"))</x:f>
        <x:v>INCOMPLETE</x:v>
      </x:c>
      <x:c r="F13" s="21" t="str">
        <x:v>Scenario Forecasts base block</x:v>
      </x:c>
      <x:c r="G13" s="21" t="str">
        <x:v>NOPAT + D&amp;A − CapEx − ΔNWC must equal UFCF</x:v>
      </x:c>
      <x:c r="H13" s="23" t="str"/>
    </x:row>
    <x:row r="14" ht="40" customHeight="1">
      <x:c r="A14" s="37" t="str">
        <x:v>Upside FCF identity</x:v>
      </x:c>
      <x:c r="B14" s="52" t="n">
        <x:f>ABS('Scenario Forecasts'!D45-('Scenario Forecasts'!D36+'Scenario Forecasts'!D38-'Scenario Forecasts'!D41-'Scenario Forecasts'!D44))+ABS('Scenario Forecasts'!E45-('Scenario Forecasts'!E36+'Scenario Forecasts'!E38-'Scenario Forecasts'!E41-'Scenario Forecasts'!E44))+ABS('Scenario Forecasts'!F45-('Scenario Forecasts'!F36+'Scenario Forecasts'!F38-'Scenario Forecasts'!F41-'Scenario Forecasts'!F44))+ABS('Scenario Forecasts'!G45-('Scenario Forecasts'!G36+'Scenario Forecasts'!G38-'Scenario Forecasts'!G41-'Scenario Forecasts'!G44))+ABS('Scenario Forecasts'!H45-('Scenario Forecasts'!H36+'Scenario Forecasts'!H38-'Scenario Forecasts'!H41-'Scenario Forecasts'!H44))</x:f>
        <x:v>0</x:v>
      </x:c>
      <x:c r="C14" s="21" t="n">
        <x:v>0</x:v>
      </x:c>
      <x:c r="D14" s="21" t="str">
        <x:v>&lt; 0.1</x:v>
      </x:c>
      <x:c r="E14" s="68" t="str">
        <x:f>IF(COUNT('Scenario Forecasts'!D45:H45)&lt;5,"INCOMPLETE",IF(B14&lt;0.1,"PASS","FAIL"))</x:f>
        <x:v>INCOMPLETE</x:v>
      </x:c>
      <x:c r="F14" s="21" t="str">
        <x:v>Scenario Forecasts upside block</x:v>
      </x:c>
      <x:c r="G14" s="21" t="str">
        <x:v>Scenario cash-flow identity</x:v>
      </x:c>
      <x:c r="H14" s="23" t="str"/>
    </x:row>
    <x:row r="15" ht="40" customHeight="1">
      <x:c r="A15" s="37" t="str">
        <x:v>Downside FCF identity</x:v>
      </x:c>
      <x:c r="B15" s="52" t="n">
        <x:f>ABS('Scenario Forecasts'!D68-('Scenario Forecasts'!D59+'Scenario Forecasts'!D61-'Scenario Forecasts'!D64-'Scenario Forecasts'!D67))+ABS('Scenario Forecasts'!E68-('Scenario Forecasts'!E59+'Scenario Forecasts'!E61-'Scenario Forecasts'!E64-'Scenario Forecasts'!E67))+ABS('Scenario Forecasts'!F68-('Scenario Forecasts'!F59+'Scenario Forecasts'!F61-'Scenario Forecasts'!F64-'Scenario Forecasts'!F67))+ABS('Scenario Forecasts'!G68-('Scenario Forecasts'!G59+'Scenario Forecasts'!G61-'Scenario Forecasts'!G64-'Scenario Forecasts'!G67))+ABS('Scenario Forecasts'!H68-('Scenario Forecasts'!H59+'Scenario Forecasts'!H61-'Scenario Forecasts'!H64-'Scenario Forecasts'!H67))</x:f>
        <x:v>0</x:v>
      </x:c>
      <x:c r="C15" s="21" t="n">
        <x:v>0</x:v>
      </x:c>
      <x:c r="D15" s="21" t="str">
        <x:v>&lt; 0.1</x:v>
      </x:c>
      <x:c r="E15" s="68" t="str">
        <x:f>IF(COUNT('Scenario Forecasts'!D68:H68)&lt;5,"INCOMPLETE",IF(B15&lt;0.1,"PASS","FAIL"))</x:f>
        <x:v>INCOMPLETE</x:v>
      </x:c>
      <x:c r="F15" s="21" t="str">
        <x:v>Scenario Forecasts downside block</x:v>
      </x:c>
      <x:c r="G15" s="21" t="str">
        <x:v>Scenario cash-flow identity</x:v>
      </x:c>
      <x:c r="H15" s="23" t="str"/>
    </x:row>
    <x:row r="16" ht="40" customHeight="1">
      <x:c r="A16" s="37" t="str">
        <x:v>Base enterprise-value tie</x:v>
      </x:c>
      <x:c r="B16" s="52" t="n">
        <x:f>'Valuation'!C9-SUM('Valuation'!C7:C8)</x:f>
        <x:v>0</x:v>
      </x:c>
      <x:c r="C16" s="21" t="n">
        <x:v>0</x:v>
      </x:c>
      <x:c r="D16" s="21" t="str">
        <x:v>&lt; 0.1</x:v>
      </x:c>
      <x:c r="E16" s="68" t="str">
        <x:f>IF('Valuation'!C9="","INCOMPLETE",IF(ABS(B16)&lt;0.1,"PASS","FAIL"))</x:f>
        <x:v>INCOMPLETE</x:v>
      </x:c>
      <x:c r="F16" s="21" t="str">
        <x:v>Valuation C7:C9</x:v>
      </x:c>
      <x:c r="G16" s="21" t="str">
        <x:v>EV must equal PV forecast FCF + PV terminal value</x:v>
      </x:c>
      <x:c r="H16" s="23" t="str"/>
    </x:row>
    <x:row r="17" ht="40" customHeight="1">
      <x:c r="A17" s="37" t="str">
        <x:v>Base equity bridge tie</x:v>
      </x:c>
      <x:c r="B17" s="52" t="n">
        <x:f>'Valuation'!C12-('Valuation'!C9-'Valuation'!C10+'Valuation'!C11)</x:f>
        <x:v>0</x:v>
      </x:c>
      <x:c r="C17" s="21" t="n">
        <x:v>0</x:v>
      </x:c>
      <x:c r="D17" s="21" t="str">
        <x:v>&lt; 0.1</x:v>
      </x:c>
      <x:c r="E17" s="68" t="str">
        <x:f>IF('Valuation'!C12="","INCOMPLETE",IF(ABS(B17)&lt;0.1,"PASS","FAIL"))</x:f>
        <x:v>INCOMPLETE</x:v>
      </x:c>
      <x:c r="F17" s="21" t="str">
        <x:v>Valuation C9:C12</x:v>
      </x:c>
      <x:c r="G17" s="21" t="str">
        <x:v>Equity value must reconcile from enterprise value</x:v>
      </x:c>
      <x:c r="H17" s="23" t="str"/>
    </x:row>
    <x:row r="18" ht="40" customHeight="1">
      <x:c r="A18" s="37" t="str">
        <x:v>Sensitivity center ties to base</x:v>
      </x:c>
      <x:c r="B18" s="52" t="n">
        <x:f>'Sensitivities'!D10-'Valuation'!C14</x:f>
        <x:v>0</x:v>
      </x:c>
      <x:c r="C18" s="21" t="n">
        <x:v>0</x:v>
      </x:c>
      <x:c r="D18" s="21" t="str">
        <x:v>&lt; 0.01</x:v>
      </x:c>
      <x:c r="E18" s="68" t="str">
        <x:f>IF('Sensitivities'!D10="","INCOMPLETE",IF(ABS(B18)&lt;0.01,"PASS","FAIL"))</x:f>
        <x:v>INCOMPLETE</x:v>
      </x:c>
      <x:c r="F18" s="21" t="str">
        <x:v>Sensitivities D10</x:v>
      </x:c>
      <x:c r="G18" s="21" t="str">
        <x:v>The sensitivity table must use the live base valuation</x:v>
      </x:c>
      <x:c r="H18" s="23" t="str"/>
    </x:row>
    <x:row r="19" ht="40" customHeight="1">
      <x:c r="A19" s="37" t="str">
        <x:v>Scenario ordering</x:v>
      </x:c>
      <x:c r="B19" s="51" t="n">
        <x:f>IF(AND('Valuation'!E14&lt;='Valuation'!C14,'Valuation'!C14&lt;='Valuation'!D14),0,1)</x:f>
        <x:v>0</x:v>
      </x:c>
      <x:c r="C19" s="21" t="n">
        <x:v>0</x:v>
      </x:c>
      <x:c r="D19" s="21" t="str">
        <x:v>0</x:v>
      </x:c>
      <x:c r="E19" s="68" t="str">
        <x:f>IF(COUNT('Valuation'!C14:E14)&lt;3,"INCOMPLETE",IF(B19=0,"PASS","REVIEW"))</x:f>
        <x:v>INCOMPLETE</x:v>
      </x:c>
      <x:c r="F19" s="21" t="str">
        <x:v>Inputs &amp; Sources scenario assumptions</x:v>
      </x:c>
      <x:c r="G19" s="21" t="str">
        <x:v>Upside/base/downside should reflect the named driver unless explained</x:v>
      </x:c>
      <x:c r="H19" s="23" t="str"/>
    </x:row>
    <x:row r="20" ht="40" customHeight="1">
      <x:c r="A20" s="37" t="str">
        <x:v>Base terminal-value share</x:v>
      </x:c>
      <x:c r="B20" s="53" t="str">
        <x:f>'Valuation'!C26</x:f>
      </x:c>
      <x:c r="C20" s="21" t="n">
        <x:v>0.4</x:v>
      </x:c>
      <x:c r="D20" s="21" t="str">
        <x:v>40%–85%</x:v>
      </x:c>
      <x:c r="E20" s="68" t="str">
        <x:f>IF(B20="","INCOMPLETE",IF(AND(B20&gt;=0.4,B20&lt;=0.85),"PASS","REVIEW"))</x:f>
        <x:v>INCOMPLETE</x:v>
      </x:c>
      <x:c r="F20" s="21" t="str">
        <x:v>Valuation C26</x:v>
      </x:c>
      <x:c r="G20" s="21" t="str">
        <x:v>High or low terminal dependence requires judgment</x:v>
      </x:c>
      <x:c r="H20" s="23" t="str"/>
    </x:row>
    <x:row r="21" ht="40" customHeight="1">
      <x:c r="A21" s="37" t="str">
        <x:v>Base implied terminal multiple</x:v>
      </x:c>
      <x:c r="B21" s="58" t="str">
        <x:f>'Valuation'!C27</x:f>
      </x:c>
      <x:c r="C21" s="21" t="n">
        <x:v>25</x:v>
      </x:c>
      <x:c r="D21" s="21" t="str">
        <x:v>0x–25x</x:v>
      </x:c>
      <x:c r="E21" s="68" t="str">
        <x:f>IF(B21="","INCOMPLETE",IF(AND(B21&gt;0,B21&lt;=25),"PASS","REVIEW"))</x:f>
        <x:v>INCOMPLETE</x:v>
      </x:c>
      <x:c r="F21" s="21" t="str">
        <x:v>Valuation C27</x:v>
      </x:c>
      <x:c r="G21" s="21" t="str">
        <x:v>Compare implied steady-state economics with reality</x:v>
      </x:c>
      <x:c r="H21" s="23" t="str"/>
    </x:row>
    <x:row r="22" ht="40" customHeight="1">
      <x:c r="A22" s="37" t="str">
        <x:v>Sensitivity direction</x:v>
      </x:c>
      <x:c r="B22" s="51" t="n">
        <x:f>IF(AND('Sensitivities'!D11&lt;'Sensitivities'!D10,'Sensitivities'!E10&gt;'Sensitivities'!D10),0,1)</x:f>
        <x:v>1</x:v>
      </x:c>
      <x:c r="C22" s="21" t="n">
        <x:v>0</x:v>
      </x:c>
      <x:c r="D22" s="21" t="str">
        <x:v>0</x:v>
      </x:c>
      <x:c r="E22" s="68" t="str">
        <x:f>IF('Sensitivities'!D10="","INCOMPLETE",IF(B22=0,"PASS","FAIL"))</x:f>
        <x:v>INCOMPLETE</x:v>
      </x:c>
      <x:c r="F22" s="21" t="str">
        <x:v>Sensitivities</x:v>
      </x:c>
      <x:c r="G22" s="21" t="str">
        <x:v>Higher WACC lowers value; higher g raises value</x:v>
      </x:c>
      <x:c r="H22" s="23" t="str"/>
    </x:row>
    <x:row r="23" ht="40" customHeight="1">
      <x:c r="A23" s="37" t="str">
        <x:v>Optional project model completeness</x:v>
      </x:c>
      <x:c r="B23" s="51" t="n">
        <x:f>IF('Decision Economics'!B7="No",1,COUNT('Decision Economics'!B9:B13)+COUNT('Decision Economics'!D19:H20))</x:f>
        <x:v>1</x:v>
      </x:c>
      <x:c r="C23" s="21" t="n">
        <x:v>1</x:v>
      </x:c>
      <x:c r="D23" s="21" t="str">
        <x:v>No: 1; Yes: 15</x:v>
      </x:c>
      <x:c r="E23" s="68" t="str">
        <x:f>IF('Decision Economics'!B7="No","PASS",IF(B23=15,"PASS","INCOMPLETE"))</x:f>
        <x:v>PASS</x:v>
      </x:c>
      <x:c r="F23" s="21" t="str">
        <x:v>Decision Economics</x:v>
      </x:c>
      <x:c r="G23" s="21" t="str">
        <x:v>Optional analysis must be complete when used</x:v>
      </x:c>
      <x:c r="H23" s="23" t="str"/>
    </x:row>
    <x:row r="24" ht="40" customHeight="1">
      <x:c r="A24" s="37" t="str">
        <x:v>Optional project FCF sign / sources-uses</x:v>
      </x:c>
      <x:c r="B24" s="51" t="n">
        <x:f>IF('Decision Economics'!B7="No",0,'Decision Economics'!C32-(-'Decision Economics'!C26-'Decision Economics'!C27))</x:f>
        <x:v>0</x:v>
      </x:c>
      <x:c r="C24" s="21" t="n">
        <x:v>0</x:v>
      </x:c>
      <x:c r="D24" s="21" t="str">
        <x:v>&lt; 0.1</x:v>
      </x:c>
      <x:c r="E24" s="68" t="str">
        <x:f>IF('Decision Economics'!B7="No","PASS",IF(ABS(B24)&lt;0.1,"PASS","FAIL"))</x:f>
        <x:v>PASS</x:v>
      </x:c>
      <x:c r="F24" s="21" t="str">
        <x:v>Decision Economics C26:C32</x:v>
      </x:c>
      <x:c r="G24" s="21" t="str">
        <x:v>Initial CapEx and NWC are cash uses</x:v>
      </x:c>
      <x:c r="H24" s="23" t="str"/>
    </x:row>
    <x:row r="25" ht="40" customHeight="1">
      <x:c r="A25" s="37" t="str">
        <x:v>Optional project payback behavior</x:v>
      </x:c>
      <x:c r="B25" s="51" t="n">
        <x:f>IF('Decision Economics'!B7="No",1,IF(OR('Decision Economics'!B40="No payback",AND(ISNUMBER('Decision Economics'!B40),'Decision Economics'!B40&gt;=0,'Decision Economics'!B40&lt;=5)),1,0))</x:f>
        <x:v>1</x:v>
      </x:c>
      <x:c r="C25" s="21" t="n">
        <x:v>1</x:v>
      </x:c>
      <x:c r="D25" s="21" t="str">
        <x:v>1</x:v>
      </x:c>
      <x:c r="E25" s="68" t="str">
        <x:f>IF(B25=1,"PASS","FAIL")</x:f>
        <x:v>PASS</x:v>
      </x:c>
      <x:c r="F25" s="21" t="str">
        <x:v>Decision Economics B40</x:v>
      </x:c>
      <x:c r="G25" s="21" t="str">
        <x:v>Payback must be fractional/guarded and never return a formula error</x:v>
      </x:c>
      <x:c r="H25" s="23" t="str"/>
    </x:row>
    <x:row r="26">
      <x:c r="A26" s="73"/>
      <x:c r="B26" s="73"/>
      <x:c r="C26" s="73"/>
      <x:c r="D26" s="73"/>
      <x:c r="E26" s="73"/>
      <x:c r="F26" s="73"/>
      <x:c r="G26" s="73"/>
      <x:c r="H26" s="73"/>
    </x:row>
    <x:row r="27">
      <x:c r="A27" s="79" t="str">
        <x:v>Blank-state standard: a new student file should show INCOMPLETE and blank decision outputs, never Excel error codes or misleading zero valuations.</x:v>
      </x:c>
      <x:c r="B27" s="79"/>
      <x:c r="C27" s="79"/>
      <x:c r="D27" s="79"/>
      <x:c r="E27" s="79"/>
      <x:c r="F27" s="79"/>
      <x:c r="G27" s="79"/>
      <x:c r="H27" s="79"/>
    </x:row>
  </x:sheetData>
  <x:mergeCells>
    <x:mergeCell ref="A1:H1"/>
    <x:mergeCell ref="A2:H2"/>
    <x:mergeCell ref="A27:H27"/>
  </x:mergeCells>
  <x:conditionalFormatting sqref="A1:H27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INCOMPLETE"/>
    <x:cfRule type="containsText" dxfId="3" priority="4" operator="containsText" text="REVIEW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1" hidden="0" customWidth="1"/>
    <x:col min="3" max="3" width="19" hidden="0" customWidth="1"/>
    <x:col min="4" max="4" width="32" hidden="0" customWidth="1"/>
    <x:col min="5" max="5" width="17" hidden="0" customWidth="1"/>
    <x:col min="6" max="6" width="17" hidden="0" customWidth="1"/>
    <x:col min="7" max="7" width="30" hidden="0" customWidth="1"/>
    <x:col min="8" max="8" width="42" hidden="0" customWidth="1"/>
    <x:col min="9" max="9" width="16" hidden="0" customWidth="1"/>
    <x:col min="10" max="10" width="32" hidden="0" customWidth="1"/>
  </x:cols>
  <x:sheetData>
    <x:row r="1" ht="28" customHeight="1">
      <x:c r="A1" s="70" t="str">
        <x:v>BUS311 Capstone Milestone 3 | Sources</x:v>
      </x:c>
      <x:c r="B1" s="70"/>
      <x:c r="C1" s="70"/>
      <x:c r="D1" s="70"/>
      <x:c r="E1" s="70"/>
      <x:c r="F1" s="70"/>
      <x:c r="G1" s="70"/>
      <x:c r="H1" s="70"/>
      <x:c r="I1" s="70"/>
      <x:c r="J1" s="70"/>
    </x:row>
    <x:row r="2" ht="30" customHeight="1">
      <x:c r="A2" s="71" t="str">
        <x:v>Source log for every material reported fact and forecast assumption; use stable links or exact filing/report locations.</x:v>
      </x:c>
      <x:c r="B2" s="71"/>
      <x:c r="C2" s="71"/>
      <x:c r="D2" s="71"/>
      <x:c r="E2" s="71"/>
      <x:c r="F2" s="71"/>
      <x:c r="G2" s="71"/>
      <x:c r="H2" s="71"/>
      <x:c r="I2" s="71"/>
      <x:c r="J2" s="71"/>
    </x:row>
    <x:row r="3" ht="24" customHeight="1">
      <x:c r="A3" s="72" t="str">
        <x:v>Legend: blue font / pale yellow = student input | green font = cross-sheet link | black = formula | PASS/REVIEW/INCOMPLETE = control status, not a grade</x:v>
      </x:c>
      <x:c r="B3" s="72"/>
      <x:c r="C3" s="72"/>
      <x:c r="D3" s="72"/>
      <x:c r="E3" s="72"/>
      <x:c r="F3" s="72"/>
      <x:c r="G3" s="72"/>
      <x:c r="H3" s="72"/>
      <x:c r="I3" s="72"/>
      <x:c r="J3" s="72"/>
    </x:row>
    <x:row r="4">
      <x:c r="A4" s="73"/>
      <x:c r="B4" s="73"/>
      <x:c r="C4" s="73"/>
      <x:c r="D4" s="73"/>
      <x:c r="E4" s="73"/>
      <x:c r="F4" s="73"/>
      <x:c r="G4" s="73"/>
      <x:c r="H4" s="73"/>
      <x:c r="I4" s="73"/>
      <x:c r="J4" s="73"/>
    </x:row>
    <x:row r="5" ht="34" customHeight="1">
      <x:c r="A5" s="20" t="str">
        <x:v>Source ID</x:v>
      </x:c>
      <x:c r="B5" s="20" t="str">
        <x:v>Assumption / metric supported</x:v>
      </x:c>
      <x:c r="C5" s="20" t="str">
        <x:v>Source type</x:v>
      </x:c>
      <x:c r="D5" s="20" t="str">
        <x:v>Organization / document / FactSet report</x:v>
      </x:c>
      <x:c r="E5" s="20" t="str">
        <x:v>Period / as-of</x:v>
      </x:c>
      <x:c r="F5" s="20" t="str">
        <x:v>Units / currency</x:v>
      </x:c>
      <x:c r="G5" s="20" t="str">
        <x:v>Definition / adjustments</x:v>
      </x:c>
      <x:c r="H5" s="20" t="str">
        <x:v>Exact page, table, screen, or stable URL</x:v>
      </x:c>
      <x:c r="I5" s="20" t="str">
        <x:v>Accessed date</x:v>
      </x:c>
      <x:c r="J5" s="20" t="str">
        <x:v>Limitation / comparability</x:v>
      </x:c>
    </x:row>
    <x:row r="6" ht="50" customHeight="1">
      <x:c r="A6" s="69" t="str">
        <x:v>S01</x:v>
      </x:c>
      <x:c r="B6" s="23" t="str"/>
      <x:c r="C6" s="23" t="str"/>
      <x:c r="D6" s="23" t="str"/>
      <x:c r="E6" s="23" t="str"/>
      <x:c r="F6" s="23" t="str"/>
      <x:c r="G6" s="23" t="str"/>
      <x:c r="H6" s="23" t="str"/>
      <x:c r="I6" s="44" t="str"/>
      <x:c r="J6" s="23" t="str"/>
    </x:row>
    <x:row r="7" ht="50" customHeight="1">
      <x:c r="A7" s="69" t="str">
        <x:v>S02</x:v>
      </x:c>
      <x:c r="B7" s="23" t="str"/>
      <x:c r="C7" s="23" t="str"/>
      <x:c r="D7" s="23" t="str"/>
      <x:c r="E7" s="23" t="str"/>
      <x:c r="F7" s="23" t="str"/>
      <x:c r="G7" s="23" t="str"/>
      <x:c r="H7" s="23" t="str"/>
      <x:c r="I7" s="44" t="str"/>
      <x:c r="J7" s="23" t="str"/>
    </x:row>
    <x:row r="8" ht="50" customHeight="1">
      <x:c r="A8" s="69" t="str">
        <x:v>S03</x:v>
      </x:c>
      <x:c r="B8" s="23" t="str"/>
      <x:c r="C8" s="23" t="str"/>
      <x:c r="D8" s="23" t="str"/>
      <x:c r="E8" s="23" t="str"/>
      <x:c r="F8" s="23" t="str"/>
      <x:c r="G8" s="23" t="str"/>
      <x:c r="H8" s="23" t="str"/>
      <x:c r="I8" s="44" t="str"/>
      <x:c r="J8" s="23" t="str"/>
    </x:row>
    <x:row r="9" ht="50" customHeight="1">
      <x:c r="A9" s="69" t="str">
        <x:v>S04</x:v>
      </x:c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</x:row>
    <x:row r="10" ht="50" customHeight="1">
      <x:c r="A10" s="69" t="str">
        <x:v>S05</x:v>
      </x:c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</x:row>
    <x:row r="11" ht="50" customHeight="1">
      <x:c r="A11" s="69" t="str">
        <x:v>S06</x:v>
      </x:c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</x:row>
    <x:row r="12" ht="50" customHeight="1">
      <x:c r="A12" s="69" t="str">
        <x:v>S07</x:v>
      </x:c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</x:row>
    <x:row r="13" ht="50" customHeight="1">
      <x:c r="A13" s="69" t="str">
        <x:v>S08</x:v>
      </x:c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</x:row>
    <x:row r="14" ht="50" customHeight="1">
      <x:c r="A14" s="69" t="str">
        <x:v>S09</x:v>
      </x:c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</x:row>
    <x:row r="15" ht="50" customHeight="1">
      <x:c r="A15" s="69" t="str">
        <x:v>S10</x:v>
      </x:c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</x:row>
    <x:row r="16" ht="50" customHeight="1">
      <x:c r="A16" s="69" t="str">
        <x:v>S11</x:v>
      </x:c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</x:row>
    <x:row r="17" ht="50" customHeight="1">
      <x:c r="A17" s="69" t="str">
        <x:v>S12</x:v>
      </x:c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</x:row>
    <x:row r="18" ht="50" customHeight="1">
      <x:c r="A18" s="69" t="str">
        <x:v>S13</x:v>
      </x:c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</x:row>
    <x:row r="19" ht="50" customHeight="1">
      <x:c r="A19" s="69" t="str">
        <x:v>S14</x:v>
      </x:c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</x:row>
    <x:row r="20" ht="50" customHeight="1">
      <x:c r="A20" s="69" t="str">
        <x:v>S15</x:v>
      </x:c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</x:row>
    <x:row r="21" ht="50" customHeight="1">
      <x:c r="A21" s="69" t="str">
        <x:v>S16</x:v>
      </x:c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</x:row>
    <x:row r="22" ht="50" customHeight="1">
      <x:c r="A22" s="69" t="str">
        <x:v>S17</x:v>
      </x:c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</x:row>
    <x:row r="23" ht="50" customHeight="1">
      <x:c r="A23" s="69" t="str">
        <x:v>S18</x:v>
      </x:c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</x:row>
    <x:row r="24" ht="50" customHeight="1">
      <x:c r="A24" s="69" t="str">
        <x:v>S19</x:v>
      </x:c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</x:row>
    <x:row r="25" ht="50" customHeight="1">
      <x:c r="A25" s="69" t="str">
        <x:v>S20</x:v>
      </x:c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</x:row>
    <x:row r="26" ht="50" customHeight="1">
      <x:c r="A26" s="69" t="str">
        <x:v>S21</x:v>
      </x:c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</x:row>
    <x:row r="27" ht="50" customHeight="1">
      <x:c r="A27" s="69" t="str">
        <x:v>S22</x:v>
      </x:c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</x:row>
    <x:row r="28" ht="50" customHeight="1">
      <x:c r="A28" s="69" t="str">
        <x:v>S23</x:v>
      </x:c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</x:row>
    <x:row r="29" ht="50" customHeight="1">
      <x:c r="A29" s="69" t="str">
        <x:v>S24</x:v>
      </x:c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</x:row>
    <x:row r="30" ht="50" customHeight="1">
      <x:c r="A30" s="69" t="str">
        <x:v>S25</x:v>
      </x:c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</x:row>
    <x:row r="31" ht="50" customHeight="1">
      <x:c r="A31" s="69" t="str">
        <x:v>S26</x:v>
      </x:c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</x:row>
    <x:row r="32" ht="50" customHeight="1">
      <x:c r="A32" s="69" t="str">
        <x:v>S27</x:v>
      </x:c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</x:row>
    <x:row r="33" ht="50" customHeight="1">
      <x:c r="A33" s="69" t="str">
        <x:v>S28</x:v>
      </x:c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</x:row>
    <x:row r="34" ht="50" customHeight="1">
      <x:c r="A34" s="69" t="str">
        <x:v>S29</x:v>
      </x:c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</x:row>
    <x:row r="35" ht="50" customHeight="1">
      <x:c r="A35" s="69" t="str">
        <x:v>S30</x:v>
      </x:c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</x:row>
    <x:row r="36" ht="50" customHeight="1">
      <x:c r="A36" s="69" t="str">
        <x:v>S31</x:v>
      </x:c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</x:row>
    <x:row r="37" ht="50" customHeight="1">
      <x:c r="A37" s="69" t="str">
        <x:v>S32</x:v>
      </x:c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</x:row>
    <x:row r="38" ht="50" customHeight="1">
      <x:c r="A38" s="69" t="str">
        <x:v>S33</x:v>
      </x:c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</x:row>
    <x:row r="39" ht="50" customHeight="1">
      <x:c r="A39" s="69" t="str">
        <x:v>S34</x:v>
      </x:c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</x:row>
    <x:row r="40" ht="50" customHeight="1">
      <x:c r="A40" s="69" t="str">
        <x:v>S35</x:v>
      </x:c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</x:row>
    <x:row r="41" ht="50" customHeight="1">
      <x:c r="A41" s="69" t="str">
        <x:v>S36</x:v>
      </x:c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</x:row>
    <x:row r="42" ht="50" customHeight="1">
      <x:c r="A42" s="69" t="str">
        <x:v>S37</x:v>
      </x:c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</x:row>
    <x:row r="43" ht="50" customHeight="1">
      <x:c r="A43" s="69" t="str">
        <x:v>S38</x:v>
      </x:c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</x:row>
    <x:row r="44" ht="50" customHeight="1">
      <x:c r="A44" s="69" t="str">
        <x:v>S39</x:v>
      </x:c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</x:row>
    <x:row r="45" ht="50" customHeight="1">
      <x:c r="A45" s="69" t="str">
        <x:v>S40</x:v>
      </x:c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</x:row>
  </x:sheetData>
  <x:mergeCells>
    <x:mergeCell ref="A1:J1"/>
    <x:mergeCell ref="A2:J2"/>
    <x:mergeCell ref="A3:J3"/>
  </x:mergeCells>
  <x:dataValidations count="1">
    <x:dataValidation type="list" sqref="C6:C45">
      <x:formula1>"SEC filing,FactSet,Company IR,Peer filing,Industry/regulatory,Market data,Student assumption,Other credible"</x:formula1>
    </x:dataValidation>
  </x:dataValidations>
  <x:pageMargins left="0.7" right="0.7" top="0.75" bottom="0.75" header="0.3" footer="0.3"/>
</x:worksheet>
</file>