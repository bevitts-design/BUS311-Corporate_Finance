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ethanyevittsair2/Documents/GitHub/BUS311-Corporate_Finance/CAPSTONE/"/>
    </mc:Choice>
  </mc:AlternateContent>
  <xr:revisionPtr revIDLastSave="0" documentId="8_{CD8C98AD-AA24-C541-94A0-326B58B3031A}" xr6:coauthVersionLast="47" xr6:coauthVersionMax="47" xr10:uidLastSave="{00000000-0000-0000-0000-000000000000}"/>
  <bookViews>
    <workbookView xWindow="0" yWindow="600" windowWidth="38400" windowHeight="20060" xr2:uid="{00000000-000D-0000-FFFF-FFFF00000000}"/>
  </bookViews>
  <sheets>
    <sheet name="Read Me" sheetId="1" r:id="rId1"/>
    <sheet name="Revenue Handoff" sheetId="2" r:id="rId2"/>
    <sheet name="Inputs &amp; Sources" sheetId="3" r:id="rId3"/>
    <sheet name="Scenario Forecasts" sheetId="4" r:id="rId4"/>
    <sheet name="Valuation" sheetId="5" r:id="rId5"/>
    <sheet name="Decision Economics" sheetId="6" r:id="rId6"/>
    <sheet name="Sensitivities" sheetId="7" r:id="rId7"/>
    <sheet name="Board Appendix" sheetId="8" r:id="rId8"/>
    <sheet name="Checks" sheetId="9" r:id="rId9"/>
    <sheet name="Sourc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9" l="1"/>
  <c r="E25" i="9" s="1"/>
  <c r="E24" i="9"/>
  <c r="B24" i="9"/>
  <c r="E23" i="9"/>
  <c r="B23" i="9"/>
  <c r="B8" i="9"/>
  <c r="E8" i="9" s="1"/>
  <c r="B7" i="9"/>
  <c r="E7" i="9" s="1"/>
  <c r="E6" i="9"/>
  <c r="B6" i="9"/>
  <c r="C13" i="8"/>
  <c r="C9" i="8"/>
  <c r="C25" i="8" s="1"/>
  <c r="I7" i="8"/>
  <c r="E19" i="7"/>
  <c r="C17" i="7"/>
  <c r="F7" i="7"/>
  <c r="E7" i="7"/>
  <c r="D7" i="7"/>
  <c r="C7" i="7"/>
  <c r="B7" i="7"/>
  <c r="B40" i="6"/>
  <c r="B39" i="6"/>
  <c r="B38" i="6"/>
  <c r="H34" i="6"/>
  <c r="G34" i="6"/>
  <c r="F34" i="6"/>
  <c r="E34" i="6"/>
  <c r="D34" i="6"/>
  <c r="E33" i="6"/>
  <c r="D33" i="6"/>
  <c r="C33" i="6"/>
  <c r="H32" i="6"/>
  <c r="H33" i="6" s="1"/>
  <c r="G32" i="6"/>
  <c r="G33" i="6" s="1"/>
  <c r="F32" i="6"/>
  <c r="F33" i="6" s="1"/>
  <c r="E32" i="6"/>
  <c r="D32" i="6"/>
  <c r="C32" i="6"/>
  <c r="H29" i="6"/>
  <c r="H30" i="6" s="1"/>
  <c r="C26" i="6"/>
  <c r="H25" i="6"/>
  <c r="G22" i="6"/>
  <c r="G24" i="6" s="1"/>
  <c r="F22" i="6"/>
  <c r="F23" i="6" s="1"/>
  <c r="E22" i="6"/>
  <c r="E23" i="6" s="1"/>
  <c r="D22" i="6"/>
  <c r="D23" i="6" s="1"/>
  <c r="H21" i="6"/>
  <c r="H22" i="6" s="1"/>
  <c r="H24" i="6" s="1"/>
  <c r="G21" i="6"/>
  <c r="G25" i="6" s="1"/>
  <c r="F21" i="6"/>
  <c r="F25" i="6" s="1"/>
  <c r="E21" i="6"/>
  <c r="E25" i="6" s="1"/>
  <c r="D21" i="6"/>
  <c r="D25" i="6" s="1"/>
  <c r="B14" i="6"/>
  <c r="E20" i="5"/>
  <c r="D20" i="5"/>
  <c r="C20" i="5"/>
  <c r="E15" i="5"/>
  <c r="D15" i="5"/>
  <c r="E18" i="7" s="1"/>
  <c r="C15" i="5"/>
  <c r="C7" i="8" s="1"/>
  <c r="C23" i="8" s="1"/>
  <c r="E13" i="5"/>
  <c r="D13" i="5"/>
  <c r="C13" i="5"/>
  <c r="E11" i="5"/>
  <c r="D11" i="5"/>
  <c r="C11" i="5"/>
  <c r="E10" i="5"/>
  <c r="D10" i="5"/>
  <c r="C10" i="5"/>
  <c r="C66" i="4"/>
  <c r="H65" i="4"/>
  <c r="G65" i="4"/>
  <c r="F65" i="4"/>
  <c r="E65" i="4"/>
  <c r="D65" i="4"/>
  <c r="H63" i="4"/>
  <c r="G63" i="4"/>
  <c r="F63" i="4"/>
  <c r="E63" i="4"/>
  <c r="D63" i="4"/>
  <c r="H60" i="4"/>
  <c r="G60" i="4"/>
  <c r="F60" i="4"/>
  <c r="E60" i="4"/>
  <c r="D60" i="4"/>
  <c r="H57" i="4"/>
  <c r="G57" i="4"/>
  <c r="F57" i="4"/>
  <c r="E57" i="4"/>
  <c r="D57" i="4"/>
  <c r="H55" i="4"/>
  <c r="I9" i="8" s="1"/>
  <c r="G55" i="4"/>
  <c r="F55" i="4"/>
  <c r="E55" i="4"/>
  <c r="D55" i="4"/>
  <c r="C54" i="4"/>
  <c r="H53" i="4"/>
  <c r="G53" i="4"/>
  <c r="F53" i="4"/>
  <c r="E53" i="4"/>
  <c r="D53" i="4"/>
  <c r="B19" i="7" s="1"/>
  <c r="C43" i="4"/>
  <c r="H42" i="4"/>
  <c r="G42" i="4"/>
  <c r="F42" i="4"/>
  <c r="E42" i="4"/>
  <c r="D42" i="4"/>
  <c r="H40" i="4"/>
  <c r="G40" i="4"/>
  <c r="F40" i="4"/>
  <c r="E40" i="4"/>
  <c r="D40" i="4"/>
  <c r="H37" i="4"/>
  <c r="G37" i="4"/>
  <c r="F37" i="4"/>
  <c r="E37" i="4"/>
  <c r="D37" i="4"/>
  <c r="H34" i="4"/>
  <c r="G34" i="4"/>
  <c r="F34" i="4"/>
  <c r="E34" i="4"/>
  <c r="D34" i="4"/>
  <c r="H32" i="4"/>
  <c r="C18" i="7" s="1"/>
  <c r="G32" i="4"/>
  <c r="F32" i="4"/>
  <c r="E32" i="4"/>
  <c r="D32" i="4"/>
  <c r="C31" i="4"/>
  <c r="D31" i="4" s="1"/>
  <c r="H30" i="4"/>
  <c r="G30" i="4"/>
  <c r="F30" i="4"/>
  <c r="E30" i="4"/>
  <c r="D30" i="4"/>
  <c r="B18" i="7" s="1"/>
  <c r="C20" i="4"/>
  <c r="H19" i="4"/>
  <c r="G19" i="4"/>
  <c r="F19" i="4"/>
  <c r="E19" i="4"/>
  <c r="D19" i="4"/>
  <c r="H17" i="4"/>
  <c r="G17" i="4"/>
  <c r="F17" i="4"/>
  <c r="E17" i="4"/>
  <c r="D17" i="4"/>
  <c r="H14" i="4"/>
  <c r="G14" i="4"/>
  <c r="F14" i="4"/>
  <c r="E14" i="4"/>
  <c r="D14" i="4"/>
  <c r="H11" i="4"/>
  <c r="G11" i="4"/>
  <c r="F11" i="4"/>
  <c r="E11" i="4"/>
  <c r="D11" i="4"/>
  <c r="H9" i="4"/>
  <c r="G9" i="4"/>
  <c r="F9" i="4"/>
  <c r="E9" i="4"/>
  <c r="D9" i="4"/>
  <c r="H7" i="4"/>
  <c r="G7" i="4"/>
  <c r="F7" i="4"/>
  <c r="E7" i="4"/>
  <c r="D7" i="4"/>
  <c r="B17" i="7" s="1"/>
  <c r="B31" i="3"/>
  <c r="B27" i="3"/>
  <c r="B28" i="3" s="1"/>
  <c r="B26" i="3"/>
  <c r="B25" i="3"/>
  <c r="D10" i="3"/>
  <c r="B10" i="3"/>
  <c r="C8" i="4" s="1"/>
  <c r="D9" i="3"/>
  <c r="B9" i="3"/>
  <c r="H20" i="2"/>
  <c r="G20" i="2"/>
  <c r="F20" i="2"/>
  <c r="E20" i="2"/>
  <c r="H14" i="2"/>
  <c r="H13" i="2"/>
  <c r="H12" i="2"/>
  <c r="D8" i="4" l="1"/>
  <c r="B13" i="8"/>
  <c r="D44" i="4"/>
  <c r="H23" i="6"/>
  <c r="C19" i="7"/>
  <c r="D38" i="4"/>
  <c r="D41" i="4"/>
  <c r="C14" i="8"/>
  <c r="D43" i="4"/>
  <c r="E31" i="4"/>
  <c r="D33" i="4"/>
  <c r="C6" i="4"/>
  <c r="C52" i="4"/>
  <c r="D52" i="4" s="1"/>
  <c r="E52" i="4" s="1"/>
  <c r="F52" i="4" s="1"/>
  <c r="G52" i="4" s="1"/>
  <c r="H52" i="4" s="1"/>
  <c r="C29" i="4"/>
  <c r="D29" i="4" s="1"/>
  <c r="E29" i="4" s="1"/>
  <c r="F29" i="4" s="1"/>
  <c r="G29" i="4" s="1"/>
  <c r="H29" i="4" s="1"/>
  <c r="D13" i="8"/>
  <c r="D54" i="4"/>
  <c r="D24" i="6"/>
  <c r="B29" i="3"/>
  <c r="B30" i="3" s="1"/>
  <c r="G23" i="6"/>
  <c r="I8" i="8"/>
  <c r="C8" i="8"/>
  <c r="C24" i="8" s="1"/>
  <c r="E24" i="6"/>
  <c r="E17" i="7"/>
  <c r="F24" i="6"/>
  <c r="E70" i="4" l="1"/>
  <c r="B10" i="9"/>
  <c r="E10" i="9" s="1"/>
  <c r="A11" i="7"/>
  <c r="E24" i="4"/>
  <c r="E21" i="5"/>
  <c r="A9" i="7"/>
  <c r="B15" i="6"/>
  <c r="H24" i="4"/>
  <c r="F24" i="4"/>
  <c r="B12" i="9"/>
  <c r="E12" i="9" s="1"/>
  <c r="G24" i="4"/>
  <c r="A12" i="7"/>
  <c r="H47" i="4"/>
  <c r="G47" i="4"/>
  <c r="B11" i="9"/>
  <c r="E11" i="9" s="1"/>
  <c r="A8" i="7"/>
  <c r="F70" i="4"/>
  <c r="D47" i="4"/>
  <c r="D70" i="4"/>
  <c r="A10" i="7"/>
  <c r="D21" i="5"/>
  <c r="H70" i="4"/>
  <c r="F47" i="4"/>
  <c r="G70" i="4"/>
  <c r="C21" i="5"/>
  <c r="E47" i="4"/>
  <c r="D24" i="4"/>
  <c r="A13" i="8"/>
  <c r="D6" i="4"/>
  <c r="B32" i="3"/>
  <c r="B9" i="9" s="1"/>
  <c r="E9" i="9" s="1"/>
  <c r="D36" i="4"/>
  <c r="D45" i="4" s="1"/>
  <c r="D39" i="4"/>
  <c r="D35" i="4"/>
  <c r="D20" i="4"/>
  <c r="E8" i="4"/>
  <c r="D18" i="4"/>
  <c r="D10" i="4"/>
  <c r="B14" i="8"/>
  <c r="D15" i="4"/>
  <c r="C15" i="8"/>
  <c r="E43" i="4"/>
  <c r="F31" i="4"/>
  <c r="E41" i="4"/>
  <c r="E33" i="4"/>
  <c r="E38" i="4"/>
  <c r="E54" i="4"/>
  <c r="D61" i="4"/>
  <c r="D14" i="8"/>
  <c r="D66" i="4"/>
  <c r="D64" i="4"/>
  <c r="D56" i="4"/>
  <c r="E44" i="4"/>
  <c r="E67" i="4" l="1"/>
  <c r="D67" i="4"/>
  <c r="D16" i="4"/>
  <c r="D12" i="4"/>
  <c r="D13" i="4"/>
  <c r="E66" i="4"/>
  <c r="E64" i="4"/>
  <c r="E56" i="4"/>
  <c r="F54" i="4"/>
  <c r="D15" i="8"/>
  <c r="E61" i="4"/>
  <c r="E6" i="4"/>
  <c r="A14" i="8"/>
  <c r="B15" i="8"/>
  <c r="E18" i="4"/>
  <c r="E10" i="4"/>
  <c r="E20" i="4"/>
  <c r="F8" i="4"/>
  <c r="E15" i="4"/>
  <c r="E28" i="5"/>
  <c r="E21" i="4"/>
  <c r="D21" i="4"/>
  <c r="C28" i="5"/>
  <c r="E39" i="4"/>
  <c r="E35" i="4"/>
  <c r="E36" i="4"/>
  <c r="E45" i="4" s="1"/>
  <c r="E48" i="4" s="1"/>
  <c r="F43" i="4"/>
  <c r="G31" i="4"/>
  <c r="F41" i="4"/>
  <c r="F33" i="4"/>
  <c r="C16" i="8"/>
  <c r="F38" i="4"/>
  <c r="D59" i="4"/>
  <c r="D62" i="4"/>
  <c r="D58" i="4"/>
  <c r="D48" i="4"/>
  <c r="D28" i="5"/>
  <c r="F39" i="4" l="1"/>
  <c r="F35" i="4"/>
  <c r="F36" i="4"/>
  <c r="F45" i="4" s="1"/>
  <c r="C17" i="8"/>
  <c r="G41" i="4"/>
  <c r="G33" i="4"/>
  <c r="G43" i="4"/>
  <c r="H31" i="4"/>
  <c r="G38" i="4"/>
  <c r="F44" i="4"/>
  <c r="F15" i="4"/>
  <c r="B16" i="8"/>
  <c r="F20" i="4"/>
  <c r="G8" i="4"/>
  <c r="F18" i="4"/>
  <c r="F10" i="4"/>
  <c r="E62" i="4"/>
  <c r="E58" i="4"/>
  <c r="E59" i="4"/>
  <c r="E68" i="4" s="1"/>
  <c r="E71" i="4" s="1"/>
  <c r="A15" i="8"/>
  <c r="F6" i="4"/>
  <c r="F61" i="4"/>
  <c r="D16" i="8"/>
  <c r="F64" i="4"/>
  <c r="F56" i="4"/>
  <c r="F66" i="4"/>
  <c r="G54" i="4"/>
  <c r="E16" i="4"/>
  <c r="E12" i="4"/>
  <c r="E13" i="4"/>
  <c r="E22" i="4" s="1"/>
  <c r="E25" i="4" s="1"/>
  <c r="D68" i="4"/>
  <c r="D22" i="4"/>
  <c r="H8" i="8" l="1"/>
  <c r="H43" i="4"/>
  <c r="H38" i="4"/>
  <c r="H41" i="4"/>
  <c r="H33" i="4"/>
  <c r="C18" i="8"/>
  <c r="G39" i="4"/>
  <c r="G35" i="4"/>
  <c r="G36" i="4"/>
  <c r="D71" i="4"/>
  <c r="F59" i="4"/>
  <c r="F62" i="4"/>
  <c r="F58" i="4"/>
  <c r="F13" i="4"/>
  <c r="F16" i="4"/>
  <c r="F12" i="4"/>
  <c r="D25" i="4"/>
  <c r="G18" i="4"/>
  <c r="G10" i="4"/>
  <c r="B17" i="8"/>
  <c r="G15" i="4"/>
  <c r="G20" i="4"/>
  <c r="H8" i="4"/>
  <c r="F67" i="4"/>
  <c r="G6" i="4"/>
  <c r="A16" i="8"/>
  <c r="F48" i="4"/>
  <c r="D17" i="8"/>
  <c r="G66" i="4"/>
  <c r="H54" i="4"/>
  <c r="G64" i="4"/>
  <c r="G56" i="4"/>
  <c r="G61" i="4"/>
  <c r="H44" i="4"/>
  <c r="G21" i="4"/>
  <c r="F21" i="4"/>
  <c r="G44" i="4"/>
  <c r="G45" i="4" l="1"/>
  <c r="G16" i="4"/>
  <c r="G12" i="4"/>
  <c r="G13" i="4"/>
  <c r="G22" i="4" s="1"/>
  <c r="G25" i="4" s="1"/>
  <c r="F22" i="4"/>
  <c r="H36" i="4"/>
  <c r="H45" i="4" s="1"/>
  <c r="H39" i="4"/>
  <c r="H35" i="4"/>
  <c r="F68" i="4"/>
  <c r="H6" i="4"/>
  <c r="A18" i="8" s="1"/>
  <c r="A17" i="8"/>
  <c r="G62" i="4"/>
  <c r="G58" i="4"/>
  <c r="G59" i="4"/>
  <c r="G68" i="4" s="1"/>
  <c r="G71" i="4" s="1"/>
  <c r="H15" i="4"/>
  <c r="B18" i="8"/>
  <c r="H18" i="4"/>
  <c r="H10" i="4"/>
  <c r="H7" i="8"/>
  <c r="H20" i="4"/>
  <c r="H21" i="4" s="1"/>
  <c r="H9" i="8"/>
  <c r="H66" i="4"/>
  <c r="H67" i="4" s="1"/>
  <c r="H64" i="4"/>
  <c r="H56" i="4"/>
  <c r="D18" i="8"/>
  <c r="H61" i="4"/>
  <c r="G67" i="4"/>
  <c r="F71" i="4" l="1"/>
  <c r="H62" i="4"/>
  <c r="H58" i="4"/>
  <c r="H59" i="4"/>
  <c r="H68" i="4" s="1"/>
  <c r="H48" i="4"/>
  <c r="D22" i="5"/>
  <c r="D23" i="5" s="1"/>
  <c r="D24" i="5" s="1"/>
  <c r="D8" i="5"/>
  <c r="F25" i="4"/>
  <c r="G48" i="4"/>
  <c r="D7" i="5" s="1"/>
  <c r="D9" i="5" s="1"/>
  <c r="E14" i="9"/>
  <c r="B14" i="9"/>
  <c r="H13" i="4"/>
  <c r="H22" i="4" s="1"/>
  <c r="F11" i="7" s="1"/>
  <c r="H16" i="4"/>
  <c r="H12" i="4"/>
  <c r="C22" i="5" l="1"/>
  <c r="C23" i="5" s="1"/>
  <c r="C24" i="5" s="1"/>
  <c r="C8" i="5"/>
  <c r="H25" i="4"/>
  <c r="C7" i="5" s="1"/>
  <c r="C9" i="5" s="1"/>
  <c r="E11" i="7"/>
  <c r="C8" i="7"/>
  <c r="H71" i="4"/>
  <c r="E8" i="5"/>
  <c r="E22" i="5"/>
  <c r="E23" i="5" s="1"/>
  <c r="E24" i="5" s="1"/>
  <c r="D9" i="7"/>
  <c r="C9" i="7"/>
  <c r="C11" i="7"/>
  <c r="F8" i="7"/>
  <c r="F12" i="7"/>
  <c r="D25" i="5"/>
  <c r="D26" i="5" s="1"/>
  <c r="G8" i="8" s="1"/>
  <c r="D27" i="5"/>
  <c r="E9" i="7"/>
  <c r="E8" i="7"/>
  <c r="D11" i="7"/>
  <c r="B22" i="9" s="1"/>
  <c r="F10" i="7"/>
  <c r="C10" i="7"/>
  <c r="B9" i="7"/>
  <c r="E10" i="7"/>
  <c r="B10" i="7"/>
  <c r="C12" i="7"/>
  <c r="B8" i="7"/>
  <c r="B12" i="7"/>
  <c r="B15" i="9"/>
  <c r="D12" i="7"/>
  <c r="E8" i="8"/>
  <c r="D12" i="5"/>
  <c r="D10" i="7"/>
  <c r="E12" i="7"/>
  <c r="F9" i="7"/>
  <c r="B11" i="7"/>
  <c r="B13" i="9"/>
  <c r="D8" i="7"/>
  <c r="E15" i="9"/>
  <c r="E13" i="9"/>
  <c r="E7" i="5"/>
  <c r="E9" i="5" s="1"/>
  <c r="E7" i="8" l="1"/>
  <c r="C12" i="5"/>
  <c r="B16" i="9"/>
  <c r="E16" i="9"/>
  <c r="E12" i="5"/>
  <c r="E9" i="8"/>
  <c r="E25" i="5"/>
  <c r="E26" i="5" s="1"/>
  <c r="G9" i="8" s="1"/>
  <c r="E27" i="5"/>
  <c r="E18" i="9"/>
  <c r="E22" i="9"/>
  <c r="F8" i="8"/>
  <c r="D14" i="5"/>
  <c r="C27" i="5"/>
  <c r="B21" i="9" s="1"/>
  <c r="E21" i="9" s="1"/>
  <c r="C25" i="5"/>
  <c r="C26" i="5" s="1"/>
  <c r="B20" i="9" l="1"/>
  <c r="E20" i="9" s="1"/>
  <c r="G7" i="8"/>
  <c r="D18" i="7"/>
  <c r="D16" i="5"/>
  <c r="B8" i="8"/>
  <c r="B24" i="8" s="1"/>
  <c r="F7" i="8"/>
  <c r="C14" i="5"/>
  <c r="E17" i="9"/>
  <c r="B17" i="9"/>
  <c r="F9" i="8"/>
  <c r="E14" i="5"/>
  <c r="E19" i="9" l="1"/>
  <c r="B7" i="8"/>
  <c r="B23" i="8" s="1"/>
  <c r="C16" i="5"/>
  <c r="D17" i="7"/>
  <c r="B18" i="9"/>
  <c r="F18" i="7"/>
  <c r="D8" i="8"/>
  <c r="E16" i="5"/>
  <c r="B19" i="9"/>
  <c r="D19" i="7"/>
  <c r="B9" i="8"/>
  <c r="B25" i="8" s="1"/>
  <c r="B3" i="9"/>
  <c r="D7" i="8" l="1"/>
  <c r="F17" i="7"/>
  <c r="F19" i="7"/>
  <c r="D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tc={69B2E8BA-1F4B-3F2C-B722-D0ECA0C9FC69}</author>
    <author>tc={528F954B-EF99-E0AF-368D-AEAFEB576959}</author>
    <author>tc={E939AB76-953E-9495-2CED-1E7AAA1B7C49}</author>
    <author>tc={E820617F-7ADB-7550-91EC-00A14252F35C}</author>
    <author>tc={A2C7ABC4-35F0-E691-AE95-925CE4965CE0}</author>
    <author>tc={2AEBB633-1A07-B8D9-D848-6EFB7EEC7DED}</author>
    <author>tc={387AA1F4-1AC7-990E-E4A4-A88730ADB773}</author>
    <author>tc={6CE321E3-7354-3732-7F34-51F972270409}</author>
    <author>tc={AF3C1614-C8F7-1032-19D0-64A9368FB52C}</author>
    <author>tc={ADFF0B9E-F33D-2CBE-4948-EE7D05F9F4BD}</author>
    <author>tc={41A071BF-8D27-6388-BD0D-48DD1C8CD3C5}</author>
  </authors>
  <commentList>
    <comment ref="B11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or link one assumption only once. Cite it with the adjacent Source ID and complete the Sources sheet, including period, definition, exact location, and limitation.</t>
      </text>
    </comment>
    <comment ref="B12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or link one assumption only once. Cite it with the adjacent Source ID and complete the Sources sheet, including period, definition, exact location, and limitation.</t>
      </text>
    </comment>
    <comment ref="B13" authorId="2" shapeId="0" xr:uid="{00000000-0006-0000-02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or link one assumption only once. Cite it with the adjacent Source ID and complete the Sources sheet, including period, definition, exact location, and limitation.</t>
      </text>
    </comment>
    <comment ref="B14" authorId="3" shapeId="0" xr:uid="{00000000-0006-0000-02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or link one assumption only once. Cite it with the adjacent Source ID and complete the Sources sheet, including period, definition, exact location, and limitation.</t>
      </text>
    </comment>
    <comment ref="B15" authorId="4" shapeId="0" xr:uid="{00000000-0006-0000-02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or link one assumption only once. Cite it with the adjacent Source ID and complete the Sources sheet, including period, definition, exact location, and limitation.</t>
      </text>
    </comment>
    <comment ref="B16" authorId="5" shapeId="0" xr:uid="{00000000-0006-0000-02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or link one assumption only once. Cite it with the adjacent Source ID and complete the Sources sheet, including period, definition, exact location, and limitation.</t>
      </text>
    </comment>
    <comment ref="B17" authorId="6" shapeId="0" xr:uid="{00000000-0006-0000-02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or link one assumption only once. Cite it with the adjacent Source ID and complete the Sources sheet, including period, definition, exact location, and limitation.</t>
      </text>
    </comment>
    <comment ref="B18" authorId="7" shapeId="0" xr:uid="{00000000-0006-0000-02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or link one assumption only once. Cite it with the adjacent Source ID and complete the Sources sheet, including period, definition, exact location, and limitation.</t>
      </text>
    </comment>
    <comment ref="B19" authorId="8" shapeId="0" xr:uid="{00000000-0006-0000-02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or link one assumption only once. Cite it with the adjacent Source ID and complete the Sources sheet, including period, definition, exact location, and limitation.</t>
      </text>
    </comment>
    <comment ref="B20" authorId="9" shapeId="0" xr:uid="{00000000-0006-0000-02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or link one assumption only once. Cite it with the adjacent Source ID and complete the Sources sheet, including period, definition, exact location, and limitation.</t>
      </text>
    </comment>
    <comment ref="B21" authorId="10" shapeId="0" xr:uid="{00000000-0006-0000-02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or link one assumption only once. Cite it with the adjacent Source ID and complete the Sources sheet, including period, definition, exact location, and limitation.</t>
      </text>
    </comment>
  </commentList>
</comments>
</file>

<file path=xl/sharedStrings.xml><?xml version="1.0" encoding="utf-8"?>
<sst xmlns="http://schemas.openxmlformats.org/spreadsheetml/2006/main" count="731" uniqueCount="497">
  <si>
    <t>BUS311 Capstone Milestone 3 | Read Me</t>
  </si>
  <si>
    <t>Build a source-traceable valuation that carries the Milestone 2 revenue hypothesis into base, upside, and downside decisions.</t>
  </si>
  <si>
    <t>Legend: blue font / pale yellow = student input | green font = cross-sheet link | black = formula | PASS/REVIEW/INCOMPLETE = control status, not a grade</t>
  </si>
  <si>
    <t>Student and project information</t>
  </si>
  <si>
    <t>Student name</t>
  </si>
  <si>
    <t>Workbook version</t>
  </si>
  <si>
    <t>1.0</t>
  </si>
  <si>
    <t>Course section</t>
  </si>
  <si>
    <t>Updated</t>
  </si>
  <si>
    <t>2026-07-29</t>
  </si>
  <si>
    <t>Company legal name</t>
  </si>
  <si>
    <t>Milestone points</t>
  </si>
  <si>
    <t>Ticker / exchange</t>
  </si>
  <si>
    <t>Primary outcomes</t>
  </si>
  <si>
    <t>LO4–LO6</t>
  </si>
  <si>
    <t>Fiscal year-end</t>
  </si>
  <si>
    <t>Forecast horizon</t>
  </si>
  <si>
    <t>Five annual periods</t>
  </si>
  <si>
    <t>Approved CFO decision</t>
  </si>
  <si>
    <t>Terminal method</t>
  </si>
  <si>
    <t>Gordon growth</t>
  </si>
  <si>
    <t>Prior milestone file</t>
  </si>
  <si>
    <t>Workbook status</t>
  </si>
  <si>
    <t>See Checks</t>
  </si>
  <si>
    <t>Required workflow</t>
  </si>
  <si>
    <t>1</t>
  </si>
  <si>
    <t>Revenue Handoff</t>
  </si>
  <si>
    <t>Transfer Milestone 2 history and final hypothesis</t>
  </si>
  <si>
    <t>Use the latest reported year as FY0</t>
  </si>
  <si>
    <t>Three cases</t>
  </si>
  <si>
    <t>Evidence IDs</t>
  </si>
  <si>
    <t>CFO trigger</t>
  </si>
  <si>
    <t>Required</t>
  </si>
  <si>
    <t>2</t>
  </si>
  <si>
    <t>Inputs &amp; Sources</t>
  </si>
  <si>
    <t>Enter operating and capital assumptions once</t>
  </si>
  <si>
    <t>Source IDs and rationale</t>
  </si>
  <si>
    <t>No magic numbers</t>
  </si>
  <si>
    <t>Market-value WACC</t>
  </si>
  <si>
    <t>Units</t>
  </si>
  <si>
    <t>3</t>
  </si>
  <si>
    <t>Scenario Forecasts</t>
  </si>
  <si>
    <t>Review revenue, EBIT, tax, NOPAT, D&amp;A, CapEx, NWC, and UFCF</t>
  </si>
  <si>
    <t>Base/upside/downside</t>
  </si>
  <si>
    <t>Positive uses subtracted</t>
  </si>
  <si>
    <t>Five years</t>
  </si>
  <si>
    <t>No plugs</t>
  </si>
  <si>
    <t>4</t>
  </si>
  <si>
    <t>Valuation</t>
  </si>
  <si>
    <t>Review PV of forecast FCF and terminal value</t>
  </si>
  <si>
    <t>EV to equity bridge</t>
  </si>
  <si>
    <t>Debt and cash separate</t>
  </si>
  <si>
    <t>Per share</t>
  </si>
  <si>
    <t>Reasonableness</t>
  </si>
  <si>
    <t>5</t>
  </si>
  <si>
    <t>Decision Economics</t>
  </si>
  <si>
    <t>Use only for a discrete project or investment decision</t>
  </si>
  <si>
    <t>Incremental after-tax FCF</t>
  </si>
  <si>
    <t>NPV/IRR</t>
  </si>
  <si>
    <t>Fractional payback</t>
  </si>
  <si>
    <t>Guarded blanks</t>
  </si>
  <si>
    <t>As applicable</t>
  </si>
  <si>
    <t>6</t>
  </si>
  <si>
    <t>Sensitivities</t>
  </si>
  <si>
    <t>Test WACC and terminal growth</t>
  </si>
  <si>
    <t>Live formulas</t>
  </si>
  <si>
    <t>Center ties to base case</t>
  </si>
  <si>
    <t>Direction checks</t>
  </si>
  <si>
    <t>No pasted values</t>
  </si>
  <si>
    <t>7</t>
  </si>
  <si>
    <t>Board Appendix</t>
  </si>
  <si>
    <t>Select decision-useful outputs for the PPTX appendix</t>
  </si>
  <si>
    <t>Scenario valuation</t>
  </si>
  <si>
    <t>Revenue path</t>
  </si>
  <si>
    <t>Trigger</t>
  </si>
  <si>
    <t>Limitation</t>
  </si>
  <si>
    <t>8</t>
  </si>
  <si>
    <t>Checks &amp; Sources</t>
  </si>
  <si>
    <t>Resolve incomplete/failed controls and explain review items</t>
  </si>
  <si>
    <t>Source every material input</t>
  </si>
  <si>
    <t>No formula errors</t>
  </si>
  <si>
    <t>Defend assumptions</t>
  </si>
  <si>
    <t>Submit workbook</t>
  </si>
  <si>
    <t>Milestone 3 rubric | 8 points</t>
  </si>
  <si>
    <t>Criterion</t>
  </si>
  <si>
    <t>Points</t>
  </si>
  <si>
    <t>Required evidence</t>
  </si>
  <si>
    <t>Scoring focus</t>
  </si>
  <si>
    <t>Integrity rules</t>
  </si>
  <si>
    <t>Revenue-to-forecast linkage and scenarios</t>
  </si>
  <si>
    <t>Milestone 2 hypothesis, drivers, triggers, and three forecast paths</t>
  </si>
  <si>
    <t>Company-specific logic, not generic percentages</t>
  </si>
  <si>
    <t>Use SEC, FactSet, company IR, peer filings, and other credible evidence; AI output is not a financial source.</t>
  </si>
  <si>
    <t>DCF and decision mechanics</t>
  </si>
  <si>
    <t>Correct tax/NOPAT, D&amp;A, CapEx, ΔNWC, WACC, terminal value, EV-to-equity bridge, and payback if applicable</t>
  </si>
  <si>
    <t>Formula integrity, signs, and finance concepts</t>
  </si>
  <si>
    <t>Do not upload raw FactSet exports, private data, instructor content, or nonpublic information to a public AI tool.</t>
  </si>
  <si>
    <t>Sources, assumptions, and checks</t>
  </si>
  <si>
    <t>Source IDs, definitions, dates, visible controls, and resolved model issues</t>
  </si>
  <si>
    <t>Auditability and honest limitations</t>
  </si>
  <si>
    <t>A passing control proves structure, not judgment. Explain unusual margins, growth, capital intensity, terminal assumptions, and scenario ordering.</t>
  </si>
  <si>
    <t>Board-ready decision output</t>
  </si>
  <si>
    <t>Scenario outputs, sensitivity, trigger, takeaway, and limitation</t>
  </si>
  <si>
    <t>Useful CFO/Board evidence and Oral Presentation readiness</t>
  </si>
  <si>
    <t>The Excel model is graded here as a working milestone; selected outputs belong in the final PPTX appendix.</t>
  </si>
  <si>
    <t>BUS311 Capstone Milestone 3 | Revenue Handoff</t>
  </si>
  <si>
    <t>Transfer the evidence-backed revenue history, final hypothesis, scenario drivers, and CFO triggers from Milestone 2.</t>
  </si>
  <si>
    <t>Milestone 2 handoff</t>
  </si>
  <si>
    <t>Final revised revenue hypothesis</t>
  </si>
  <si>
    <t>Milestone 3 forecast and valuation handoff</t>
  </si>
  <si>
    <t>Approved CFO decision and stage / pause / modify / reject trigger</t>
  </si>
  <si>
    <t>Directional scenario bridge from Milestone 2</t>
  </si>
  <si>
    <t>Case</t>
  </si>
  <si>
    <t>Driver assumption</t>
  </si>
  <si>
    <t>Observable indicator / trigger</t>
  </si>
  <si>
    <t>Forecast revenue or margin effect</t>
  </si>
  <si>
    <t>Valuation channel</t>
  </si>
  <si>
    <t>CFO action / decision implication</t>
  </si>
  <si>
    <t>Evidence ID(s)</t>
  </si>
  <si>
    <t>Complete?</t>
  </si>
  <si>
    <t>Base</t>
  </si>
  <si>
    <t>Upside</t>
  </si>
  <si>
    <t>Downside</t>
  </si>
  <si>
    <t>Revenue history transfer | copy from Milestone 2 Revenue History D5:H6</t>
  </si>
  <si>
    <t>Revenue line</t>
  </si>
  <si>
    <t>Definition / units</t>
  </si>
  <si>
    <t>Fiscal year</t>
  </si>
  <si>
    <t>Oldest to newest; latest in H</t>
  </si>
  <si>
    <t>Reported total revenue</t>
  </si>
  <si>
    <t>Same units across years</t>
  </si>
  <si>
    <t>Year-over-year growth</t>
  </si>
  <si>
    <t>Calculated</t>
  </si>
  <si>
    <t>Control: the latest reported fiscal year and total revenue must be in H18:H19. Do not paste forecasts from Milestone 2; build them from the scenario assumptions in this workbook.</t>
  </si>
  <si>
    <t>BUS311 Capstone Milestone 3 | Inputs &amp; Sources</t>
  </si>
  <si>
    <t>Enter each assumption once, identify its source, and explain how it connects to the revenue engine or valuation method.</t>
  </si>
  <si>
    <t>Global valuation inputs</t>
  </si>
  <si>
    <t>Input</t>
  </si>
  <si>
    <t>Value</t>
  </si>
  <si>
    <t>Source ID</t>
  </si>
  <si>
    <t>Rationale / definition / adjustment</t>
  </si>
  <si>
    <t>Valuation date</t>
  </si>
  <si>
    <t>date</t>
  </si>
  <si>
    <t>As-of date for market inputs</t>
  </si>
  <si>
    <t>Currency / model units</t>
  </si>
  <si>
    <t>text</t>
  </si>
  <si>
    <t>Use one scale throughout</t>
  </si>
  <si>
    <t>Latest actual fiscal year</t>
  </si>
  <si>
    <t>FY</t>
  </si>
  <si>
    <t>Linked from Revenue Handoff H18</t>
  </si>
  <si>
    <t>Latest actual revenue</t>
  </si>
  <si>
    <t>model units</t>
  </si>
  <si>
    <t>Linked from Revenue Handoff H19</t>
  </si>
  <si>
    <t>Latest actual operating NWC</t>
  </si>
  <si>
    <t>Operating current assets less operating current liabilities; exclude cash and debt</t>
  </si>
  <si>
    <t>Normalized cash tax rate</t>
  </si>
  <si>
    <t>%</t>
  </si>
  <si>
    <t>Use a defensible marginal/normalized cash tax rate; NOL benefits require separate support</t>
  </si>
  <si>
    <t>Risk-free rate</t>
  </si>
  <si>
    <t>Maturity should be consistent with long-duration valuation</t>
  </si>
  <si>
    <t>Levered beta</t>
  </si>
  <si>
    <t>x</t>
  </si>
  <si>
    <t>Company or defensible peer-based beta</t>
  </si>
  <si>
    <t>Equity risk premium</t>
  </si>
  <si>
    <t>Market risk premium used in CAPM</t>
  </si>
  <si>
    <t>Pre-tax cost of debt</t>
  </si>
  <si>
    <t>Current marginal borrowing cost, not historical coupon</t>
  </si>
  <si>
    <t>Market value of equity</t>
  </si>
  <si>
    <t>Share price times diluted shares, as of valuation date</t>
  </si>
  <si>
    <t>Gross interest-bearing debt</t>
  </si>
  <si>
    <t>Current and long-term interest-bearing debt</t>
  </si>
  <si>
    <t>Cash and cash equivalents</t>
  </si>
  <si>
    <t>Use a consistent excess-cash convention and disclose it</t>
  </si>
  <si>
    <t>Diluted shares outstanding</t>
  </si>
  <si>
    <t>millions</t>
  </si>
  <si>
    <t>Use diluted, not basic, shares when appropriate</t>
  </si>
  <si>
    <t>Current share price</t>
  </si>
  <si>
    <t>per share</t>
  </si>
  <si>
    <t>As of valuation date; context only, not a required investment call</t>
  </si>
  <si>
    <t>Calculated discount rate and capital bridge</t>
  </si>
  <si>
    <t>Calculation</t>
  </si>
  <si>
    <t>Check / definition</t>
  </si>
  <si>
    <t>Cost of equity</t>
  </si>
  <si>
    <t>Risk-free + beta × equity risk premium</t>
  </si>
  <si>
    <t>After-tax cost of debt</t>
  </si>
  <si>
    <t>Pre-tax cost × (1 − tax rate)</t>
  </si>
  <si>
    <t>Total market capital</t>
  </si>
  <si>
    <t>Market equity + gross debt</t>
  </si>
  <si>
    <t>Equity weight</t>
  </si>
  <si>
    <t>Market equity / total capital</t>
  </si>
  <si>
    <t>Debt weight</t>
  </si>
  <si>
    <t>Gross debt / total capital</t>
  </si>
  <si>
    <t>WACC</t>
  </si>
  <si>
    <t>E/V × cost of equity + D/V × after-tax cost of debt</t>
  </si>
  <si>
    <t>Net debt</t>
  </si>
  <si>
    <t>Gross debt − cash</t>
  </si>
  <si>
    <t>Capital-weight check</t>
  </si>
  <si>
    <t>Equity weight + debt weight = 100%</t>
  </si>
  <si>
    <t>Scenario assumptions | link each row to a Milestone 2 driver, evidence item, or clearly labeled student assumption</t>
  </si>
  <si>
    <t>Case / assumption</t>
  </si>
  <si>
    <t>Driver link / rationale</t>
  </si>
  <si>
    <t>Year 1E</t>
  </si>
  <si>
    <t>Year 2E</t>
  </si>
  <si>
    <t>Year 3E</t>
  </si>
  <si>
    <t>Year 4E</t>
  </si>
  <si>
    <t>Year 5E</t>
  </si>
  <si>
    <t>Terminal</t>
  </si>
  <si>
    <t>Base | Revenue growth</t>
  </si>
  <si>
    <t>Base revenue-engine driver path</t>
  </si>
  <si>
    <t>Base | EBIT margin</t>
  </si>
  <si>
    <t>Explain the operating or capital-intensity rationale</t>
  </si>
  <si>
    <t>Base | D&amp;A as % of revenue</t>
  </si>
  <si>
    <t>Base | CapEx as % of revenue</t>
  </si>
  <si>
    <t>Base | Operating NWC as % of revenue</t>
  </si>
  <si>
    <t>Base | Terminal growth rate</t>
  </si>
  <si>
    <t>Long-run growth consistent with a mature-state assumption</t>
  </si>
  <si>
    <t>Upside | Revenue growth</t>
  </si>
  <si>
    <t>Upside revenue-engine driver path</t>
  </si>
  <si>
    <t>Upside | EBIT margin</t>
  </si>
  <si>
    <t>Upside | D&amp;A as % of revenue</t>
  </si>
  <si>
    <t>Upside | CapEx as % of revenue</t>
  </si>
  <si>
    <t>Upside | Operating NWC as % of revenue</t>
  </si>
  <si>
    <t>Upside | Terminal growth rate</t>
  </si>
  <si>
    <t>Downside | Revenue growth</t>
  </si>
  <si>
    <t>Downside revenue-engine driver path</t>
  </si>
  <si>
    <t>Downside | EBIT margin</t>
  </si>
  <si>
    <t>Downside | D&amp;A as % of revenue</t>
  </si>
  <si>
    <t>Downside | CapEx as % of revenue</t>
  </si>
  <si>
    <t>Downside | Operating NWC as % of revenue</t>
  </si>
  <si>
    <t>Downside | Terminal growth rate</t>
  </si>
  <si>
    <t>BUS311 Capstone Milestone 3 | Scenario Forecasts</t>
  </si>
  <si>
    <t>Formula-driven unlevered cash flow for all three cases; expenses and investment rows are shown as positive uses and subtracted in FCF.</t>
  </si>
  <si>
    <t>Base case | Revenue engine → unlevered free cash flow</t>
  </si>
  <si>
    <t>Revenue growth</t>
  </si>
  <si>
    <t>Revenue</t>
  </si>
  <si>
    <t>EBIT margin</t>
  </si>
  <si>
    <t>EBIT</t>
  </si>
  <si>
    <t>Cash taxes on EBIT</t>
  </si>
  <si>
    <t>NOPAT</t>
  </si>
  <si>
    <t>D&amp;A as % of revenue</t>
  </si>
  <si>
    <t>D&amp;A</t>
  </si>
  <si>
    <t>EBITDA</t>
  </si>
  <si>
    <t>CapEx as % of revenue</t>
  </si>
  <si>
    <t>CapEx | positive cash use</t>
  </si>
  <si>
    <t>Operating NWC as % of revenue</t>
  </si>
  <si>
    <t>Operating NWC balance</t>
  </si>
  <si>
    <t>Change in NWC | positive increase is a cash use</t>
  </si>
  <si>
    <t>Unlevered free cash flow</t>
  </si>
  <si>
    <t>Discount period</t>
  </si>
  <si>
    <t>years</t>
  </si>
  <si>
    <t>Discount factor</t>
  </si>
  <si>
    <t>PV of unlevered FCF</t>
  </si>
  <si>
    <t>Upside case | Revenue engine → unlevered free cash flow</t>
  </si>
  <si>
    <t>Downside case | Revenue engine → unlevered free cash flow</t>
  </si>
  <si>
    <t>BUS311 Capstone Milestone 3 | Valuation</t>
  </si>
  <si>
    <t>Gordon-growth DCF, enterprise-to-equity bridge, and decision-useful scenario outputs. This is supporting CFO evidence, not a required Buy/Hold/Sell call.</t>
  </si>
  <si>
    <t>Scenario valuation summary</t>
  </si>
  <si>
    <t>Valuation bridge</t>
  </si>
  <si>
    <t>Decision use</t>
  </si>
  <si>
    <t>PV of forecast UFCF</t>
  </si>
  <si>
    <t>PV of terminal value</t>
  </si>
  <si>
    <t>Enterprise value</t>
  </si>
  <si>
    <t>Value of operations</t>
  </si>
  <si>
    <t>Gross debt</t>
  </si>
  <si>
    <t>Cash and equivalents</t>
  </si>
  <si>
    <t>Equity value</t>
  </si>
  <si>
    <t>Enterprise value − debt + cash</t>
  </si>
  <si>
    <t>Diluted shares</t>
  </si>
  <si>
    <t>Implied value per share</t>
  </si>
  <si>
    <t>Scenario evidence for the CFO/Board</t>
  </si>
  <si>
    <t>Implied upside / (downside)</t>
  </si>
  <si>
    <t>Terminal value reasonableness</t>
  </si>
  <si>
    <t>Metric</t>
  </si>
  <si>
    <t>Review question</t>
  </si>
  <si>
    <t>Terminal growth</t>
  </si>
  <si>
    <t>Is long-run growth defensible?</t>
  </si>
  <si>
    <t>Does it reflect current market-value financing?</t>
  </si>
  <si>
    <t>Year 5 UFCF</t>
  </si>
  <si>
    <t>Does cash flow reflect the operating case?</t>
  </si>
  <si>
    <t>Year 6 terminal FCF</t>
  </si>
  <si>
    <t>Year 5 FCF × (1 + g)</t>
  </si>
  <si>
    <t>Undiscounted terminal value</t>
  </si>
  <si>
    <t>Requires WACC &gt; g</t>
  </si>
  <si>
    <t>Discounted on the same end-year convention</t>
  </si>
  <si>
    <t>PV terminal value / enterprise value</t>
  </si>
  <si>
    <t>High dependence requires explicit discussion</t>
  </si>
  <si>
    <t>Implied terminal EV / EBITDA</t>
  </si>
  <si>
    <t>Compare with company/peer economics; not a substitute for judgment</t>
  </si>
  <si>
    <t>WACC − terminal growth spread</t>
  </si>
  <si>
    <t>A narrow spread magnifies value and risk</t>
  </si>
  <si>
    <t>BUS311 Capstone Milestone 3 | Decision Economics</t>
  </si>
  <si>
    <t>Optional for a discrete investment decision. Uses after-tax incremental cash flow and fractional, guarded payback logic.</t>
  </si>
  <si>
    <t>Applicability and project inputs</t>
  </si>
  <si>
    <t>When to use</t>
  </si>
  <si>
    <t>Applicable?</t>
  </si>
  <si>
    <t>No</t>
  </si>
  <si>
    <t>Yes / No</t>
  </si>
  <si>
    <t>Complete this schedule only when the approved CFO decision has a discrete incremental investment, acquisition, capacity, technology, or other project cash-flow path.</t>
  </si>
  <si>
    <t>Decision / project name</t>
  </si>
  <si>
    <t>Depreciation</t>
  </si>
  <si>
    <t>Initial capital outlay</t>
  </si>
  <si>
    <t>The template calculates straight-line depreciation on the initial depreciable basis. If follow-on CapEx or tax depreciation is material, expand the schedule and source the method.</t>
  </si>
  <si>
    <t>Initial operating NWC investment</t>
  </si>
  <si>
    <t>Taxes</t>
  </si>
  <si>
    <t>Depreciable basis</t>
  </si>
  <si>
    <t>Cash taxes are not negative. Any immediate loss benefit or NOL utilization must be modeled and sourced separately.</t>
  </si>
  <si>
    <t>Useful life</t>
  </si>
  <si>
    <t>Payback</t>
  </si>
  <si>
    <t>Terminal tax book value</t>
  </si>
  <si>
    <t>Payback uses undiscounted incremental FCF, reports a fractional year, handles exact zero, and returns No payback instead of an error.</t>
  </si>
  <si>
    <t>Tax rate</t>
  </si>
  <si>
    <t>linked</t>
  </si>
  <si>
    <t>Decision rule</t>
  </si>
  <si>
    <t>Discount rate</t>
  </si>
  <si>
    <t>NPV is the primary value-creation metric; IRR and payback are supporting constraints, not substitutes for strategy and risk.</t>
  </si>
  <si>
    <t>Incremental after-tax cash flow</t>
  </si>
  <si>
    <t>Line item</t>
  </si>
  <si>
    <t>Year 0</t>
  </si>
  <si>
    <t>Year 1</t>
  </si>
  <si>
    <t>Year 2</t>
  </si>
  <si>
    <t>Year 3</t>
  </si>
  <si>
    <t>Year 4</t>
  </si>
  <si>
    <t>Year 5</t>
  </si>
  <si>
    <t>Incremental revenue</t>
  </si>
  <si>
    <t>Cash operating costs | positive use</t>
  </si>
  <si>
    <t>Straight-line depreciation</t>
  </si>
  <si>
    <t>Add: depreciation</t>
  </si>
  <si>
    <t>Capital expenditures | positive use</t>
  </si>
  <si>
    <t>Change in NWC | positive increase is a use</t>
  </si>
  <si>
    <t>Pre-tax salvage proceeds</t>
  </si>
  <si>
    <t>Tax book value at disposal</t>
  </si>
  <si>
    <t>After-tax salvage proceeds</t>
  </si>
  <si>
    <t>NWC recovery</t>
  </si>
  <si>
    <t>Cumulative cash flow</t>
  </si>
  <si>
    <t>Payback-year contribution</t>
  </si>
  <si>
    <t>Decision metrics</t>
  </si>
  <si>
    <t>Decision criterion</t>
  </si>
  <si>
    <t>Interpretation</t>
  </si>
  <si>
    <t>NPV</t>
  </si>
  <si>
    <t>NPV &gt; 0</t>
  </si>
  <si>
    <t>Value created above the required return</t>
  </si>
  <si>
    <t>IRR</t>
  </si>
  <si>
    <t>IRR &gt; discount rate</t>
  </si>
  <si>
    <t>Supporting rate-of-return evidence</t>
  </si>
  <si>
    <t>Undiscounted payback</t>
  </si>
  <si>
    <t>Within the approved liquidity/risk limit</t>
  </si>
  <si>
    <t>Supporting capital-at-risk evidence</t>
  </si>
  <si>
    <t>BUS311 Capstone Milestone 3 | Sensitivities</t>
  </si>
  <si>
    <t>Value per share recalculated across WACC and terminal-growth assumptions; every table cell is formula-linked to the base-case FCF stream.</t>
  </si>
  <si>
    <t>Base-case implied value per share | WACC × terminal growth</t>
  </si>
  <si>
    <t>WACC ↓ / terminal growth →</t>
  </si>
  <si>
    <t>Check: higher WACC lowers value; higher g raises value. Center cell = base case.</t>
  </si>
  <si>
    <t>Scenario comparison</t>
  </si>
  <si>
    <t>Year 1 revenue growth</t>
  </si>
  <si>
    <t>Year 5 EBIT margin</t>
  </si>
  <si>
    <t>Implied value / share</t>
  </si>
  <si>
    <t>Current price</t>
  </si>
  <si>
    <t>Board question</t>
  </si>
  <si>
    <t>What must be true for the base case?</t>
  </si>
  <si>
    <t>What evidence triggers acceleration?</t>
  </si>
  <si>
    <t>What protects liquidity and option value?</t>
  </si>
  <si>
    <t>BUS311 Capstone Milestone 3 | Board Appendix</t>
  </si>
  <si>
    <t>Model-linked outputs and visuals designed for the PowerPoint appendix and live-question support during the Oral Presentation.</t>
  </si>
  <si>
    <t>Scenario valuation and operating evidence</t>
  </si>
  <si>
    <t>PV terminal / EV</t>
  </si>
  <si>
    <t>Year 5 revenue</t>
  </si>
  <si>
    <t>CFO decision trigger</t>
  </si>
  <si>
    <t>Revenue path by scenario</t>
  </si>
  <si>
    <t>Student Board takeaway and limitations</t>
  </si>
  <si>
    <t>Primary valuation takeaway</t>
  </si>
  <si>
    <t>CFO decision implication</t>
  </si>
  <si>
    <t>Trigger that changes the recommendation</t>
  </si>
  <si>
    <t>Most important model limitation</t>
  </si>
  <si>
    <t>BUS311 Capstone Milestone 3 | Checks</t>
  </si>
  <si>
    <t>Visible controls for completeness, signs, cash-flow identities, valuation bridges, scenario order, terminal value, sources, and optional payback.</t>
  </si>
  <si>
    <t>MODEL STATUS</t>
  </si>
  <si>
    <t>Check</t>
  </si>
  <si>
    <t>Actual</t>
  </si>
  <si>
    <t>Expected</t>
  </si>
  <si>
    <t>Difference / tolerance</t>
  </si>
  <si>
    <t>Status</t>
  </si>
  <si>
    <t>Where to fix</t>
  </si>
  <si>
    <t>Why it matters</t>
  </si>
  <si>
    <t>Student note / limitation</t>
  </si>
  <si>
    <t>Revenue handoff completeness</t>
  </si>
  <si>
    <t>0</t>
  </si>
  <si>
    <t>Revenue hypothesis and scenario logic drive valuation</t>
  </si>
  <si>
    <t>Core valuation inputs and sources</t>
  </si>
  <si>
    <t>Inputs &amp; Sources B11:D21</t>
  </si>
  <si>
    <t>Required assumptions must be populated and sourced</t>
  </si>
  <si>
    <t>Scenario assumption completeness</t>
  </si>
  <si>
    <t>Inputs &amp; Sources E36:J57</t>
  </si>
  <si>
    <t>All three cases require complete operating assumptions</t>
  </si>
  <si>
    <t>Capital weights sum</t>
  </si>
  <si>
    <t>0.01%</t>
  </si>
  <si>
    <t>Inputs &amp; Sources B17:B18</t>
  </si>
  <si>
    <t>Market-value weights must total 100%</t>
  </si>
  <si>
    <t>WACC exceeds base terminal growth</t>
  </si>
  <si>
    <t>&gt; 0</t>
  </si>
  <si>
    <t>Inputs &amp; Sources B30/J41</t>
  </si>
  <si>
    <t>Gordon growth requires WACC &gt; g</t>
  </si>
  <si>
    <t>WACC exceeds upside terminal growth</t>
  </si>
  <si>
    <t>Inputs &amp; Sources B30/J49</t>
  </si>
  <si>
    <t>WACC exceeds downside terminal growth</t>
  </si>
  <si>
    <t>Inputs &amp; Sources B30/J57</t>
  </si>
  <si>
    <t>Base FCF identity</t>
  </si>
  <si>
    <t>&lt; 0.1</t>
  </si>
  <si>
    <t>Scenario Forecasts base block</t>
  </si>
  <si>
    <t>NOPAT + D&amp;A − CapEx − ΔNWC must equal UFCF</t>
  </si>
  <si>
    <t>Upside FCF identity</t>
  </si>
  <si>
    <t>Scenario Forecasts upside block</t>
  </si>
  <si>
    <t>Scenario cash-flow identity</t>
  </si>
  <si>
    <t>Downside FCF identity</t>
  </si>
  <si>
    <t>Scenario Forecasts downside block</t>
  </si>
  <si>
    <t>Base enterprise-value tie</t>
  </si>
  <si>
    <t>Valuation C7:C9</t>
  </si>
  <si>
    <t>EV must equal PV forecast FCF + PV terminal value</t>
  </si>
  <si>
    <t>Base equity bridge tie</t>
  </si>
  <si>
    <t>Valuation C9:C12</t>
  </si>
  <si>
    <t>Equity value must reconcile from enterprise value</t>
  </si>
  <si>
    <t>Sensitivity center ties to base</t>
  </si>
  <si>
    <t>&lt; 0.01</t>
  </si>
  <si>
    <t>Sensitivities D10</t>
  </si>
  <si>
    <t>The sensitivity table must use the live base valuation</t>
  </si>
  <si>
    <t>Scenario ordering</t>
  </si>
  <si>
    <t>Inputs &amp; Sources scenario assumptions</t>
  </si>
  <si>
    <t>Upside/base/downside should reflect the named driver unless explained</t>
  </si>
  <si>
    <t>Base terminal-value share</t>
  </si>
  <si>
    <t>40%–85%</t>
  </si>
  <si>
    <t>Valuation C26</t>
  </si>
  <si>
    <t>High or low terminal dependence requires judgment</t>
  </si>
  <si>
    <t>Base implied terminal multiple</t>
  </si>
  <si>
    <t>0x–25x</t>
  </si>
  <si>
    <t>Valuation C27</t>
  </si>
  <si>
    <t>Compare implied steady-state economics with reality</t>
  </si>
  <si>
    <t>Sensitivity direction</t>
  </si>
  <si>
    <t>Higher WACC lowers value; higher g raises value</t>
  </si>
  <si>
    <t>Optional project model completeness</t>
  </si>
  <si>
    <t>No: 1; Yes: 15</t>
  </si>
  <si>
    <t>Optional analysis must be complete when used</t>
  </si>
  <si>
    <t>Optional project FCF sign / sources-uses</t>
  </si>
  <si>
    <t>Decision Economics C26:C32</t>
  </si>
  <si>
    <t>Initial CapEx and NWC are cash uses</t>
  </si>
  <si>
    <t>Optional project payback behavior</t>
  </si>
  <si>
    <t>Decision Economics B40</t>
  </si>
  <si>
    <t>Payback must be fractional/guarded and never return a formula error</t>
  </si>
  <si>
    <t>Blank-state standard: a new student file should show INCOMPLETE and blank decision outputs, never Excel error codes or misleading zero valuations.</t>
  </si>
  <si>
    <t>BUS311 Capstone Milestone 3 | Sources</t>
  </si>
  <si>
    <t>Source log for every material reported fact and forecast assumption; use stable links or exact filing/report locations.</t>
  </si>
  <si>
    <t>Assumption / metric supported</t>
  </si>
  <si>
    <t>Source type</t>
  </si>
  <si>
    <t>Organization / document / FactSet report</t>
  </si>
  <si>
    <t>Period / as-of</t>
  </si>
  <si>
    <t>Units / currency</t>
  </si>
  <si>
    <t>Definition / adjustments</t>
  </si>
  <si>
    <t>Exact page, table, screen, or stable URL</t>
  </si>
  <si>
    <t>Accessed date</t>
  </si>
  <si>
    <t>Limitation / comparability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</si>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</sst>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;[Red]\(#,##0.0\);\-"/>
    <numFmt numFmtId="165" formatCode="0.0%;[Red]\(0.0%\);\-"/>
    <numFmt numFmtId="166" formatCode="yyyy\-mm\-dd"/>
    <numFmt numFmtId="167" formatCode="0.00\x"/>
    <numFmt numFmtId="168" formatCode="0.00;[Red]\(0.00\);\-"/>
    <numFmt numFmtId="169" formatCode="0.0\x;[Red]\(0.0\x\);\-"/>
  </numFmts>
  <fonts count="13">
    <font>
      <sz val="11"/>
      <name val="Carlito"/>
    </font>
    <font>
      <b/>
      <sz val="16"/>
      <color rgb="FFFFFFFF"/>
      <name val="Aptos Display"/>
    </font>
    <font>
      <i/>
      <sz val="10"/>
      <color rgb="FF0A2540"/>
      <name val="Carlito"/>
    </font>
    <font>
      <sz val="9"/>
      <color rgb="FF5E6B75"/>
      <name val="Carlito"/>
    </font>
    <font>
      <b/>
      <sz val="11"/>
      <color rgb="FFFFFFFF"/>
      <name val="Carlito"/>
    </font>
    <font>
      <b/>
      <sz val="11"/>
      <color rgb="FF0A2540"/>
      <name val="Carlito"/>
    </font>
    <font>
      <sz val="11"/>
      <color rgb="FF0000FF"/>
      <name val="Carlito"/>
    </font>
    <font>
      <i/>
      <sz val="11"/>
      <color rgb="FF0A2540"/>
      <name val="Carlito"/>
    </font>
    <font>
      <sz val="11"/>
      <color rgb="FF008000"/>
      <name val="Carlito"/>
    </font>
    <font>
      <b/>
      <sz val="11"/>
      <color rgb="FF008000"/>
      <name val="Carlito"/>
    </font>
    <font>
      <b/>
      <sz val="12"/>
      <color rgb="FFFFFFFF"/>
      <name val="Carlito"/>
    </font>
    <font>
      <b/>
      <sz val="12"/>
      <color rgb="FF000000"/>
      <name val="Carlito"/>
    </font>
    <font>
      <b/>
      <sz val="11"/>
      <color rgb="FF00000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A2540"/>
      </patternFill>
    </fill>
    <fill>
      <patternFill patternType="solid">
        <fgColor rgb="FFF7F3ED"/>
      </patternFill>
    </fill>
    <fill>
      <patternFill patternType="solid">
        <fgColor rgb="FFEEF1F4"/>
      </patternFill>
    </fill>
    <fill>
      <patternFill patternType="solid">
        <fgColor rgb="FF175FA9"/>
      </patternFill>
    </fill>
    <fill>
      <patternFill patternType="solid">
        <fgColor rgb="FFEAF2F8"/>
      </patternFill>
    </fill>
    <fill>
      <patternFill patternType="solid">
        <fgColor rgb="FFFFF4CC"/>
      </patternFill>
    </fill>
    <fill>
      <patternFill patternType="solid">
        <fgColor rgb="FFC66A3D"/>
      </patternFill>
    </fill>
    <fill>
      <patternFill patternType="solid">
        <fgColor rgb="FFF7E9E2"/>
      </patternFill>
    </fill>
  </fills>
  <borders count="3">
    <border>
      <left/>
      <right/>
      <top/>
      <bottom/>
      <diagonal/>
    </border>
    <border>
      <left style="thin">
        <color rgb="FFC8D1D9"/>
      </left>
      <right style="thin">
        <color rgb="FFC8D1D9"/>
      </right>
      <top style="thin">
        <color rgb="FFC8D1D9"/>
      </top>
      <bottom style="thin">
        <color rgb="FFC8D1D9"/>
      </bottom>
      <diagonal/>
    </border>
    <border>
      <left style="thin">
        <color rgb="FFC8D1D9"/>
      </left>
      <right style="thin">
        <color rgb="FFC8D1D9"/>
      </right>
      <top style="thin">
        <color rgb="FFC8D1D9"/>
      </top>
      <bottom style="double">
        <color rgb="FF0A254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6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64" fontId="6" fillId="7" borderId="1" xfId="0" applyNumberFormat="1" applyFont="1" applyFill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166" fontId="6" fillId="7" borderId="1" xfId="0" applyNumberFormat="1" applyFont="1" applyFill="1" applyBorder="1" applyAlignment="1">
      <alignment vertical="top" wrapText="1"/>
    </xf>
    <xf numFmtId="164" fontId="8" fillId="7" borderId="1" xfId="0" applyNumberFormat="1" applyFont="1" applyFill="1" applyBorder="1" applyAlignment="1">
      <alignment vertical="top" wrapText="1"/>
    </xf>
    <xf numFmtId="165" fontId="6" fillId="7" borderId="1" xfId="0" applyNumberFormat="1" applyFont="1" applyFill="1" applyBorder="1" applyAlignment="1">
      <alignment vertical="top" wrapText="1"/>
    </xf>
    <xf numFmtId="167" fontId="6" fillId="7" borderId="1" xfId="0" applyNumberFormat="1" applyFont="1" applyFill="1" applyBorder="1" applyAlignment="1">
      <alignment vertical="top" wrapText="1"/>
    </xf>
    <xf numFmtId="168" fontId="6" fillId="7" borderId="1" xfId="0" applyNumberFormat="1" applyFon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4" fontId="8" fillId="0" borderId="1" xfId="0" applyNumberFormat="1" applyFont="1" applyBorder="1" applyAlignment="1">
      <alignment vertical="top" wrapText="1"/>
    </xf>
    <xf numFmtId="165" fontId="8" fillId="0" borderId="1" xfId="0" applyNumberFormat="1" applyFont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168" fontId="8" fillId="0" borderId="1" xfId="0" applyNumberFormat="1" applyFont="1" applyBorder="1" applyAlignment="1">
      <alignment vertical="top" wrapText="1"/>
    </xf>
    <xf numFmtId="169" fontId="8" fillId="0" borderId="1" xfId="0" applyNumberFormat="1" applyFont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165" fontId="9" fillId="6" borderId="1" xfId="0" applyNumberFormat="1" applyFont="1" applyFill="1" applyBorder="1" applyAlignment="1">
      <alignment vertical="top" wrapText="1"/>
    </xf>
    <xf numFmtId="168" fontId="0" fillId="0" borderId="1" xfId="0" applyNumberForma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3" borderId="0" xfId="0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3" borderId="0" xfId="0" applyFont="1" applyFill="1" applyAlignment="1">
      <alignment horizontal="center" vertical="top"/>
    </xf>
    <xf numFmtId="0" fontId="10" fillId="2" borderId="0" xfId="0" applyFont="1" applyFill="1" applyAlignment="1">
      <alignment vertical="top"/>
    </xf>
    <xf numFmtId="0" fontId="11" fillId="7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/>
    </xf>
    <xf numFmtId="0" fontId="4" fillId="8" borderId="0" xfId="0" applyFont="1" applyFill="1" applyAlignment="1">
      <alignment vertical="top"/>
    </xf>
    <xf numFmtId="0" fontId="0" fillId="3" borderId="0" xfId="0" applyFill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7" fillId="9" borderId="0" xfId="0" applyFont="1" applyFill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4">
    <dxf>
      <font>
        <b/>
        <color rgb="FFC66A3D"/>
      </font>
      <fill>
        <patternFill>
          <bgColor rgb="FFF7E9E2"/>
        </patternFill>
      </fill>
    </dxf>
    <dxf>
      <font>
        <b/>
        <color rgb="FF000000"/>
      </font>
      <fill>
        <patternFill>
          <bgColor rgb="FFFFF4CC"/>
        </patternFill>
      </fill>
    </dxf>
    <dxf>
      <font>
        <b/>
        <color rgb="FFA32626"/>
      </font>
      <fill>
        <patternFill>
          <bgColor rgb="FFFCE8E6"/>
        </patternFill>
      </fill>
    </dxf>
    <dxf>
      <font>
        <b/>
        <color rgb="FF19733B"/>
      </font>
      <fill>
        <patternFill>
          <bgColor rgb="FFE8F5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Revenue path by scenario (model units)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Base</c:v>
          </c:tx>
          <c:marker>
            <c:symbol val="none"/>
          </c:marker>
          <c:cat>
            <c:multiLvlStrRef>
              <c:f>'Board Appendix'!$A$13:$A$18</c:f>
            </c:multiLvlStrRef>
          </c:cat>
          <c:val>
            <c:numRef>
              <c:f>'Board Appendix'!$B$13:$B$18</c:f>
              <c:numCache>
                <c:formatCode>#,##0.0;[Red]\(#,##0.0\);\-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E1-7341-A9CC-374B9F7E15D8}"/>
            </c:ext>
          </c:extLst>
        </c:ser>
        <c:ser>
          <c:idx val="1"/>
          <c:order val="1"/>
          <c:tx>
            <c:v>Upside</c:v>
          </c:tx>
          <c:marker>
            <c:symbol val="none"/>
          </c:marker>
          <c:cat>
            <c:multiLvlStrRef>
              <c:f>'Board Appendix'!$A$13:$A$18</c:f>
            </c:multiLvlStrRef>
          </c:cat>
          <c:val>
            <c:numRef>
              <c:f>'Board Appendix'!$C$13:$C$18</c:f>
              <c:numCache>
                <c:formatCode>#,##0.0;[Red]\(#,##0.0\);\-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EE1-7341-A9CC-374B9F7E15D8}"/>
            </c:ext>
          </c:extLst>
        </c:ser>
        <c:ser>
          <c:idx val="2"/>
          <c:order val="2"/>
          <c:tx>
            <c:v>Downside</c:v>
          </c:tx>
          <c:marker>
            <c:symbol val="none"/>
          </c:marker>
          <c:cat>
            <c:multiLvlStrRef>
              <c:f>'Board Appendix'!$A$13:$A$18</c:f>
            </c:multiLvlStrRef>
          </c:cat>
          <c:val>
            <c:numRef>
              <c:f>'Board Appendix'!$D$13:$D$18</c:f>
              <c:numCache>
                <c:formatCode>#,##0.0;[Red]\(#,##0.0\);\-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EE1-7341-A9CC-374B9F7E1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;[Red]\(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Implied value per share vs. current price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Implied value / share</c:v>
          </c:tx>
          <c:invertIfNegative val="1"/>
          <c:cat>
            <c:strRef>
              <c:f>'Board Appendix'!$A$23:$A$25</c:f>
              <c:strCache>
                <c:ptCount val="3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</c:strCache>
            </c:strRef>
          </c:cat>
          <c:val>
            <c:numRef>
              <c:f>'Board Appendix'!$B$23:$B$25</c:f>
              <c:numCache>
                <c:formatCode>0.00;[Red]\(0.00\);\-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3-4141-B6F6-0FD30A275757}"/>
            </c:ext>
          </c:extLst>
        </c:ser>
        <c:ser>
          <c:idx val="1"/>
          <c:order val="1"/>
          <c:tx>
            <c:v>Current price</c:v>
          </c:tx>
          <c:invertIfNegative val="1"/>
          <c:cat>
            <c:strRef>
              <c:f>'Board Appendix'!$A$23:$A$25</c:f>
              <c:strCache>
                <c:ptCount val="3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</c:strCache>
            </c:strRef>
          </c:cat>
          <c:val>
            <c:numRef>
              <c:f>'Board Appendix'!$C$23:$C$25</c:f>
              <c:numCache>
                <c:formatCode>0.00;[Red]\(0.00\);\-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33-4141-B6F6-0FD30A275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;[Red]\(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889000</xdr:colOff>
      <xdr:row>44</xdr:row>
      <xdr:rowOff>50800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7D0494F9-3CA9-0FC7-C634-C5BB6AD2445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27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thany Evitts" id="{7B3F46B0-6052-4AAF-8E34-54B9390BEE36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6-08-11T13:42:45.87" personId="{7B3F46B0-6052-4AAF-8E34-54B9390BEE36}" id="{69B2E8BA-1F4B-3F2C-B722-D0ECA0C9FC69}">
    <text>Enter or link one assumption only once. Cite it with the adjacent Source ID and complete the Sources sheet, including period, definition, exact location, and limitation.</text>
  </threadedComment>
  <threadedComment ref="B12" dT="2026-07-29T12:29:22.36" personId="{7B3F46B0-6052-4AAF-8E34-54B9390BEE36}" id="{528F954B-EF99-E0AF-368D-AEAFEB576959}">
    <text>Enter or link one assumption only once. Cite it with the adjacent Source ID and complete the Sources sheet, including period, definition, exact location, and limitation.</text>
  </threadedComment>
  <threadedComment ref="B13" dT="2026-07-29T12:29:22.36" personId="{7B3F46B0-6052-4AAF-8E34-54B9390BEE36}" id="{E939AB76-953E-9495-2CED-1E7AAA1B7C49}">
    <text>Enter or link one assumption only once. Cite it with the adjacent Source ID and complete the Sources sheet, including period, definition, exact location, and limitation.</text>
  </threadedComment>
  <threadedComment ref="B14" dT="2026-07-29T12:29:22.36" personId="{7B3F46B0-6052-4AAF-8E34-54B9390BEE36}" id="{E820617F-7ADB-7550-91EC-00A14252F35C}">
    <text>Enter or link one assumption only once. Cite it with the adjacent Source ID and complete the Sources sheet, including period, definition, exact location, and limitation.</text>
  </threadedComment>
  <threadedComment ref="B15" dT="2026-07-29T12:29:22.36" personId="{7B3F46B0-6052-4AAF-8E34-54B9390BEE36}" id="{A2C7ABC4-35F0-E691-AE95-925CE4965CE0}">
    <text>Enter or link one assumption only once. Cite it with the adjacent Source ID and complete the Sources sheet, including period, definition, exact location, and limitation.</text>
  </threadedComment>
  <threadedComment ref="B16" dT="2026-07-29T12:29:22.36" personId="{7B3F46B0-6052-4AAF-8E34-54B9390BEE36}" id="{2AEBB633-1A07-B8D9-D848-6EFB7EEC7DED}">
    <text>Enter or link one assumption only once. Cite it with the adjacent Source ID and complete the Sources sheet, including period, definition, exact location, and limitation.</text>
  </threadedComment>
  <threadedComment ref="B17" dT="2026-07-29T12:29:22.36" personId="{7B3F46B0-6052-4AAF-8E34-54B9390BEE36}" id="{387AA1F4-1AC7-990E-E4A4-A88730ADB773}">
    <text>Enter or link one assumption only once. Cite it with the adjacent Source ID and complete the Sources sheet, including period, definition, exact location, and limitation.</text>
  </threadedComment>
  <threadedComment ref="B18" dT="2026-07-29T12:29:22.36" personId="{7B3F46B0-6052-4AAF-8E34-54B9390BEE36}" id="{6CE321E3-7354-3732-7F34-51F972270409}">
    <text>Enter or link one assumption only once. Cite it with the adjacent Source ID and complete the Sources sheet, including period, definition, exact location, and limitation.</text>
  </threadedComment>
  <threadedComment ref="B19" dT="2026-07-29T12:29:22.36" personId="{7B3F46B0-6052-4AAF-8E34-54B9390BEE36}" id="{AF3C1614-C8F7-1032-19D0-64A9368FB52C}">
    <text>Enter or link one assumption only once. Cite it with the adjacent Source ID and complete the Sources sheet, including period, definition, exact location, and limitation.</text>
  </threadedComment>
  <threadedComment ref="B20" dT="2026-07-29T12:29:22.36" personId="{7B3F46B0-6052-4AAF-8E34-54B9390BEE36}" id="{ADFF0B9E-F33D-2CBE-4948-EE7D05F9F4BD}">
    <text>Enter or link one assumption only once. Cite it with the adjacent Source ID and complete the Sources sheet, including period, definition, exact location, and limitation.</text>
  </threadedComment>
  <threadedComment ref="B21" dT="2026-07-29T12:29:22.36" personId="{7B3F46B0-6052-4AAF-8E34-54B9390BEE36}" id="{41A071BF-8D27-6388-BD0D-48DD1C8CD3C5}">
    <text>Enter or link one assumption only once. Cite it with the adjacent Source ID and complete the Sources sheet, including period, definition, exact location, and limitation.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workbookViewId="0">
      <selection sqref="A1:H1"/>
    </sheetView>
  </sheetViews>
  <sheetFormatPr baseColWidth="10" defaultColWidth="8.83203125" defaultRowHeight="14"/>
  <cols>
    <col min="1" max="1" width="24" customWidth="1"/>
    <col min="2" max="2" width="25" customWidth="1"/>
    <col min="3" max="3" width="30" customWidth="1"/>
    <col min="4" max="4" width="28" customWidth="1"/>
    <col min="5" max="5" width="24" customWidth="1"/>
    <col min="6" max="6" width="26" customWidth="1"/>
    <col min="7" max="7" width="22" customWidth="1"/>
    <col min="8" max="8" width="15" customWidth="1"/>
  </cols>
  <sheetData>
    <row r="1" spans="1:8" ht="28" customHeight="1">
      <c r="A1" s="34" t="s">
        <v>0</v>
      </c>
      <c r="B1" s="34"/>
      <c r="C1" s="34"/>
      <c r="D1" s="34"/>
      <c r="E1" s="34"/>
      <c r="F1" s="34"/>
      <c r="G1" s="34"/>
      <c r="H1" s="34"/>
    </row>
    <row r="2" spans="1:8" ht="30" customHeight="1">
      <c r="A2" s="35" t="s">
        <v>1</v>
      </c>
      <c r="B2" s="35"/>
      <c r="C2" s="35"/>
      <c r="D2" s="35"/>
      <c r="E2" s="35"/>
      <c r="F2" s="35"/>
      <c r="G2" s="35"/>
      <c r="H2" s="35"/>
    </row>
    <row r="3" spans="1:8" ht="24" customHeight="1">
      <c r="A3" s="36" t="s">
        <v>2</v>
      </c>
      <c r="B3" s="36"/>
      <c r="C3" s="36"/>
      <c r="D3" s="36"/>
      <c r="E3" s="36"/>
      <c r="F3" s="36"/>
      <c r="G3" s="36"/>
      <c r="H3" s="36"/>
    </row>
    <row r="4" spans="1:8">
      <c r="A4" s="28"/>
      <c r="B4" s="28"/>
      <c r="C4" s="28"/>
      <c r="D4" s="28"/>
      <c r="E4" s="28"/>
      <c r="F4" s="28"/>
      <c r="G4" s="28"/>
      <c r="H4" s="28"/>
    </row>
    <row r="5" spans="1:8" ht="22" customHeight="1">
      <c r="A5" s="37" t="s">
        <v>3</v>
      </c>
      <c r="B5" s="37"/>
      <c r="C5" s="37"/>
      <c r="D5" s="37"/>
      <c r="E5" s="37"/>
      <c r="F5" s="37"/>
      <c r="G5" s="37"/>
      <c r="H5" s="37"/>
    </row>
    <row r="6" spans="1:8" ht="16">
      <c r="A6" s="1" t="s">
        <v>4</v>
      </c>
      <c r="B6" s="3"/>
      <c r="C6" s="28"/>
      <c r="D6" s="1" t="s">
        <v>5</v>
      </c>
      <c r="E6" s="2" t="s">
        <v>6</v>
      </c>
      <c r="F6" s="28"/>
      <c r="G6" s="28"/>
      <c r="H6" s="28"/>
    </row>
    <row r="7" spans="1:8" ht="16">
      <c r="A7" s="1" t="s">
        <v>7</v>
      </c>
      <c r="B7" s="3"/>
      <c r="C7" s="28"/>
      <c r="D7" s="1" t="s">
        <v>8</v>
      </c>
      <c r="E7" s="2" t="s">
        <v>9</v>
      </c>
      <c r="F7" s="28"/>
      <c r="G7" s="28"/>
      <c r="H7" s="28"/>
    </row>
    <row r="8" spans="1:8" ht="16">
      <c r="A8" s="1" t="s">
        <v>10</v>
      </c>
      <c r="B8" s="3"/>
      <c r="C8" s="28"/>
      <c r="D8" s="1" t="s">
        <v>11</v>
      </c>
      <c r="E8" s="2">
        <v>8</v>
      </c>
      <c r="F8" s="28"/>
      <c r="G8" s="28"/>
      <c r="H8" s="28"/>
    </row>
    <row r="9" spans="1:8" ht="16">
      <c r="A9" s="1" t="s">
        <v>12</v>
      </c>
      <c r="B9" s="3"/>
      <c r="C9" s="28"/>
      <c r="D9" s="1" t="s">
        <v>13</v>
      </c>
      <c r="E9" s="2" t="s">
        <v>14</v>
      </c>
      <c r="F9" s="28"/>
      <c r="G9" s="28"/>
      <c r="H9" s="28"/>
    </row>
    <row r="10" spans="1:8" ht="16">
      <c r="A10" s="1" t="s">
        <v>15</v>
      </c>
      <c r="B10" s="3"/>
      <c r="C10" s="28"/>
      <c r="D10" s="1" t="s">
        <v>16</v>
      </c>
      <c r="E10" s="2" t="s">
        <v>17</v>
      </c>
      <c r="F10" s="28"/>
      <c r="G10" s="28"/>
      <c r="H10" s="28"/>
    </row>
    <row r="11" spans="1:8" ht="16">
      <c r="A11" s="1" t="s">
        <v>18</v>
      </c>
      <c r="B11" s="3"/>
      <c r="C11" s="28"/>
      <c r="D11" s="1" t="s">
        <v>19</v>
      </c>
      <c r="E11" s="2" t="s">
        <v>20</v>
      </c>
      <c r="F11" s="28"/>
      <c r="G11" s="28"/>
      <c r="H11" s="28"/>
    </row>
    <row r="12" spans="1:8" ht="16">
      <c r="A12" s="1" t="s">
        <v>21</v>
      </c>
      <c r="B12" s="3"/>
      <c r="C12" s="28"/>
      <c r="D12" s="1" t="s">
        <v>22</v>
      </c>
      <c r="E12" s="2" t="s">
        <v>23</v>
      </c>
      <c r="F12" s="28"/>
      <c r="G12" s="28"/>
      <c r="H12" s="28"/>
    </row>
    <row r="13" spans="1:8">
      <c r="A13" s="28"/>
      <c r="B13" s="28"/>
      <c r="C13" s="28"/>
      <c r="D13" s="28"/>
      <c r="E13" s="28"/>
      <c r="F13" s="28"/>
      <c r="G13" s="28"/>
      <c r="H13" s="28"/>
    </row>
    <row r="14" spans="1:8" ht="22" customHeight="1">
      <c r="A14" s="37" t="s">
        <v>24</v>
      </c>
      <c r="B14" s="37"/>
      <c r="C14" s="37"/>
      <c r="D14" s="37"/>
      <c r="E14" s="37"/>
      <c r="F14" s="37"/>
      <c r="G14" s="37"/>
      <c r="H14" s="37"/>
    </row>
    <row r="15" spans="1:8" ht="42" customHeight="1">
      <c r="A15" s="1" t="s">
        <v>25</v>
      </c>
      <c r="B15" s="1" t="s">
        <v>26</v>
      </c>
      <c r="C15" s="1" t="s">
        <v>27</v>
      </c>
      <c r="D15" s="1" t="s">
        <v>28</v>
      </c>
      <c r="E15" s="1" t="s">
        <v>29</v>
      </c>
      <c r="F15" s="1" t="s">
        <v>30</v>
      </c>
      <c r="G15" s="1" t="s">
        <v>31</v>
      </c>
      <c r="H15" s="1" t="s">
        <v>32</v>
      </c>
    </row>
    <row r="16" spans="1:8" ht="42" customHeight="1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38</v>
      </c>
      <c r="G16" s="2" t="s">
        <v>39</v>
      </c>
      <c r="H16" s="2" t="s">
        <v>32</v>
      </c>
    </row>
    <row r="17" spans="1:8" ht="42" customHeight="1">
      <c r="A17" s="2" t="s">
        <v>40</v>
      </c>
      <c r="B17" s="2" t="s">
        <v>41</v>
      </c>
      <c r="C17" s="2" t="s">
        <v>42</v>
      </c>
      <c r="D17" s="2" t="s">
        <v>43</v>
      </c>
      <c r="E17" s="2" t="s">
        <v>44</v>
      </c>
      <c r="F17" s="2" t="s">
        <v>45</v>
      </c>
      <c r="G17" s="2" t="s">
        <v>46</v>
      </c>
      <c r="H17" s="2" t="s">
        <v>32</v>
      </c>
    </row>
    <row r="18" spans="1:8" ht="42" customHeight="1">
      <c r="A18" s="2" t="s">
        <v>47</v>
      </c>
      <c r="B18" s="2" t="s">
        <v>48</v>
      </c>
      <c r="C18" s="2" t="s">
        <v>49</v>
      </c>
      <c r="D18" s="2" t="s">
        <v>50</v>
      </c>
      <c r="E18" s="2" t="s">
        <v>51</v>
      </c>
      <c r="F18" s="2" t="s">
        <v>52</v>
      </c>
      <c r="G18" s="2" t="s">
        <v>53</v>
      </c>
      <c r="H18" s="2" t="s">
        <v>32</v>
      </c>
    </row>
    <row r="19" spans="1:8" ht="42" customHeight="1">
      <c r="A19" s="2" t="s">
        <v>54</v>
      </c>
      <c r="B19" s="2" t="s">
        <v>55</v>
      </c>
      <c r="C19" s="2" t="s">
        <v>56</v>
      </c>
      <c r="D19" s="2" t="s">
        <v>57</v>
      </c>
      <c r="E19" s="2" t="s">
        <v>58</v>
      </c>
      <c r="F19" s="2" t="s">
        <v>59</v>
      </c>
      <c r="G19" s="2" t="s">
        <v>60</v>
      </c>
      <c r="H19" s="2" t="s">
        <v>61</v>
      </c>
    </row>
    <row r="20" spans="1:8" ht="42" customHeight="1">
      <c r="A20" s="2" t="s">
        <v>62</v>
      </c>
      <c r="B20" s="2" t="s">
        <v>63</v>
      </c>
      <c r="C20" s="2" t="s">
        <v>64</v>
      </c>
      <c r="D20" s="2" t="s">
        <v>65</v>
      </c>
      <c r="E20" s="2" t="s">
        <v>66</v>
      </c>
      <c r="F20" s="2" t="s">
        <v>67</v>
      </c>
      <c r="G20" s="2" t="s">
        <v>68</v>
      </c>
      <c r="H20" s="2" t="s">
        <v>32</v>
      </c>
    </row>
    <row r="21" spans="1:8" ht="42" customHeight="1">
      <c r="A21" s="2" t="s">
        <v>69</v>
      </c>
      <c r="B21" s="2" t="s">
        <v>70</v>
      </c>
      <c r="C21" s="2" t="s">
        <v>71</v>
      </c>
      <c r="D21" s="2" t="s">
        <v>72</v>
      </c>
      <c r="E21" s="2" t="s">
        <v>73</v>
      </c>
      <c r="F21" s="2" t="s">
        <v>74</v>
      </c>
      <c r="G21" s="2" t="s">
        <v>75</v>
      </c>
      <c r="H21" s="2" t="s">
        <v>32</v>
      </c>
    </row>
    <row r="22" spans="1:8" ht="42" customHeight="1">
      <c r="A22" s="2" t="s">
        <v>76</v>
      </c>
      <c r="B22" s="2" t="s">
        <v>77</v>
      </c>
      <c r="C22" s="2" t="s">
        <v>78</v>
      </c>
      <c r="D22" s="2" t="s">
        <v>79</v>
      </c>
      <c r="E22" s="2" t="s">
        <v>80</v>
      </c>
      <c r="F22" s="2" t="s">
        <v>81</v>
      </c>
      <c r="G22" s="2" t="s">
        <v>82</v>
      </c>
      <c r="H22" s="2" t="s">
        <v>32</v>
      </c>
    </row>
    <row r="23" spans="1:8">
      <c r="A23" s="28"/>
      <c r="B23" s="28"/>
      <c r="C23" s="28"/>
      <c r="D23" s="28"/>
      <c r="E23" s="28"/>
      <c r="F23" s="28"/>
      <c r="G23" s="28"/>
      <c r="H23" s="28"/>
    </row>
    <row r="24" spans="1:8" ht="22" customHeight="1">
      <c r="A24" s="37" t="s">
        <v>83</v>
      </c>
      <c r="B24" s="37"/>
      <c r="C24" s="37"/>
      <c r="D24" s="37"/>
      <c r="E24" s="37"/>
      <c r="F24" s="37"/>
      <c r="G24" s="37"/>
      <c r="H24" s="37"/>
    </row>
    <row r="25" spans="1:8" ht="34" customHeight="1">
      <c r="A25" s="1" t="s">
        <v>84</v>
      </c>
      <c r="B25" s="1" t="s">
        <v>85</v>
      </c>
      <c r="C25" s="1" t="s">
        <v>86</v>
      </c>
      <c r="D25" s="1" t="s">
        <v>87</v>
      </c>
      <c r="E25" s="28"/>
      <c r="F25" s="38" t="s">
        <v>88</v>
      </c>
      <c r="G25" s="38"/>
      <c r="H25" s="38"/>
    </row>
    <row r="26" spans="1:8" ht="62" customHeight="1">
      <c r="A26" s="2" t="s">
        <v>89</v>
      </c>
      <c r="B26" s="4">
        <v>2</v>
      </c>
      <c r="C26" s="2" t="s">
        <v>90</v>
      </c>
      <c r="D26" s="2" t="s">
        <v>91</v>
      </c>
      <c r="E26" s="28"/>
      <c r="F26" s="39" t="s">
        <v>92</v>
      </c>
      <c r="G26" s="39"/>
      <c r="H26" s="39"/>
    </row>
    <row r="27" spans="1:8" ht="62" customHeight="1">
      <c r="A27" s="2" t="s">
        <v>93</v>
      </c>
      <c r="B27" s="4">
        <v>3</v>
      </c>
      <c r="C27" s="2" t="s">
        <v>94</v>
      </c>
      <c r="D27" s="2" t="s">
        <v>95</v>
      </c>
      <c r="E27" s="28"/>
      <c r="F27" s="39" t="s">
        <v>96</v>
      </c>
      <c r="G27" s="39"/>
      <c r="H27" s="39"/>
    </row>
    <row r="28" spans="1:8" ht="62" customHeight="1">
      <c r="A28" s="2" t="s">
        <v>97</v>
      </c>
      <c r="B28" s="4">
        <v>2</v>
      </c>
      <c r="C28" s="2" t="s">
        <v>98</v>
      </c>
      <c r="D28" s="2" t="s">
        <v>99</v>
      </c>
      <c r="E28" s="28"/>
      <c r="F28" s="39" t="s">
        <v>100</v>
      </c>
      <c r="G28" s="39"/>
      <c r="H28" s="39"/>
    </row>
    <row r="29" spans="1:8" ht="62" customHeight="1">
      <c r="A29" s="2" t="s">
        <v>101</v>
      </c>
      <c r="B29" s="4">
        <v>1</v>
      </c>
      <c r="C29" s="2" t="s">
        <v>102</v>
      </c>
      <c r="D29" s="2" t="s">
        <v>103</v>
      </c>
      <c r="E29" s="28"/>
      <c r="F29" s="39" t="s">
        <v>104</v>
      </c>
      <c r="G29" s="39"/>
      <c r="H29" s="39"/>
    </row>
  </sheetData>
  <mergeCells count="11">
    <mergeCell ref="F29:H29"/>
    <mergeCell ref="A24:H24"/>
    <mergeCell ref="F25:H25"/>
    <mergeCell ref="F26:H26"/>
    <mergeCell ref="F27:H27"/>
    <mergeCell ref="F28:H28"/>
    <mergeCell ref="A1:H1"/>
    <mergeCell ref="A2:H2"/>
    <mergeCell ref="A3:H3"/>
    <mergeCell ref="A5:H5"/>
    <mergeCell ref="A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showGridLines="0" workbookViewId="0"/>
  </sheetViews>
  <sheetFormatPr baseColWidth="10" defaultColWidth="8.83203125" defaultRowHeight="14"/>
  <cols>
    <col min="1" max="1" width="29" customWidth="1"/>
    <col min="2" max="2" width="35" customWidth="1"/>
    <col min="3" max="3" width="27" customWidth="1"/>
    <col min="4" max="4" width="28" customWidth="1"/>
    <col min="5" max="5" width="24" customWidth="1"/>
    <col min="6" max="6" width="31" customWidth="1"/>
    <col min="7" max="7" width="16" customWidth="1"/>
    <col min="8" max="8" width="14" customWidth="1"/>
  </cols>
  <sheetData>
    <row r="1" spans="1:8" ht="28" customHeight="1">
      <c r="A1" s="34" t="s">
        <v>105</v>
      </c>
      <c r="B1" s="34"/>
      <c r="C1" s="34"/>
      <c r="D1" s="34"/>
      <c r="E1" s="34"/>
      <c r="F1" s="34"/>
      <c r="G1" s="34"/>
      <c r="H1" s="34"/>
    </row>
    <row r="2" spans="1:8" ht="30" customHeight="1">
      <c r="A2" s="35" t="s">
        <v>106</v>
      </c>
      <c r="B2" s="35"/>
      <c r="C2" s="35"/>
      <c r="D2" s="35"/>
      <c r="E2" s="35"/>
      <c r="F2" s="35"/>
      <c r="G2" s="35"/>
      <c r="H2" s="35"/>
    </row>
    <row r="3" spans="1:8" ht="24" customHeight="1">
      <c r="A3" s="36" t="s">
        <v>2</v>
      </c>
      <c r="B3" s="36"/>
      <c r="C3" s="36"/>
      <c r="D3" s="36"/>
      <c r="E3" s="36"/>
      <c r="F3" s="36"/>
      <c r="G3" s="36"/>
      <c r="H3" s="36"/>
    </row>
    <row r="4" spans="1:8">
      <c r="A4" s="28"/>
      <c r="B4" s="28"/>
      <c r="C4" s="28"/>
      <c r="D4" s="28"/>
      <c r="E4" s="28"/>
      <c r="F4" s="28"/>
      <c r="G4" s="28"/>
      <c r="H4" s="28"/>
    </row>
    <row r="5" spans="1:8" ht="22" customHeight="1">
      <c r="A5" s="37" t="s">
        <v>107</v>
      </c>
      <c r="B5" s="37"/>
      <c r="C5" s="37"/>
      <c r="D5" s="37"/>
      <c r="E5" s="37"/>
      <c r="F5" s="37"/>
      <c r="G5" s="37"/>
      <c r="H5" s="37"/>
    </row>
    <row r="6" spans="1:8" ht="52" customHeight="1">
      <c r="A6" s="30" t="s">
        <v>108</v>
      </c>
      <c r="B6" s="40"/>
      <c r="C6" s="40"/>
      <c r="D6" s="40"/>
      <c r="E6" s="40"/>
      <c r="F6" s="40"/>
      <c r="G6" s="40"/>
      <c r="H6" s="40"/>
    </row>
    <row r="7" spans="1:8" ht="52" customHeight="1">
      <c r="A7" s="30" t="s">
        <v>109</v>
      </c>
      <c r="B7" s="40"/>
      <c r="C7" s="40"/>
      <c r="D7" s="40"/>
      <c r="E7" s="40"/>
      <c r="F7" s="40"/>
      <c r="G7" s="40"/>
      <c r="H7" s="40"/>
    </row>
    <row r="8" spans="1:8" ht="52" customHeight="1">
      <c r="A8" s="30" t="s">
        <v>110</v>
      </c>
      <c r="B8" s="40"/>
      <c r="C8" s="40"/>
      <c r="D8" s="40"/>
      <c r="E8" s="40"/>
      <c r="F8" s="40"/>
      <c r="G8" s="40"/>
      <c r="H8" s="40"/>
    </row>
    <row r="9" spans="1:8">
      <c r="A9" s="28"/>
      <c r="B9" s="28"/>
      <c r="C9" s="28"/>
      <c r="D9" s="28"/>
      <c r="E9" s="28"/>
      <c r="F9" s="28"/>
      <c r="G9" s="28"/>
      <c r="H9" s="28"/>
    </row>
    <row r="10" spans="1:8" ht="22" customHeight="1">
      <c r="A10" s="37" t="s">
        <v>111</v>
      </c>
      <c r="B10" s="37"/>
      <c r="C10" s="37"/>
      <c r="D10" s="37"/>
      <c r="E10" s="37"/>
      <c r="F10" s="37"/>
      <c r="G10" s="37"/>
      <c r="H10" s="37"/>
    </row>
    <row r="11" spans="1:8" ht="34" customHeight="1">
      <c r="A11" s="1" t="s">
        <v>112</v>
      </c>
      <c r="B11" s="1" t="s">
        <v>113</v>
      </c>
      <c r="C11" s="1" t="s">
        <v>114</v>
      </c>
      <c r="D11" s="1" t="s">
        <v>115</v>
      </c>
      <c r="E11" s="1" t="s">
        <v>116</v>
      </c>
      <c r="F11" s="1" t="s">
        <v>117</v>
      </c>
      <c r="G11" s="1" t="s">
        <v>118</v>
      </c>
      <c r="H11" s="1" t="s">
        <v>119</v>
      </c>
    </row>
    <row r="12" spans="1:8" ht="55" customHeight="1">
      <c r="A12" s="31" t="s">
        <v>120</v>
      </c>
      <c r="B12" s="3"/>
      <c r="C12" s="3"/>
      <c r="D12" s="3"/>
      <c r="E12" s="3"/>
      <c r="F12" s="3"/>
      <c r="G12" s="3"/>
      <c r="H12" s="2" t="str">
        <f>IF(COUNTIF(B12:G12,"?*")=6,"COMPLETE","INCOMPLETE")</f>
        <v>INCOMPLETE</v>
      </c>
    </row>
    <row r="13" spans="1:8" ht="55" customHeight="1">
      <c r="A13" s="31" t="s">
        <v>121</v>
      </c>
      <c r="B13" s="3"/>
      <c r="C13" s="3"/>
      <c r="D13" s="3"/>
      <c r="E13" s="3"/>
      <c r="F13" s="3"/>
      <c r="G13" s="3"/>
      <c r="H13" s="2" t="str">
        <f>IF(COUNTIF(B13:G13,"?*")=6,"COMPLETE","INCOMPLETE")</f>
        <v>INCOMPLETE</v>
      </c>
    </row>
    <row r="14" spans="1:8" ht="55" customHeight="1">
      <c r="A14" s="31" t="s">
        <v>122</v>
      </c>
      <c r="B14" s="3"/>
      <c r="C14" s="3"/>
      <c r="D14" s="3"/>
      <c r="E14" s="3"/>
      <c r="F14" s="3"/>
      <c r="G14" s="3"/>
      <c r="H14" s="2" t="str">
        <f>IF(COUNTIF(B14:G14,"?*")=6,"COMPLETE","INCOMPLETE")</f>
        <v>INCOMPLETE</v>
      </c>
    </row>
    <row r="15" spans="1:8">
      <c r="A15" s="28"/>
      <c r="B15" s="28"/>
      <c r="C15" s="28"/>
      <c r="D15" s="28"/>
      <c r="E15" s="28"/>
      <c r="F15" s="28"/>
      <c r="G15" s="28"/>
      <c r="H15" s="28"/>
    </row>
    <row r="16" spans="1:8" ht="22" customHeight="1">
      <c r="A16" s="37" t="s">
        <v>123</v>
      </c>
      <c r="B16" s="37"/>
      <c r="C16" s="37"/>
      <c r="D16" s="37"/>
      <c r="E16" s="37"/>
      <c r="F16" s="37"/>
      <c r="G16" s="37"/>
      <c r="H16" s="37"/>
    </row>
    <row r="17" spans="1:8" ht="34" customHeight="1">
      <c r="A17" s="1" t="s">
        <v>124</v>
      </c>
      <c r="B17" s="1" t="s">
        <v>125</v>
      </c>
      <c r="C17" s="1" t="s">
        <v>118</v>
      </c>
      <c r="D17" s="1"/>
      <c r="E17" s="1"/>
      <c r="F17" s="1"/>
      <c r="G17" s="1"/>
      <c r="H17" s="1"/>
    </row>
    <row r="18" spans="1:8" ht="16">
      <c r="A18" s="5" t="s">
        <v>126</v>
      </c>
      <c r="B18" s="2" t="s">
        <v>127</v>
      </c>
      <c r="C18" s="3"/>
      <c r="D18" s="3"/>
      <c r="E18" s="3"/>
      <c r="F18" s="3"/>
      <c r="G18" s="3"/>
      <c r="H18" s="3"/>
    </row>
    <row r="19" spans="1:8" ht="16">
      <c r="A19" s="5" t="s">
        <v>128</v>
      </c>
      <c r="B19" s="2" t="s">
        <v>129</v>
      </c>
      <c r="C19" s="3"/>
      <c r="D19" s="6"/>
      <c r="E19" s="6"/>
      <c r="F19" s="6"/>
      <c r="G19" s="6"/>
      <c r="H19" s="6"/>
    </row>
    <row r="20" spans="1:8" ht="16">
      <c r="A20" s="5" t="s">
        <v>130</v>
      </c>
      <c r="B20" s="2" t="s">
        <v>131</v>
      </c>
      <c r="C20" s="2"/>
      <c r="D20" s="2"/>
      <c r="E20" s="7" t="str">
        <f>IFERROR(E19/D19-1,"")</f>
        <v/>
      </c>
      <c r="F20" s="7" t="str">
        <f>IFERROR(F19/E19-1,"")</f>
        <v/>
      </c>
      <c r="G20" s="7" t="str">
        <f>IFERROR(G19/F19-1,"")</f>
        <v/>
      </c>
      <c r="H20" s="7" t="str">
        <f>IFERROR(H19/G19-1,"")</f>
        <v/>
      </c>
    </row>
    <row r="21" spans="1:8">
      <c r="A21" s="28"/>
      <c r="B21" s="28"/>
      <c r="C21" s="28"/>
      <c r="D21" s="28"/>
      <c r="E21" s="28"/>
      <c r="F21" s="28"/>
      <c r="G21" s="28"/>
      <c r="H21" s="28"/>
    </row>
    <row r="22" spans="1:8" ht="15">
      <c r="A22" s="41" t="s">
        <v>132</v>
      </c>
      <c r="B22" s="41"/>
      <c r="C22" s="41"/>
      <c r="D22" s="41"/>
      <c r="E22" s="41"/>
      <c r="F22" s="41"/>
      <c r="G22" s="41"/>
      <c r="H22" s="41"/>
    </row>
  </sheetData>
  <mergeCells count="10">
    <mergeCell ref="B7:H7"/>
    <mergeCell ref="B8:H8"/>
    <mergeCell ref="A10:H10"/>
    <mergeCell ref="A16:H16"/>
    <mergeCell ref="A22:H22"/>
    <mergeCell ref="A1:H1"/>
    <mergeCell ref="A2:H2"/>
    <mergeCell ref="A3:H3"/>
    <mergeCell ref="A5:H5"/>
    <mergeCell ref="B6:H6"/>
  </mergeCells>
  <dataValidations count="1">
    <dataValidation type="list" sqref="G12:G14 C18:C19" xr:uid="{00000000-0002-0000-0100-000000000000}">
      <formula1>"S01,S02,S03,S04,S05,S06,S07,S08,S09,S10,S11,S12,S13,S14,S15,S16,S17,S18,S19,S20,S21,S22,S23,S24,S25,S26,S27,S28,S29,S30,S31,S32,S33,S34,S35,S36,S37,S38,S39,S40"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7"/>
  <sheetViews>
    <sheetView showGridLines="0" workbookViewId="0"/>
  </sheetViews>
  <sheetFormatPr baseColWidth="10" defaultColWidth="8.83203125" defaultRowHeight="14"/>
  <cols>
    <col min="1" max="1" width="33" customWidth="1"/>
    <col min="2" max="2" width="15" customWidth="1"/>
    <col min="3" max="3" width="27" customWidth="1"/>
    <col min="4" max="4" width="10" customWidth="1"/>
    <col min="5" max="10" width="14" customWidth="1"/>
  </cols>
  <sheetData>
    <row r="1" spans="1:10" ht="28" customHeight="1">
      <c r="A1" s="34" t="s">
        <v>133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30" customHeight="1">
      <c r="A2" s="35" t="s">
        <v>134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24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</row>
    <row r="4" spans="1:10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22" customHeight="1">
      <c r="A5" s="37" t="s">
        <v>135</v>
      </c>
      <c r="B5" s="37"/>
      <c r="C5" s="37"/>
      <c r="D5" s="37"/>
      <c r="E5" s="37"/>
      <c r="F5" s="37"/>
      <c r="G5" s="37"/>
      <c r="H5" s="37"/>
      <c r="I5" s="37"/>
      <c r="J5" s="37"/>
    </row>
    <row r="6" spans="1:10" ht="34" customHeight="1">
      <c r="A6" s="1" t="s">
        <v>136</v>
      </c>
      <c r="B6" s="1" t="s">
        <v>137</v>
      </c>
      <c r="C6" s="1" t="s">
        <v>39</v>
      </c>
      <c r="D6" s="1" t="s">
        <v>138</v>
      </c>
      <c r="E6" s="42" t="s">
        <v>139</v>
      </c>
      <c r="F6" s="42"/>
      <c r="G6" s="42"/>
      <c r="H6" s="42"/>
      <c r="I6" s="42"/>
      <c r="J6" s="42"/>
    </row>
    <row r="7" spans="1:10" ht="16">
      <c r="A7" s="5" t="s">
        <v>140</v>
      </c>
      <c r="B7" s="9"/>
      <c r="C7" s="2" t="s">
        <v>141</v>
      </c>
      <c r="D7" s="3"/>
      <c r="E7" s="43" t="s">
        <v>142</v>
      </c>
      <c r="F7" s="43"/>
      <c r="G7" s="43"/>
      <c r="H7" s="43"/>
      <c r="I7" s="43"/>
      <c r="J7" s="43"/>
    </row>
    <row r="8" spans="1:10" ht="16">
      <c r="A8" s="5" t="s">
        <v>143</v>
      </c>
      <c r="B8" s="3"/>
      <c r="C8" s="2" t="s">
        <v>144</v>
      </c>
      <c r="D8" s="3"/>
      <c r="E8" s="43" t="s">
        <v>145</v>
      </c>
      <c r="F8" s="43"/>
      <c r="G8" s="43"/>
      <c r="H8" s="43"/>
      <c r="I8" s="43"/>
      <c r="J8" s="43"/>
    </row>
    <row r="9" spans="1:10" ht="16">
      <c r="A9" s="5" t="s">
        <v>146</v>
      </c>
      <c r="B9" s="8" t="str">
        <f>IF('Revenue Handoff'!H18="","",'Revenue Handoff'!H18)</f>
        <v/>
      </c>
      <c r="C9" s="2" t="s">
        <v>147</v>
      </c>
      <c r="D9" s="8" t="str">
        <f>IF('Revenue Handoff'!C18="","",'Revenue Handoff'!C18)</f>
        <v/>
      </c>
      <c r="E9" s="43" t="s">
        <v>148</v>
      </c>
      <c r="F9" s="43"/>
      <c r="G9" s="43"/>
      <c r="H9" s="43"/>
      <c r="I9" s="43"/>
      <c r="J9" s="43"/>
    </row>
    <row r="10" spans="1:10" ht="16">
      <c r="A10" s="5" t="s">
        <v>149</v>
      </c>
      <c r="B10" s="10" t="str">
        <f>IF('Revenue Handoff'!H19="","",'Revenue Handoff'!H19)</f>
        <v/>
      </c>
      <c r="C10" s="2" t="s">
        <v>150</v>
      </c>
      <c r="D10" s="8" t="str">
        <f>IF('Revenue Handoff'!C19="","",'Revenue Handoff'!C19)</f>
        <v/>
      </c>
      <c r="E10" s="43" t="s">
        <v>151</v>
      </c>
      <c r="F10" s="43"/>
      <c r="G10" s="43"/>
      <c r="H10" s="43"/>
      <c r="I10" s="43"/>
      <c r="J10" s="43"/>
    </row>
    <row r="11" spans="1:10" ht="16">
      <c r="A11" s="5" t="s">
        <v>152</v>
      </c>
      <c r="B11" s="6"/>
      <c r="C11" s="2" t="s">
        <v>150</v>
      </c>
      <c r="D11" s="3"/>
      <c r="E11" s="43" t="s">
        <v>153</v>
      </c>
      <c r="F11" s="43"/>
      <c r="G11" s="43"/>
      <c r="H11" s="43"/>
      <c r="I11" s="43"/>
      <c r="J11" s="43"/>
    </row>
    <row r="12" spans="1:10" ht="16">
      <c r="A12" s="5" t="s">
        <v>154</v>
      </c>
      <c r="B12" s="11"/>
      <c r="C12" s="2" t="s">
        <v>155</v>
      </c>
      <c r="D12" s="3"/>
      <c r="E12" s="43" t="s">
        <v>156</v>
      </c>
      <c r="F12" s="43"/>
      <c r="G12" s="43"/>
      <c r="H12" s="43"/>
      <c r="I12" s="43"/>
      <c r="J12" s="43"/>
    </row>
    <row r="13" spans="1:10" ht="16">
      <c r="A13" s="5" t="s">
        <v>157</v>
      </c>
      <c r="B13" s="11"/>
      <c r="C13" s="2" t="s">
        <v>155</v>
      </c>
      <c r="D13" s="3"/>
      <c r="E13" s="43" t="s">
        <v>158</v>
      </c>
      <c r="F13" s="43"/>
      <c r="G13" s="43"/>
      <c r="H13" s="43"/>
      <c r="I13" s="43"/>
      <c r="J13" s="43"/>
    </row>
    <row r="14" spans="1:10" ht="16">
      <c r="A14" s="5" t="s">
        <v>159</v>
      </c>
      <c r="B14" s="12"/>
      <c r="C14" s="2" t="s">
        <v>160</v>
      </c>
      <c r="D14" s="3"/>
      <c r="E14" s="43" t="s">
        <v>161</v>
      </c>
      <c r="F14" s="43"/>
      <c r="G14" s="43"/>
      <c r="H14" s="43"/>
      <c r="I14" s="43"/>
      <c r="J14" s="43"/>
    </row>
    <row r="15" spans="1:10" ht="16">
      <c r="A15" s="5" t="s">
        <v>162</v>
      </c>
      <c r="B15" s="11"/>
      <c r="C15" s="2" t="s">
        <v>155</v>
      </c>
      <c r="D15" s="3"/>
      <c r="E15" s="43" t="s">
        <v>163</v>
      </c>
      <c r="F15" s="43"/>
      <c r="G15" s="43"/>
      <c r="H15" s="43"/>
      <c r="I15" s="43"/>
      <c r="J15" s="43"/>
    </row>
    <row r="16" spans="1:10" ht="16">
      <c r="A16" s="5" t="s">
        <v>164</v>
      </c>
      <c r="B16" s="11"/>
      <c r="C16" s="2" t="s">
        <v>155</v>
      </c>
      <c r="D16" s="3"/>
      <c r="E16" s="43" t="s">
        <v>165</v>
      </c>
      <c r="F16" s="43"/>
      <c r="G16" s="43"/>
      <c r="H16" s="43"/>
      <c r="I16" s="43"/>
      <c r="J16" s="43"/>
    </row>
    <row r="17" spans="1:10" ht="16">
      <c r="A17" s="5" t="s">
        <v>166</v>
      </c>
      <c r="B17" s="6"/>
      <c r="C17" s="2" t="s">
        <v>150</v>
      </c>
      <c r="D17" s="3"/>
      <c r="E17" s="43" t="s">
        <v>167</v>
      </c>
      <c r="F17" s="43"/>
      <c r="G17" s="43"/>
      <c r="H17" s="43"/>
      <c r="I17" s="43"/>
      <c r="J17" s="43"/>
    </row>
    <row r="18" spans="1:10" ht="16">
      <c r="A18" s="5" t="s">
        <v>168</v>
      </c>
      <c r="B18" s="6"/>
      <c r="C18" s="2" t="s">
        <v>150</v>
      </c>
      <c r="D18" s="3"/>
      <c r="E18" s="43" t="s">
        <v>169</v>
      </c>
      <c r="F18" s="43"/>
      <c r="G18" s="43"/>
      <c r="H18" s="43"/>
      <c r="I18" s="43"/>
      <c r="J18" s="43"/>
    </row>
    <row r="19" spans="1:10" ht="16">
      <c r="A19" s="5" t="s">
        <v>170</v>
      </c>
      <c r="B19" s="6"/>
      <c r="C19" s="2" t="s">
        <v>150</v>
      </c>
      <c r="D19" s="3"/>
      <c r="E19" s="43" t="s">
        <v>171</v>
      </c>
      <c r="F19" s="43"/>
      <c r="G19" s="43"/>
      <c r="H19" s="43"/>
      <c r="I19" s="43"/>
      <c r="J19" s="43"/>
    </row>
    <row r="20" spans="1:10" ht="16">
      <c r="A20" s="5" t="s">
        <v>172</v>
      </c>
      <c r="B20" s="6"/>
      <c r="C20" s="2" t="s">
        <v>173</v>
      </c>
      <c r="D20" s="3"/>
      <c r="E20" s="43" t="s">
        <v>174</v>
      </c>
      <c r="F20" s="43"/>
      <c r="G20" s="43"/>
      <c r="H20" s="43"/>
      <c r="I20" s="43"/>
      <c r="J20" s="43"/>
    </row>
    <row r="21" spans="1:10" ht="16">
      <c r="A21" s="5" t="s">
        <v>175</v>
      </c>
      <c r="B21" s="13"/>
      <c r="C21" s="2" t="s">
        <v>176</v>
      </c>
      <c r="D21" s="3"/>
      <c r="E21" s="43" t="s">
        <v>177</v>
      </c>
      <c r="F21" s="43"/>
      <c r="G21" s="43"/>
      <c r="H21" s="43"/>
      <c r="I21" s="43"/>
      <c r="J21" s="43"/>
    </row>
    <row r="22" spans="1:10">
      <c r="A22" s="28"/>
      <c r="B22" s="28"/>
      <c r="C22" s="28"/>
      <c r="D22" s="28"/>
      <c r="E22" s="28"/>
      <c r="F22" s="28"/>
      <c r="G22" s="28"/>
      <c r="H22" s="28"/>
      <c r="I22" s="28"/>
      <c r="J22" s="28"/>
    </row>
    <row r="23" spans="1:10" ht="22" customHeight="1">
      <c r="A23" s="37" t="s">
        <v>178</v>
      </c>
      <c r="B23" s="37"/>
      <c r="C23" s="37"/>
      <c r="D23" s="37"/>
      <c r="E23" s="37"/>
      <c r="F23" s="37"/>
      <c r="G23" s="37"/>
      <c r="H23" s="37"/>
      <c r="I23" s="37"/>
      <c r="J23" s="37"/>
    </row>
    <row r="24" spans="1:10" ht="34" customHeight="1">
      <c r="A24" s="1" t="s">
        <v>179</v>
      </c>
      <c r="B24" s="1" t="s">
        <v>137</v>
      </c>
      <c r="C24" s="1" t="s">
        <v>180</v>
      </c>
      <c r="D24" s="28"/>
      <c r="E24" s="28"/>
      <c r="F24" s="28"/>
      <c r="G24" s="28"/>
      <c r="H24" s="28"/>
      <c r="I24" s="28"/>
      <c r="J24" s="28"/>
    </row>
    <row r="25" spans="1:10" ht="30">
      <c r="A25" s="1" t="s">
        <v>181</v>
      </c>
      <c r="B25" s="7" t="str">
        <f>IF(COUNT(B13:B15)&lt;3,"",B13+B14*B15)</f>
        <v/>
      </c>
      <c r="C25" s="2" t="s">
        <v>182</v>
      </c>
      <c r="D25" s="28"/>
      <c r="E25" s="28"/>
      <c r="F25" s="28"/>
      <c r="G25" s="28"/>
      <c r="H25" s="28"/>
      <c r="I25" s="28"/>
      <c r="J25" s="28"/>
    </row>
    <row r="26" spans="1:10" ht="16">
      <c r="A26" s="1" t="s">
        <v>183</v>
      </c>
      <c r="B26" s="7" t="str">
        <f>IF(OR(B16="",B12=""),"",B16*(1-B12))</f>
        <v/>
      </c>
      <c r="C26" s="2" t="s">
        <v>184</v>
      </c>
      <c r="D26" s="28"/>
      <c r="E26" s="28"/>
      <c r="F26" s="28"/>
      <c r="G26" s="28"/>
      <c r="H26" s="28"/>
      <c r="I26" s="28"/>
      <c r="J26" s="28"/>
    </row>
    <row r="27" spans="1:10" ht="16">
      <c r="A27" s="1" t="s">
        <v>185</v>
      </c>
      <c r="B27" s="14" t="str">
        <f>IF(COUNT(B17:B18)&lt;2,"",B17+B18)</f>
        <v/>
      </c>
      <c r="C27" s="2" t="s">
        <v>186</v>
      </c>
      <c r="D27" s="28"/>
      <c r="E27" s="28"/>
      <c r="F27" s="28"/>
      <c r="G27" s="28"/>
      <c r="H27" s="28"/>
      <c r="I27" s="28"/>
      <c r="J27" s="28"/>
    </row>
    <row r="28" spans="1:10" ht="16">
      <c r="A28" s="1" t="s">
        <v>187</v>
      </c>
      <c r="B28" s="7" t="str">
        <f>IFERROR(B17/B27,"")</f>
        <v/>
      </c>
      <c r="C28" s="2" t="s">
        <v>188</v>
      </c>
      <c r="D28" s="28"/>
      <c r="E28" s="28"/>
      <c r="F28" s="28"/>
      <c r="G28" s="28"/>
      <c r="H28" s="28"/>
      <c r="I28" s="28"/>
      <c r="J28" s="28"/>
    </row>
    <row r="29" spans="1:10" ht="16">
      <c r="A29" s="1" t="s">
        <v>189</v>
      </c>
      <c r="B29" s="7" t="str">
        <f>IFERROR(B18/B27,"")</f>
        <v/>
      </c>
      <c r="C29" s="2" t="s">
        <v>190</v>
      </c>
      <c r="D29" s="28"/>
      <c r="E29" s="28"/>
      <c r="F29" s="28"/>
      <c r="G29" s="28"/>
      <c r="H29" s="28"/>
      <c r="I29" s="28"/>
      <c r="J29" s="28"/>
    </row>
    <row r="30" spans="1:10" ht="30">
      <c r="A30" s="1" t="s">
        <v>191</v>
      </c>
      <c r="B30" s="7" t="str">
        <f>IF(COUNT(B28:B29)&lt;2,"",B28*B25+B29*B16*(1-B12))</f>
        <v/>
      </c>
      <c r="C30" s="2" t="s">
        <v>192</v>
      </c>
      <c r="D30" s="28"/>
      <c r="E30" s="28"/>
      <c r="F30" s="28"/>
      <c r="G30" s="28"/>
      <c r="H30" s="28"/>
      <c r="I30" s="28"/>
      <c r="J30" s="28"/>
    </row>
    <row r="31" spans="1:10" ht="16">
      <c r="A31" s="1" t="s">
        <v>193</v>
      </c>
      <c r="B31" s="14" t="str">
        <f>IF(COUNT(B18:B19)&lt;2,"",B18-B19)</f>
        <v/>
      </c>
      <c r="C31" s="2" t="s">
        <v>194</v>
      </c>
      <c r="D31" s="28"/>
      <c r="E31" s="28"/>
      <c r="F31" s="28"/>
      <c r="G31" s="28"/>
      <c r="H31" s="28"/>
      <c r="I31" s="28"/>
      <c r="J31" s="28"/>
    </row>
    <row r="32" spans="1:10" ht="30">
      <c r="A32" s="1" t="s">
        <v>195</v>
      </c>
      <c r="B32" s="7" t="str">
        <f>IF(COUNT(B28:B29)&lt;2,"",B28+B29)</f>
        <v/>
      </c>
      <c r="C32" s="2" t="s">
        <v>196</v>
      </c>
      <c r="D32" s="28"/>
      <c r="E32" s="28"/>
      <c r="F32" s="28"/>
      <c r="G32" s="28"/>
      <c r="H32" s="28"/>
      <c r="I32" s="28"/>
      <c r="J32" s="28"/>
    </row>
    <row r="33" spans="1:10">
      <c r="A33" s="28"/>
      <c r="B33" s="28"/>
      <c r="C33" s="28"/>
      <c r="D33" s="28"/>
      <c r="E33" s="28"/>
      <c r="F33" s="28"/>
      <c r="G33" s="28"/>
      <c r="H33" s="28"/>
      <c r="I33" s="28"/>
      <c r="J33" s="28"/>
    </row>
    <row r="34" spans="1:10" ht="22" customHeight="1">
      <c r="A34" s="37" t="s">
        <v>197</v>
      </c>
      <c r="B34" s="37"/>
      <c r="C34" s="37"/>
      <c r="D34" s="37"/>
      <c r="E34" s="37"/>
      <c r="F34" s="37"/>
      <c r="G34" s="37"/>
      <c r="H34" s="37"/>
      <c r="I34" s="37"/>
      <c r="J34" s="37"/>
    </row>
    <row r="35" spans="1:10" ht="34" customHeight="1">
      <c r="A35" s="1" t="s">
        <v>198</v>
      </c>
      <c r="B35" s="1" t="s">
        <v>138</v>
      </c>
      <c r="C35" s="1" t="s">
        <v>199</v>
      </c>
      <c r="D35" s="1"/>
      <c r="E35" s="1" t="s">
        <v>200</v>
      </c>
      <c r="F35" s="1" t="s">
        <v>201</v>
      </c>
      <c r="G35" s="1" t="s">
        <v>202</v>
      </c>
      <c r="H35" s="1" t="s">
        <v>203</v>
      </c>
      <c r="I35" s="1" t="s">
        <v>204</v>
      </c>
      <c r="J35" s="1" t="s">
        <v>205</v>
      </c>
    </row>
    <row r="36" spans="1:10" ht="38" customHeight="1">
      <c r="A36" s="5" t="s">
        <v>206</v>
      </c>
      <c r="B36" s="3"/>
      <c r="C36" s="43" t="s">
        <v>207</v>
      </c>
      <c r="D36" s="43"/>
      <c r="E36" s="11"/>
      <c r="F36" s="11"/>
      <c r="G36" s="11"/>
      <c r="H36" s="11"/>
      <c r="I36" s="11"/>
      <c r="J36" s="7"/>
    </row>
    <row r="37" spans="1:10" ht="38" customHeight="1">
      <c r="A37" s="5" t="s">
        <v>208</v>
      </c>
      <c r="B37" s="3"/>
      <c r="C37" s="43" t="s">
        <v>209</v>
      </c>
      <c r="D37" s="43"/>
      <c r="E37" s="11"/>
      <c r="F37" s="11"/>
      <c r="G37" s="11"/>
      <c r="H37" s="11"/>
      <c r="I37" s="11"/>
      <c r="J37" s="7"/>
    </row>
    <row r="38" spans="1:10" ht="38" customHeight="1">
      <c r="A38" s="5" t="s">
        <v>210</v>
      </c>
      <c r="B38" s="3"/>
      <c r="C38" s="43" t="s">
        <v>209</v>
      </c>
      <c r="D38" s="43"/>
      <c r="E38" s="11"/>
      <c r="F38" s="11"/>
      <c r="G38" s="11"/>
      <c r="H38" s="11"/>
      <c r="I38" s="11"/>
      <c r="J38" s="7"/>
    </row>
    <row r="39" spans="1:10" ht="38" customHeight="1">
      <c r="A39" s="5" t="s">
        <v>211</v>
      </c>
      <c r="B39" s="3"/>
      <c r="C39" s="43" t="s">
        <v>209</v>
      </c>
      <c r="D39" s="43"/>
      <c r="E39" s="11"/>
      <c r="F39" s="11"/>
      <c r="G39" s="11"/>
      <c r="H39" s="11"/>
      <c r="I39" s="11"/>
      <c r="J39" s="7"/>
    </row>
    <row r="40" spans="1:10" ht="38" customHeight="1">
      <c r="A40" s="5" t="s">
        <v>212</v>
      </c>
      <c r="B40" s="3"/>
      <c r="C40" s="43" t="s">
        <v>209</v>
      </c>
      <c r="D40" s="43"/>
      <c r="E40" s="11"/>
      <c r="F40" s="11"/>
      <c r="G40" s="11"/>
      <c r="H40" s="11"/>
      <c r="I40" s="11"/>
      <c r="J40" s="7"/>
    </row>
    <row r="41" spans="1:10" ht="38" customHeight="1">
      <c r="A41" s="5" t="s">
        <v>213</v>
      </c>
      <c r="B41" s="3"/>
      <c r="C41" s="43" t="s">
        <v>214</v>
      </c>
      <c r="D41" s="43"/>
      <c r="E41" s="7"/>
      <c r="F41" s="7"/>
      <c r="G41" s="7"/>
      <c r="H41" s="7"/>
      <c r="I41" s="7"/>
      <c r="J41" s="11"/>
    </row>
    <row r="42" spans="1:10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spans="1:10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spans="1:10" ht="38" customHeight="1">
      <c r="A44" s="5" t="s">
        <v>215</v>
      </c>
      <c r="B44" s="3"/>
      <c r="C44" s="43" t="s">
        <v>216</v>
      </c>
      <c r="D44" s="43"/>
      <c r="E44" s="11"/>
      <c r="F44" s="11"/>
      <c r="G44" s="11"/>
      <c r="H44" s="11"/>
      <c r="I44" s="11"/>
      <c r="J44" s="7"/>
    </row>
    <row r="45" spans="1:10" ht="38" customHeight="1">
      <c r="A45" s="5" t="s">
        <v>217</v>
      </c>
      <c r="B45" s="3"/>
      <c r="C45" s="43" t="s">
        <v>209</v>
      </c>
      <c r="D45" s="43"/>
      <c r="E45" s="11"/>
      <c r="F45" s="11"/>
      <c r="G45" s="11"/>
      <c r="H45" s="11"/>
      <c r="I45" s="11"/>
      <c r="J45" s="7"/>
    </row>
    <row r="46" spans="1:10" ht="38" customHeight="1">
      <c r="A46" s="5" t="s">
        <v>218</v>
      </c>
      <c r="B46" s="3"/>
      <c r="C46" s="43" t="s">
        <v>209</v>
      </c>
      <c r="D46" s="43"/>
      <c r="E46" s="11"/>
      <c r="F46" s="11"/>
      <c r="G46" s="11"/>
      <c r="H46" s="11"/>
      <c r="I46" s="11"/>
      <c r="J46" s="7"/>
    </row>
    <row r="47" spans="1:10" ht="38" customHeight="1">
      <c r="A47" s="5" t="s">
        <v>219</v>
      </c>
      <c r="B47" s="3"/>
      <c r="C47" s="43" t="s">
        <v>209</v>
      </c>
      <c r="D47" s="43"/>
      <c r="E47" s="11"/>
      <c r="F47" s="11"/>
      <c r="G47" s="11"/>
      <c r="H47" s="11"/>
      <c r="I47" s="11"/>
      <c r="J47" s="7"/>
    </row>
    <row r="48" spans="1:10" ht="38" customHeight="1">
      <c r="A48" s="5" t="s">
        <v>220</v>
      </c>
      <c r="B48" s="3"/>
      <c r="C48" s="43" t="s">
        <v>209</v>
      </c>
      <c r="D48" s="43"/>
      <c r="E48" s="11"/>
      <c r="F48" s="11"/>
      <c r="G48" s="11"/>
      <c r="H48" s="11"/>
      <c r="I48" s="11"/>
      <c r="J48" s="7"/>
    </row>
    <row r="49" spans="1:10" ht="38" customHeight="1">
      <c r="A49" s="5" t="s">
        <v>221</v>
      </c>
      <c r="B49" s="3"/>
      <c r="C49" s="43" t="s">
        <v>214</v>
      </c>
      <c r="D49" s="43"/>
      <c r="E49" s="7"/>
      <c r="F49" s="7"/>
      <c r="G49" s="7"/>
      <c r="H49" s="7"/>
      <c r="I49" s="7"/>
      <c r="J49" s="11"/>
    </row>
    <row r="50" spans="1:10">
      <c r="A50" s="28"/>
      <c r="B50" s="28"/>
      <c r="C50" s="28"/>
      <c r="D50" s="28"/>
      <c r="E50" s="28"/>
      <c r="F50" s="28"/>
      <c r="G50" s="28"/>
      <c r="H50" s="28"/>
      <c r="I50" s="28"/>
      <c r="J50" s="28"/>
    </row>
    <row r="51" spans="1:10">
      <c r="A51" s="28"/>
      <c r="B51" s="28"/>
      <c r="C51" s="28"/>
      <c r="D51" s="28"/>
      <c r="E51" s="28"/>
      <c r="F51" s="28"/>
      <c r="G51" s="28"/>
      <c r="H51" s="28"/>
      <c r="I51" s="28"/>
      <c r="J51" s="28"/>
    </row>
    <row r="52" spans="1:10" ht="38" customHeight="1">
      <c r="A52" s="5" t="s">
        <v>222</v>
      </c>
      <c r="B52" s="3"/>
      <c r="C52" s="43" t="s">
        <v>223</v>
      </c>
      <c r="D52" s="43"/>
      <c r="E52" s="11"/>
      <c r="F52" s="11"/>
      <c r="G52" s="11"/>
      <c r="H52" s="11"/>
      <c r="I52" s="11"/>
      <c r="J52" s="7"/>
    </row>
    <row r="53" spans="1:10" ht="38" customHeight="1">
      <c r="A53" s="5" t="s">
        <v>224</v>
      </c>
      <c r="B53" s="3"/>
      <c r="C53" s="43" t="s">
        <v>209</v>
      </c>
      <c r="D53" s="43"/>
      <c r="E53" s="11"/>
      <c r="F53" s="11"/>
      <c r="G53" s="11"/>
      <c r="H53" s="11"/>
      <c r="I53" s="11"/>
      <c r="J53" s="7"/>
    </row>
    <row r="54" spans="1:10" ht="38" customHeight="1">
      <c r="A54" s="5" t="s">
        <v>225</v>
      </c>
      <c r="B54" s="3"/>
      <c r="C54" s="43" t="s">
        <v>209</v>
      </c>
      <c r="D54" s="43"/>
      <c r="E54" s="11"/>
      <c r="F54" s="11"/>
      <c r="G54" s="11"/>
      <c r="H54" s="11"/>
      <c r="I54" s="11"/>
      <c r="J54" s="7"/>
    </row>
    <row r="55" spans="1:10" ht="38" customHeight="1">
      <c r="A55" s="5" t="s">
        <v>226</v>
      </c>
      <c r="B55" s="3"/>
      <c r="C55" s="43" t="s">
        <v>209</v>
      </c>
      <c r="D55" s="43"/>
      <c r="E55" s="11"/>
      <c r="F55" s="11"/>
      <c r="G55" s="11"/>
      <c r="H55" s="11"/>
      <c r="I55" s="11"/>
      <c r="J55" s="7"/>
    </row>
    <row r="56" spans="1:10" ht="38" customHeight="1">
      <c r="A56" s="5" t="s">
        <v>227</v>
      </c>
      <c r="B56" s="3"/>
      <c r="C56" s="43" t="s">
        <v>209</v>
      </c>
      <c r="D56" s="43"/>
      <c r="E56" s="11"/>
      <c r="F56" s="11"/>
      <c r="G56" s="11"/>
      <c r="H56" s="11"/>
      <c r="I56" s="11"/>
      <c r="J56" s="7"/>
    </row>
    <row r="57" spans="1:10" ht="38" customHeight="1">
      <c r="A57" s="5" t="s">
        <v>228</v>
      </c>
      <c r="B57" s="3"/>
      <c r="C57" s="43" t="s">
        <v>214</v>
      </c>
      <c r="D57" s="43"/>
      <c r="E57" s="7"/>
      <c r="F57" s="7"/>
      <c r="G57" s="7"/>
      <c r="H57" s="7"/>
      <c r="I57" s="7"/>
      <c r="J57" s="11"/>
    </row>
  </sheetData>
  <mergeCells count="40">
    <mergeCell ref="C53:D53"/>
    <mergeCell ref="C54:D54"/>
    <mergeCell ref="C55:D55"/>
    <mergeCell ref="C56:D56"/>
    <mergeCell ref="C57:D57"/>
    <mergeCell ref="C46:D46"/>
    <mergeCell ref="C47:D47"/>
    <mergeCell ref="C48:D48"/>
    <mergeCell ref="C49:D49"/>
    <mergeCell ref="C52:D52"/>
    <mergeCell ref="C39:D39"/>
    <mergeCell ref="C40:D40"/>
    <mergeCell ref="C41:D41"/>
    <mergeCell ref="C44:D44"/>
    <mergeCell ref="C45:D45"/>
    <mergeCell ref="A23:J23"/>
    <mergeCell ref="A34:J34"/>
    <mergeCell ref="C36:D36"/>
    <mergeCell ref="C37:D37"/>
    <mergeCell ref="C38:D38"/>
    <mergeCell ref="E17:J17"/>
    <mergeCell ref="E18:J18"/>
    <mergeCell ref="E19:J19"/>
    <mergeCell ref="E20:J20"/>
    <mergeCell ref="E21:J21"/>
    <mergeCell ref="E12:J12"/>
    <mergeCell ref="E13:J13"/>
    <mergeCell ref="E14:J14"/>
    <mergeCell ref="E15:J15"/>
    <mergeCell ref="E16:J16"/>
    <mergeCell ref="E7:J7"/>
    <mergeCell ref="E8:J8"/>
    <mergeCell ref="E9:J9"/>
    <mergeCell ref="E10:J10"/>
    <mergeCell ref="E11:J11"/>
    <mergeCell ref="A1:J1"/>
    <mergeCell ref="A2:J2"/>
    <mergeCell ref="A3:J3"/>
    <mergeCell ref="A5:J5"/>
    <mergeCell ref="E6:J6"/>
  </mergeCells>
  <dataValidations count="1">
    <dataValidation type="list" sqref="D7:D21 B52:B57 B44:B49 B36:B41" xr:uid="{00000000-0002-0000-0200-000000000000}">
      <formula1>"S01,S02,S03,S04,S05,S06,S07,S08,S09,S10,S11,S12,S13,S14,S15,S16,S17,S18,S19,S20,S21,S22,S23,S24,S25,S26,S27,S28,S29,S30,S31,S32,S33,S34,S35,S36,S37,S38,S39,S40"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1"/>
  <sheetViews>
    <sheetView showGridLines="0" workbookViewId="0"/>
  </sheetViews>
  <sheetFormatPr baseColWidth="10" defaultColWidth="8.83203125" defaultRowHeight="14"/>
  <cols>
    <col min="1" max="1" width="40" customWidth="1"/>
    <col min="2" max="2" width="13" customWidth="1"/>
    <col min="3" max="8" width="14" customWidth="1"/>
  </cols>
  <sheetData>
    <row r="1" spans="1:8" ht="28" customHeight="1">
      <c r="A1" s="34" t="s">
        <v>229</v>
      </c>
      <c r="B1" s="34"/>
      <c r="C1" s="34"/>
      <c r="D1" s="34"/>
      <c r="E1" s="34"/>
      <c r="F1" s="34"/>
      <c r="G1" s="34"/>
      <c r="H1" s="34"/>
    </row>
    <row r="2" spans="1:8" ht="30" customHeight="1">
      <c r="A2" s="35" t="s">
        <v>230</v>
      </c>
      <c r="B2" s="35"/>
      <c r="C2" s="35"/>
      <c r="D2" s="35"/>
      <c r="E2" s="35"/>
      <c r="F2" s="35"/>
      <c r="G2" s="35"/>
      <c r="H2" s="35"/>
    </row>
    <row r="3" spans="1:8" ht="24" customHeight="1">
      <c r="A3" s="36" t="s">
        <v>2</v>
      </c>
      <c r="B3" s="36"/>
      <c r="C3" s="36"/>
      <c r="D3" s="36"/>
      <c r="E3" s="36"/>
      <c r="F3" s="36"/>
      <c r="G3" s="36"/>
      <c r="H3" s="36"/>
    </row>
    <row r="4" spans="1:8">
      <c r="A4" s="28"/>
      <c r="B4" s="28"/>
      <c r="C4" s="28"/>
      <c r="D4" s="28"/>
      <c r="E4" s="28"/>
      <c r="F4" s="28"/>
      <c r="G4" s="28"/>
      <c r="H4" s="28"/>
    </row>
    <row r="5" spans="1:8" ht="22" customHeight="1">
      <c r="A5" s="37" t="s">
        <v>231</v>
      </c>
      <c r="B5" s="37"/>
      <c r="C5" s="37"/>
      <c r="D5" s="37"/>
      <c r="E5" s="37"/>
      <c r="F5" s="37"/>
      <c r="G5" s="37"/>
      <c r="H5" s="37"/>
    </row>
    <row r="6" spans="1:8" ht="16">
      <c r="A6" s="5" t="s">
        <v>126</v>
      </c>
      <c r="B6" s="2" t="s">
        <v>147</v>
      </c>
      <c r="C6" s="15" t="str">
        <f>IF('Inputs &amp; Sources'!$B$9="","",'Inputs &amp; Sources'!$B$9)</f>
        <v/>
      </c>
      <c r="D6" s="15" t="str">
        <f>IF(C6="","",C6+1)</f>
        <v/>
      </c>
      <c r="E6" s="15" t="str">
        <f>IF(D6="","",D6+1)</f>
        <v/>
      </c>
      <c r="F6" s="15" t="str">
        <f>IF(E6="","",E6+1)</f>
        <v/>
      </c>
      <c r="G6" s="15" t="str">
        <f>IF(F6="","",F6+1)</f>
        <v/>
      </c>
      <c r="H6" s="15" t="str">
        <f>IF(G6="","",G6+1)</f>
        <v/>
      </c>
    </row>
    <row r="7" spans="1:8" ht="16">
      <c r="A7" s="5" t="s">
        <v>232</v>
      </c>
      <c r="B7" s="2" t="s">
        <v>155</v>
      </c>
      <c r="C7" s="7"/>
      <c r="D7" s="17" t="str">
        <f>IF(COUNT('Inputs &amp; Sources'!E36)=0,"",'Inputs &amp; Sources'!E36)</f>
        <v/>
      </c>
      <c r="E7" s="17" t="str">
        <f>IF(COUNT('Inputs &amp; Sources'!F36)=0,"",'Inputs &amp; Sources'!F36)</f>
        <v/>
      </c>
      <c r="F7" s="17" t="str">
        <f>IF(COUNT('Inputs &amp; Sources'!G36)=0,"",'Inputs &amp; Sources'!G36)</f>
        <v/>
      </c>
      <c r="G7" s="17" t="str">
        <f>IF(COUNT('Inputs &amp; Sources'!H36)=0,"",'Inputs &amp; Sources'!H36)</f>
        <v/>
      </c>
      <c r="H7" s="17" t="str">
        <f>IF(COUNT('Inputs &amp; Sources'!I36)=0,"",'Inputs &amp; Sources'!I36)</f>
        <v/>
      </c>
    </row>
    <row r="8" spans="1:8" ht="16">
      <c r="A8" s="5" t="s">
        <v>233</v>
      </c>
      <c r="B8" s="2" t="s">
        <v>150</v>
      </c>
      <c r="C8" s="16" t="str">
        <f>IF('Inputs &amp; Sources'!$B$10="","",'Inputs &amp; Sources'!$B$10)</f>
        <v/>
      </c>
      <c r="D8" s="14" t="str">
        <f>IF(COUNT(C8,D7)&lt;2,"",C8*(1+D7))</f>
        <v/>
      </c>
      <c r="E8" s="14" t="str">
        <f>IF(COUNT(D8,E7)&lt;2,"",D8*(1+E7))</f>
        <v/>
      </c>
      <c r="F8" s="14" t="str">
        <f>IF(COUNT(E8,F7)&lt;2,"",E8*(1+F7))</f>
        <v/>
      </c>
      <c r="G8" s="14" t="str">
        <f>IF(COUNT(F8,G7)&lt;2,"",F8*(1+G7))</f>
        <v/>
      </c>
      <c r="H8" s="14" t="str">
        <f>IF(COUNT(G8,H7)&lt;2,"",G8*(1+H7))</f>
        <v/>
      </c>
    </row>
    <row r="9" spans="1:8" ht="16">
      <c r="A9" s="5" t="s">
        <v>234</v>
      </c>
      <c r="B9" s="2" t="s">
        <v>155</v>
      </c>
      <c r="C9" s="7"/>
      <c r="D9" s="17" t="str">
        <f>IF(COUNT('Inputs &amp; Sources'!E37)=0,"",'Inputs &amp; Sources'!E37)</f>
        <v/>
      </c>
      <c r="E9" s="17" t="str">
        <f>IF(COUNT('Inputs &amp; Sources'!F37)=0,"",'Inputs &amp; Sources'!F37)</f>
        <v/>
      </c>
      <c r="F9" s="17" t="str">
        <f>IF(COUNT('Inputs &amp; Sources'!G37)=0,"",'Inputs &amp; Sources'!G37)</f>
        <v/>
      </c>
      <c r="G9" s="17" t="str">
        <f>IF(COUNT('Inputs &amp; Sources'!H37)=0,"",'Inputs &amp; Sources'!H37)</f>
        <v/>
      </c>
      <c r="H9" s="17" t="str">
        <f>IF(COUNT('Inputs &amp; Sources'!I37)=0,"",'Inputs &amp; Sources'!I37)</f>
        <v/>
      </c>
    </row>
    <row r="10" spans="1:8" ht="16">
      <c r="A10" s="5" t="s">
        <v>235</v>
      </c>
      <c r="B10" s="2" t="s">
        <v>150</v>
      </c>
      <c r="C10" s="14"/>
      <c r="D10" s="14" t="str">
        <f>IF(OR(D8="",D9=""),"",D8*D9)</f>
        <v/>
      </c>
      <c r="E10" s="14" t="str">
        <f>IF(OR(E8="",E9=""),"",E8*E9)</f>
        <v/>
      </c>
      <c r="F10" s="14" t="str">
        <f>IF(OR(F8="",F9=""),"",F8*F9)</f>
        <v/>
      </c>
      <c r="G10" s="14" t="str">
        <f>IF(OR(G8="",G9=""),"",G8*G9)</f>
        <v/>
      </c>
      <c r="H10" s="14" t="str">
        <f>IF(OR(H8="",H9=""),"",H8*H9)</f>
        <v/>
      </c>
    </row>
    <row r="11" spans="1:8" ht="16">
      <c r="A11" s="5" t="s">
        <v>154</v>
      </c>
      <c r="B11" s="2" t="s">
        <v>155</v>
      </c>
      <c r="C11" s="7"/>
      <c r="D11" s="17" t="str">
        <f>IF('Inputs &amp; Sources'!$B$12="","",'Inputs &amp; Sources'!$B$12)</f>
        <v/>
      </c>
      <c r="E11" s="17" t="str">
        <f>IF('Inputs &amp; Sources'!$B$12="","",'Inputs &amp; Sources'!$B$12)</f>
        <v/>
      </c>
      <c r="F11" s="17" t="str">
        <f>IF('Inputs &amp; Sources'!$B$12="","",'Inputs &amp; Sources'!$B$12)</f>
        <v/>
      </c>
      <c r="G11" s="17" t="str">
        <f>IF('Inputs &amp; Sources'!$B$12="","",'Inputs &amp; Sources'!$B$12)</f>
        <v/>
      </c>
      <c r="H11" s="17" t="str">
        <f>IF('Inputs &amp; Sources'!$B$12="","",'Inputs &amp; Sources'!$B$12)</f>
        <v/>
      </c>
    </row>
    <row r="12" spans="1:8" ht="16">
      <c r="A12" s="5" t="s">
        <v>236</v>
      </c>
      <c r="B12" s="2" t="s">
        <v>150</v>
      </c>
      <c r="C12" s="14"/>
      <c r="D12" s="14" t="str">
        <f>IF(OR(D10="",D11=""),"",MAX(0,D10*D11))</f>
        <v/>
      </c>
      <c r="E12" s="14" t="str">
        <f>IF(OR(E10="",E11=""),"",MAX(0,E10*E11))</f>
        <v/>
      </c>
      <c r="F12" s="14" t="str">
        <f>IF(OR(F10="",F11=""),"",MAX(0,F10*F11))</f>
        <v/>
      </c>
      <c r="G12" s="14" t="str">
        <f>IF(OR(G10="",G11=""),"",MAX(0,G10*G11))</f>
        <v/>
      </c>
      <c r="H12" s="14" t="str">
        <f>IF(OR(H10="",H11=""),"",MAX(0,H10*H11))</f>
        <v/>
      </c>
    </row>
    <row r="13" spans="1:8" ht="16">
      <c r="A13" s="5" t="s">
        <v>237</v>
      </c>
      <c r="B13" s="2" t="s">
        <v>150</v>
      </c>
      <c r="C13" s="14"/>
      <c r="D13" s="14" t="str">
        <f>IF(D10="","",D10-D12)</f>
        <v/>
      </c>
      <c r="E13" s="14" t="str">
        <f>IF(E10="","",E10-E12)</f>
        <v/>
      </c>
      <c r="F13" s="14" t="str">
        <f>IF(F10="","",F10-F12)</f>
        <v/>
      </c>
      <c r="G13" s="14" t="str">
        <f>IF(G10="","",G10-G12)</f>
        <v/>
      </c>
      <c r="H13" s="14" t="str">
        <f>IF(H10="","",H10-H12)</f>
        <v/>
      </c>
    </row>
    <row r="14" spans="1:8" ht="16">
      <c r="A14" s="5" t="s">
        <v>238</v>
      </c>
      <c r="B14" s="2" t="s">
        <v>155</v>
      </c>
      <c r="C14" s="7"/>
      <c r="D14" s="17" t="str">
        <f>IF(COUNT('Inputs &amp; Sources'!E38)=0,"",'Inputs &amp; Sources'!E38)</f>
        <v/>
      </c>
      <c r="E14" s="17" t="str">
        <f>IF(COUNT('Inputs &amp; Sources'!F38)=0,"",'Inputs &amp; Sources'!F38)</f>
        <v/>
      </c>
      <c r="F14" s="17" t="str">
        <f>IF(COUNT('Inputs &amp; Sources'!G38)=0,"",'Inputs &amp; Sources'!G38)</f>
        <v/>
      </c>
      <c r="G14" s="17" t="str">
        <f>IF(COUNT('Inputs &amp; Sources'!H38)=0,"",'Inputs &amp; Sources'!H38)</f>
        <v/>
      </c>
      <c r="H14" s="17" t="str">
        <f>IF(COUNT('Inputs &amp; Sources'!I38)=0,"",'Inputs &amp; Sources'!I38)</f>
        <v/>
      </c>
    </row>
    <row r="15" spans="1:8" ht="16">
      <c r="A15" s="5" t="s">
        <v>239</v>
      </c>
      <c r="B15" s="2" t="s">
        <v>150</v>
      </c>
      <c r="C15" s="14"/>
      <c r="D15" s="14" t="str">
        <f>IF(OR(D8="",D14=""),"",D8*D14)</f>
        <v/>
      </c>
      <c r="E15" s="14" t="str">
        <f>IF(OR(E8="",E14=""),"",E8*E14)</f>
        <v/>
      </c>
      <c r="F15" s="14" t="str">
        <f>IF(OR(F8="",F14=""),"",F8*F14)</f>
        <v/>
      </c>
      <c r="G15" s="14" t="str">
        <f>IF(OR(G8="",G14=""),"",G8*G14)</f>
        <v/>
      </c>
      <c r="H15" s="14" t="str">
        <f>IF(OR(H8="",H14=""),"",H8*H14)</f>
        <v/>
      </c>
    </row>
    <row r="16" spans="1:8" ht="16">
      <c r="A16" s="5" t="s">
        <v>240</v>
      </c>
      <c r="B16" s="2" t="s">
        <v>150</v>
      </c>
      <c r="C16" s="14"/>
      <c r="D16" s="14" t="str">
        <f>IF(D10="","",D10+D15)</f>
        <v/>
      </c>
      <c r="E16" s="14" t="str">
        <f>IF(E10="","",E10+E15)</f>
        <v/>
      </c>
      <c r="F16" s="14" t="str">
        <f>IF(F10="","",F10+F15)</f>
        <v/>
      </c>
      <c r="G16" s="14" t="str">
        <f>IF(G10="","",G10+G15)</f>
        <v/>
      </c>
      <c r="H16" s="14" t="str">
        <f>IF(H10="","",H10+H15)</f>
        <v/>
      </c>
    </row>
    <row r="17" spans="1:8" ht="16">
      <c r="A17" s="5" t="s">
        <v>241</v>
      </c>
      <c r="B17" s="2" t="s">
        <v>155</v>
      </c>
      <c r="C17" s="7"/>
      <c r="D17" s="17" t="str">
        <f>IF(COUNT('Inputs &amp; Sources'!E39)=0,"",'Inputs &amp; Sources'!E39)</f>
        <v/>
      </c>
      <c r="E17" s="17" t="str">
        <f>IF(COUNT('Inputs &amp; Sources'!F39)=0,"",'Inputs &amp; Sources'!F39)</f>
        <v/>
      </c>
      <c r="F17" s="17" t="str">
        <f>IF(COUNT('Inputs &amp; Sources'!G39)=0,"",'Inputs &amp; Sources'!G39)</f>
        <v/>
      </c>
      <c r="G17" s="17" t="str">
        <f>IF(COUNT('Inputs &amp; Sources'!H39)=0,"",'Inputs &amp; Sources'!H39)</f>
        <v/>
      </c>
      <c r="H17" s="17" t="str">
        <f>IF(COUNT('Inputs &amp; Sources'!I39)=0,"",'Inputs &amp; Sources'!I39)</f>
        <v/>
      </c>
    </row>
    <row r="18" spans="1:8" ht="16">
      <c r="A18" s="5" t="s">
        <v>242</v>
      </c>
      <c r="B18" s="2" t="s">
        <v>150</v>
      </c>
      <c r="C18" s="14"/>
      <c r="D18" s="14" t="str">
        <f>IF(OR(D8="",D17=""),"",D8*D17)</f>
        <v/>
      </c>
      <c r="E18" s="14" t="str">
        <f>IF(OR(E8="",E17=""),"",E8*E17)</f>
        <v/>
      </c>
      <c r="F18" s="14" t="str">
        <f>IF(OR(F8="",F17=""),"",F8*F17)</f>
        <v/>
      </c>
      <c r="G18" s="14" t="str">
        <f>IF(OR(G8="",G17=""),"",G8*G17)</f>
        <v/>
      </c>
      <c r="H18" s="14" t="str">
        <f>IF(OR(H8="",H17=""),"",H8*H17)</f>
        <v/>
      </c>
    </row>
    <row r="19" spans="1:8" ht="16">
      <c r="A19" s="5" t="s">
        <v>243</v>
      </c>
      <c r="B19" s="2" t="s">
        <v>155</v>
      </c>
      <c r="C19" s="7"/>
      <c r="D19" s="17" t="str">
        <f>IF(COUNT('Inputs &amp; Sources'!E40)=0,"",'Inputs &amp; Sources'!E40)</f>
        <v/>
      </c>
      <c r="E19" s="17" t="str">
        <f>IF(COUNT('Inputs &amp; Sources'!F40)=0,"",'Inputs &amp; Sources'!F40)</f>
        <v/>
      </c>
      <c r="F19" s="17" t="str">
        <f>IF(COUNT('Inputs &amp; Sources'!G40)=0,"",'Inputs &amp; Sources'!G40)</f>
        <v/>
      </c>
      <c r="G19" s="17" t="str">
        <f>IF(COUNT('Inputs &amp; Sources'!H40)=0,"",'Inputs &amp; Sources'!H40)</f>
        <v/>
      </c>
      <c r="H19" s="17" t="str">
        <f>IF(COUNT('Inputs &amp; Sources'!I40)=0,"",'Inputs &amp; Sources'!I40)</f>
        <v/>
      </c>
    </row>
    <row r="20" spans="1:8" ht="16">
      <c r="A20" s="5" t="s">
        <v>244</v>
      </c>
      <c r="B20" s="2" t="s">
        <v>150</v>
      </c>
      <c r="C20" s="16" t="str">
        <f>IF('Inputs &amp; Sources'!$B$11="","",'Inputs &amp; Sources'!$B$11)</f>
        <v/>
      </c>
      <c r="D20" s="14" t="str">
        <f>IF(OR(D8="",D19=""),"",D8*D19)</f>
        <v/>
      </c>
      <c r="E20" s="14" t="str">
        <f>IF(OR(E8="",E19=""),"",E8*E19)</f>
        <v/>
      </c>
      <c r="F20" s="14" t="str">
        <f>IF(OR(F8="",F19=""),"",F8*F19)</f>
        <v/>
      </c>
      <c r="G20" s="14" t="str">
        <f>IF(OR(G8="",G19=""),"",G8*G19)</f>
        <v/>
      </c>
      <c r="H20" s="14" t="str">
        <f>IF(OR(H8="",H19=""),"",H8*H19)</f>
        <v/>
      </c>
    </row>
    <row r="21" spans="1:8" ht="32">
      <c r="A21" s="5" t="s">
        <v>245</v>
      </c>
      <c r="B21" s="2" t="s">
        <v>150</v>
      </c>
      <c r="C21" s="14"/>
      <c r="D21" s="14" t="str">
        <f>IF(OR(C20="",D20=""),"",D20-C20)</f>
        <v/>
      </c>
      <c r="E21" s="14" t="str">
        <f>IF(OR(D20="",E20=""),"",E20-D20)</f>
        <v/>
      </c>
      <c r="F21" s="14" t="str">
        <f>IF(OR(E20="",F20=""),"",F20-E20)</f>
        <v/>
      </c>
      <c r="G21" s="14" t="str">
        <f>IF(OR(F20="",G20=""),"",G20-F20)</f>
        <v/>
      </c>
      <c r="H21" s="14" t="str">
        <f>IF(OR(G20="",H20=""),"",H20-G20)</f>
        <v/>
      </c>
    </row>
    <row r="22" spans="1:8" ht="16">
      <c r="A22" s="18" t="s">
        <v>246</v>
      </c>
      <c r="B22" s="19" t="s">
        <v>150</v>
      </c>
      <c r="C22" s="20"/>
      <c r="D22" s="20" t="str">
        <f>IF(COUNT(D13,D15,D18,D21)&lt;4,"",D13+D15-D18-D21)</f>
        <v/>
      </c>
      <c r="E22" s="20" t="str">
        <f>IF(COUNT(E13,E15,E18,E21)&lt;4,"",E13+E15-E18-E21)</f>
        <v/>
      </c>
      <c r="F22" s="20" t="str">
        <f>IF(COUNT(F13,F15,F18,F21)&lt;4,"",F13+F15-F18-F21)</f>
        <v/>
      </c>
      <c r="G22" s="20" t="str">
        <f>IF(COUNT(G13,G15,G18,G21)&lt;4,"",G13+G15-G18-G21)</f>
        <v/>
      </c>
      <c r="H22" s="20" t="str">
        <f>IF(COUNT(H13,H15,H18,H21)&lt;4,"",H13+H15-H18-H21)</f>
        <v/>
      </c>
    </row>
    <row r="23" spans="1:8" ht="16">
      <c r="A23" s="5" t="s">
        <v>247</v>
      </c>
      <c r="B23" s="2" t="s">
        <v>248</v>
      </c>
      <c r="C23" s="14"/>
      <c r="D23" s="14">
        <v>1</v>
      </c>
      <c r="E23" s="14">
        <v>2</v>
      </c>
      <c r="F23" s="14">
        <v>3</v>
      </c>
      <c r="G23" s="14">
        <v>4</v>
      </c>
      <c r="H23" s="14">
        <v>5</v>
      </c>
    </row>
    <row r="24" spans="1:8" ht="16">
      <c r="A24" s="5" t="s">
        <v>249</v>
      </c>
      <c r="B24" s="2" t="s">
        <v>160</v>
      </c>
      <c r="C24" s="7"/>
      <c r="D24" s="17" t="str">
        <f>IF('Inputs &amp; Sources'!$B$30="","",1/(1+'Inputs &amp; Sources'!$B$30)^D23)</f>
        <v/>
      </c>
      <c r="E24" s="17" t="str">
        <f>IF('Inputs &amp; Sources'!$B$30="","",1/(1+'Inputs &amp; Sources'!$B$30)^E23)</f>
        <v/>
      </c>
      <c r="F24" s="17" t="str">
        <f>IF('Inputs &amp; Sources'!$B$30="","",1/(1+'Inputs &amp; Sources'!$B$30)^F23)</f>
        <v/>
      </c>
      <c r="G24" s="17" t="str">
        <f>IF('Inputs &amp; Sources'!$B$30="","",1/(1+'Inputs &amp; Sources'!$B$30)^G23)</f>
        <v/>
      </c>
      <c r="H24" s="17" t="str">
        <f>IF('Inputs &amp; Sources'!$B$30="","",1/(1+'Inputs &amp; Sources'!$B$30)^H23)</f>
        <v/>
      </c>
    </row>
    <row r="25" spans="1:8" ht="16">
      <c r="A25" s="5" t="s">
        <v>250</v>
      </c>
      <c r="B25" s="2" t="s">
        <v>150</v>
      </c>
      <c r="C25" s="14"/>
      <c r="D25" s="14" t="str">
        <f>IF(OR(D22="",D24=""),"",D22*D24)</f>
        <v/>
      </c>
      <c r="E25" s="14" t="str">
        <f>IF(OR(E22="",E24=""),"",E22*E24)</f>
        <v/>
      </c>
      <c r="F25" s="14" t="str">
        <f>IF(OR(F22="",F24=""),"",F22*F24)</f>
        <v/>
      </c>
      <c r="G25" s="14" t="str">
        <f>IF(OR(G22="",G24=""),"",G22*G24)</f>
        <v/>
      </c>
      <c r="H25" s="14" t="str">
        <f>IF(OR(H22="",H24=""),"",H22*H24)</f>
        <v/>
      </c>
    </row>
    <row r="26" spans="1:8">
      <c r="A26" s="28"/>
      <c r="B26" s="28"/>
      <c r="C26" s="28"/>
      <c r="D26" s="28"/>
      <c r="E26" s="28"/>
      <c r="F26" s="28"/>
      <c r="G26" s="28"/>
      <c r="H26" s="28"/>
    </row>
    <row r="27" spans="1:8">
      <c r="A27" s="28"/>
      <c r="B27" s="28"/>
      <c r="C27" s="28"/>
      <c r="D27" s="28"/>
      <c r="E27" s="28"/>
      <c r="F27" s="28"/>
      <c r="G27" s="28"/>
      <c r="H27" s="28"/>
    </row>
    <row r="28" spans="1:8" ht="22" customHeight="1">
      <c r="A28" s="37" t="s">
        <v>251</v>
      </c>
      <c r="B28" s="37"/>
      <c r="C28" s="37"/>
      <c r="D28" s="37"/>
      <c r="E28" s="37"/>
      <c r="F28" s="37"/>
      <c r="G28" s="37"/>
      <c r="H28" s="37"/>
    </row>
    <row r="29" spans="1:8" ht="16">
      <c r="A29" s="5" t="s">
        <v>126</v>
      </c>
      <c r="B29" s="2" t="s">
        <v>147</v>
      </c>
      <c r="C29" s="15" t="str">
        <f>IF('Inputs &amp; Sources'!$B$9="","",'Inputs &amp; Sources'!$B$9)</f>
        <v/>
      </c>
      <c r="D29" s="15" t="str">
        <f>IF(C29="","",C29+1)</f>
        <v/>
      </c>
      <c r="E29" s="15" t="str">
        <f>IF(D29="","",D29+1)</f>
        <v/>
      </c>
      <c r="F29" s="15" t="str">
        <f>IF(E29="","",E29+1)</f>
        <v/>
      </c>
      <c r="G29" s="15" t="str">
        <f>IF(F29="","",F29+1)</f>
        <v/>
      </c>
      <c r="H29" s="15" t="str">
        <f>IF(G29="","",G29+1)</f>
        <v/>
      </c>
    </row>
    <row r="30" spans="1:8" ht="16">
      <c r="A30" s="5" t="s">
        <v>232</v>
      </c>
      <c r="B30" s="2" t="s">
        <v>155</v>
      </c>
      <c r="C30" s="7"/>
      <c r="D30" s="17" t="str">
        <f>IF(COUNT('Inputs &amp; Sources'!E44)=0,"",'Inputs &amp; Sources'!E44)</f>
        <v/>
      </c>
      <c r="E30" s="17" t="str">
        <f>IF(COUNT('Inputs &amp; Sources'!F44)=0,"",'Inputs &amp; Sources'!F44)</f>
        <v/>
      </c>
      <c r="F30" s="17" t="str">
        <f>IF(COUNT('Inputs &amp; Sources'!G44)=0,"",'Inputs &amp; Sources'!G44)</f>
        <v/>
      </c>
      <c r="G30" s="17" t="str">
        <f>IF(COUNT('Inputs &amp; Sources'!H44)=0,"",'Inputs &amp; Sources'!H44)</f>
        <v/>
      </c>
      <c r="H30" s="17" t="str">
        <f>IF(COUNT('Inputs &amp; Sources'!I44)=0,"",'Inputs &amp; Sources'!I44)</f>
        <v/>
      </c>
    </row>
    <row r="31" spans="1:8" ht="16">
      <c r="A31" s="5" t="s">
        <v>233</v>
      </c>
      <c r="B31" s="2" t="s">
        <v>150</v>
      </c>
      <c r="C31" s="16" t="str">
        <f>IF('Inputs &amp; Sources'!$B$10="","",'Inputs &amp; Sources'!$B$10)</f>
        <v/>
      </c>
      <c r="D31" s="14" t="str">
        <f>IF(COUNT(C31,D30)&lt;2,"",C31*(1+D30))</f>
        <v/>
      </c>
      <c r="E31" s="14" t="str">
        <f>IF(COUNT(D31,E30)&lt;2,"",D31*(1+E30))</f>
        <v/>
      </c>
      <c r="F31" s="14" t="str">
        <f>IF(COUNT(E31,F30)&lt;2,"",E31*(1+F30))</f>
        <v/>
      </c>
      <c r="G31" s="14" t="str">
        <f>IF(COUNT(F31,G30)&lt;2,"",F31*(1+G30))</f>
        <v/>
      </c>
      <c r="H31" s="14" t="str">
        <f>IF(COUNT(G31,H30)&lt;2,"",G31*(1+H30))</f>
        <v/>
      </c>
    </row>
    <row r="32" spans="1:8" ht="16">
      <c r="A32" s="5" t="s">
        <v>234</v>
      </c>
      <c r="B32" s="2" t="s">
        <v>155</v>
      </c>
      <c r="C32" s="7"/>
      <c r="D32" s="17" t="str">
        <f>IF(COUNT('Inputs &amp; Sources'!E45)=0,"",'Inputs &amp; Sources'!E45)</f>
        <v/>
      </c>
      <c r="E32" s="17" t="str">
        <f>IF(COUNT('Inputs &amp; Sources'!F45)=0,"",'Inputs &amp; Sources'!F45)</f>
        <v/>
      </c>
      <c r="F32" s="17" t="str">
        <f>IF(COUNT('Inputs &amp; Sources'!G45)=0,"",'Inputs &amp; Sources'!G45)</f>
        <v/>
      </c>
      <c r="G32" s="17" t="str">
        <f>IF(COUNT('Inputs &amp; Sources'!H45)=0,"",'Inputs &amp; Sources'!H45)</f>
        <v/>
      </c>
      <c r="H32" s="17" t="str">
        <f>IF(COUNT('Inputs &amp; Sources'!I45)=0,"",'Inputs &amp; Sources'!I45)</f>
        <v/>
      </c>
    </row>
    <row r="33" spans="1:8" ht="16">
      <c r="A33" s="5" t="s">
        <v>235</v>
      </c>
      <c r="B33" s="2" t="s">
        <v>150</v>
      </c>
      <c r="C33" s="14"/>
      <c r="D33" s="14" t="str">
        <f>IF(OR(D31="",D32=""),"",D31*D32)</f>
        <v/>
      </c>
      <c r="E33" s="14" t="str">
        <f>IF(OR(E31="",E32=""),"",E31*E32)</f>
        <v/>
      </c>
      <c r="F33" s="14" t="str">
        <f>IF(OR(F31="",F32=""),"",F31*F32)</f>
        <v/>
      </c>
      <c r="G33" s="14" t="str">
        <f>IF(OR(G31="",G32=""),"",G31*G32)</f>
        <v/>
      </c>
      <c r="H33" s="14" t="str">
        <f>IF(OR(H31="",H32=""),"",H31*H32)</f>
        <v/>
      </c>
    </row>
    <row r="34" spans="1:8" ht="16">
      <c r="A34" s="5" t="s">
        <v>154</v>
      </c>
      <c r="B34" s="2" t="s">
        <v>155</v>
      </c>
      <c r="C34" s="7"/>
      <c r="D34" s="17" t="str">
        <f>IF('Inputs &amp; Sources'!$B$12="","",'Inputs &amp; Sources'!$B$12)</f>
        <v/>
      </c>
      <c r="E34" s="17" t="str">
        <f>IF('Inputs &amp; Sources'!$B$12="","",'Inputs &amp; Sources'!$B$12)</f>
        <v/>
      </c>
      <c r="F34" s="17" t="str">
        <f>IF('Inputs &amp; Sources'!$B$12="","",'Inputs &amp; Sources'!$B$12)</f>
        <v/>
      </c>
      <c r="G34" s="17" t="str">
        <f>IF('Inputs &amp; Sources'!$B$12="","",'Inputs &amp; Sources'!$B$12)</f>
        <v/>
      </c>
      <c r="H34" s="17" t="str">
        <f>IF('Inputs &amp; Sources'!$B$12="","",'Inputs &amp; Sources'!$B$12)</f>
        <v/>
      </c>
    </row>
    <row r="35" spans="1:8" ht="16">
      <c r="A35" s="5" t="s">
        <v>236</v>
      </c>
      <c r="B35" s="2" t="s">
        <v>150</v>
      </c>
      <c r="C35" s="14"/>
      <c r="D35" s="14" t="str">
        <f>IF(OR(D33="",D34=""),"",MAX(0,D33*D34))</f>
        <v/>
      </c>
      <c r="E35" s="14" t="str">
        <f>IF(OR(E33="",E34=""),"",MAX(0,E33*E34))</f>
        <v/>
      </c>
      <c r="F35" s="14" t="str">
        <f>IF(OR(F33="",F34=""),"",MAX(0,F33*F34))</f>
        <v/>
      </c>
      <c r="G35" s="14" t="str">
        <f>IF(OR(G33="",G34=""),"",MAX(0,G33*G34))</f>
        <v/>
      </c>
      <c r="H35" s="14" t="str">
        <f>IF(OR(H33="",H34=""),"",MAX(0,H33*H34))</f>
        <v/>
      </c>
    </row>
    <row r="36" spans="1:8" ht="16">
      <c r="A36" s="5" t="s">
        <v>237</v>
      </c>
      <c r="B36" s="2" t="s">
        <v>150</v>
      </c>
      <c r="C36" s="14"/>
      <c r="D36" s="14" t="str">
        <f>IF(D33="","",D33-D35)</f>
        <v/>
      </c>
      <c r="E36" s="14" t="str">
        <f>IF(E33="","",E33-E35)</f>
        <v/>
      </c>
      <c r="F36" s="14" t="str">
        <f>IF(F33="","",F33-F35)</f>
        <v/>
      </c>
      <c r="G36" s="14" t="str">
        <f>IF(G33="","",G33-G35)</f>
        <v/>
      </c>
      <c r="H36" s="14" t="str">
        <f>IF(H33="","",H33-H35)</f>
        <v/>
      </c>
    </row>
    <row r="37" spans="1:8" ht="16">
      <c r="A37" s="5" t="s">
        <v>238</v>
      </c>
      <c r="B37" s="2" t="s">
        <v>155</v>
      </c>
      <c r="C37" s="7"/>
      <c r="D37" s="17" t="str">
        <f>IF(COUNT('Inputs &amp; Sources'!E46)=0,"",'Inputs &amp; Sources'!E46)</f>
        <v/>
      </c>
      <c r="E37" s="17" t="str">
        <f>IF(COUNT('Inputs &amp; Sources'!F46)=0,"",'Inputs &amp; Sources'!F46)</f>
        <v/>
      </c>
      <c r="F37" s="17" t="str">
        <f>IF(COUNT('Inputs &amp; Sources'!G46)=0,"",'Inputs &amp; Sources'!G46)</f>
        <v/>
      </c>
      <c r="G37" s="17" t="str">
        <f>IF(COUNT('Inputs &amp; Sources'!H46)=0,"",'Inputs &amp; Sources'!H46)</f>
        <v/>
      </c>
      <c r="H37" s="17" t="str">
        <f>IF(COUNT('Inputs &amp; Sources'!I46)=0,"",'Inputs &amp; Sources'!I46)</f>
        <v/>
      </c>
    </row>
    <row r="38" spans="1:8" ht="16">
      <c r="A38" s="5" t="s">
        <v>239</v>
      </c>
      <c r="B38" s="2" t="s">
        <v>150</v>
      </c>
      <c r="C38" s="14"/>
      <c r="D38" s="14" t="str">
        <f>IF(OR(D31="",D37=""),"",D31*D37)</f>
        <v/>
      </c>
      <c r="E38" s="14" t="str">
        <f>IF(OR(E31="",E37=""),"",E31*E37)</f>
        <v/>
      </c>
      <c r="F38" s="14" t="str">
        <f>IF(OR(F31="",F37=""),"",F31*F37)</f>
        <v/>
      </c>
      <c r="G38" s="14" t="str">
        <f>IF(OR(G31="",G37=""),"",G31*G37)</f>
        <v/>
      </c>
      <c r="H38" s="14" t="str">
        <f>IF(OR(H31="",H37=""),"",H31*H37)</f>
        <v/>
      </c>
    </row>
    <row r="39" spans="1:8" ht="16">
      <c r="A39" s="5" t="s">
        <v>240</v>
      </c>
      <c r="B39" s="2" t="s">
        <v>150</v>
      </c>
      <c r="C39" s="14"/>
      <c r="D39" s="14" t="str">
        <f>IF(D33="","",D33+D38)</f>
        <v/>
      </c>
      <c r="E39" s="14" t="str">
        <f>IF(E33="","",E33+E38)</f>
        <v/>
      </c>
      <c r="F39" s="14" t="str">
        <f>IF(F33="","",F33+F38)</f>
        <v/>
      </c>
      <c r="G39" s="14" t="str">
        <f>IF(G33="","",G33+G38)</f>
        <v/>
      </c>
      <c r="H39" s="14" t="str">
        <f>IF(H33="","",H33+H38)</f>
        <v/>
      </c>
    </row>
    <row r="40" spans="1:8" ht="16">
      <c r="A40" s="5" t="s">
        <v>241</v>
      </c>
      <c r="B40" s="2" t="s">
        <v>155</v>
      </c>
      <c r="C40" s="7"/>
      <c r="D40" s="17" t="str">
        <f>IF(COUNT('Inputs &amp; Sources'!E47)=0,"",'Inputs &amp; Sources'!E47)</f>
        <v/>
      </c>
      <c r="E40" s="17" t="str">
        <f>IF(COUNT('Inputs &amp; Sources'!F47)=0,"",'Inputs &amp; Sources'!F47)</f>
        <v/>
      </c>
      <c r="F40" s="17" t="str">
        <f>IF(COUNT('Inputs &amp; Sources'!G47)=0,"",'Inputs &amp; Sources'!G47)</f>
        <v/>
      </c>
      <c r="G40" s="17" t="str">
        <f>IF(COUNT('Inputs &amp; Sources'!H47)=0,"",'Inputs &amp; Sources'!H47)</f>
        <v/>
      </c>
      <c r="H40" s="17" t="str">
        <f>IF(COUNT('Inputs &amp; Sources'!I47)=0,"",'Inputs &amp; Sources'!I47)</f>
        <v/>
      </c>
    </row>
    <row r="41" spans="1:8" ht="16">
      <c r="A41" s="5" t="s">
        <v>242</v>
      </c>
      <c r="B41" s="2" t="s">
        <v>150</v>
      </c>
      <c r="C41" s="14"/>
      <c r="D41" s="14" t="str">
        <f>IF(OR(D31="",D40=""),"",D31*D40)</f>
        <v/>
      </c>
      <c r="E41" s="14" t="str">
        <f>IF(OR(E31="",E40=""),"",E31*E40)</f>
        <v/>
      </c>
      <c r="F41" s="14" t="str">
        <f>IF(OR(F31="",F40=""),"",F31*F40)</f>
        <v/>
      </c>
      <c r="G41" s="14" t="str">
        <f>IF(OR(G31="",G40=""),"",G31*G40)</f>
        <v/>
      </c>
      <c r="H41" s="14" t="str">
        <f>IF(OR(H31="",H40=""),"",H31*H40)</f>
        <v/>
      </c>
    </row>
    <row r="42" spans="1:8" ht="16">
      <c r="A42" s="5" t="s">
        <v>243</v>
      </c>
      <c r="B42" s="2" t="s">
        <v>155</v>
      </c>
      <c r="C42" s="7"/>
      <c r="D42" s="17" t="str">
        <f>IF(COUNT('Inputs &amp; Sources'!E48)=0,"",'Inputs &amp; Sources'!E48)</f>
        <v/>
      </c>
      <c r="E42" s="17" t="str">
        <f>IF(COUNT('Inputs &amp; Sources'!F48)=0,"",'Inputs &amp; Sources'!F48)</f>
        <v/>
      </c>
      <c r="F42" s="17" t="str">
        <f>IF(COUNT('Inputs &amp; Sources'!G48)=0,"",'Inputs &amp; Sources'!G48)</f>
        <v/>
      </c>
      <c r="G42" s="17" t="str">
        <f>IF(COUNT('Inputs &amp; Sources'!H48)=0,"",'Inputs &amp; Sources'!H48)</f>
        <v/>
      </c>
      <c r="H42" s="17" t="str">
        <f>IF(COUNT('Inputs &amp; Sources'!I48)=0,"",'Inputs &amp; Sources'!I48)</f>
        <v/>
      </c>
    </row>
    <row r="43" spans="1:8" ht="16">
      <c r="A43" s="5" t="s">
        <v>244</v>
      </c>
      <c r="B43" s="2" t="s">
        <v>150</v>
      </c>
      <c r="C43" s="16" t="str">
        <f>IF('Inputs &amp; Sources'!$B$11="","",'Inputs &amp; Sources'!$B$11)</f>
        <v/>
      </c>
      <c r="D43" s="14" t="str">
        <f>IF(OR(D31="",D42=""),"",D31*D42)</f>
        <v/>
      </c>
      <c r="E43" s="14" t="str">
        <f>IF(OR(E31="",E42=""),"",E31*E42)</f>
        <v/>
      </c>
      <c r="F43" s="14" t="str">
        <f>IF(OR(F31="",F42=""),"",F31*F42)</f>
        <v/>
      </c>
      <c r="G43" s="14" t="str">
        <f>IF(OR(G31="",G42=""),"",G31*G42)</f>
        <v/>
      </c>
      <c r="H43" s="14" t="str">
        <f>IF(OR(H31="",H42=""),"",H31*H42)</f>
        <v/>
      </c>
    </row>
    <row r="44" spans="1:8" ht="32">
      <c r="A44" s="5" t="s">
        <v>245</v>
      </c>
      <c r="B44" s="2" t="s">
        <v>150</v>
      </c>
      <c r="C44" s="14"/>
      <c r="D44" s="14" t="str">
        <f>IF(OR(C43="",D43=""),"",D43-C43)</f>
        <v/>
      </c>
      <c r="E44" s="14" t="str">
        <f>IF(OR(D43="",E43=""),"",E43-D43)</f>
        <v/>
      </c>
      <c r="F44" s="14" t="str">
        <f>IF(OR(E43="",F43=""),"",F43-E43)</f>
        <v/>
      </c>
      <c r="G44" s="14" t="str">
        <f>IF(OR(F43="",G43=""),"",G43-F43)</f>
        <v/>
      </c>
      <c r="H44" s="14" t="str">
        <f>IF(OR(G43="",H43=""),"",H43-G43)</f>
        <v/>
      </c>
    </row>
    <row r="45" spans="1:8" ht="16">
      <c r="A45" s="18" t="s">
        <v>246</v>
      </c>
      <c r="B45" s="19" t="s">
        <v>150</v>
      </c>
      <c r="C45" s="20"/>
      <c r="D45" s="20" t="str">
        <f>IF(COUNT(D36,D38,D41,D44)&lt;4,"",D36+D38-D41-D44)</f>
        <v/>
      </c>
      <c r="E45" s="20" t="str">
        <f>IF(COUNT(E36,E38,E41,E44)&lt;4,"",E36+E38-E41-E44)</f>
        <v/>
      </c>
      <c r="F45" s="20" t="str">
        <f>IF(COUNT(F36,F38,F41,F44)&lt;4,"",F36+F38-F41-F44)</f>
        <v/>
      </c>
      <c r="G45" s="20" t="str">
        <f>IF(COUNT(G36,G38,G41,G44)&lt;4,"",G36+G38-G41-G44)</f>
        <v/>
      </c>
      <c r="H45" s="20" t="str">
        <f>IF(COUNT(H36,H38,H41,H44)&lt;4,"",H36+H38-H41-H44)</f>
        <v/>
      </c>
    </row>
    <row r="46" spans="1:8" ht="16">
      <c r="A46" s="5" t="s">
        <v>247</v>
      </c>
      <c r="B46" s="2" t="s">
        <v>248</v>
      </c>
      <c r="C46" s="14"/>
      <c r="D46" s="14">
        <v>1</v>
      </c>
      <c r="E46" s="14">
        <v>2</v>
      </c>
      <c r="F46" s="14">
        <v>3</v>
      </c>
      <c r="G46" s="14">
        <v>4</v>
      </c>
      <c r="H46" s="14">
        <v>5</v>
      </c>
    </row>
    <row r="47" spans="1:8" ht="16">
      <c r="A47" s="5" t="s">
        <v>249</v>
      </c>
      <c r="B47" s="2" t="s">
        <v>160</v>
      </c>
      <c r="C47" s="7"/>
      <c r="D47" s="17" t="str">
        <f>IF('Inputs &amp; Sources'!$B$30="","",1/(1+'Inputs &amp; Sources'!$B$30)^D46)</f>
        <v/>
      </c>
      <c r="E47" s="17" t="str">
        <f>IF('Inputs &amp; Sources'!$B$30="","",1/(1+'Inputs &amp; Sources'!$B$30)^E46)</f>
        <v/>
      </c>
      <c r="F47" s="17" t="str">
        <f>IF('Inputs &amp; Sources'!$B$30="","",1/(1+'Inputs &amp; Sources'!$B$30)^F46)</f>
        <v/>
      </c>
      <c r="G47" s="17" t="str">
        <f>IF('Inputs &amp; Sources'!$B$30="","",1/(1+'Inputs &amp; Sources'!$B$30)^G46)</f>
        <v/>
      </c>
      <c r="H47" s="17" t="str">
        <f>IF('Inputs &amp; Sources'!$B$30="","",1/(1+'Inputs &amp; Sources'!$B$30)^H46)</f>
        <v/>
      </c>
    </row>
    <row r="48" spans="1:8" ht="16">
      <c r="A48" s="5" t="s">
        <v>250</v>
      </c>
      <c r="B48" s="2" t="s">
        <v>150</v>
      </c>
      <c r="C48" s="14"/>
      <c r="D48" s="14" t="str">
        <f>IF(OR(D45="",D47=""),"",D45*D47)</f>
        <v/>
      </c>
      <c r="E48" s="14" t="str">
        <f>IF(OR(E45="",E47=""),"",E45*E47)</f>
        <v/>
      </c>
      <c r="F48" s="14" t="str">
        <f>IF(OR(F45="",F47=""),"",F45*F47)</f>
        <v/>
      </c>
      <c r="G48" s="14" t="str">
        <f>IF(OR(G45="",G47=""),"",G45*G47)</f>
        <v/>
      </c>
      <c r="H48" s="14" t="str">
        <f>IF(OR(H45="",H47=""),"",H45*H47)</f>
        <v/>
      </c>
    </row>
    <row r="49" spans="1:8">
      <c r="A49" s="28"/>
      <c r="B49" s="28"/>
      <c r="C49" s="28"/>
      <c r="D49" s="28"/>
      <c r="E49" s="28"/>
      <c r="F49" s="28"/>
      <c r="G49" s="28"/>
      <c r="H49" s="28"/>
    </row>
    <row r="50" spans="1:8">
      <c r="A50" s="28"/>
      <c r="B50" s="28"/>
      <c r="C50" s="28"/>
      <c r="D50" s="28"/>
      <c r="E50" s="28"/>
      <c r="F50" s="28"/>
      <c r="G50" s="28"/>
      <c r="H50" s="28"/>
    </row>
    <row r="51" spans="1:8" ht="22" customHeight="1">
      <c r="A51" s="37" t="s">
        <v>252</v>
      </c>
      <c r="B51" s="37"/>
      <c r="C51" s="37"/>
      <c r="D51" s="37"/>
      <c r="E51" s="37"/>
      <c r="F51" s="37"/>
      <c r="G51" s="37"/>
      <c r="H51" s="37"/>
    </row>
    <row r="52" spans="1:8" ht="16">
      <c r="A52" s="5" t="s">
        <v>126</v>
      </c>
      <c r="B52" s="2" t="s">
        <v>147</v>
      </c>
      <c r="C52" s="15" t="str">
        <f>IF('Inputs &amp; Sources'!$B$9="","",'Inputs &amp; Sources'!$B$9)</f>
        <v/>
      </c>
      <c r="D52" s="15" t="str">
        <f>IF(C52="","",C52+1)</f>
        <v/>
      </c>
      <c r="E52" s="15" t="str">
        <f>IF(D52="","",D52+1)</f>
        <v/>
      </c>
      <c r="F52" s="15" t="str">
        <f>IF(E52="","",E52+1)</f>
        <v/>
      </c>
      <c r="G52" s="15" t="str">
        <f>IF(F52="","",F52+1)</f>
        <v/>
      </c>
      <c r="H52" s="15" t="str">
        <f>IF(G52="","",G52+1)</f>
        <v/>
      </c>
    </row>
    <row r="53" spans="1:8" ht="16">
      <c r="A53" s="5" t="s">
        <v>232</v>
      </c>
      <c r="B53" s="2" t="s">
        <v>155</v>
      </c>
      <c r="C53" s="7"/>
      <c r="D53" s="17" t="str">
        <f>IF(COUNT('Inputs &amp; Sources'!E52)=0,"",'Inputs &amp; Sources'!E52)</f>
        <v/>
      </c>
      <c r="E53" s="17" t="str">
        <f>IF(COUNT('Inputs &amp; Sources'!F52)=0,"",'Inputs &amp; Sources'!F52)</f>
        <v/>
      </c>
      <c r="F53" s="17" t="str">
        <f>IF(COUNT('Inputs &amp; Sources'!G52)=0,"",'Inputs &amp; Sources'!G52)</f>
        <v/>
      </c>
      <c r="G53" s="17" t="str">
        <f>IF(COUNT('Inputs &amp; Sources'!H52)=0,"",'Inputs &amp; Sources'!H52)</f>
        <v/>
      </c>
      <c r="H53" s="17" t="str">
        <f>IF(COUNT('Inputs &amp; Sources'!I52)=0,"",'Inputs &amp; Sources'!I52)</f>
        <v/>
      </c>
    </row>
    <row r="54" spans="1:8" ht="16">
      <c r="A54" s="5" t="s">
        <v>233</v>
      </c>
      <c r="B54" s="2" t="s">
        <v>150</v>
      </c>
      <c r="C54" s="16" t="str">
        <f>IF('Inputs &amp; Sources'!$B$10="","",'Inputs &amp; Sources'!$B$10)</f>
        <v/>
      </c>
      <c r="D54" s="14" t="str">
        <f>IF(COUNT(C54,D53)&lt;2,"",C54*(1+D53))</f>
        <v/>
      </c>
      <c r="E54" s="14" t="str">
        <f>IF(COUNT(D54,E53)&lt;2,"",D54*(1+E53))</f>
        <v/>
      </c>
      <c r="F54" s="14" t="str">
        <f>IF(COUNT(E54,F53)&lt;2,"",E54*(1+F53))</f>
        <v/>
      </c>
      <c r="G54" s="14" t="str">
        <f>IF(COUNT(F54,G53)&lt;2,"",F54*(1+G53))</f>
        <v/>
      </c>
      <c r="H54" s="14" t="str">
        <f>IF(COUNT(G54,H53)&lt;2,"",G54*(1+H53))</f>
        <v/>
      </c>
    </row>
    <row r="55" spans="1:8" ht="16">
      <c r="A55" s="5" t="s">
        <v>234</v>
      </c>
      <c r="B55" s="2" t="s">
        <v>155</v>
      </c>
      <c r="C55" s="7"/>
      <c r="D55" s="17" t="str">
        <f>IF(COUNT('Inputs &amp; Sources'!E53)=0,"",'Inputs &amp; Sources'!E53)</f>
        <v/>
      </c>
      <c r="E55" s="17" t="str">
        <f>IF(COUNT('Inputs &amp; Sources'!F53)=0,"",'Inputs &amp; Sources'!F53)</f>
        <v/>
      </c>
      <c r="F55" s="17" t="str">
        <f>IF(COUNT('Inputs &amp; Sources'!G53)=0,"",'Inputs &amp; Sources'!G53)</f>
        <v/>
      </c>
      <c r="G55" s="17" t="str">
        <f>IF(COUNT('Inputs &amp; Sources'!H53)=0,"",'Inputs &amp; Sources'!H53)</f>
        <v/>
      </c>
      <c r="H55" s="17" t="str">
        <f>IF(COUNT('Inputs &amp; Sources'!I53)=0,"",'Inputs &amp; Sources'!I53)</f>
        <v/>
      </c>
    </row>
    <row r="56" spans="1:8" ht="16">
      <c r="A56" s="5" t="s">
        <v>235</v>
      </c>
      <c r="B56" s="2" t="s">
        <v>150</v>
      </c>
      <c r="C56" s="14"/>
      <c r="D56" s="14" t="str">
        <f>IF(OR(D54="",D55=""),"",D54*D55)</f>
        <v/>
      </c>
      <c r="E56" s="14" t="str">
        <f>IF(OR(E54="",E55=""),"",E54*E55)</f>
        <v/>
      </c>
      <c r="F56" s="14" t="str">
        <f>IF(OR(F54="",F55=""),"",F54*F55)</f>
        <v/>
      </c>
      <c r="G56" s="14" t="str">
        <f>IF(OR(G54="",G55=""),"",G54*G55)</f>
        <v/>
      </c>
      <c r="H56" s="14" t="str">
        <f>IF(OR(H54="",H55=""),"",H54*H55)</f>
        <v/>
      </c>
    </row>
    <row r="57" spans="1:8" ht="16">
      <c r="A57" s="5" t="s">
        <v>154</v>
      </c>
      <c r="B57" s="2" t="s">
        <v>155</v>
      </c>
      <c r="C57" s="7"/>
      <c r="D57" s="17" t="str">
        <f>IF('Inputs &amp; Sources'!$B$12="","",'Inputs &amp; Sources'!$B$12)</f>
        <v/>
      </c>
      <c r="E57" s="17" t="str">
        <f>IF('Inputs &amp; Sources'!$B$12="","",'Inputs &amp; Sources'!$B$12)</f>
        <v/>
      </c>
      <c r="F57" s="17" t="str">
        <f>IF('Inputs &amp; Sources'!$B$12="","",'Inputs &amp; Sources'!$B$12)</f>
        <v/>
      </c>
      <c r="G57" s="17" t="str">
        <f>IF('Inputs &amp; Sources'!$B$12="","",'Inputs &amp; Sources'!$B$12)</f>
        <v/>
      </c>
      <c r="H57" s="17" t="str">
        <f>IF('Inputs &amp; Sources'!$B$12="","",'Inputs &amp; Sources'!$B$12)</f>
        <v/>
      </c>
    </row>
    <row r="58" spans="1:8" ht="16">
      <c r="A58" s="5" t="s">
        <v>236</v>
      </c>
      <c r="B58" s="2" t="s">
        <v>150</v>
      </c>
      <c r="C58" s="14"/>
      <c r="D58" s="14" t="str">
        <f>IF(OR(D56="",D57=""),"",MAX(0,D56*D57))</f>
        <v/>
      </c>
      <c r="E58" s="14" t="str">
        <f>IF(OR(E56="",E57=""),"",MAX(0,E56*E57))</f>
        <v/>
      </c>
      <c r="F58" s="14" t="str">
        <f>IF(OR(F56="",F57=""),"",MAX(0,F56*F57))</f>
        <v/>
      </c>
      <c r="G58" s="14" t="str">
        <f>IF(OR(G56="",G57=""),"",MAX(0,G56*G57))</f>
        <v/>
      </c>
      <c r="H58" s="14" t="str">
        <f>IF(OR(H56="",H57=""),"",MAX(0,H56*H57))</f>
        <v/>
      </c>
    </row>
    <row r="59" spans="1:8" ht="16">
      <c r="A59" s="5" t="s">
        <v>237</v>
      </c>
      <c r="B59" s="2" t="s">
        <v>150</v>
      </c>
      <c r="C59" s="14"/>
      <c r="D59" s="14" t="str">
        <f>IF(D56="","",D56-D58)</f>
        <v/>
      </c>
      <c r="E59" s="14" t="str">
        <f>IF(E56="","",E56-E58)</f>
        <v/>
      </c>
      <c r="F59" s="14" t="str">
        <f>IF(F56="","",F56-F58)</f>
        <v/>
      </c>
      <c r="G59" s="14" t="str">
        <f>IF(G56="","",G56-G58)</f>
        <v/>
      </c>
      <c r="H59" s="14" t="str">
        <f>IF(H56="","",H56-H58)</f>
        <v/>
      </c>
    </row>
    <row r="60" spans="1:8" ht="16">
      <c r="A60" s="5" t="s">
        <v>238</v>
      </c>
      <c r="B60" s="2" t="s">
        <v>155</v>
      </c>
      <c r="C60" s="7"/>
      <c r="D60" s="17" t="str">
        <f>IF(COUNT('Inputs &amp; Sources'!E54)=0,"",'Inputs &amp; Sources'!E54)</f>
        <v/>
      </c>
      <c r="E60" s="17" t="str">
        <f>IF(COUNT('Inputs &amp; Sources'!F54)=0,"",'Inputs &amp; Sources'!F54)</f>
        <v/>
      </c>
      <c r="F60" s="17" t="str">
        <f>IF(COUNT('Inputs &amp; Sources'!G54)=0,"",'Inputs &amp; Sources'!G54)</f>
        <v/>
      </c>
      <c r="G60" s="17" t="str">
        <f>IF(COUNT('Inputs &amp; Sources'!H54)=0,"",'Inputs &amp; Sources'!H54)</f>
        <v/>
      </c>
      <c r="H60" s="17" t="str">
        <f>IF(COUNT('Inputs &amp; Sources'!I54)=0,"",'Inputs &amp; Sources'!I54)</f>
        <v/>
      </c>
    </row>
    <row r="61" spans="1:8" ht="16">
      <c r="A61" s="5" t="s">
        <v>239</v>
      </c>
      <c r="B61" s="2" t="s">
        <v>150</v>
      </c>
      <c r="C61" s="14"/>
      <c r="D61" s="14" t="str">
        <f>IF(OR(D54="",D60=""),"",D54*D60)</f>
        <v/>
      </c>
      <c r="E61" s="14" t="str">
        <f>IF(OR(E54="",E60=""),"",E54*E60)</f>
        <v/>
      </c>
      <c r="F61" s="14" t="str">
        <f>IF(OR(F54="",F60=""),"",F54*F60)</f>
        <v/>
      </c>
      <c r="G61" s="14" t="str">
        <f>IF(OR(G54="",G60=""),"",G54*G60)</f>
        <v/>
      </c>
      <c r="H61" s="14" t="str">
        <f>IF(OR(H54="",H60=""),"",H54*H60)</f>
        <v/>
      </c>
    </row>
    <row r="62" spans="1:8" ht="16">
      <c r="A62" s="5" t="s">
        <v>240</v>
      </c>
      <c r="B62" s="2" t="s">
        <v>150</v>
      </c>
      <c r="C62" s="14"/>
      <c r="D62" s="14" t="str">
        <f>IF(D56="","",D56+D61)</f>
        <v/>
      </c>
      <c r="E62" s="14" t="str">
        <f>IF(E56="","",E56+E61)</f>
        <v/>
      </c>
      <c r="F62" s="14" t="str">
        <f>IF(F56="","",F56+F61)</f>
        <v/>
      </c>
      <c r="G62" s="14" t="str">
        <f>IF(G56="","",G56+G61)</f>
        <v/>
      </c>
      <c r="H62" s="14" t="str">
        <f>IF(H56="","",H56+H61)</f>
        <v/>
      </c>
    </row>
    <row r="63" spans="1:8" ht="16">
      <c r="A63" s="5" t="s">
        <v>241</v>
      </c>
      <c r="B63" s="2" t="s">
        <v>155</v>
      </c>
      <c r="C63" s="7"/>
      <c r="D63" s="17" t="str">
        <f>IF(COUNT('Inputs &amp; Sources'!E55)=0,"",'Inputs &amp; Sources'!E55)</f>
        <v/>
      </c>
      <c r="E63" s="17" t="str">
        <f>IF(COUNT('Inputs &amp; Sources'!F55)=0,"",'Inputs &amp; Sources'!F55)</f>
        <v/>
      </c>
      <c r="F63" s="17" t="str">
        <f>IF(COUNT('Inputs &amp; Sources'!G55)=0,"",'Inputs &amp; Sources'!G55)</f>
        <v/>
      </c>
      <c r="G63" s="17" t="str">
        <f>IF(COUNT('Inputs &amp; Sources'!H55)=0,"",'Inputs &amp; Sources'!H55)</f>
        <v/>
      </c>
      <c r="H63" s="17" t="str">
        <f>IF(COUNT('Inputs &amp; Sources'!I55)=0,"",'Inputs &amp; Sources'!I55)</f>
        <v/>
      </c>
    </row>
    <row r="64" spans="1:8" ht="16">
      <c r="A64" s="5" t="s">
        <v>242</v>
      </c>
      <c r="B64" s="2" t="s">
        <v>150</v>
      </c>
      <c r="C64" s="14"/>
      <c r="D64" s="14" t="str">
        <f>IF(OR(D54="",D63=""),"",D54*D63)</f>
        <v/>
      </c>
      <c r="E64" s="14" t="str">
        <f>IF(OR(E54="",E63=""),"",E54*E63)</f>
        <v/>
      </c>
      <c r="F64" s="14" t="str">
        <f>IF(OR(F54="",F63=""),"",F54*F63)</f>
        <v/>
      </c>
      <c r="G64" s="14" t="str">
        <f>IF(OR(G54="",G63=""),"",G54*G63)</f>
        <v/>
      </c>
      <c r="H64" s="14" t="str">
        <f>IF(OR(H54="",H63=""),"",H54*H63)</f>
        <v/>
      </c>
    </row>
    <row r="65" spans="1:8" ht="16">
      <c r="A65" s="5" t="s">
        <v>243</v>
      </c>
      <c r="B65" s="2" t="s">
        <v>155</v>
      </c>
      <c r="C65" s="7"/>
      <c r="D65" s="17" t="str">
        <f>IF(COUNT('Inputs &amp; Sources'!E56)=0,"",'Inputs &amp; Sources'!E56)</f>
        <v/>
      </c>
      <c r="E65" s="17" t="str">
        <f>IF(COUNT('Inputs &amp; Sources'!F56)=0,"",'Inputs &amp; Sources'!F56)</f>
        <v/>
      </c>
      <c r="F65" s="17" t="str">
        <f>IF(COUNT('Inputs &amp; Sources'!G56)=0,"",'Inputs &amp; Sources'!G56)</f>
        <v/>
      </c>
      <c r="G65" s="17" t="str">
        <f>IF(COUNT('Inputs &amp; Sources'!H56)=0,"",'Inputs &amp; Sources'!H56)</f>
        <v/>
      </c>
      <c r="H65" s="17" t="str">
        <f>IF(COUNT('Inputs &amp; Sources'!I56)=0,"",'Inputs &amp; Sources'!I56)</f>
        <v/>
      </c>
    </row>
    <row r="66" spans="1:8" ht="16">
      <c r="A66" s="5" t="s">
        <v>244</v>
      </c>
      <c r="B66" s="2" t="s">
        <v>150</v>
      </c>
      <c r="C66" s="16" t="str">
        <f>IF('Inputs &amp; Sources'!$B$11="","",'Inputs &amp; Sources'!$B$11)</f>
        <v/>
      </c>
      <c r="D66" s="14" t="str">
        <f>IF(OR(D54="",D65=""),"",D54*D65)</f>
        <v/>
      </c>
      <c r="E66" s="14" t="str">
        <f>IF(OR(E54="",E65=""),"",E54*E65)</f>
        <v/>
      </c>
      <c r="F66" s="14" t="str">
        <f>IF(OR(F54="",F65=""),"",F54*F65)</f>
        <v/>
      </c>
      <c r="G66" s="14" t="str">
        <f>IF(OR(G54="",G65=""),"",G54*G65)</f>
        <v/>
      </c>
      <c r="H66" s="14" t="str">
        <f>IF(OR(H54="",H65=""),"",H54*H65)</f>
        <v/>
      </c>
    </row>
    <row r="67" spans="1:8" ht="32">
      <c r="A67" s="5" t="s">
        <v>245</v>
      </c>
      <c r="B67" s="2" t="s">
        <v>150</v>
      </c>
      <c r="C67" s="14"/>
      <c r="D67" s="14" t="str">
        <f>IF(OR(C66="",D66=""),"",D66-C66)</f>
        <v/>
      </c>
      <c r="E67" s="14" t="str">
        <f>IF(OR(D66="",E66=""),"",E66-D66)</f>
        <v/>
      </c>
      <c r="F67" s="14" t="str">
        <f>IF(OR(E66="",F66=""),"",F66-E66)</f>
        <v/>
      </c>
      <c r="G67" s="14" t="str">
        <f>IF(OR(F66="",G66=""),"",G66-F66)</f>
        <v/>
      </c>
      <c r="H67" s="14" t="str">
        <f>IF(OR(G66="",H66=""),"",H66-G66)</f>
        <v/>
      </c>
    </row>
    <row r="68" spans="1:8" ht="16">
      <c r="A68" s="18" t="s">
        <v>246</v>
      </c>
      <c r="B68" s="19" t="s">
        <v>150</v>
      </c>
      <c r="C68" s="20"/>
      <c r="D68" s="20" t="str">
        <f>IF(COUNT(D59,D61,D64,D67)&lt;4,"",D59+D61-D64-D67)</f>
        <v/>
      </c>
      <c r="E68" s="20" t="str">
        <f>IF(COUNT(E59,E61,E64,E67)&lt;4,"",E59+E61-E64-E67)</f>
        <v/>
      </c>
      <c r="F68" s="20" t="str">
        <f>IF(COUNT(F59,F61,F64,F67)&lt;4,"",F59+F61-F64-F67)</f>
        <v/>
      </c>
      <c r="G68" s="20" t="str">
        <f>IF(COUNT(G59,G61,G64,G67)&lt;4,"",G59+G61-G64-G67)</f>
        <v/>
      </c>
      <c r="H68" s="20" t="str">
        <f>IF(COUNT(H59,H61,H64,H67)&lt;4,"",H59+H61-H64-H67)</f>
        <v/>
      </c>
    </row>
    <row r="69" spans="1:8" ht="16">
      <c r="A69" s="5" t="s">
        <v>247</v>
      </c>
      <c r="B69" s="2" t="s">
        <v>248</v>
      </c>
      <c r="C69" s="14"/>
      <c r="D69" s="14">
        <v>1</v>
      </c>
      <c r="E69" s="14">
        <v>2</v>
      </c>
      <c r="F69" s="14">
        <v>3</v>
      </c>
      <c r="G69" s="14">
        <v>4</v>
      </c>
      <c r="H69" s="14">
        <v>5</v>
      </c>
    </row>
    <row r="70" spans="1:8" ht="16">
      <c r="A70" s="5" t="s">
        <v>249</v>
      </c>
      <c r="B70" s="2" t="s">
        <v>160</v>
      </c>
      <c r="C70" s="7"/>
      <c r="D70" s="17" t="str">
        <f>IF('Inputs &amp; Sources'!$B$30="","",1/(1+'Inputs &amp; Sources'!$B$30)^D69)</f>
        <v/>
      </c>
      <c r="E70" s="17" t="str">
        <f>IF('Inputs &amp; Sources'!$B$30="","",1/(1+'Inputs &amp; Sources'!$B$30)^E69)</f>
        <v/>
      </c>
      <c r="F70" s="17" t="str">
        <f>IF('Inputs &amp; Sources'!$B$30="","",1/(1+'Inputs &amp; Sources'!$B$30)^F69)</f>
        <v/>
      </c>
      <c r="G70" s="17" t="str">
        <f>IF('Inputs &amp; Sources'!$B$30="","",1/(1+'Inputs &amp; Sources'!$B$30)^G69)</f>
        <v/>
      </c>
      <c r="H70" s="17" t="str">
        <f>IF('Inputs &amp; Sources'!$B$30="","",1/(1+'Inputs &amp; Sources'!$B$30)^H69)</f>
        <v/>
      </c>
    </row>
    <row r="71" spans="1:8" ht="16">
      <c r="A71" s="5" t="s">
        <v>250</v>
      </c>
      <c r="B71" s="2" t="s">
        <v>150</v>
      </c>
      <c r="C71" s="14"/>
      <c r="D71" s="14" t="str">
        <f>IF(OR(D68="",D70=""),"",D68*D70)</f>
        <v/>
      </c>
      <c r="E71" s="14" t="str">
        <f>IF(OR(E68="",E70=""),"",E68*E70)</f>
        <v/>
      </c>
      <c r="F71" s="14" t="str">
        <f>IF(OR(F68="",F70=""),"",F68*F70)</f>
        <v/>
      </c>
      <c r="G71" s="14" t="str">
        <f>IF(OR(G68="",G70=""),"",G68*G70)</f>
        <v/>
      </c>
      <c r="H71" s="14" t="str">
        <f>IF(OR(H68="",H70=""),"",H68*H70)</f>
        <v/>
      </c>
    </row>
  </sheetData>
  <mergeCells count="6">
    <mergeCell ref="A51:H51"/>
    <mergeCell ref="A1:H1"/>
    <mergeCell ref="A2:H2"/>
    <mergeCell ref="A3:H3"/>
    <mergeCell ref="A5:H5"/>
    <mergeCell ref="A28:H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showGridLines="0" workbookViewId="0"/>
  </sheetViews>
  <sheetFormatPr baseColWidth="10" defaultColWidth="8.83203125" defaultRowHeight="14"/>
  <cols>
    <col min="1" max="1" width="38" customWidth="1"/>
    <col min="2" max="2" width="15" customWidth="1"/>
    <col min="3" max="5" width="16" customWidth="1"/>
    <col min="6" max="6" width="42" customWidth="1"/>
  </cols>
  <sheetData>
    <row r="1" spans="1:6" ht="28" customHeight="1">
      <c r="A1" s="34" t="s">
        <v>253</v>
      </c>
      <c r="B1" s="34"/>
      <c r="C1" s="34"/>
      <c r="D1" s="34"/>
      <c r="E1" s="34"/>
      <c r="F1" s="34"/>
    </row>
    <row r="2" spans="1:6" ht="30" customHeight="1">
      <c r="A2" s="35" t="s">
        <v>254</v>
      </c>
      <c r="B2" s="35"/>
      <c r="C2" s="35"/>
      <c r="D2" s="35"/>
      <c r="E2" s="35"/>
      <c r="F2" s="35"/>
    </row>
    <row r="3" spans="1:6" ht="24" customHeight="1">
      <c r="A3" s="36" t="s">
        <v>2</v>
      </c>
      <c r="B3" s="36"/>
      <c r="C3" s="36"/>
      <c r="D3" s="36"/>
      <c r="E3" s="36"/>
      <c r="F3" s="36"/>
    </row>
    <row r="4" spans="1:6">
      <c r="A4" s="28"/>
      <c r="B4" s="28"/>
      <c r="C4" s="28"/>
      <c r="D4" s="28"/>
      <c r="E4" s="28"/>
      <c r="F4" s="28"/>
    </row>
    <row r="5" spans="1:6" ht="22" customHeight="1">
      <c r="A5" s="37" t="s">
        <v>255</v>
      </c>
      <c r="B5" s="37"/>
      <c r="C5" s="37"/>
      <c r="D5" s="37"/>
      <c r="E5" s="37"/>
      <c r="F5" s="37"/>
    </row>
    <row r="6" spans="1:6" ht="34" customHeight="1">
      <c r="A6" s="1" t="s">
        <v>256</v>
      </c>
      <c r="B6" s="1" t="s">
        <v>39</v>
      </c>
      <c r="C6" s="1" t="s">
        <v>120</v>
      </c>
      <c r="D6" s="1" t="s">
        <v>121</v>
      </c>
      <c r="E6" s="1" t="s">
        <v>122</v>
      </c>
      <c r="F6" s="1" t="s">
        <v>257</v>
      </c>
    </row>
    <row r="7" spans="1:6" ht="16">
      <c r="A7" s="5" t="s">
        <v>258</v>
      </c>
      <c r="B7" s="2" t="s">
        <v>150</v>
      </c>
      <c r="C7" s="16" t="str">
        <f>IF(COUNT('Scenario Forecasts'!D25:H25)&lt;5,"",SUM('Scenario Forecasts'!D25:H25))</f>
        <v/>
      </c>
      <c r="D7" s="16" t="str">
        <f>IF(COUNT('Scenario Forecasts'!D48:H48)&lt;5,"",SUM('Scenario Forecasts'!D48:H48))</f>
        <v/>
      </c>
      <c r="E7" s="16" t="str">
        <f>IF(COUNT('Scenario Forecasts'!D71:H71)&lt;5,"",SUM('Scenario Forecasts'!D71:H71))</f>
        <v/>
      </c>
      <c r="F7" s="2"/>
    </row>
    <row r="8" spans="1:6" ht="16">
      <c r="A8" s="5" t="s">
        <v>259</v>
      </c>
      <c r="B8" s="2" t="s">
        <v>150</v>
      </c>
      <c r="C8" s="16" t="str">
        <f>IF(OR('Scenario Forecasts'!H22="",'Inputs &amp; Sources'!$B$30&lt;='Inputs &amp; Sources'!$J$41),"",('Scenario Forecasts'!H22*(1+'Inputs &amp; Sources'!$J$41)/('Inputs &amp; Sources'!$B$30-'Inputs &amp; Sources'!$J$41))/(1+'Inputs &amp; Sources'!$B$30)^5)</f>
        <v/>
      </c>
      <c r="D8" s="16" t="str">
        <f>IF(OR('Scenario Forecasts'!H45="",'Inputs &amp; Sources'!$B$30&lt;='Inputs &amp; Sources'!$J$49),"",('Scenario Forecasts'!H45*(1+'Inputs &amp; Sources'!$J$49)/('Inputs &amp; Sources'!$B$30-'Inputs &amp; Sources'!$J$49))/(1+'Inputs &amp; Sources'!$B$30)^5)</f>
        <v/>
      </c>
      <c r="E8" s="16" t="str">
        <f>IF(OR('Scenario Forecasts'!H68="",'Inputs &amp; Sources'!$B$30&lt;='Inputs &amp; Sources'!$J$57),"",('Scenario Forecasts'!H68*(1+'Inputs &amp; Sources'!$J$57)/('Inputs &amp; Sources'!$B$30-'Inputs &amp; Sources'!$J$57))/(1+'Inputs &amp; Sources'!$B$30)^5)</f>
        <v/>
      </c>
      <c r="F8" s="2"/>
    </row>
    <row r="9" spans="1:6" ht="16">
      <c r="A9" s="18" t="s">
        <v>260</v>
      </c>
      <c r="B9" s="19" t="s">
        <v>150</v>
      </c>
      <c r="C9" s="20" t="str">
        <f>IF(COUNT(C7:C8)&lt;2,"",SUM(C7:C8))</f>
        <v/>
      </c>
      <c r="D9" s="20" t="str">
        <f>IF(COUNT(D7:D8)&lt;2,"",SUM(D7:D8))</f>
        <v/>
      </c>
      <c r="E9" s="20" t="str">
        <f>IF(COUNT(E7:E8)&lt;2,"",SUM(E7:E8))</f>
        <v/>
      </c>
      <c r="F9" s="19" t="s">
        <v>261</v>
      </c>
    </row>
    <row r="10" spans="1:6" ht="16">
      <c r="A10" s="5" t="s">
        <v>262</v>
      </c>
      <c r="B10" s="2" t="s">
        <v>150</v>
      </c>
      <c r="C10" s="16" t="str">
        <f>IF('Inputs &amp; Sources'!$B$18="","",'Inputs &amp; Sources'!$B$18)</f>
        <v/>
      </c>
      <c r="D10" s="16" t="str">
        <f>IF('Inputs &amp; Sources'!$B$18="","",'Inputs &amp; Sources'!$B$18)</f>
        <v/>
      </c>
      <c r="E10" s="16" t="str">
        <f>IF('Inputs &amp; Sources'!$B$18="","",'Inputs &amp; Sources'!$B$18)</f>
        <v/>
      </c>
      <c r="F10" s="2"/>
    </row>
    <row r="11" spans="1:6" ht="16">
      <c r="A11" s="5" t="s">
        <v>263</v>
      </c>
      <c r="B11" s="2" t="s">
        <v>150</v>
      </c>
      <c r="C11" s="16" t="str">
        <f>IF('Inputs &amp; Sources'!$B$19="","",'Inputs &amp; Sources'!$B$19)</f>
        <v/>
      </c>
      <c r="D11" s="16" t="str">
        <f>IF('Inputs &amp; Sources'!$B$19="","",'Inputs &amp; Sources'!$B$19)</f>
        <v/>
      </c>
      <c r="E11" s="16" t="str">
        <f>IF('Inputs &amp; Sources'!$B$19="","",'Inputs &amp; Sources'!$B$19)</f>
        <v/>
      </c>
      <c r="F11" s="2"/>
    </row>
    <row r="12" spans="1:6" ht="16">
      <c r="A12" s="18" t="s">
        <v>264</v>
      </c>
      <c r="B12" s="19" t="s">
        <v>150</v>
      </c>
      <c r="C12" s="20" t="str">
        <f>IF(C9="","",C9-C10+C11)</f>
        <v/>
      </c>
      <c r="D12" s="20" t="str">
        <f>IF(D9="","",D9-D10+D11)</f>
        <v/>
      </c>
      <c r="E12" s="20" t="str">
        <f>IF(E9="","",E9-E10+E11)</f>
        <v/>
      </c>
      <c r="F12" s="19" t="s">
        <v>265</v>
      </c>
    </row>
    <row r="13" spans="1:6" ht="16">
      <c r="A13" s="5" t="s">
        <v>266</v>
      </c>
      <c r="B13" s="2" t="s">
        <v>173</v>
      </c>
      <c r="C13" s="16" t="str">
        <f>IF('Inputs &amp; Sources'!$B$20="","",'Inputs &amp; Sources'!$B$20)</f>
        <v/>
      </c>
      <c r="D13" s="16" t="str">
        <f>IF('Inputs &amp; Sources'!$B$20="","",'Inputs &amp; Sources'!$B$20)</f>
        <v/>
      </c>
      <c r="E13" s="16" t="str">
        <f>IF('Inputs &amp; Sources'!$B$20="","",'Inputs &amp; Sources'!$B$20)</f>
        <v/>
      </c>
      <c r="F13" s="2"/>
    </row>
    <row r="14" spans="1:6" ht="16">
      <c r="A14" s="5" t="s">
        <v>267</v>
      </c>
      <c r="B14" s="2" t="s">
        <v>176</v>
      </c>
      <c r="C14" s="21" t="str">
        <f>IFERROR(C12/C13,"")</f>
        <v/>
      </c>
      <c r="D14" s="21" t="str">
        <f>IFERROR(D12/D13,"")</f>
        <v/>
      </c>
      <c r="E14" s="21" t="str">
        <f>IFERROR(E12/E13,"")</f>
        <v/>
      </c>
      <c r="F14" s="2" t="s">
        <v>268</v>
      </c>
    </row>
    <row r="15" spans="1:6" ht="16">
      <c r="A15" s="5" t="s">
        <v>175</v>
      </c>
      <c r="B15" s="2" t="s">
        <v>176</v>
      </c>
      <c r="C15" s="21" t="str">
        <f>IF('Inputs &amp; Sources'!$B$21="","",'Inputs &amp; Sources'!$B$21)</f>
        <v/>
      </c>
      <c r="D15" s="21" t="str">
        <f>IF('Inputs &amp; Sources'!$B$21="","",'Inputs &amp; Sources'!$B$21)</f>
        <v/>
      </c>
      <c r="E15" s="21" t="str">
        <f>IF('Inputs &amp; Sources'!$B$21="","",'Inputs &amp; Sources'!$B$21)</f>
        <v/>
      </c>
      <c r="F15" s="2"/>
    </row>
    <row r="16" spans="1:6" ht="16">
      <c r="A16" s="5" t="s">
        <v>269</v>
      </c>
      <c r="B16" s="2" t="s">
        <v>155</v>
      </c>
      <c r="C16" s="7" t="str">
        <f>IFERROR(C14/C15-1,"")</f>
        <v/>
      </c>
      <c r="D16" s="7" t="str">
        <f>IFERROR(D14/D15-1,"")</f>
        <v/>
      </c>
      <c r="E16" s="7" t="str">
        <f>IFERROR(E14/E15-1,"")</f>
        <v/>
      </c>
      <c r="F16" s="2"/>
    </row>
    <row r="17" spans="1:6">
      <c r="A17" s="28"/>
      <c r="B17" s="28"/>
      <c r="C17" s="28"/>
      <c r="D17" s="28"/>
      <c r="E17" s="28"/>
      <c r="F17" s="28"/>
    </row>
    <row r="18" spans="1:6" ht="22" customHeight="1">
      <c r="A18" s="37" t="s">
        <v>270</v>
      </c>
      <c r="B18" s="37"/>
      <c r="C18" s="37"/>
      <c r="D18" s="37"/>
      <c r="E18" s="37"/>
      <c r="F18" s="37"/>
    </row>
    <row r="19" spans="1:6" ht="34" customHeight="1">
      <c r="A19" s="1" t="s">
        <v>271</v>
      </c>
      <c r="B19" s="1" t="s">
        <v>39</v>
      </c>
      <c r="C19" s="1" t="s">
        <v>120</v>
      </c>
      <c r="D19" s="1" t="s">
        <v>121</v>
      </c>
      <c r="E19" s="1" t="s">
        <v>122</v>
      </c>
      <c r="F19" s="1" t="s">
        <v>272</v>
      </c>
    </row>
    <row r="20" spans="1:6" ht="16">
      <c r="A20" s="5" t="s">
        <v>273</v>
      </c>
      <c r="B20" s="2" t="s">
        <v>155</v>
      </c>
      <c r="C20" s="17" t="str">
        <f>IF('Inputs &amp; Sources'!$J$41="","",'Inputs &amp; Sources'!$J$41)</f>
        <v/>
      </c>
      <c r="D20" s="17" t="str">
        <f>IF('Inputs &amp; Sources'!$J$49="","",'Inputs &amp; Sources'!$J$49)</f>
        <v/>
      </c>
      <c r="E20" s="17" t="str">
        <f>IF('Inputs &amp; Sources'!$J$57="","",'Inputs &amp; Sources'!$J$57)</f>
        <v/>
      </c>
      <c r="F20" s="2" t="s">
        <v>274</v>
      </c>
    </row>
    <row r="21" spans="1:6" ht="16">
      <c r="A21" s="5" t="s">
        <v>191</v>
      </c>
      <c r="B21" s="2" t="s">
        <v>155</v>
      </c>
      <c r="C21" s="17" t="str">
        <f>IF('Inputs &amp; Sources'!$B$30="","",'Inputs &amp; Sources'!$B$30)</f>
        <v/>
      </c>
      <c r="D21" s="17" t="str">
        <f>IF('Inputs &amp; Sources'!$B$30="","",'Inputs &amp; Sources'!$B$30)</f>
        <v/>
      </c>
      <c r="E21" s="17" t="str">
        <f>IF('Inputs &amp; Sources'!$B$30="","",'Inputs &amp; Sources'!$B$30)</f>
        <v/>
      </c>
      <c r="F21" s="2" t="s">
        <v>275</v>
      </c>
    </row>
    <row r="22" spans="1:6" ht="16">
      <c r="A22" s="5" t="s">
        <v>276</v>
      </c>
      <c r="B22" s="2" t="s">
        <v>150</v>
      </c>
      <c r="C22" s="16" t="str">
        <f>IF('Scenario Forecasts'!H22="","",'Scenario Forecasts'!H22)</f>
        <v/>
      </c>
      <c r="D22" s="16" t="str">
        <f>IF('Scenario Forecasts'!H45="","",'Scenario Forecasts'!H45)</f>
        <v/>
      </c>
      <c r="E22" s="16" t="str">
        <f>IF('Scenario Forecasts'!H68="","",'Scenario Forecasts'!H68)</f>
        <v/>
      </c>
      <c r="F22" s="2" t="s">
        <v>277</v>
      </c>
    </row>
    <row r="23" spans="1:6" ht="16">
      <c r="A23" s="5" t="s">
        <v>278</v>
      </c>
      <c r="B23" s="2" t="s">
        <v>150</v>
      </c>
      <c r="C23" s="14" t="str">
        <f>IF(OR(C20="",C22=""),"",C22*(1+C20))</f>
        <v/>
      </c>
      <c r="D23" s="14" t="str">
        <f>IF(OR(D20="",D22=""),"",D22*(1+D20))</f>
        <v/>
      </c>
      <c r="E23" s="14" t="str">
        <f>IF(OR(E20="",E22=""),"",E22*(1+E20))</f>
        <v/>
      </c>
      <c r="F23" s="2" t="s">
        <v>279</v>
      </c>
    </row>
    <row r="24" spans="1:6" ht="16">
      <c r="A24" s="5" t="s">
        <v>280</v>
      </c>
      <c r="B24" s="2" t="s">
        <v>150</v>
      </c>
      <c r="C24" s="14" t="str">
        <f>IF(OR(C21&lt;=C20,C23=""),"",C23/(C21-C20))</f>
        <v/>
      </c>
      <c r="D24" s="14" t="str">
        <f>IF(OR(D21&lt;=D20,D23=""),"",D23/(D21-D20))</f>
        <v/>
      </c>
      <c r="E24" s="14" t="str">
        <f>IF(OR(E21&lt;=E20,E23=""),"",E23/(E21-E20))</f>
        <v/>
      </c>
      <c r="F24" s="2" t="s">
        <v>281</v>
      </c>
    </row>
    <row r="25" spans="1:6" ht="16">
      <c r="A25" s="5" t="s">
        <v>259</v>
      </c>
      <c r="B25" s="2" t="s">
        <v>150</v>
      </c>
      <c r="C25" s="14" t="str">
        <f>IF(C24="","",C24/(1+C21)^5)</f>
        <v/>
      </c>
      <c r="D25" s="14" t="str">
        <f>IF(D24="","",D24/(1+D21)^5)</f>
        <v/>
      </c>
      <c r="E25" s="14" t="str">
        <f>IF(E24="","",E24/(1+E21)^5)</f>
        <v/>
      </c>
      <c r="F25" s="2" t="s">
        <v>282</v>
      </c>
    </row>
    <row r="26" spans="1:6" ht="16">
      <c r="A26" s="5" t="s">
        <v>283</v>
      </c>
      <c r="B26" s="2" t="s">
        <v>155</v>
      </c>
      <c r="C26" s="7" t="str">
        <f>IFERROR(C25/C9,"")</f>
        <v/>
      </c>
      <c r="D26" s="7" t="str">
        <f>IFERROR(D25/D9,"")</f>
        <v/>
      </c>
      <c r="E26" s="7" t="str">
        <f>IFERROR(E25/E9,"")</f>
        <v/>
      </c>
      <c r="F26" s="2" t="s">
        <v>284</v>
      </c>
    </row>
    <row r="27" spans="1:6" ht="30">
      <c r="A27" s="5" t="s">
        <v>285</v>
      </c>
      <c r="B27" s="2" t="s">
        <v>160</v>
      </c>
      <c r="C27" s="22" t="str">
        <f>IFERROR(C24/'Scenario Forecasts'!H16,"")</f>
        <v/>
      </c>
      <c r="D27" s="22" t="str">
        <f>IFERROR(D24/'Scenario Forecasts'!H39,"")</f>
        <v/>
      </c>
      <c r="E27" s="22" t="str">
        <f>IFERROR(E24/'Scenario Forecasts'!H62,"")</f>
        <v/>
      </c>
      <c r="F27" s="2" t="s">
        <v>286</v>
      </c>
    </row>
    <row r="28" spans="1:6" ht="16">
      <c r="A28" s="5" t="s">
        <v>287</v>
      </c>
      <c r="B28" s="2" t="s">
        <v>155</v>
      </c>
      <c r="C28" s="7" t="str">
        <f>IF(COUNT(C20:C21)&lt;2,"",C21-C20)</f>
        <v/>
      </c>
      <c r="D28" s="7" t="str">
        <f>IF(COUNT(D20:D21)&lt;2,"",D21-D20)</f>
        <v/>
      </c>
      <c r="E28" s="7" t="str">
        <f>IF(COUNT(E20:E21)&lt;2,"",E21-E20)</f>
        <v/>
      </c>
      <c r="F28" s="2" t="s">
        <v>288</v>
      </c>
    </row>
  </sheetData>
  <mergeCells count="5">
    <mergeCell ref="A1:F1"/>
    <mergeCell ref="A2:F2"/>
    <mergeCell ref="A3:F3"/>
    <mergeCell ref="A5:F5"/>
    <mergeCell ref="A18:F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showGridLines="0" workbookViewId="0"/>
  </sheetViews>
  <sheetFormatPr baseColWidth="10" defaultColWidth="8.83203125" defaultRowHeight="14"/>
  <cols>
    <col min="1" max="1" width="41" customWidth="1"/>
    <col min="2" max="2" width="15" customWidth="1"/>
    <col min="3" max="8" width="14" customWidth="1"/>
  </cols>
  <sheetData>
    <row r="1" spans="1:8" ht="28" customHeight="1">
      <c r="A1" s="34" t="s">
        <v>289</v>
      </c>
      <c r="B1" s="34"/>
      <c r="C1" s="34"/>
      <c r="D1" s="34"/>
      <c r="E1" s="34"/>
      <c r="F1" s="34"/>
      <c r="G1" s="34"/>
      <c r="H1" s="34"/>
    </row>
    <row r="2" spans="1:8" ht="30" customHeight="1">
      <c r="A2" s="35" t="s">
        <v>290</v>
      </c>
      <c r="B2" s="35"/>
      <c r="C2" s="35"/>
      <c r="D2" s="35"/>
      <c r="E2" s="35"/>
      <c r="F2" s="35"/>
      <c r="G2" s="35"/>
      <c r="H2" s="35"/>
    </row>
    <row r="3" spans="1:8" ht="24" customHeight="1">
      <c r="A3" s="36" t="s">
        <v>2</v>
      </c>
      <c r="B3" s="36"/>
      <c r="C3" s="36"/>
      <c r="D3" s="36"/>
      <c r="E3" s="36"/>
      <c r="F3" s="36"/>
      <c r="G3" s="36"/>
      <c r="H3" s="36"/>
    </row>
    <row r="4" spans="1:8">
      <c r="A4" s="28"/>
      <c r="B4" s="28"/>
      <c r="C4" s="28"/>
      <c r="D4" s="28"/>
      <c r="E4" s="28"/>
      <c r="F4" s="28"/>
      <c r="G4" s="28"/>
      <c r="H4" s="28"/>
    </row>
    <row r="5" spans="1:8" ht="22" customHeight="1">
      <c r="A5" s="37" t="s">
        <v>291</v>
      </c>
      <c r="B5" s="37"/>
      <c r="C5" s="37"/>
      <c r="D5" s="37"/>
      <c r="E5" s="37"/>
      <c r="F5" s="37"/>
      <c r="G5" s="37"/>
      <c r="H5" s="37"/>
    </row>
    <row r="6" spans="1:8" ht="66" customHeight="1">
      <c r="A6" s="1" t="s">
        <v>136</v>
      </c>
      <c r="B6" s="1" t="s">
        <v>137</v>
      </c>
      <c r="C6" s="1" t="s">
        <v>39</v>
      </c>
      <c r="D6" s="1" t="s">
        <v>138</v>
      </c>
      <c r="E6" s="28"/>
      <c r="F6" s="39" t="s">
        <v>292</v>
      </c>
      <c r="G6" s="39"/>
      <c r="H6" s="39"/>
    </row>
    <row r="7" spans="1:8" ht="66" customHeight="1">
      <c r="A7" s="5" t="s">
        <v>293</v>
      </c>
      <c r="B7" s="3" t="s">
        <v>294</v>
      </c>
      <c r="C7" s="2" t="s">
        <v>295</v>
      </c>
      <c r="D7" s="3"/>
      <c r="E7" s="28"/>
      <c r="F7" s="39" t="s">
        <v>296</v>
      </c>
      <c r="G7" s="39"/>
      <c r="H7" s="39"/>
    </row>
    <row r="8" spans="1:8" ht="66" customHeight="1">
      <c r="A8" s="5" t="s">
        <v>297</v>
      </c>
      <c r="B8" s="3"/>
      <c r="C8" s="2" t="s">
        <v>144</v>
      </c>
      <c r="D8" s="3"/>
      <c r="E8" s="28"/>
      <c r="F8" s="39" t="s">
        <v>298</v>
      </c>
      <c r="G8" s="39"/>
      <c r="H8" s="39"/>
    </row>
    <row r="9" spans="1:8" ht="66" customHeight="1">
      <c r="A9" s="5" t="s">
        <v>299</v>
      </c>
      <c r="B9" s="6"/>
      <c r="C9" s="2" t="s">
        <v>150</v>
      </c>
      <c r="D9" s="3"/>
      <c r="E9" s="28"/>
      <c r="F9" s="39" t="s">
        <v>300</v>
      </c>
      <c r="G9" s="39"/>
      <c r="H9" s="39"/>
    </row>
    <row r="10" spans="1:8" ht="66" customHeight="1">
      <c r="A10" s="5" t="s">
        <v>301</v>
      </c>
      <c r="B10" s="6"/>
      <c r="C10" s="2" t="s">
        <v>150</v>
      </c>
      <c r="D10" s="3"/>
      <c r="E10" s="28"/>
      <c r="F10" s="39" t="s">
        <v>302</v>
      </c>
      <c r="G10" s="39"/>
      <c r="H10" s="39"/>
    </row>
    <row r="11" spans="1:8" ht="66" customHeight="1">
      <c r="A11" s="5" t="s">
        <v>303</v>
      </c>
      <c r="B11" s="6"/>
      <c r="C11" s="2" t="s">
        <v>150</v>
      </c>
      <c r="D11" s="3"/>
      <c r="E11" s="28"/>
      <c r="F11" s="39" t="s">
        <v>304</v>
      </c>
      <c r="G11" s="39"/>
      <c r="H11" s="39"/>
    </row>
    <row r="12" spans="1:8" ht="66" customHeight="1">
      <c r="A12" s="5" t="s">
        <v>305</v>
      </c>
      <c r="B12" s="6"/>
      <c r="C12" s="2" t="s">
        <v>248</v>
      </c>
      <c r="D12" s="3"/>
      <c r="E12" s="28"/>
      <c r="F12" s="39" t="s">
        <v>306</v>
      </c>
      <c r="G12" s="39"/>
      <c r="H12" s="39"/>
    </row>
    <row r="13" spans="1:8" ht="66" customHeight="1">
      <c r="A13" s="5" t="s">
        <v>307</v>
      </c>
      <c r="B13" s="6"/>
      <c r="C13" s="2" t="s">
        <v>150</v>
      </c>
      <c r="D13" s="3"/>
      <c r="E13" s="28"/>
      <c r="F13" s="39" t="s">
        <v>308</v>
      </c>
      <c r="G13" s="39"/>
      <c r="H13" s="39"/>
    </row>
    <row r="14" spans="1:8" ht="66" customHeight="1">
      <c r="A14" s="5" t="s">
        <v>309</v>
      </c>
      <c r="B14" s="17" t="str">
        <f>IF('Inputs &amp; Sources'!$B$12="","",'Inputs &amp; Sources'!$B$12)</f>
        <v/>
      </c>
      <c r="C14" s="2" t="s">
        <v>155</v>
      </c>
      <c r="D14" s="2" t="s">
        <v>310</v>
      </c>
      <c r="E14" s="28"/>
      <c r="F14" s="39" t="s">
        <v>311</v>
      </c>
      <c r="G14" s="39"/>
      <c r="H14" s="39"/>
    </row>
    <row r="15" spans="1:8" ht="66" customHeight="1">
      <c r="A15" s="5" t="s">
        <v>312</v>
      </c>
      <c r="B15" s="17" t="str">
        <f>IF('Inputs &amp; Sources'!$B$30="","",'Inputs &amp; Sources'!$B$30)</f>
        <v/>
      </c>
      <c r="C15" s="2" t="s">
        <v>155</v>
      </c>
      <c r="D15" s="2" t="s">
        <v>310</v>
      </c>
      <c r="E15" s="28"/>
      <c r="F15" s="39" t="s">
        <v>313</v>
      </c>
      <c r="G15" s="39"/>
      <c r="H15" s="39"/>
    </row>
    <row r="16" spans="1:8">
      <c r="A16" s="28"/>
      <c r="B16" s="28"/>
      <c r="C16" s="28"/>
      <c r="D16" s="28"/>
      <c r="E16" s="28"/>
      <c r="F16" s="28"/>
      <c r="G16" s="28"/>
      <c r="H16" s="28"/>
    </row>
    <row r="17" spans="1:8" ht="22" customHeight="1">
      <c r="A17" s="37" t="s">
        <v>314</v>
      </c>
      <c r="B17" s="37"/>
      <c r="C17" s="37"/>
      <c r="D17" s="37"/>
      <c r="E17" s="37"/>
      <c r="F17" s="37"/>
      <c r="G17" s="37"/>
      <c r="H17" s="37"/>
    </row>
    <row r="18" spans="1:8" ht="34" customHeight="1">
      <c r="A18" s="1" t="s">
        <v>315</v>
      </c>
      <c r="B18" s="1" t="s">
        <v>138</v>
      </c>
      <c r="C18" s="1" t="s">
        <v>316</v>
      </c>
      <c r="D18" s="1" t="s">
        <v>317</v>
      </c>
      <c r="E18" s="1" t="s">
        <v>318</v>
      </c>
      <c r="F18" s="1" t="s">
        <v>319</v>
      </c>
      <c r="G18" s="1" t="s">
        <v>320</v>
      </c>
      <c r="H18" s="1" t="s">
        <v>321</v>
      </c>
    </row>
    <row r="19" spans="1:8" ht="16">
      <c r="A19" s="5" t="s">
        <v>322</v>
      </c>
      <c r="B19" s="3"/>
      <c r="C19" s="14"/>
      <c r="D19" s="6"/>
      <c r="E19" s="6"/>
      <c r="F19" s="6"/>
      <c r="G19" s="6"/>
      <c r="H19" s="6"/>
    </row>
    <row r="20" spans="1:8" ht="16">
      <c r="A20" s="5" t="s">
        <v>323</v>
      </c>
      <c r="B20" s="3"/>
      <c r="C20" s="14"/>
      <c r="D20" s="6"/>
      <c r="E20" s="6"/>
      <c r="F20" s="6"/>
      <c r="G20" s="6"/>
      <c r="H20" s="6"/>
    </row>
    <row r="21" spans="1:8" ht="16">
      <c r="A21" s="5" t="s">
        <v>324</v>
      </c>
      <c r="B21" s="2"/>
      <c r="C21" s="14"/>
      <c r="D21" s="14" t="str">
        <f>IF(OR($B$7&lt;&gt;"Yes",$B$11="",$B$12=""),"",IF(COLUMN()-3&lt;=$B$12,($B$11-$B$13)/$B$12,0))</f>
        <v/>
      </c>
      <c r="E21" s="14" t="str">
        <f>IF(OR($B$7&lt;&gt;"Yes",$B$11="",$B$12=""),"",IF(COLUMN()-3&lt;=$B$12,($B$11-$B$13)/$B$12,0))</f>
        <v/>
      </c>
      <c r="F21" s="14" t="str">
        <f>IF(OR($B$7&lt;&gt;"Yes",$B$11="",$B$12=""),"",IF(COLUMN()-3&lt;=$B$12,($B$11-$B$13)/$B$12,0))</f>
        <v/>
      </c>
      <c r="G21" s="14" t="str">
        <f>IF(OR($B$7&lt;&gt;"Yes",$B$11="",$B$12=""),"",IF(COLUMN()-3&lt;=$B$12,($B$11-$B$13)/$B$12,0))</f>
        <v/>
      </c>
      <c r="H21" s="14" t="str">
        <f>IF(OR($B$7&lt;&gt;"Yes",$B$11="",$B$12=""),"",IF(COLUMN()-3&lt;=$B$12,($B$11-$B$13)/$B$12,0))</f>
        <v/>
      </c>
    </row>
    <row r="22" spans="1:8" ht="16">
      <c r="A22" s="5" t="s">
        <v>235</v>
      </c>
      <c r="B22" s="2"/>
      <c r="C22" s="14"/>
      <c r="D22" s="14" t="str">
        <f>IF(COUNT(D19:D21)&lt;3,"",D19-D20-D21)</f>
        <v/>
      </c>
      <c r="E22" s="14" t="str">
        <f>IF(COUNT(E19:E21)&lt;3,"",E19-E20-E21)</f>
        <v/>
      </c>
      <c r="F22" s="14" t="str">
        <f>IF(COUNT(F19:F21)&lt;3,"",F19-F20-F21)</f>
        <v/>
      </c>
      <c r="G22" s="14" t="str">
        <f>IF(COUNT(G19:G21)&lt;3,"",G19-G20-G21)</f>
        <v/>
      </c>
      <c r="H22" s="14" t="str">
        <f>IF(COUNT(H19:H21)&lt;3,"",H19-H20-H21)</f>
        <v/>
      </c>
    </row>
    <row r="23" spans="1:8" ht="16">
      <c r="A23" s="5" t="s">
        <v>236</v>
      </c>
      <c r="B23" s="2"/>
      <c r="C23" s="14"/>
      <c r="D23" s="14" t="str">
        <f>IF(OR(D22="",$B$14=""),"",MAX(0,D22*$B$14))</f>
        <v/>
      </c>
      <c r="E23" s="14" t="str">
        <f>IF(OR(E22="",$B$14=""),"",MAX(0,E22*$B$14))</f>
        <v/>
      </c>
      <c r="F23" s="14" t="str">
        <f>IF(OR(F22="",$B$14=""),"",MAX(0,F22*$B$14))</f>
        <v/>
      </c>
      <c r="G23" s="14" t="str">
        <f>IF(OR(G22="",$B$14=""),"",MAX(0,G22*$B$14))</f>
        <v/>
      </c>
      <c r="H23" s="14" t="str">
        <f>IF(OR(H22="",$B$14=""),"",MAX(0,H22*$B$14))</f>
        <v/>
      </c>
    </row>
    <row r="24" spans="1:8" ht="16">
      <c r="A24" s="5" t="s">
        <v>237</v>
      </c>
      <c r="B24" s="2"/>
      <c r="C24" s="14"/>
      <c r="D24" s="14" t="str">
        <f>IF(D22="","",D22-D23)</f>
        <v/>
      </c>
      <c r="E24" s="14" t="str">
        <f>IF(E22="","",E22-E23)</f>
        <v/>
      </c>
      <c r="F24" s="14" t="str">
        <f>IF(F22="","",F22-F23)</f>
        <v/>
      </c>
      <c r="G24" s="14" t="str">
        <f>IF(G22="","",G22-G23)</f>
        <v/>
      </c>
      <c r="H24" s="14" t="str">
        <f>IF(H22="","",H22-H23)</f>
        <v/>
      </c>
    </row>
    <row r="25" spans="1:8" ht="16">
      <c r="A25" s="5" t="s">
        <v>325</v>
      </c>
      <c r="B25" s="2"/>
      <c r="C25" s="14"/>
      <c r="D25" s="14" t="str">
        <f>IF(D21="","",D21)</f>
        <v/>
      </c>
      <c r="E25" s="14" t="str">
        <f>IF(E21="","",E21)</f>
        <v/>
      </c>
      <c r="F25" s="14" t="str">
        <f>IF(F21="","",F21)</f>
        <v/>
      </c>
      <c r="G25" s="14" t="str">
        <f>IF(G21="","",G21)</f>
        <v/>
      </c>
      <c r="H25" s="14" t="str">
        <f>IF(H21="","",H21)</f>
        <v/>
      </c>
    </row>
    <row r="26" spans="1:8" ht="16">
      <c r="A26" s="5" t="s">
        <v>326</v>
      </c>
      <c r="B26" s="3"/>
      <c r="C26" s="16" t="str">
        <f>IF($B$7&lt;&gt;"Yes","",$B$9)</f>
        <v/>
      </c>
      <c r="D26" s="6"/>
      <c r="E26" s="6"/>
      <c r="F26" s="6"/>
      <c r="G26" s="6"/>
      <c r="H26" s="6"/>
    </row>
    <row r="27" spans="1:8" ht="16">
      <c r="A27" s="5" t="s">
        <v>327</v>
      </c>
      <c r="B27" s="3"/>
      <c r="C27" s="14"/>
      <c r="D27" s="6"/>
      <c r="E27" s="6"/>
      <c r="F27" s="6"/>
      <c r="G27" s="6"/>
      <c r="H27" s="6"/>
    </row>
    <row r="28" spans="1:8" ht="16">
      <c r="A28" s="5" t="s">
        <v>328</v>
      </c>
      <c r="B28" s="3"/>
      <c r="C28" s="14"/>
      <c r="D28" s="6"/>
      <c r="E28" s="6"/>
      <c r="F28" s="6"/>
      <c r="G28" s="6"/>
      <c r="H28" s="6"/>
    </row>
    <row r="29" spans="1:8" ht="16">
      <c r="A29" s="5" t="s">
        <v>329</v>
      </c>
      <c r="B29" s="2"/>
      <c r="C29" s="14"/>
      <c r="D29" s="14"/>
      <c r="E29" s="14"/>
      <c r="F29" s="14"/>
      <c r="G29" s="14"/>
      <c r="H29" s="16" t="str">
        <f>IF($B$7&lt;&gt;"Yes","",$B$13)</f>
        <v/>
      </c>
    </row>
    <row r="30" spans="1:8" ht="16">
      <c r="A30" s="5" t="s">
        <v>330</v>
      </c>
      <c r="B30" s="2"/>
      <c r="C30" s="14"/>
      <c r="D30" s="14"/>
      <c r="E30" s="14"/>
      <c r="F30" s="14"/>
      <c r="G30" s="14"/>
      <c r="H30" s="14" t="str">
        <f>IF(COUNT(H28,H29,$B$14)&lt;3,"",H28-(H28-H29)*$B$14)</f>
        <v/>
      </c>
    </row>
    <row r="31" spans="1:8" ht="16">
      <c r="A31" s="5" t="s">
        <v>331</v>
      </c>
      <c r="B31" s="3"/>
      <c r="C31" s="14"/>
      <c r="D31" s="14"/>
      <c r="E31" s="14"/>
      <c r="F31" s="14"/>
      <c r="G31" s="14"/>
      <c r="H31" s="6"/>
    </row>
    <row r="32" spans="1:8" ht="16">
      <c r="A32" s="18" t="s">
        <v>246</v>
      </c>
      <c r="B32" s="19"/>
      <c r="C32" s="20" t="str">
        <f>IF($B$7&lt;&gt;"Yes","",-C26-C27)</f>
        <v/>
      </c>
      <c r="D32" s="20" t="str">
        <f>IF($B$7&lt;&gt;"Yes","",IF(COUNT(D24:D27)&lt;4,"",SUM(D24:D25)-SUM(D26:D27)+SUM(D30:D31)))</f>
        <v/>
      </c>
      <c r="E32" s="20" t="str">
        <f>IF($B$7&lt;&gt;"Yes","",IF(COUNT(E24:E27)&lt;4,"",SUM(E24:E25)-SUM(E26:E27)+SUM(E30:E31)))</f>
        <v/>
      </c>
      <c r="F32" s="20" t="str">
        <f>IF($B$7&lt;&gt;"Yes","",IF(COUNT(F24:F27)&lt;4,"",SUM(F24:F25)-SUM(F26:F27)+SUM(F30:F31)))</f>
        <v/>
      </c>
      <c r="G32" s="20" t="str">
        <f>IF($B$7&lt;&gt;"Yes","",IF(COUNT(G24:G27)&lt;4,"",SUM(G24:G25)-SUM(G26:G27)+SUM(G30:G31)))</f>
        <v/>
      </c>
      <c r="H32" s="20" t="str">
        <f>IF($B$7&lt;&gt;"Yes","",IF(COUNT(H24:H27)&lt;4,"",SUM(H24:H25)-SUM(H26:H27)+SUM(H30:H31)))</f>
        <v/>
      </c>
    </row>
    <row r="33" spans="1:8" ht="16">
      <c r="A33" s="5" t="s">
        <v>332</v>
      </c>
      <c r="B33" s="2"/>
      <c r="C33" s="14" t="str">
        <f>IF(C32="","",C32)</f>
        <v/>
      </c>
      <c r="D33" s="14" t="str">
        <f>IF(D32="","",C33+D32)</f>
        <v/>
      </c>
      <c r="E33" s="14" t="str">
        <f>IF(E32="","",D33+E32)</f>
        <v/>
      </c>
      <c r="F33" s="14" t="str">
        <f>IF(F32="","",E33+F32)</f>
        <v/>
      </c>
      <c r="G33" s="14" t="str">
        <f>IF(G32="","",F33+G32)</f>
        <v/>
      </c>
      <c r="H33" s="14" t="str">
        <f>IF(H32="","",G33+H32)</f>
        <v/>
      </c>
    </row>
    <row r="34" spans="1:8" ht="16">
      <c r="A34" s="5" t="s">
        <v>333</v>
      </c>
      <c r="B34" s="2"/>
      <c r="C34" s="2"/>
      <c r="D34" s="23" t="str">
        <f>IF($B$7&lt;&gt;"Yes","",IF(C33&gt;=0,0,IF(D33&lt;0,1,IFERROR(ABS(C33)/D32,0))))</f>
        <v/>
      </c>
      <c r="E34" s="23" t="str">
        <f>IF($B$7&lt;&gt;"Yes","",IF(D33&gt;=0,0,IF(E33&lt;0,1,IFERROR(ABS(D33)/E32,0))))</f>
        <v/>
      </c>
      <c r="F34" s="23" t="str">
        <f>IF($B$7&lt;&gt;"Yes","",IF(E33&gt;=0,0,IF(F33&lt;0,1,IFERROR(ABS(E33)/F32,0))))</f>
        <v/>
      </c>
      <c r="G34" s="23" t="str">
        <f>IF($B$7&lt;&gt;"Yes","",IF(F33&gt;=0,0,IF(G33&lt;0,1,IFERROR(ABS(F33)/G32,0))))</f>
        <v/>
      </c>
      <c r="H34" s="23" t="str">
        <f>IF($B$7&lt;&gt;"Yes","",IF(G33&gt;=0,0,IF(H33&lt;0,1,IFERROR(ABS(G33)/H32,0))))</f>
        <v/>
      </c>
    </row>
    <row r="35" spans="1:8">
      <c r="A35" s="28"/>
      <c r="B35" s="28"/>
      <c r="C35" s="28"/>
      <c r="D35" s="28"/>
      <c r="E35" s="28"/>
      <c r="F35" s="28"/>
      <c r="G35" s="28"/>
      <c r="H35" s="28"/>
    </row>
    <row r="36" spans="1:8" ht="22" customHeight="1">
      <c r="A36" s="37" t="s">
        <v>334</v>
      </c>
      <c r="B36" s="37"/>
      <c r="C36" s="37"/>
      <c r="D36" s="37"/>
      <c r="E36" s="37"/>
      <c r="F36" s="37"/>
      <c r="G36" s="37"/>
      <c r="H36" s="37"/>
    </row>
    <row r="37" spans="1:8" ht="34" customHeight="1">
      <c r="A37" s="1" t="s">
        <v>271</v>
      </c>
      <c r="B37" s="1" t="s">
        <v>137</v>
      </c>
      <c r="C37" s="1" t="s">
        <v>335</v>
      </c>
      <c r="D37" s="1" t="s">
        <v>336</v>
      </c>
      <c r="E37" s="28"/>
      <c r="F37" s="28"/>
      <c r="G37" s="28"/>
      <c r="H37" s="28"/>
    </row>
    <row r="38" spans="1:8" ht="48" customHeight="1">
      <c r="A38" s="1" t="s">
        <v>337</v>
      </c>
      <c r="B38" s="14" t="str">
        <f>IF($B$7&lt;&gt;"Yes","",IF(COUNT(C32:H32)&lt;6,"",C32+D32/(1+$B$15)^1+E32/(1+$B$15)^2+F32/(1+$B$15)^3+G32/(1+$B$15)^4+H32/(1+$B$15)^5))</f>
        <v/>
      </c>
      <c r="C38" s="2" t="s">
        <v>338</v>
      </c>
      <c r="D38" s="2" t="s">
        <v>339</v>
      </c>
      <c r="E38" s="28"/>
      <c r="F38" s="28"/>
      <c r="G38" s="28"/>
      <c r="H38" s="28"/>
    </row>
    <row r="39" spans="1:8" ht="48" customHeight="1">
      <c r="A39" s="1" t="s">
        <v>340</v>
      </c>
      <c r="B39" s="7" t="str">
        <f>IF(OR($B$7&lt;&gt;"Yes",COUNTIF(C32:H32,"&gt;0")=0,COUNTIF(C32:H32,"&lt;0")=0),"",IRR(C32:H32))</f>
        <v/>
      </c>
      <c r="C39" s="2" t="s">
        <v>341</v>
      </c>
      <c r="D39" s="2" t="s">
        <v>342</v>
      </c>
      <c r="E39" s="28"/>
      <c r="F39" s="28"/>
      <c r="G39" s="28"/>
      <c r="H39" s="28"/>
    </row>
    <row r="40" spans="1:8" ht="48" customHeight="1">
      <c r="A40" s="1" t="s">
        <v>343</v>
      </c>
      <c r="B40" s="23" t="str">
        <f>IF($B$7&lt;&gt;"Yes","Not applicable",IF(COUNT(C32:H32)&lt;6,"Incomplete",IF(MAX(D33:H33)&lt;0,"No payback",SUM(D34:H34))))</f>
        <v>Not applicable</v>
      </c>
      <c r="C40" s="2" t="s">
        <v>344</v>
      </c>
      <c r="D40" s="2" t="s">
        <v>345</v>
      </c>
      <c r="E40" s="28"/>
      <c r="F40" s="28"/>
      <c r="G40" s="28"/>
      <c r="H40" s="28"/>
    </row>
  </sheetData>
  <mergeCells count="16">
    <mergeCell ref="A36:H36"/>
    <mergeCell ref="F12:H12"/>
    <mergeCell ref="F13:H13"/>
    <mergeCell ref="F14:H14"/>
    <mergeCell ref="F15:H15"/>
    <mergeCell ref="A17:H17"/>
    <mergeCell ref="F7:H7"/>
    <mergeCell ref="F8:H8"/>
    <mergeCell ref="F9:H9"/>
    <mergeCell ref="F10:H10"/>
    <mergeCell ref="F11:H11"/>
    <mergeCell ref="A1:H1"/>
    <mergeCell ref="A2:H2"/>
    <mergeCell ref="A3:H3"/>
    <mergeCell ref="A5:H5"/>
    <mergeCell ref="F6:H6"/>
  </mergeCells>
  <dataValidations count="2">
    <dataValidation type="list" sqref="D7:D13 B31 B26:B28 B19:B20" xr:uid="{00000000-0002-0000-0500-000000000000}">
      <formula1>"S01,S02,S03,S04,S05,S06,S07,S08,S09,S10,S11,S12,S13,S14,S15,S16,S17,S18,S19,S20,S21,S22,S23,S24,S25,S26,S27,S28,S29,S30,S31,S32,S33,S34,S35,S36,S37,S38,S39,S40"</formula1>
    </dataValidation>
    <dataValidation type="list" sqref="B7" xr:uid="{00000000-0002-0000-0500-000001000000}">
      <formula1>"No,Yes"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showGridLines="0" workbookViewId="0"/>
  </sheetViews>
  <sheetFormatPr baseColWidth="10" defaultColWidth="8.83203125" defaultRowHeight="14"/>
  <cols>
    <col min="1" max="1" width="23" customWidth="1"/>
    <col min="2" max="5" width="16" customWidth="1"/>
    <col min="6" max="6" width="18" customWidth="1"/>
    <col min="7" max="7" width="44" customWidth="1"/>
  </cols>
  <sheetData>
    <row r="1" spans="1:7" ht="28" customHeight="1">
      <c r="A1" s="34" t="s">
        <v>346</v>
      </c>
      <c r="B1" s="34"/>
      <c r="C1" s="34"/>
      <c r="D1" s="34"/>
      <c r="E1" s="34"/>
      <c r="F1" s="34"/>
      <c r="G1" s="34"/>
    </row>
    <row r="2" spans="1:7" ht="30" customHeight="1">
      <c r="A2" s="35" t="s">
        <v>347</v>
      </c>
      <c r="B2" s="35"/>
      <c r="C2" s="35"/>
      <c r="D2" s="35"/>
      <c r="E2" s="35"/>
      <c r="F2" s="35"/>
      <c r="G2" s="35"/>
    </row>
    <row r="3" spans="1:7" ht="24" customHeight="1">
      <c r="A3" s="36" t="s">
        <v>2</v>
      </c>
      <c r="B3" s="36"/>
      <c r="C3" s="36"/>
      <c r="D3" s="36"/>
      <c r="E3" s="36"/>
      <c r="F3" s="36"/>
      <c r="G3" s="36"/>
    </row>
    <row r="4" spans="1:7">
      <c r="A4" s="28"/>
      <c r="B4" s="28"/>
      <c r="C4" s="28"/>
      <c r="D4" s="28"/>
      <c r="E4" s="28"/>
      <c r="F4" s="28"/>
      <c r="G4" s="28"/>
    </row>
    <row r="5" spans="1:7" ht="22" customHeight="1">
      <c r="A5" s="37" t="s">
        <v>348</v>
      </c>
      <c r="B5" s="37"/>
      <c r="C5" s="37"/>
      <c r="D5" s="37"/>
      <c r="E5" s="37"/>
      <c r="F5" s="37"/>
      <c r="G5" s="37"/>
    </row>
    <row r="6" spans="1:7">
      <c r="A6" s="28" t="s">
        <v>349</v>
      </c>
      <c r="B6" s="28"/>
      <c r="C6" s="28"/>
      <c r="D6" s="28"/>
      <c r="E6" s="28"/>
      <c r="F6" s="28"/>
      <c r="G6" s="28"/>
    </row>
    <row r="7" spans="1:7" ht="28" customHeight="1">
      <c r="A7" s="1"/>
      <c r="B7" s="24" t="str">
        <f>IF('Inputs &amp; Sources'!$J$41="","",'Inputs &amp; Sources'!$J$41-0.01)</f>
        <v/>
      </c>
      <c r="C7" s="24" t="str">
        <f>IF('Inputs &amp; Sources'!$J$41="","",'Inputs &amp; Sources'!$J$41-0.005)</f>
        <v/>
      </c>
      <c r="D7" s="24" t="str">
        <f>IF('Inputs &amp; Sources'!$J$41="","",'Inputs &amp; Sources'!$J$41+0)</f>
        <v/>
      </c>
      <c r="E7" s="24" t="str">
        <f>IF('Inputs &amp; Sources'!$J$41="","",'Inputs &amp; Sources'!$J$41+0.005)</f>
        <v/>
      </c>
      <c r="F7" s="24" t="str">
        <f>IF('Inputs &amp; Sources'!$J$41="","",'Inputs &amp; Sources'!$J$41+0.01)</f>
        <v/>
      </c>
      <c r="G7" s="29" t="s">
        <v>350</v>
      </c>
    </row>
    <row r="8" spans="1:7" ht="28" customHeight="1">
      <c r="A8" s="24" t="str">
        <f>IF('Inputs &amp; Sources'!$B$30="","",'Inputs &amp; Sources'!$B$30-0.02)</f>
        <v/>
      </c>
      <c r="B8" s="21" t="str">
        <f>IF(OR($A8="",B$7="",$A8&lt;=B$7,'Inputs &amp; Sources'!$B$20&lt;=0,COUNT('Scenario Forecasts'!$D$22:$H$22)&lt;5),"",(('Scenario Forecasts'!$D$22/(1+$A8)^1+'Scenario Forecasts'!$E$22/(1+$A8)^2+'Scenario Forecasts'!$F$22/(1+$A8)^3+'Scenario Forecasts'!$G$22/(1+$A8)^4+'Scenario Forecasts'!$H$22/(1+$A8)^5)+('Scenario Forecasts'!$H$22*(1+B$7)/($A8-B$7))/(1+$A8)^5-'Inputs &amp; Sources'!$B$18+'Inputs &amp; Sources'!$B$19)/'Inputs &amp; Sources'!$B$20)</f>
        <v/>
      </c>
      <c r="C8" s="21" t="str">
        <f>IF(OR($A8="",C$7="",$A8&lt;=C$7,'Inputs &amp; Sources'!$B$20&lt;=0,COUNT('Scenario Forecasts'!$D$22:$H$22)&lt;5),"",(('Scenario Forecasts'!$D$22/(1+$A8)^1+'Scenario Forecasts'!$E$22/(1+$A8)^2+'Scenario Forecasts'!$F$22/(1+$A8)^3+'Scenario Forecasts'!$G$22/(1+$A8)^4+'Scenario Forecasts'!$H$22/(1+$A8)^5)+('Scenario Forecasts'!$H$22*(1+C$7)/($A8-C$7))/(1+$A8)^5-'Inputs &amp; Sources'!$B$18+'Inputs &amp; Sources'!$B$19)/'Inputs &amp; Sources'!$B$20)</f>
        <v/>
      </c>
      <c r="D8" s="21" t="str">
        <f>IF(OR($A8="",D$7="",$A8&lt;=D$7,'Inputs &amp; Sources'!$B$20&lt;=0,COUNT('Scenario Forecasts'!$D$22:$H$22)&lt;5),"",(('Scenario Forecasts'!$D$22/(1+$A8)^1+'Scenario Forecasts'!$E$22/(1+$A8)^2+'Scenario Forecasts'!$F$22/(1+$A8)^3+'Scenario Forecasts'!$G$22/(1+$A8)^4+'Scenario Forecasts'!$H$22/(1+$A8)^5)+('Scenario Forecasts'!$H$22*(1+D$7)/($A8-D$7))/(1+$A8)^5-'Inputs &amp; Sources'!$B$18+'Inputs &amp; Sources'!$B$19)/'Inputs &amp; Sources'!$B$20)</f>
        <v/>
      </c>
      <c r="E8" s="21" t="str">
        <f>IF(OR($A8="",E$7="",$A8&lt;=E$7,'Inputs &amp; Sources'!$B$20&lt;=0,COUNT('Scenario Forecasts'!$D$22:$H$22)&lt;5),"",(('Scenario Forecasts'!$D$22/(1+$A8)^1+'Scenario Forecasts'!$E$22/(1+$A8)^2+'Scenario Forecasts'!$F$22/(1+$A8)^3+'Scenario Forecasts'!$G$22/(1+$A8)^4+'Scenario Forecasts'!$H$22/(1+$A8)^5)+('Scenario Forecasts'!$H$22*(1+E$7)/($A8-E$7))/(1+$A8)^5-'Inputs &amp; Sources'!$B$18+'Inputs &amp; Sources'!$B$19)/'Inputs &amp; Sources'!$B$20)</f>
        <v/>
      </c>
      <c r="F8" s="21" t="str">
        <f>IF(OR($A8="",F$7="",$A8&lt;=F$7,'Inputs &amp; Sources'!$B$20&lt;=0,COUNT('Scenario Forecasts'!$D$22:$H$22)&lt;5),"",(('Scenario Forecasts'!$D$22/(1+$A8)^1+'Scenario Forecasts'!$E$22/(1+$A8)^2+'Scenario Forecasts'!$F$22/(1+$A8)^3+'Scenario Forecasts'!$G$22/(1+$A8)^4+'Scenario Forecasts'!$H$22/(1+$A8)^5)+('Scenario Forecasts'!$H$22*(1+F$7)/($A8-F$7))/(1+$A8)^5-'Inputs &amp; Sources'!$B$18+'Inputs &amp; Sources'!$B$19)/'Inputs &amp; Sources'!$B$20)</f>
        <v/>
      </c>
      <c r="G8" s="29"/>
    </row>
    <row r="9" spans="1:7" ht="28" customHeight="1">
      <c r="A9" s="24" t="str">
        <f>IF('Inputs &amp; Sources'!$B$30="","",'Inputs &amp; Sources'!$B$30-0.01)</f>
        <v/>
      </c>
      <c r="B9" s="21" t="str">
        <f>IF(OR($A9="",B$7="",$A9&lt;=B$7,'Inputs &amp; Sources'!$B$20&lt;=0,COUNT('Scenario Forecasts'!$D$22:$H$22)&lt;5),"",(('Scenario Forecasts'!$D$22/(1+$A9)^1+'Scenario Forecasts'!$E$22/(1+$A9)^2+'Scenario Forecasts'!$F$22/(1+$A9)^3+'Scenario Forecasts'!$G$22/(1+$A9)^4+'Scenario Forecasts'!$H$22/(1+$A9)^5)+('Scenario Forecasts'!$H$22*(1+B$7)/($A9-B$7))/(1+$A9)^5-'Inputs &amp; Sources'!$B$18+'Inputs &amp; Sources'!$B$19)/'Inputs &amp; Sources'!$B$20)</f>
        <v/>
      </c>
      <c r="C9" s="21" t="str">
        <f>IF(OR($A9="",C$7="",$A9&lt;=C$7,'Inputs &amp; Sources'!$B$20&lt;=0,COUNT('Scenario Forecasts'!$D$22:$H$22)&lt;5),"",(('Scenario Forecasts'!$D$22/(1+$A9)^1+'Scenario Forecasts'!$E$22/(1+$A9)^2+'Scenario Forecasts'!$F$22/(1+$A9)^3+'Scenario Forecasts'!$G$22/(1+$A9)^4+'Scenario Forecasts'!$H$22/(1+$A9)^5)+('Scenario Forecasts'!$H$22*(1+C$7)/($A9-C$7))/(1+$A9)^5-'Inputs &amp; Sources'!$B$18+'Inputs &amp; Sources'!$B$19)/'Inputs &amp; Sources'!$B$20)</f>
        <v/>
      </c>
      <c r="D9" s="21" t="str">
        <f>IF(OR($A9="",D$7="",$A9&lt;=D$7,'Inputs &amp; Sources'!$B$20&lt;=0,COUNT('Scenario Forecasts'!$D$22:$H$22)&lt;5),"",(('Scenario Forecasts'!$D$22/(1+$A9)^1+'Scenario Forecasts'!$E$22/(1+$A9)^2+'Scenario Forecasts'!$F$22/(1+$A9)^3+'Scenario Forecasts'!$G$22/(1+$A9)^4+'Scenario Forecasts'!$H$22/(1+$A9)^5)+('Scenario Forecasts'!$H$22*(1+D$7)/($A9-D$7))/(1+$A9)^5-'Inputs &amp; Sources'!$B$18+'Inputs &amp; Sources'!$B$19)/'Inputs &amp; Sources'!$B$20)</f>
        <v/>
      </c>
      <c r="E9" s="21" t="str">
        <f>IF(OR($A9="",E$7="",$A9&lt;=E$7,'Inputs &amp; Sources'!$B$20&lt;=0,COUNT('Scenario Forecasts'!$D$22:$H$22)&lt;5),"",(('Scenario Forecasts'!$D$22/(1+$A9)^1+'Scenario Forecasts'!$E$22/(1+$A9)^2+'Scenario Forecasts'!$F$22/(1+$A9)^3+'Scenario Forecasts'!$G$22/(1+$A9)^4+'Scenario Forecasts'!$H$22/(1+$A9)^5)+('Scenario Forecasts'!$H$22*(1+E$7)/($A9-E$7))/(1+$A9)^5-'Inputs &amp; Sources'!$B$18+'Inputs &amp; Sources'!$B$19)/'Inputs &amp; Sources'!$B$20)</f>
        <v/>
      </c>
      <c r="F9" s="21" t="str">
        <f>IF(OR($A9="",F$7="",$A9&lt;=F$7,'Inputs &amp; Sources'!$B$20&lt;=0,COUNT('Scenario Forecasts'!$D$22:$H$22)&lt;5),"",(('Scenario Forecasts'!$D$22/(1+$A9)^1+'Scenario Forecasts'!$E$22/(1+$A9)^2+'Scenario Forecasts'!$F$22/(1+$A9)^3+'Scenario Forecasts'!$G$22/(1+$A9)^4+'Scenario Forecasts'!$H$22/(1+$A9)^5)+('Scenario Forecasts'!$H$22*(1+F$7)/($A9-F$7))/(1+$A9)^5-'Inputs &amp; Sources'!$B$18+'Inputs &amp; Sources'!$B$19)/'Inputs &amp; Sources'!$B$20)</f>
        <v/>
      </c>
      <c r="G9" s="29"/>
    </row>
    <row r="10" spans="1:7" ht="28" customHeight="1">
      <c r="A10" s="24" t="str">
        <f>IF('Inputs &amp; Sources'!$B$30="","",'Inputs &amp; Sources'!$B$30+0)</f>
        <v/>
      </c>
      <c r="B10" s="21" t="str">
        <f>IF(OR($A10="",B$7="",$A10&lt;=B$7,'Inputs &amp; Sources'!$B$20&lt;=0,COUNT('Scenario Forecasts'!$D$22:$H$22)&lt;5),"",(('Scenario Forecasts'!$D$22/(1+$A10)^1+'Scenario Forecasts'!$E$22/(1+$A10)^2+'Scenario Forecasts'!$F$22/(1+$A10)^3+'Scenario Forecasts'!$G$22/(1+$A10)^4+'Scenario Forecasts'!$H$22/(1+$A10)^5)+('Scenario Forecasts'!$H$22*(1+B$7)/($A10-B$7))/(1+$A10)^5-'Inputs &amp; Sources'!$B$18+'Inputs &amp; Sources'!$B$19)/'Inputs &amp; Sources'!$B$20)</f>
        <v/>
      </c>
      <c r="C10" s="21" t="str">
        <f>IF(OR($A10="",C$7="",$A10&lt;=C$7,'Inputs &amp; Sources'!$B$20&lt;=0,COUNT('Scenario Forecasts'!$D$22:$H$22)&lt;5),"",(('Scenario Forecasts'!$D$22/(1+$A10)^1+'Scenario Forecasts'!$E$22/(1+$A10)^2+'Scenario Forecasts'!$F$22/(1+$A10)^3+'Scenario Forecasts'!$G$22/(1+$A10)^4+'Scenario Forecasts'!$H$22/(1+$A10)^5)+('Scenario Forecasts'!$H$22*(1+C$7)/($A10-C$7))/(1+$A10)^5-'Inputs &amp; Sources'!$B$18+'Inputs &amp; Sources'!$B$19)/'Inputs &amp; Sources'!$B$20)</f>
        <v/>
      </c>
      <c r="D10" s="21" t="str">
        <f>IF(OR($A10="",D$7="",$A10&lt;=D$7,'Inputs &amp; Sources'!$B$20&lt;=0,COUNT('Scenario Forecasts'!$D$22:$H$22)&lt;5),"",(('Scenario Forecasts'!$D$22/(1+$A10)^1+'Scenario Forecasts'!$E$22/(1+$A10)^2+'Scenario Forecasts'!$F$22/(1+$A10)^3+'Scenario Forecasts'!$G$22/(1+$A10)^4+'Scenario Forecasts'!$H$22/(1+$A10)^5)+('Scenario Forecasts'!$H$22*(1+D$7)/($A10-D$7))/(1+$A10)^5-'Inputs &amp; Sources'!$B$18+'Inputs &amp; Sources'!$B$19)/'Inputs &amp; Sources'!$B$20)</f>
        <v/>
      </c>
      <c r="E10" s="21" t="str">
        <f>IF(OR($A10="",E$7="",$A10&lt;=E$7,'Inputs &amp; Sources'!$B$20&lt;=0,COUNT('Scenario Forecasts'!$D$22:$H$22)&lt;5),"",(('Scenario Forecasts'!$D$22/(1+$A10)^1+'Scenario Forecasts'!$E$22/(1+$A10)^2+'Scenario Forecasts'!$F$22/(1+$A10)^3+'Scenario Forecasts'!$G$22/(1+$A10)^4+'Scenario Forecasts'!$H$22/(1+$A10)^5)+('Scenario Forecasts'!$H$22*(1+E$7)/($A10-E$7))/(1+$A10)^5-'Inputs &amp; Sources'!$B$18+'Inputs &amp; Sources'!$B$19)/'Inputs &amp; Sources'!$B$20)</f>
        <v/>
      </c>
      <c r="F10" s="21" t="str">
        <f>IF(OR($A10="",F$7="",$A10&lt;=F$7,'Inputs &amp; Sources'!$B$20&lt;=0,COUNT('Scenario Forecasts'!$D$22:$H$22)&lt;5),"",(('Scenario Forecasts'!$D$22/(1+$A10)^1+'Scenario Forecasts'!$E$22/(1+$A10)^2+'Scenario Forecasts'!$F$22/(1+$A10)^3+'Scenario Forecasts'!$G$22/(1+$A10)^4+'Scenario Forecasts'!$H$22/(1+$A10)^5)+('Scenario Forecasts'!$H$22*(1+F$7)/($A10-F$7))/(1+$A10)^5-'Inputs &amp; Sources'!$B$18+'Inputs &amp; Sources'!$B$19)/'Inputs &amp; Sources'!$B$20)</f>
        <v/>
      </c>
      <c r="G10" s="29"/>
    </row>
    <row r="11" spans="1:7" ht="28" customHeight="1">
      <c r="A11" s="24" t="str">
        <f>IF('Inputs &amp; Sources'!$B$30="","",'Inputs &amp; Sources'!$B$30+0.01)</f>
        <v/>
      </c>
      <c r="B11" s="21" t="str">
        <f>IF(OR($A11="",B$7="",$A11&lt;=B$7,'Inputs &amp; Sources'!$B$20&lt;=0,COUNT('Scenario Forecasts'!$D$22:$H$22)&lt;5),"",(('Scenario Forecasts'!$D$22/(1+$A11)^1+'Scenario Forecasts'!$E$22/(1+$A11)^2+'Scenario Forecasts'!$F$22/(1+$A11)^3+'Scenario Forecasts'!$G$22/(1+$A11)^4+'Scenario Forecasts'!$H$22/(1+$A11)^5)+('Scenario Forecasts'!$H$22*(1+B$7)/($A11-B$7))/(1+$A11)^5-'Inputs &amp; Sources'!$B$18+'Inputs &amp; Sources'!$B$19)/'Inputs &amp; Sources'!$B$20)</f>
        <v/>
      </c>
      <c r="C11" s="21" t="str">
        <f>IF(OR($A11="",C$7="",$A11&lt;=C$7,'Inputs &amp; Sources'!$B$20&lt;=0,COUNT('Scenario Forecasts'!$D$22:$H$22)&lt;5),"",(('Scenario Forecasts'!$D$22/(1+$A11)^1+'Scenario Forecasts'!$E$22/(1+$A11)^2+'Scenario Forecasts'!$F$22/(1+$A11)^3+'Scenario Forecasts'!$G$22/(1+$A11)^4+'Scenario Forecasts'!$H$22/(1+$A11)^5)+('Scenario Forecasts'!$H$22*(1+C$7)/($A11-C$7))/(1+$A11)^5-'Inputs &amp; Sources'!$B$18+'Inputs &amp; Sources'!$B$19)/'Inputs &amp; Sources'!$B$20)</f>
        <v/>
      </c>
      <c r="D11" s="21" t="str">
        <f>IF(OR($A11="",D$7="",$A11&lt;=D$7,'Inputs &amp; Sources'!$B$20&lt;=0,COUNT('Scenario Forecasts'!$D$22:$H$22)&lt;5),"",(('Scenario Forecasts'!$D$22/(1+$A11)^1+'Scenario Forecasts'!$E$22/(1+$A11)^2+'Scenario Forecasts'!$F$22/(1+$A11)^3+'Scenario Forecasts'!$G$22/(1+$A11)^4+'Scenario Forecasts'!$H$22/(1+$A11)^5)+('Scenario Forecasts'!$H$22*(1+D$7)/($A11-D$7))/(1+$A11)^5-'Inputs &amp; Sources'!$B$18+'Inputs &amp; Sources'!$B$19)/'Inputs &amp; Sources'!$B$20)</f>
        <v/>
      </c>
      <c r="E11" s="21" t="str">
        <f>IF(OR($A11="",E$7="",$A11&lt;=E$7,'Inputs &amp; Sources'!$B$20&lt;=0,COUNT('Scenario Forecasts'!$D$22:$H$22)&lt;5),"",(('Scenario Forecasts'!$D$22/(1+$A11)^1+'Scenario Forecasts'!$E$22/(1+$A11)^2+'Scenario Forecasts'!$F$22/(1+$A11)^3+'Scenario Forecasts'!$G$22/(1+$A11)^4+'Scenario Forecasts'!$H$22/(1+$A11)^5)+('Scenario Forecasts'!$H$22*(1+E$7)/($A11-E$7))/(1+$A11)^5-'Inputs &amp; Sources'!$B$18+'Inputs &amp; Sources'!$B$19)/'Inputs &amp; Sources'!$B$20)</f>
        <v/>
      </c>
      <c r="F11" s="21" t="str">
        <f>IF(OR($A11="",F$7="",$A11&lt;=F$7,'Inputs &amp; Sources'!$B$20&lt;=0,COUNT('Scenario Forecasts'!$D$22:$H$22)&lt;5),"",(('Scenario Forecasts'!$D$22/(1+$A11)^1+'Scenario Forecasts'!$E$22/(1+$A11)^2+'Scenario Forecasts'!$F$22/(1+$A11)^3+'Scenario Forecasts'!$G$22/(1+$A11)^4+'Scenario Forecasts'!$H$22/(1+$A11)^5)+('Scenario Forecasts'!$H$22*(1+F$7)/($A11-F$7))/(1+$A11)^5-'Inputs &amp; Sources'!$B$18+'Inputs &amp; Sources'!$B$19)/'Inputs &amp; Sources'!$B$20)</f>
        <v/>
      </c>
      <c r="G11" s="29"/>
    </row>
    <row r="12" spans="1:7" ht="28" customHeight="1">
      <c r="A12" s="24" t="str">
        <f>IF('Inputs &amp; Sources'!$B$30="","",'Inputs &amp; Sources'!$B$30+0.02)</f>
        <v/>
      </c>
      <c r="B12" s="21" t="str">
        <f>IF(OR($A12="",B$7="",$A12&lt;=B$7,'Inputs &amp; Sources'!$B$20&lt;=0,COUNT('Scenario Forecasts'!$D$22:$H$22)&lt;5),"",(('Scenario Forecasts'!$D$22/(1+$A12)^1+'Scenario Forecasts'!$E$22/(1+$A12)^2+'Scenario Forecasts'!$F$22/(1+$A12)^3+'Scenario Forecasts'!$G$22/(1+$A12)^4+'Scenario Forecasts'!$H$22/(1+$A12)^5)+('Scenario Forecasts'!$H$22*(1+B$7)/($A12-B$7))/(1+$A12)^5-'Inputs &amp; Sources'!$B$18+'Inputs &amp; Sources'!$B$19)/'Inputs &amp; Sources'!$B$20)</f>
        <v/>
      </c>
      <c r="C12" s="21" t="str">
        <f>IF(OR($A12="",C$7="",$A12&lt;=C$7,'Inputs &amp; Sources'!$B$20&lt;=0,COUNT('Scenario Forecasts'!$D$22:$H$22)&lt;5),"",(('Scenario Forecasts'!$D$22/(1+$A12)^1+'Scenario Forecasts'!$E$22/(1+$A12)^2+'Scenario Forecasts'!$F$22/(1+$A12)^3+'Scenario Forecasts'!$G$22/(1+$A12)^4+'Scenario Forecasts'!$H$22/(1+$A12)^5)+('Scenario Forecasts'!$H$22*(1+C$7)/($A12-C$7))/(1+$A12)^5-'Inputs &amp; Sources'!$B$18+'Inputs &amp; Sources'!$B$19)/'Inputs &amp; Sources'!$B$20)</f>
        <v/>
      </c>
      <c r="D12" s="21" t="str">
        <f>IF(OR($A12="",D$7="",$A12&lt;=D$7,'Inputs &amp; Sources'!$B$20&lt;=0,COUNT('Scenario Forecasts'!$D$22:$H$22)&lt;5),"",(('Scenario Forecasts'!$D$22/(1+$A12)^1+'Scenario Forecasts'!$E$22/(1+$A12)^2+'Scenario Forecasts'!$F$22/(1+$A12)^3+'Scenario Forecasts'!$G$22/(1+$A12)^4+'Scenario Forecasts'!$H$22/(1+$A12)^5)+('Scenario Forecasts'!$H$22*(1+D$7)/($A12-D$7))/(1+$A12)^5-'Inputs &amp; Sources'!$B$18+'Inputs &amp; Sources'!$B$19)/'Inputs &amp; Sources'!$B$20)</f>
        <v/>
      </c>
      <c r="E12" s="21" t="str">
        <f>IF(OR($A12="",E$7="",$A12&lt;=E$7,'Inputs &amp; Sources'!$B$20&lt;=0,COUNT('Scenario Forecasts'!$D$22:$H$22)&lt;5),"",(('Scenario Forecasts'!$D$22/(1+$A12)^1+'Scenario Forecasts'!$E$22/(1+$A12)^2+'Scenario Forecasts'!$F$22/(1+$A12)^3+'Scenario Forecasts'!$G$22/(1+$A12)^4+'Scenario Forecasts'!$H$22/(1+$A12)^5)+('Scenario Forecasts'!$H$22*(1+E$7)/($A12-E$7))/(1+$A12)^5-'Inputs &amp; Sources'!$B$18+'Inputs &amp; Sources'!$B$19)/'Inputs &amp; Sources'!$B$20)</f>
        <v/>
      </c>
      <c r="F12" s="21" t="str">
        <f>IF(OR($A12="",F$7="",$A12&lt;=F$7,'Inputs &amp; Sources'!$B$20&lt;=0,COUNT('Scenario Forecasts'!$D$22:$H$22)&lt;5),"",(('Scenario Forecasts'!$D$22/(1+$A12)^1+'Scenario Forecasts'!$E$22/(1+$A12)^2+'Scenario Forecasts'!$F$22/(1+$A12)^3+'Scenario Forecasts'!$G$22/(1+$A12)^4+'Scenario Forecasts'!$H$22/(1+$A12)^5)+('Scenario Forecasts'!$H$22*(1+F$7)/($A12-F$7))/(1+$A12)^5-'Inputs &amp; Sources'!$B$18+'Inputs &amp; Sources'!$B$19)/'Inputs &amp; Sources'!$B$20)</f>
        <v/>
      </c>
      <c r="G12" s="29"/>
    </row>
    <row r="13" spans="1:7">
      <c r="A13" s="28"/>
      <c r="B13" s="28"/>
      <c r="C13" s="28"/>
      <c r="D13" s="28"/>
      <c r="E13" s="28"/>
      <c r="F13" s="28"/>
      <c r="G13" s="28"/>
    </row>
    <row r="14" spans="1:7">
      <c r="A14" s="28"/>
      <c r="B14" s="28"/>
      <c r="C14" s="28"/>
      <c r="D14" s="28"/>
      <c r="E14" s="28"/>
      <c r="F14" s="28"/>
      <c r="G14" s="28"/>
    </row>
    <row r="15" spans="1:7" ht="22" customHeight="1">
      <c r="A15" s="37" t="s">
        <v>351</v>
      </c>
      <c r="B15" s="37"/>
      <c r="C15" s="37"/>
      <c r="D15" s="37"/>
      <c r="E15" s="37"/>
      <c r="F15" s="37"/>
      <c r="G15" s="37"/>
    </row>
    <row r="16" spans="1:7" ht="34" customHeight="1">
      <c r="A16" s="1" t="s">
        <v>112</v>
      </c>
      <c r="B16" s="1" t="s">
        <v>352</v>
      </c>
      <c r="C16" s="1" t="s">
        <v>353</v>
      </c>
      <c r="D16" s="1" t="s">
        <v>354</v>
      </c>
      <c r="E16" s="1" t="s">
        <v>355</v>
      </c>
      <c r="F16" s="1" t="s">
        <v>269</v>
      </c>
      <c r="G16" s="1" t="s">
        <v>356</v>
      </c>
    </row>
    <row r="17" spans="1:7" ht="15">
      <c r="A17" s="2" t="s">
        <v>120</v>
      </c>
      <c r="B17" s="17" t="str">
        <f>'Scenario Forecasts'!D7</f>
        <v/>
      </c>
      <c r="C17" s="17" t="str">
        <f>'Scenario Forecasts'!H9</f>
        <v/>
      </c>
      <c r="D17" s="21" t="str">
        <f>Valuation!C14</f>
        <v/>
      </c>
      <c r="E17" s="21" t="str">
        <f>Valuation!C15</f>
        <v/>
      </c>
      <c r="F17" s="17" t="str">
        <f>Valuation!C16</f>
        <v/>
      </c>
      <c r="G17" s="2" t="s">
        <v>357</v>
      </c>
    </row>
    <row r="18" spans="1:7" ht="15">
      <c r="A18" s="2" t="s">
        <v>121</v>
      </c>
      <c r="B18" s="17" t="str">
        <f>'Scenario Forecasts'!D30</f>
        <v/>
      </c>
      <c r="C18" s="17" t="str">
        <f>'Scenario Forecasts'!H32</f>
        <v/>
      </c>
      <c r="D18" s="21" t="str">
        <f>Valuation!D14</f>
        <v/>
      </c>
      <c r="E18" s="21" t="str">
        <f>Valuation!D15</f>
        <v/>
      </c>
      <c r="F18" s="17" t="str">
        <f>Valuation!D16</f>
        <v/>
      </c>
      <c r="G18" s="2" t="s">
        <v>358</v>
      </c>
    </row>
    <row r="19" spans="1:7" ht="15">
      <c r="A19" s="2" t="s">
        <v>122</v>
      </c>
      <c r="B19" s="17" t="str">
        <f>'Scenario Forecasts'!D53</f>
        <v/>
      </c>
      <c r="C19" s="17" t="str">
        <f>'Scenario Forecasts'!H55</f>
        <v/>
      </c>
      <c r="D19" s="21" t="str">
        <f>Valuation!E14</f>
        <v/>
      </c>
      <c r="E19" s="21" t="str">
        <f>Valuation!E15</f>
        <v/>
      </c>
      <c r="F19" s="17" t="str">
        <f>Valuation!E16</f>
        <v/>
      </c>
      <c r="G19" s="2" t="s">
        <v>359</v>
      </c>
    </row>
  </sheetData>
  <mergeCells count="5">
    <mergeCell ref="A1:G1"/>
    <mergeCell ref="A2:G2"/>
    <mergeCell ref="A3:G3"/>
    <mergeCell ref="A5:G5"/>
    <mergeCell ref="A15:G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9"/>
  <sheetViews>
    <sheetView showGridLines="0" workbookViewId="0"/>
  </sheetViews>
  <sheetFormatPr baseColWidth="10" defaultColWidth="8.83203125" defaultRowHeight="14"/>
  <cols>
    <col min="1" max="1" width="18" customWidth="1"/>
    <col min="2" max="2" width="16" customWidth="1"/>
    <col min="3" max="3" width="14" customWidth="1"/>
    <col min="4" max="4" width="18" customWidth="1"/>
    <col min="5" max="9" width="16" customWidth="1"/>
    <col min="10" max="10" width="38" customWidth="1"/>
    <col min="11" max="15" width="12" customWidth="1"/>
  </cols>
  <sheetData>
    <row r="1" spans="1:15" ht="28" customHeight="1">
      <c r="A1" s="34" t="s">
        <v>360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30" customHeight="1">
      <c r="A2" s="35" t="s">
        <v>361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24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1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ht="22" customHeight="1">
      <c r="A5" s="37" t="s">
        <v>362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</row>
    <row r="6" spans="1:15" ht="34" customHeight="1">
      <c r="A6" s="1" t="s">
        <v>112</v>
      </c>
      <c r="B6" s="1" t="s">
        <v>354</v>
      </c>
      <c r="C6" s="1" t="s">
        <v>355</v>
      </c>
      <c r="D6" s="1" t="s">
        <v>269</v>
      </c>
      <c r="E6" s="1" t="s">
        <v>260</v>
      </c>
      <c r="F6" s="1" t="s">
        <v>264</v>
      </c>
      <c r="G6" s="1" t="s">
        <v>363</v>
      </c>
      <c r="H6" s="1" t="s">
        <v>364</v>
      </c>
      <c r="I6" s="1" t="s">
        <v>353</v>
      </c>
      <c r="J6" s="1" t="s">
        <v>365</v>
      </c>
      <c r="K6" s="28"/>
      <c r="L6" s="28"/>
      <c r="M6" s="28"/>
      <c r="N6" s="28"/>
      <c r="O6" s="28"/>
    </row>
    <row r="7" spans="1:15" ht="15">
      <c r="A7" s="2" t="s">
        <v>120</v>
      </c>
      <c r="B7" s="21" t="str">
        <f>IF(Valuation!C14="","",Valuation!C14)</f>
        <v/>
      </c>
      <c r="C7" s="21" t="str">
        <f>IF(Valuation!C15="","",Valuation!C15)</f>
        <v/>
      </c>
      <c r="D7" s="17" t="str">
        <f>IF(Valuation!C16="","",Valuation!C16)</f>
        <v/>
      </c>
      <c r="E7" s="16" t="str">
        <f>IF(Valuation!C9="","",Valuation!C9)</f>
        <v/>
      </c>
      <c r="F7" s="16" t="str">
        <f>IF(Valuation!C12="","",Valuation!C12)</f>
        <v/>
      </c>
      <c r="G7" s="17" t="str">
        <f>IF(Valuation!C26="","",Valuation!C26)</f>
        <v/>
      </c>
      <c r="H7" s="16" t="str">
        <f>IF('Scenario Forecasts'!H8="","",'Scenario Forecasts'!H8)</f>
        <v/>
      </c>
      <c r="I7" s="17" t="str">
        <f>IF('Scenario Forecasts'!H9="","",'Scenario Forecasts'!H9)</f>
        <v/>
      </c>
      <c r="J7" s="3"/>
      <c r="K7" s="28"/>
      <c r="L7" s="28"/>
      <c r="M7" s="28"/>
      <c r="N7" s="28"/>
      <c r="O7" s="28"/>
    </row>
    <row r="8" spans="1:15" ht="15">
      <c r="A8" s="2" t="s">
        <v>121</v>
      </c>
      <c r="B8" s="21" t="str">
        <f>IF(Valuation!D14="","",Valuation!D14)</f>
        <v/>
      </c>
      <c r="C8" s="21" t="str">
        <f>IF(Valuation!D15="","",Valuation!D15)</f>
        <v/>
      </c>
      <c r="D8" s="17" t="str">
        <f>IF(Valuation!D16="","",Valuation!D16)</f>
        <v/>
      </c>
      <c r="E8" s="16" t="str">
        <f>IF(Valuation!D9="","",Valuation!D9)</f>
        <v/>
      </c>
      <c r="F8" s="16" t="str">
        <f>IF(Valuation!D12="","",Valuation!D12)</f>
        <v/>
      </c>
      <c r="G8" s="17" t="str">
        <f>IF(Valuation!D26="","",Valuation!D26)</f>
        <v/>
      </c>
      <c r="H8" s="16" t="str">
        <f>IF('Scenario Forecasts'!H31="","",'Scenario Forecasts'!H31)</f>
        <v/>
      </c>
      <c r="I8" s="17" t="str">
        <f>IF('Scenario Forecasts'!H32="","",'Scenario Forecasts'!H32)</f>
        <v/>
      </c>
      <c r="J8" s="3"/>
      <c r="K8" s="28"/>
      <c r="L8" s="28"/>
      <c r="M8" s="28"/>
      <c r="N8" s="28"/>
      <c r="O8" s="28"/>
    </row>
    <row r="9" spans="1:15" ht="15">
      <c r="A9" s="2" t="s">
        <v>122</v>
      </c>
      <c r="B9" s="21" t="str">
        <f>IF(Valuation!E14="","",Valuation!E14)</f>
        <v/>
      </c>
      <c r="C9" s="21" t="str">
        <f>IF(Valuation!E15="","",Valuation!E15)</f>
        <v/>
      </c>
      <c r="D9" s="17" t="str">
        <f>IF(Valuation!E16="","",Valuation!E16)</f>
        <v/>
      </c>
      <c r="E9" s="16" t="str">
        <f>IF(Valuation!E9="","",Valuation!E9)</f>
        <v/>
      </c>
      <c r="F9" s="16" t="str">
        <f>IF(Valuation!E12="","",Valuation!E12)</f>
        <v/>
      </c>
      <c r="G9" s="17" t="str">
        <f>IF(Valuation!E26="","",Valuation!E26)</f>
        <v/>
      </c>
      <c r="H9" s="16" t="str">
        <f>IF('Scenario Forecasts'!H54="","",'Scenario Forecasts'!H54)</f>
        <v/>
      </c>
      <c r="I9" s="17" t="str">
        <f>IF('Scenario Forecasts'!H55="","",'Scenario Forecasts'!H55)</f>
        <v/>
      </c>
      <c r="J9" s="3"/>
      <c r="K9" s="28"/>
      <c r="L9" s="28"/>
      <c r="M9" s="28"/>
      <c r="N9" s="28"/>
      <c r="O9" s="28"/>
    </row>
    <row r="10" spans="1:1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1:15" ht="22" customHeight="1">
      <c r="A11" s="37" t="s">
        <v>366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</row>
    <row r="12" spans="1:15" ht="34" customHeight="1">
      <c r="A12" s="1" t="s">
        <v>126</v>
      </c>
      <c r="B12" s="1" t="s">
        <v>120</v>
      </c>
      <c r="C12" s="1" t="s">
        <v>121</v>
      </c>
      <c r="D12" s="1" t="s">
        <v>122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15" ht="15">
      <c r="A13" s="15" t="str">
        <f>IF('Scenario Forecasts'!C6="","",'Scenario Forecasts'!C6)</f>
        <v/>
      </c>
      <c r="B13" s="16" t="str">
        <f>IF('Scenario Forecasts'!C8="","",'Scenario Forecasts'!C8)</f>
        <v/>
      </c>
      <c r="C13" s="16" t="str">
        <f>IF('Scenario Forecasts'!C31="","",'Scenario Forecasts'!C31)</f>
        <v/>
      </c>
      <c r="D13" s="16" t="str">
        <f>IF('Scenario Forecasts'!C54="","",'Scenario Forecasts'!C54)</f>
        <v/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5" ht="15">
      <c r="A14" s="15" t="str">
        <f>IF('Scenario Forecasts'!D6="","",'Scenario Forecasts'!D6)</f>
        <v/>
      </c>
      <c r="B14" s="16" t="str">
        <f>IF('Scenario Forecasts'!D8="","",'Scenario Forecasts'!D8)</f>
        <v/>
      </c>
      <c r="C14" s="16" t="str">
        <f>IF('Scenario Forecasts'!D31="","",'Scenario Forecasts'!D31)</f>
        <v/>
      </c>
      <c r="D14" s="16" t="str">
        <f>IF('Scenario Forecasts'!D54="","",'Scenario Forecasts'!D54)</f>
        <v/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15" ht="15">
      <c r="A15" s="15" t="str">
        <f>IF('Scenario Forecasts'!E6="","",'Scenario Forecasts'!E6)</f>
        <v/>
      </c>
      <c r="B15" s="16" t="str">
        <f>IF('Scenario Forecasts'!E8="","",'Scenario Forecasts'!E8)</f>
        <v/>
      </c>
      <c r="C15" s="16" t="str">
        <f>IF('Scenario Forecasts'!E31="","",'Scenario Forecasts'!E31)</f>
        <v/>
      </c>
      <c r="D15" s="16" t="str">
        <f>IF('Scenario Forecasts'!E54="","",'Scenario Forecasts'!E54)</f>
        <v/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5" ht="15">
      <c r="A16" s="15" t="str">
        <f>IF('Scenario Forecasts'!F6="","",'Scenario Forecasts'!F6)</f>
        <v/>
      </c>
      <c r="B16" s="16" t="str">
        <f>IF('Scenario Forecasts'!F8="","",'Scenario Forecasts'!F8)</f>
        <v/>
      </c>
      <c r="C16" s="16" t="str">
        <f>IF('Scenario Forecasts'!F31="","",'Scenario Forecasts'!F31)</f>
        <v/>
      </c>
      <c r="D16" s="16" t="str">
        <f>IF('Scenario Forecasts'!F54="","",'Scenario Forecasts'!F54)</f>
        <v/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1:15" ht="15">
      <c r="A17" s="15" t="str">
        <f>IF('Scenario Forecasts'!G6="","",'Scenario Forecasts'!G6)</f>
        <v/>
      </c>
      <c r="B17" s="16" t="str">
        <f>IF('Scenario Forecasts'!G8="","",'Scenario Forecasts'!G8)</f>
        <v/>
      </c>
      <c r="C17" s="16" t="str">
        <f>IF('Scenario Forecasts'!G31="","",'Scenario Forecasts'!G31)</f>
        <v/>
      </c>
      <c r="D17" s="16" t="str">
        <f>IF('Scenario Forecasts'!G54="","",'Scenario Forecasts'!G54)</f>
        <v/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1:15" ht="15">
      <c r="A18" s="15" t="str">
        <f>IF('Scenario Forecasts'!H6="","",'Scenario Forecasts'!H6)</f>
        <v/>
      </c>
      <c r="B18" s="16" t="str">
        <f>IF('Scenario Forecasts'!H8="","",'Scenario Forecasts'!H8)</f>
        <v/>
      </c>
      <c r="C18" s="16" t="str">
        <f>IF('Scenario Forecasts'!H31="","",'Scenario Forecasts'!H31)</f>
        <v/>
      </c>
      <c r="D18" s="16" t="str">
        <f>IF('Scenario Forecasts'!H54="","",'Scenario Forecasts'!H54)</f>
        <v/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1:1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1:1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1:15" ht="22" customHeight="1">
      <c r="A21" s="37" t="s">
        <v>267</v>
      </c>
      <c r="B21" s="37"/>
      <c r="C21" s="37"/>
      <c r="D21" s="37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1:15" ht="34" customHeight="1">
      <c r="A22" s="1" t="s">
        <v>112</v>
      </c>
      <c r="B22" s="1" t="s">
        <v>354</v>
      </c>
      <c r="C22" s="1" t="s">
        <v>355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1:15" ht="15">
      <c r="A23" s="2" t="s">
        <v>120</v>
      </c>
      <c r="B23" s="25" t="str">
        <f t="shared" ref="B23:C25" si="0">IF(B7="","",B7)</f>
        <v/>
      </c>
      <c r="C23" s="25" t="str">
        <f t="shared" si="0"/>
        <v/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1:15" ht="15">
      <c r="A24" s="2" t="s">
        <v>121</v>
      </c>
      <c r="B24" s="25" t="str">
        <f t="shared" si="0"/>
        <v/>
      </c>
      <c r="C24" s="25" t="str">
        <f t="shared" si="0"/>
        <v/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5" ht="15">
      <c r="A25" s="2" t="s">
        <v>122</v>
      </c>
      <c r="B25" s="25" t="str">
        <f t="shared" si="0"/>
        <v/>
      </c>
      <c r="C25" s="25" t="str">
        <f t="shared" si="0"/>
        <v/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1:1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1:1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 spans="1:1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1:1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1:1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1:1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1:1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spans="1:1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</row>
    <row r="34" spans="1:1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</row>
    <row r="35" spans="1:1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1:1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1:1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spans="1:1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</row>
    <row r="39" spans="1:1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 spans="1:1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1:1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1:1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spans="1:1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 spans="1:1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1:15" ht="22" customHeight="1">
      <c r="A45" s="37" t="s">
        <v>367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</row>
    <row r="46" spans="1:15" ht="42" customHeight="1">
      <c r="A46" s="30" t="s">
        <v>368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</row>
    <row r="47" spans="1:15" ht="42" customHeight="1">
      <c r="A47" s="30" t="s">
        <v>369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</row>
    <row r="48" spans="1:15" ht="42" customHeight="1">
      <c r="A48" s="30" t="s">
        <v>370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</row>
    <row r="49" spans="1:15" ht="42" customHeight="1">
      <c r="A49" s="30" t="s">
        <v>371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</row>
  </sheetData>
  <mergeCells count="11">
    <mergeCell ref="B49:O49"/>
    <mergeCell ref="A21:D21"/>
    <mergeCell ref="A45:O45"/>
    <mergeCell ref="B46:O46"/>
    <mergeCell ref="B47:O47"/>
    <mergeCell ref="B48:O48"/>
    <mergeCell ref="A1:O1"/>
    <mergeCell ref="A2:O2"/>
    <mergeCell ref="A3:O3"/>
    <mergeCell ref="A5:O5"/>
    <mergeCell ref="A11:O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showGridLines="0" workbookViewId="0"/>
  </sheetViews>
  <sheetFormatPr baseColWidth="10" defaultColWidth="8.83203125" defaultRowHeight="14"/>
  <cols>
    <col min="1" max="1" width="34" customWidth="1"/>
    <col min="2" max="2" width="15" customWidth="1"/>
    <col min="3" max="3" width="16" customWidth="1"/>
    <col min="4" max="4" width="18" customWidth="1"/>
    <col min="5" max="5" width="15" customWidth="1"/>
    <col min="6" max="6" width="31" customWidth="1"/>
    <col min="7" max="7" width="39" customWidth="1"/>
    <col min="8" max="8" width="30" customWidth="1"/>
  </cols>
  <sheetData>
    <row r="1" spans="1:8" ht="28" customHeight="1">
      <c r="A1" s="34" t="s">
        <v>372</v>
      </c>
      <c r="B1" s="34"/>
      <c r="C1" s="34"/>
      <c r="D1" s="34"/>
      <c r="E1" s="34"/>
      <c r="F1" s="34"/>
      <c r="G1" s="34"/>
      <c r="H1" s="34"/>
    </row>
    <row r="2" spans="1:8" ht="30" customHeight="1">
      <c r="A2" s="35" t="s">
        <v>373</v>
      </c>
      <c r="B2" s="35"/>
      <c r="C2" s="35"/>
      <c r="D2" s="35"/>
      <c r="E2" s="35"/>
      <c r="F2" s="35"/>
      <c r="G2" s="35"/>
      <c r="H2" s="35"/>
    </row>
    <row r="3" spans="1:8" ht="16">
      <c r="A3" s="32" t="s">
        <v>374</v>
      </c>
      <c r="B3" s="33" t="str">
        <f>IF(COUNTIF(E6:E25,"FAIL")&gt;0,"FAIL",IF(COUNTIF(E6:E25,"INCOMPLETE")&gt;0,"INCOMPLETE",IF(COUNTIF(E6:E25,"REVIEW")&gt;0,"REVIEW","PASS")))</f>
        <v>INCOMPLETE</v>
      </c>
      <c r="C3" s="28"/>
      <c r="D3" s="28"/>
      <c r="E3" s="28"/>
      <c r="F3" s="28"/>
      <c r="G3" s="28"/>
      <c r="H3" s="28"/>
    </row>
    <row r="4" spans="1:8">
      <c r="A4" s="28"/>
      <c r="B4" s="28"/>
      <c r="C4" s="28"/>
      <c r="D4" s="28"/>
      <c r="E4" s="28"/>
      <c r="F4" s="28"/>
      <c r="G4" s="28"/>
      <c r="H4" s="28"/>
    </row>
    <row r="5" spans="1:8" ht="34" customHeight="1">
      <c r="A5" s="1" t="s">
        <v>375</v>
      </c>
      <c r="B5" s="1" t="s">
        <v>376</v>
      </c>
      <c r="C5" s="1" t="s">
        <v>377</v>
      </c>
      <c r="D5" s="1" t="s">
        <v>378</v>
      </c>
      <c r="E5" s="1" t="s">
        <v>379</v>
      </c>
      <c r="F5" s="1" t="s">
        <v>380</v>
      </c>
      <c r="G5" s="1" t="s">
        <v>381</v>
      </c>
      <c r="H5" s="1" t="s">
        <v>382</v>
      </c>
    </row>
    <row r="6" spans="1:8" ht="40" customHeight="1">
      <c r="A6" s="5" t="s">
        <v>383</v>
      </c>
      <c r="B6" s="15">
        <f>IF('Revenue Handoff'!B6&lt;&gt;"",1,0)+IF('Revenue Handoff'!B7&lt;&gt;"",1,0)+IF('Revenue Handoff'!B8&lt;&gt;"",1,0)+IF('Revenue Handoff'!H19&lt;&gt;"",1,0)+IF('Revenue Handoff'!B12&lt;&gt;"",1,0)+IF('Revenue Handoff'!B13&lt;&gt;"",1,0)+IF('Revenue Handoff'!B14&lt;&gt;"",1,0)+IF('Revenue Handoff'!G12&lt;&gt;"",1,0)+IF('Revenue Handoff'!G13&lt;&gt;"",1,0)+IF('Revenue Handoff'!G14&lt;&gt;"",1,0)</f>
        <v>0</v>
      </c>
      <c r="C6" s="2">
        <v>10</v>
      </c>
      <c r="D6" s="2" t="s">
        <v>384</v>
      </c>
      <c r="E6" s="26" t="str">
        <f>IF(B6=0,"INCOMPLETE",IF(B6=C6,"PASS","INCOMPLETE"))</f>
        <v>INCOMPLETE</v>
      </c>
      <c r="F6" s="2" t="s">
        <v>26</v>
      </c>
      <c r="G6" s="2" t="s">
        <v>385</v>
      </c>
      <c r="H6" s="3"/>
    </row>
    <row r="7" spans="1:8" ht="40" customHeight="1">
      <c r="A7" s="5" t="s">
        <v>386</v>
      </c>
      <c r="B7" s="15">
        <f>COUNT('Inputs &amp; Sources'!B11:B21)+IF('Inputs &amp; Sources'!D11&lt;&gt;"",1,0)+IF('Inputs &amp; Sources'!D12&lt;&gt;"",1,0)+IF('Inputs &amp; Sources'!D13&lt;&gt;"",1,0)+IF('Inputs &amp; Sources'!D14&lt;&gt;"",1,0)+IF('Inputs &amp; Sources'!D15&lt;&gt;"",1,0)+IF('Inputs &amp; Sources'!D16&lt;&gt;"",1,0)+IF('Inputs &amp; Sources'!D17&lt;&gt;"",1,0)+IF('Inputs &amp; Sources'!D18&lt;&gt;"",1,0)+IF('Inputs &amp; Sources'!D19&lt;&gt;"",1,0)+IF('Inputs &amp; Sources'!D20&lt;&gt;"",1,0)+IF('Inputs &amp; Sources'!D21&lt;&gt;"",1,0)</f>
        <v>0</v>
      </c>
      <c r="C7" s="2">
        <v>22</v>
      </c>
      <c r="D7" s="2" t="s">
        <v>384</v>
      </c>
      <c r="E7" s="26" t="str">
        <f>IF(B7=0,"INCOMPLETE",IF(B7=C7,"PASS","INCOMPLETE"))</f>
        <v>INCOMPLETE</v>
      </c>
      <c r="F7" s="2" t="s">
        <v>387</v>
      </c>
      <c r="G7" s="2" t="s">
        <v>388</v>
      </c>
      <c r="H7" s="3"/>
    </row>
    <row r="8" spans="1:8" ht="40" customHeight="1">
      <c r="A8" s="5" t="s">
        <v>389</v>
      </c>
      <c r="B8" s="15">
        <f>COUNT('Inputs &amp; Sources'!E36:I40)+COUNT('Inputs &amp; Sources'!J41)+COUNT('Inputs &amp; Sources'!E44:I48)+COUNT('Inputs &amp; Sources'!J49)+COUNT('Inputs &amp; Sources'!E52:I56)+COUNT('Inputs &amp; Sources'!J57)</f>
        <v>0</v>
      </c>
      <c r="C8" s="2">
        <v>78</v>
      </c>
      <c r="D8" s="2" t="s">
        <v>384</v>
      </c>
      <c r="E8" s="26" t="str">
        <f>IF(B8=0,"INCOMPLETE",IF(B8=C8,"PASS","INCOMPLETE"))</f>
        <v>INCOMPLETE</v>
      </c>
      <c r="F8" s="2" t="s">
        <v>390</v>
      </c>
      <c r="G8" s="2" t="s">
        <v>391</v>
      </c>
      <c r="H8" s="3"/>
    </row>
    <row r="9" spans="1:8" ht="40" customHeight="1">
      <c r="A9" s="5" t="s">
        <v>392</v>
      </c>
      <c r="B9" s="17" t="str">
        <f>'Inputs &amp; Sources'!B32</f>
        <v/>
      </c>
      <c r="C9" s="2">
        <v>1</v>
      </c>
      <c r="D9" s="2" t="s">
        <v>393</v>
      </c>
      <c r="E9" s="26" t="str">
        <f>IF(B9="","INCOMPLETE",IF(ABS(B9-C9)&lt;=0.0001,"PASS","FAIL"))</f>
        <v>INCOMPLETE</v>
      </c>
      <c r="F9" s="2" t="s">
        <v>394</v>
      </c>
      <c r="G9" s="2" t="s">
        <v>395</v>
      </c>
      <c r="H9" s="3"/>
    </row>
    <row r="10" spans="1:8" ht="40" customHeight="1">
      <c r="A10" s="5" t="s">
        <v>396</v>
      </c>
      <c r="B10" s="17" t="e">
        <f>'Inputs &amp; Sources'!B30-'Inputs &amp; Sources'!J41</f>
        <v>#VALUE!</v>
      </c>
      <c r="C10" s="2">
        <v>0</v>
      </c>
      <c r="D10" s="2" t="s">
        <v>397</v>
      </c>
      <c r="E10" s="26" t="e">
        <f>IF(B10="","INCOMPLETE",IF(B10&gt;0,"PASS","FAIL"))</f>
        <v>#VALUE!</v>
      </c>
      <c r="F10" s="2" t="s">
        <v>398</v>
      </c>
      <c r="G10" s="2" t="s">
        <v>399</v>
      </c>
      <c r="H10" s="3"/>
    </row>
    <row r="11" spans="1:8" ht="40" customHeight="1">
      <c r="A11" s="5" t="s">
        <v>400</v>
      </c>
      <c r="B11" s="17" t="e">
        <f>'Inputs &amp; Sources'!B30-'Inputs &amp; Sources'!J49</f>
        <v>#VALUE!</v>
      </c>
      <c r="C11" s="2">
        <v>0</v>
      </c>
      <c r="D11" s="2" t="s">
        <v>397</v>
      </c>
      <c r="E11" s="26" t="e">
        <f>IF(B11="","INCOMPLETE",IF(B11&gt;0,"PASS","FAIL"))</f>
        <v>#VALUE!</v>
      </c>
      <c r="F11" s="2" t="s">
        <v>401</v>
      </c>
      <c r="G11" s="2" t="s">
        <v>399</v>
      </c>
      <c r="H11" s="3"/>
    </row>
    <row r="12" spans="1:8" ht="40" customHeight="1">
      <c r="A12" s="5" t="s">
        <v>402</v>
      </c>
      <c r="B12" s="17" t="e">
        <f>'Inputs &amp; Sources'!B30-'Inputs &amp; Sources'!J57</f>
        <v>#VALUE!</v>
      </c>
      <c r="C12" s="2">
        <v>0</v>
      </c>
      <c r="D12" s="2" t="s">
        <v>397</v>
      </c>
      <c r="E12" s="26" t="e">
        <f>IF(B12="","INCOMPLETE",IF(B12&gt;0,"PASS","FAIL"))</f>
        <v>#VALUE!</v>
      </c>
      <c r="F12" s="2" t="s">
        <v>403</v>
      </c>
      <c r="G12" s="2" t="s">
        <v>399</v>
      </c>
      <c r="H12" s="3"/>
    </row>
    <row r="13" spans="1:8" ht="40" customHeight="1">
      <c r="A13" s="5" t="s">
        <v>404</v>
      </c>
      <c r="B13" s="16" t="e">
        <f>ABS('Scenario Forecasts'!D22-('Scenario Forecasts'!D13+'Scenario Forecasts'!D15-'Scenario Forecasts'!D18-'Scenario Forecasts'!D21))+ABS('Scenario Forecasts'!E22-('Scenario Forecasts'!E13+'Scenario Forecasts'!E15-'Scenario Forecasts'!E18-'Scenario Forecasts'!E21))+ABS('Scenario Forecasts'!F22-('Scenario Forecasts'!F13+'Scenario Forecasts'!F15-'Scenario Forecasts'!F18-'Scenario Forecasts'!F21))+ABS('Scenario Forecasts'!G22-('Scenario Forecasts'!G13+'Scenario Forecasts'!G15-'Scenario Forecasts'!G18-'Scenario Forecasts'!G21))+ABS('Scenario Forecasts'!H22-('Scenario Forecasts'!H13+'Scenario Forecasts'!H15-'Scenario Forecasts'!H18-'Scenario Forecasts'!H21))</f>
        <v>#VALUE!</v>
      </c>
      <c r="C13" s="2">
        <v>0</v>
      </c>
      <c r="D13" s="2" t="s">
        <v>405</v>
      </c>
      <c r="E13" s="26" t="str">
        <f>IF(COUNT('Scenario Forecasts'!D22:H22)&lt;5,"INCOMPLETE",IF(B13&lt;0.1,"PASS","FAIL"))</f>
        <v>INCOMPLETE</v>
      </c>
      <c r="F13" s="2" t="s">
        <v>406</v>
      </c>
      <c r="G13" s="2" t="s">
        <v>407</v>
      </c>
      <c r="H13" s="3"/>
    </row>
    <row r="14" spans="1:8" ht="40" customHeight="1">
      <c r="A14" s="5" t="s">
        <v>408</v>
      </c>
      <c r="B14" s="16" t="e">
        <f>ABS('Scenario Forecasts'!D45-('Scenario Forecasts'!D36+'Scenario Forecasts'!D38-'Scenario Forecasts'!D41-'Scenario Forecasts'!D44))+ABS('Scenario Forecasts'!E45-('Scenario Forecasts'!E36+'Scenario Forecasts'!E38-'Scenario Forecasts'!E41-'Scenario Forecasts'!E44))+ABS('Scenario Forecasts'!F45-('Scenario Forecasts'!F36+'Scenario Forecasts'!F38-'Scenario Forecasts'!F41-'Scenario Forecasts'!F44))+ABS('Scenario Forecasts'!G45-('Scenario Forecasts'!G36+'Scenario Forecasts'!G38-'Scenario Forecasts'!G41-'Scenario Forecasts'!G44))+ABS('Scenario Forecasts'!H45-('Scenario Forecasts'!H36+'Scenario Forecasts'!H38-'Scenario Forecasts'!H41-'Scenario Forecasts'!H44))</f>
        <v>#VALUE!</v>
      </c>
      <c r="C14" s="2">
        <v>0</v>
      </c>
      <c r="D14" s="2" t="s">
        <v>405</v>
      </c>
      <c r="E14" s="26" t="str">
        <f>IF(COUNT('Scenario Forecasts'!D45:H45)&lt;5,"INCOMPLETE",IF(B14&lt;0.1,"PASS","FAIL"))</f>
        <v>INCOMPLETE</v>
      </c>
      <c r="F14" s="2" t="s">
        <v>409</v>
      </c>
      <c r="G14" s="2" t="s">
        <v>410</v>
      </c>
      <c r="H14" s="3"/>
    </row>
    <row r="15" spans="1:8" ht="40" customHeight="1">
      <c r="A15" s="5" t="s">
        <v>411</v>
      </c>
      <c r="B15" s="16" t="e">
        <f>ABS('Scenario Forecasts'!D68-('Scenario Forecasts'!D59+'Scenario Forecasts'!D61-'Scenario Forecasts'!D64-'Scenario Forecasts'!D67))+ABS('Scenario Forecasts'!E68-('Scenario Forecasts'!E59+'Scenario Forecasts'!E61-'Scenario Forecasts'!E64-'Scenario Forecasts'!E67))+ABS('Scenario Forecasts'!F68-('Scenario Forecasts'!F59+'Scenario Forecasts'!F61-'Scenario Forecasts'!F64-'Scenario Forecasts'!F67))+ABS('Scenario Forecasts'!G68-('Scenario Forecasts'!G59+'Scenario Forecasts'!G61-'Scenario Forecasts'!G64-'Scenario Forecasts'!G67))+ABS('Scenario Forecasts'!H68-('Scenario Forecasts'!H59+'Scenario Forecasts'!H61-'Scenario Forecasts'!H64-'Scenario Forecasts'!H67))</f>
        <v>#VALUE!</v>
      </c>
      <c r="C15" s="2">
        <v>0</v>
      </c>
      <c r="D15" s="2" t="s">
        <v>405</v>
      </c>
      <c r="E15" s="26" t="str">
        <f>IF(COUNT('Scenario Forecasts'!D68:H68)&lt;5,"INCOMPLETE",IF(B15&lt;0.1,"PASS","FAIL"))</f>
        <v>INCOMPLETE</v>
      </c>
      <c r="F15" s="2" t="s">
        <v>412</v>
      </c>
      <c r="G15" s="2" t="s">
        <v>410</v>
      </c>
      <c r="H15" s="3"/>
    </row>
    <row r="16" spans="1:8" ht="40" customHeight="1">
      <c r="A16" s="5" t="s">
        <v>413</v>
      </c>
      <c r="B16" s="16" t="e">
        <f>Valuation!C9-SUM(Valuation!C7:C8)</f>
        <v>#VALUE!</v>
      </c>
      <c r="C16" s="2">
        <v>0</v>
      </c>
      <c r="D16" s="2" t="s">
        <v>405</v>
      </c>
      <c r="E16" s="26" t="str">
        <f>IF(Valuation!C9="","INCOMPLETE",IF(ABS(B16)&lt;0.1,"PASS","FAIL"))</f>
        <v>INCOMPLETE</v>
      </c>
      <c r="F16" s="2" t="s">
        <v>414</v>
      </c>
      <c r="G16" s="2" t="s">
        <v>415</v>
      </c>
      <c r="H16" s="3"/>
    </row>
    <row r="17" spans="1:8" ht="40" customHeight="1">
      <c r="A17" s="5" t="s">
        <v>416</v>
      </c>
      <c r="B17" s="16" t="e">
        <f>Valuation!C12-(Valuation!C9-Valuation!C10+Valuation!C11)</f>
        <v>#VALUE!</v>
      </c>
      <c r="C17" s="2">
        <v>0</v>
      </c>
      <c r="D17" s="2" t="s">
        <v>405</v>
      </c>
      <c r="E17" s="26" t="str">
        <f>IF(Valuation!C12="","INCOMPLETE",IF(ABS(B17)&lt;0.1,"PASS","FAIL"))</f>
        <v>INCOMPLETE</v>
      </c>
      <c r="F17" s="2" t="s">
        <v>417</v>
      </c>
      <c r="G17" s="2" t="s">
        <v>418</v>
      </c>
      <c r="H17" s="3"/>
    </row>
    <row r="18" spans="1:8" ht="40" customHeight="1">
      <c r="A18" s="5" t="s">
        <v>419</v>
      </c>
      <c r="B18" s="16" t="e">
        <f>Sensitivities!D10-Valuation!C14</f>
        <v>#VALUE!</v>
      </c>
      <c r="C18" s="2">
        <v>0</v>
      </c>
      <c r="D18" s="2" t="s">
        <v>420</v>
      </c>
      <c r="E18" s="26" t="str">
        <f>IF(Sensitivities!D10="","INCOMPLETE",IF(ABS(B18)&lt;0.01,"PASS","FAIL"))</f>
        <v>INCOMPLETE</v>
      </c>
      <c r="F18" s="2" t="s">
        <v>421</v>
      </c>
      <c r="G18" s="2" t="s">
        <v>422</v>
      </c>
      <c r="H18" s="3"/>
    </row>
    <row r="19" spans="1:8" ht="40" customHeight="1">
      <c r="A19" s="5" t="s">
        <v>423</v>
      </c>
      <c r="B19" s="15">
        <f>IF(AND(Valuation!E14&lt;=Valuation!C14,Valuation!C14&lt;=Valuation!D14),0,1)</f>
        <v>0</v>
      </c>
      <c r="C19" s="2">
        <v>0</v>
      </c>
      <c r="D19" s="2" t="s">
        <v>384</v>
      </c>
      <c r="E19" s="26" t="str">
        <f>IF(COUNT(Valuation!C14:E14)&lt;3,"INCOMPLETE",IF(B19=0,"PASS","REVIEW"))</f>
        <v>INCOMPLETE</v>
      </c>
      <c r="F19" s="2" t="s">
        <v>424</v>
      </c>
      <c r="G19" s="2" t="s">
        <v>425</v>
      </c>
      <c r="H19" s="3"/>
    </row>
    <row r="20" spans="1:8" ht="40" customHeight="1">
      <c r="A20" s="5" t="s">
        <v>426</v>
      </c>
      <c r="B20" s="17" t="str">
        <f>Valuation!C26</f>
        <v/>
      </c>
      <c r="C20" s="2">
        <v>0.4</v>
      </c>
      <c r="D20" s="2" t="s">
        <v>427</v>
      </c>
      <c r="E20" s="26" t="str">
        <f>IF(B20="","INCOMPLETE",IF(AND(B20&gt;=0.4,B20&lt;=0.85),"PASS","REVIEW"))</f>
        <v>INCOMPLETE</v>
      </c>
      <c r="F20" s="2" t="s">
        <v>428</v>
      </c>
      <c r="G20" s="2" t="s">
        <v>429</v>
      </c>
      <c r="H20" s="3"/>
    </row>
    <row r="21" spans="1:8" ht="40" customHeight="1">
      <c r="A21" s="5" t="s">
        <v>430</v>
      </c>
      <c r="B21" s="22" t="str">
        <f>Valuation!C27</f>
        <v/>
      </c>
      <c r="C21" s="2">
        <v>25</v>
      </c>
      <c r="D21" s="2" t="s">
        <v>431</v>
      </c>
      <c r="E21" s="26" t="str">
        <f>IF(B21="","INCOMPLETE",IF(AND(B21&gt;0,B21&lt;=25),"PASS","REVIEW"))</f>
        <v>INCOMPLETE</v>
      </c>
      <c r="F21" s="2" t="s">
        <v>432</v>
      </c>
      <c r="G21" s="2" t="s">
        <v>433</v>
      </c>
      <c r="H21" s="3"/>
    </row>
    <row r="22" spans="1:8" ht="40" customHeight="1">
      <c r="A22" s="5" t="s">
        <v>434</v>
      </c>
      <c r="B22" s="15">
        <f>IF(AND(Sensitivities!D11&lt;Sensitivities!D10,Sensitivities!E10&gt;Sensitivities!D10),0,1)</f>
        <v>1</v>
      </c>
      <c r="C22" s="2">
        <v>0</v>
      </c>
      <c r="D22" s="2" t="s">
        <v>384</v>
      </c>
      <c r="E22" s="26" t="str">
        <f>IF(Sensitivities!D10="","INCOMPLETE",IF(B22=0,"PASS","FAIL"))</f>
        <v>INCOMPLETE</v>
      </c>
      <c r="F22" s="2" t="s">
        <v>63</v>
      </c>
      <c r="G22" s="2" t="s">
        <v>435</v>
      </c>
      <c r="H22" s="3"/>
    </row>
    <row r="23" spans="1:8" ht="40" customHeight="1">
      <c r="A23" s="5" t="s">
        <v>436</v>
      </c>
      <c r="B23" s="15">
        <f>IF('Decision Economics'!B7="No",1,COUNT('Decision Economics'!B9:B13)+COUNT('Decision Economics'!D19:H20))</f>
        <v>1</v>
      </c>
      <c r="C23" s="2">
        <v>1</v>
      </c>
      <c r="D23" s="2" t="s">
        <v>437</v>
      </c>
      <c r="E23" s="26" t="str">
        <f>IF('Decision Economics'!B7="No","PASS",IF(B23=15,"PASS","INCOMPLETE"))</f>
        <v>PASS</v>
      </c>
      <c r="F23" s="2" t="s">
        <v>55</v>
      </c>
      <c r="G23" s="2" t="s">
        <v>438</v>
      </c>
      <c r="H23" s="3"/>
    </row>
    <row r="24" spans="1:8" ht="40" customHeight="1">
      <c r="A24" s="5" t="s">
        <v>439</v>
      </c>
      <c r="B24" s="15">
        <f>IF('Decision Economics'!B7="No",0,'Decision Economics'!C32-(-'Decision Economics'!C26-'Decision Economics'!C27))</f>
        <v>0</v>
      </c>
      <c r="C24" s="2">
        <v>0</v>
      </c>
      <c r="D24" s="2" t="s">
        <v>405</v>
      </c>
      <c r="E24" s="26" t="str">
        <f>IF('Decision Economics'!B7="No","PASS",IF(ABS(B24)&lt;0.1,"PASS","FAIL"))</f>
        <v>PASS</v>
      </c>
      <c r="F24" s="2" t="s">
        <v>440</v>
      </c>
      <c r="G24" s="2" t="s">
        <v>441</v>
      </c>
      <c r="H24" s="3"/>
    </row>
    <row r="25" spans="1:8" ht="40" customHeight="1">
      <c r="A25" s="5" t="s">
        <v>442</v>
      </c>
      <c r="B25" s="15">
        <f>IF('Decision Economics'!B7="No",1,IF(OR('Decision Economics'!B40="No payback",AND(ISNUMBER('Decision Economics'!B40),'Decision Economics'!B40&gt;=0,'Decision Economics'!B40&lt;=5)),1,0))</f>
        <v>1</v>
      </c>
      <c r="C25" s="2">
        <v>1</v>
      </c>
      <c r="D25" s="2" t="s">
        <v>25</v>
      </c>
      <c r="E25" s="26" t="str">
        <f>IF(B25=1,"PASS","FAIL")</f>
        <v>PASS</v>
      </c>
      <c r="F25" s="2" t="s">
        <v>443</v>
      </c>
      <c r="G25" s="2" t="s">
        <v>444</v>
      </c>
      <c r="H25" s="3"/>
    </row>
    <row r="26" spans="1:8">
      <c r="A26" s="28"/>
      <c r="B26" s="28"/>
      <c r="C26" s="28"/>
      <c r="D26" s="28"/>
      <c r="E26" s="28"/>
      <c r="F26" s="28"/>
      <c r="G26" s="28"/>
      <c r="H26" s="28"/>
    </row>
    <row r="27" spans="1:8" ht="15">
      <c r="A27" s="41" t="s">
        <v>445</v>
      </c>
      <c r="B27" s="41"/>
      <c r="C27" s="41"/>
      <c r="D27" s="41"/>
      <c r="E27" s="41"/>
      <c r="F27" s="41"/>
      <c r="G27" s="41"/>
      <c r="H27" s="41"/>
    </row>
  </sheetData>
  <mergeCells count="3">
    <mergeCell ref="A1:H1"/>
    <mergeCell ref="A2:H2"/>
    <mergeCell ref="A27:H27"/>
  </mergeCells>
  <conditionalFormatting sqref="A1:H27">
    <cfRule type="containsText" dxfId="3" priority="1" operator="containsText" text="PASS"/>
    <cfRule type="containsText" dxfId="2" priority="2" operator="containsText" text="FAIL"/>
    <cfRule type="containsText" dxfId="1" priority="3" operator="containsText" text="INCOMPLETE"/>
    <cfRule type="containsText" dxfId="0" priority="4" operator="containsText" text="REVIEW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5"/>
  <sheetViews>
    <sheetView showGridLines="0" workbookViewId="0"/>
  </sheetViews>
  <sheetFormatPr baseColWidth="10" defaultColWidth="8.83203125" defaultRowHeight="14"/>
  <cols>
    <col min="1" max="1" width="12" customWidth="1"/>
    <col min="2" max="2" width="31" customWidth="1"/>
    <col min="3" max="3" width="19" customWidth="1"/>
    <col min="4" max="4" width="32" customWidth="1"/>
    <col min="5" max="6" width="17" customWidth="1"/>
    <col min="7" max="7" width="30" customWidth="1"/>
    <col min="8" max="8" width="42" customWidth="1"/>
    <col min="9" max="9" width="16" customWidth="1"/>
    <col min="10" max="10" width="32" customWidth="1"/>
  </cols>
  <sheetData>
    <row r="1" spans="1:10" ht="28" customHeight="1">
      <c r="A1" s="34" t="s">
        <v>446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30" customHeight="1">
      <c r="A2" s="35" t="s">
        <v>447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24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</row>
    <row r="4" spans="1:10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34" customHeight="1">
      <c r="A5" s="1" t="s">
        <v>138</v>
      </c>
      <c r="B5" s="1" t="s">
        <v>448</v>
      </c>
      <c r="C5" s="1" t="s">
        <v>449</v>
      </c>
      <c r="D5" s="1" t="s">
        <v>450</v>
      </c>
      <c r="E5" s="1" t="s">
        <v>451</v>
      </c>
      <c r="F5" s="1" t="s">
        <v>452</v>
      </c>
      <c r="G5" s="1" t="s">
        <v>453</v>
      </c>
      <c r="H5" s="1" t="s">
        <v>454</v>
      </c>
      <c r="I5" s="1" t="s">
        <v>455</v>
      </c>
      <c r="J5" s="1" t="s">
        <v>456</v>
      </c>
    </row>
    <row r="6" spans="1:10" ht="50" customHeight="1">
      <c r="A6" s="27" t="s">
        <v>457</v>
      </c>
      <c r="B6" s="3"/>
      <c r="C6" s="3"/>
      <c r="D6" s="3"/>
      <c r="E6" s="3"/>
      <c r="F6" s="3"/>
      <c r="G6" s="3"/>
      <c r="H6" s="3"/>
      <c r="I6" s="9"/>
      <c r="J6" s="3"/>
    </row>
    <row r="7" spans="1:10" ht="50" customHeight="1">
      <c r="A7" s="27" t="s">
        <v>458</v>
      </c>
      <c r="B7" s="3"/>
      <c r="C7" s="3"/>
      <c r="D7" s="3"/>
      <c r="E7" s="3"/>
      <c r="F7" s="3"/>
      <c r="G7" s="3"/>
      <c r="H7" s="3"/>
      <c r="I7" s="9"/>
      <c r="J7" s="3"/>
    </row>
    <row r="8" spans="1:10" ht="50" customHeight="1">
      <c r="A8" s="27" t="s">
        <v>459</v>
      </c>
      <c r="B8" s="3"/>
      <c r="C8" s="3"/>
      <c r="D8" s="3"/>
      <c r="E8" s="3"/>
      <c r="F8" s="3"/>
      <c r="G8" s="3"/>
      <c r="H8" s="3"/>
      <c r="I8" s="9"/>
      <c r="J8" s="3"/>
    </row>
    <row r="9" spans="1:10" ht="50" customHeight="1">
      <c r="A9" s="27" t="s">
        <v>460</v>
      </c>
      <c r="B9" s="3"/>
      <c r="C9" s="3"/>
      <c r="D9" s="3"/>
      <c r="E9" s="3"/>
      <c r="F9" s="3"/>
      <c r="G9" s="3"/>
      <c r="H9" s="3"/>
      <c r="I9" s="9"/>
      <c r="J9" s="3"/>
    </row>
    <row r="10" spans="1:10" ht="50" customHeight="1">
      <c r="A10" s="27" t="s">
        <v>461</v>
      </c>
      <c r="B10" s="3"/>
      <c r="C10" s="3"/>
      <c r="D10" s="3"/>
      <c r="E10" s="3"/>
      <c r="F10" s="3"/>
      <c r="G10" s="3"/>
      <c r="H10" s="3"/>
      <c r="I10" s="9"/>
      <c r="J10" s="3"/>
    </row>
    <row r="11" spans="1:10" ht="50" customHeight="1">
      <c r="A11" s="27" t="s">
        <v>462</v>
      </c>
      <c r="B11" s="3"/>
      <c r="C11" s="3"/>
      <c r="D11" s="3"/>
      <c r="E11" s="3"/>
      <c r="F11" s="3"/>
      <c r="G11" s="3"/>
      <c r="H11" s="3"/>
      <c r="I11" s="9"/>
      <c r="J11" s="3"/>
    </row>
    <row r="12" spans="1:10" ht="50" customHeight="1">
      <c r="A12" s="27" t="s">
        <v>463</v>
      </c>
      <c r="B12" s="3"/>
      <c r="C12" s="3"/>
      <c r="D12" s="3"/>
      <c r="E12" s="3"/>
      <c r="F12" s="3"/>
      <c r="G12" s="3"/>
      <c r="H12" s="3"/>
      <c r="I12" s="9"/>
      <c r="J12" s="3"/>
    </row>
    <row r="13" spans="1:10" ht="50" customHeight="1">
      <c r="A13" s="27" t="s">
        <v>464</v>
      </c>
      <c r="B13" s="3"/>
      <c r="C13" s="3"/>
      <c r="D13" s="3"/>
      <c r="E13" s="3"/>
      <c r="F13" s="3"/>
      <c r="G13" s="3"/>
      <c r="H13" s="3"/>
      <c r="I13" s="9"/>
      <c r="J13" s="3"/>
    </row>
    <row r="14" spans="1:10" ht="50" customHeight="1">
      <c r="A14" s="27" t="s">
        <v>465</v>
      </c>
      <c r="B14" s="3"/>
      <c r="C14" s="3"/>
      <c r="D14" s="3"/>
      <c r="E14" s="3"/>
      <c r="F14" s="3"/>
      <c r="G14" s="3"/>
      <c r="H14" s="3"/>
      <c r="I14" s="9"/>
      <c r="J14" s="3"/>
    </row>
    <row r="15" spans="1:10" ht="50" customHeight="1">
      <c r="A15" s="27" t="s">
        <v>466</v>
      </c>
      <c r="B15" s="3"/>
      <c r="C15" s="3"/>
      <c r="D15" s="3"/>
      <c r="E15" s="3"/>
      <c r="F15" s="3"/>
      <c r="G15" s="3"/>
      <c r="H15" s="3"/>
      <c r="I15" s="9"/>
      <c r="J15" s="3"/>
    </row>
    <row r="16" spans="1:10" ht="50" customHeight="1">
      <c r="A16" s="27" t="s">
        <v>467</v>
      </c>
      <c r="B16" s="3"/>
      <c r="C16" s="3"/>
      <c r="D16" s="3"/>
      <c r="E16" s="3"/>
      <c r="F16" s="3"/>
      <c r="G16" s="3"/>
      <c r="H16" s="3"/>
      <c r="I16" s="9"/>
      <c r="J16" s="3"/>
    </row>
    <row r="17" spans="1:10" ht="50" customHeight="1">
      <c r="A17" s="27" t="s">
        <v>468</v>
      </c>
      <c r="B17" s="3"/>
      <c r="C17" s="3"/>
      <c r="D17" s="3"/>
      <c r="E17" s="3"/>
      <c r="F17" s="3"/>
      <c r="G17" s="3"/>
      <c r="H17" s="3"/>
      <c r="I17" s="9"/>
      <c r="J17" s="3"/>
    </row>
    <row r="18" spans="1:10" ht="50" customHeight="1">
      <c r="A18" s="27" t="s">
        <v>469</v>
      </c>
      <c r="B18" s="3"/>
      <c r="C18" s="3"/>
      <c r="D18" s="3"/>
      <c r="E18" s="3"/>
      <c r="F18" s="3"/>
      <c r="G18" s="3"/>
      <c r="H18" s="3"/>
      <c r="I18" s="9"/>
      <c r="J18" s="3"/>
    </row>
    <row r="19" spans="1:10" ht="50" customHeight="1">
      <c r="A19" s="27" t="s">
        <v>470</v>
      </c>
      <c r="B19" s="3"/>
      <c r="C19" s="3"/>
      <c r="D19" s="3"/>
      <c r="E19" s="3"/>
      <c r="F19" s="3"/>
      <c r="G19" s="3"/>
      <c r="H19" s="3"/>
      <c r="I19" s="9"/>
      <c r="J19" s="3"/>
    </row>
    <row r="20" spans="1:10" ht="50" customHeight="1">
      <c r="A20" s="27" t="s">
        <v>471</v>
      </c>
      <c r="B20" s="3"/>
      <c r="C20" s="3"/>
      <c r="D20" s="3"/>
      <c r="E20" s="3"/>
      <c r="F20" s="3"/>
      <c r="G20" s="3"/>
      <c r="H20" s="3"/>
      <c r="I20" s="9"/>
      <c r="J20" s="3"/>
    </row>
    <row r="21" spans="1:10" ht="50" customHeight="1">
      <c r="A21" s="27" t="s">
        <v>472</v>
      </c>
      <c r="B21" s="3"/>
      <c r="C21" s="3"/>
      <c r="D21" s="3"/>
      <c r="E21" s="3"/>
      <c r="F21" s="3"/>
      <c r="G21" s="3"/>
      <c r="H21" s="3"/>
      <c r="I21" s="9"/>
      <c r="J21" s="3"/>
    </row>
    <row r="22" spans="1:10" ht="50" customHeight="1">
      <c r="A22" s="27" t="s">
        <v>473</v>
      </c>
      <c r="B22" s="3"/>
      <c r="C22" s="3"/>
      <c r="D22" s="3"/>
      <c r="E22" s="3"/>
      <c r="F22" s="3"/>
      <c r="G22" s="3"/>
      <c r="H22" s="3"/>
      <c r="I22" s="9"/>
      <c r="J22" s="3"/>
    </row>
    <row r="23" spans="1:10" ht="50" customHeight="1">
      <c r="A23" s="27" t="s">
        <v>474</v>
      </c>
      <c r="B23" s="3"/>
      <c r="C23" s="3"/>
      <c r="D23" s="3"/>
      <c r="E23" s="3"/>
      <c r="F23" s="3"/>
      <c r="G23" s="3"/>
      <c r="H23" s="3"/>
      <c r="I23" s="9"/>
      <c r="J23" s="3"/>
    </row>
    <row r="24" spans="1:10" ht="50" customHeight="1">
      <c r="A24" s="27" t="s">
        <v>475</v>
      </c>
      <c r="B24" s="3"/>
      <c r="C24" s="3"/>
      <c r="D24" s="3"/>
      <c r="E24" s="3"/>
      <c r="F24" s="3"/>
      <c r="G24" s="3"/>
      <c r="H24" s="3"/>
      <c r="I24" s="9"/>
      <c r="J24" s="3"/>
    </row>
    <row r="25" spans="1:10" ht="50" customHeight="1">
      <c r="A25" s="27" t="s">
        <v>476</v>
      </c>
      <c r="B25" s="3"/>
      <c r="C25" s="3"/>
      <c r="D25" s="3"/>
      <c r="E25" s="3"/>
      <c r="F25" s="3"/>
      <c r="G25" s="3"/>
      <c r="H25" s="3"/>
      <c r="I25" s="9"/>
      <c r="J25" s="3"/>
    </row>
    <row r="26" spans="1:10" ht="50" customHeight="1">
      <c r="A26" s="27" t="s">
        <v>477</v>
      </c>
      <c r="B26" s="3"/>
      <c r="C26" s="3"/>
      <c r="D26" s="3"/>
      <c r="E26" s="3"/>
      <c r="F26" s="3"/>
      <c r="G26" s="3"/>
      <c r="H26" s="3"/>
      <c r="I26" s="9"/>
      <c r="J26" s="3"/>
    </row>
    <row r="27" spans="1:10" ht="50" customHeight="1">
      <c r="A27" s="27" t="s">
        <v>478</v>
      </c>
      <c r="B27" s="3"/>
      <c r="C27" s="3"/>
      <c r="D27" s="3"/>
      <c r="E27" s="3"/>
      <c r="F27" s="3"/>
      <c r="G27" s="3"/>
      <c r="H27" s="3"/>
      <c r="I27" s="9"/>
      <c r="J27" s="3"/>
    </row>
    <row r="28" spans="1:10" ht="50" customHeight="1">
      <c r="A28" s="27" t="s">
        <v>479</v>
      </c>
      <c r="B28" s="3"/>
      <c r="C28" s="3"/>
      <c r="D28" s="3"/>
      <c r="E28" s="3"/>
      <c r="F28" s="3"/>
      <c r="G28" s="3"/>
      <c r="H28" s="3"/>
      <c r="I28" s="9"/>
      <c r="J28" s="3"/>
    </row>
    <row r="29" spans="1:10" ht="50" customHeight="1">
      <c r="A29" s="27" t="s">
        <v>480</v>
      </c>
      <c r="B29" s="3"/>
      <c r="C29" s="3"/>
      <c r="D29" s="3"/>
      <c r="E29" s="3"/>
      <c r="F29" s="3"/>
      <c r="G29" s="3"/>
      <c r="H29" s="3"/>
      <c r="I29" s="9"/>
      <c r="J29" s="3"/>
    </row>
    <row r="30" spans="1:10" ht="50" customHeight="1">
      <c r="A30" s="27" t="s">
        <v>481</v>
      </c>
      <c r="B30" s="3"/>
      <c r="C30" s="3"/>
      <c r="D30" s="3"/>
      <c r="E30" s="3"/>
      <c r="F30" s="3"/>
      <c r="G30" s="3"/>
      <c r="H30" s="3"/>
      <c r="I30" s="9"/>
      <c r="J30" s="3"/>
    </row>
    <row r="31" spans="1:10" ht="50" customHeight="1">
      <c r="A31" s="27" t="s">
        <v>482</v>
      </c>
      <c r="B31" s="3"/>
      <c r="C31" s="3"/>
      <c r="D31" s="3"/>
      <c r="E31" s="3"/>
      <c r="F31" s="3"/>
      <c r="G31" s="3"/>
      <c r="H31" s="3"/>
      <c r="I31" s="9"/>
      <c r="J31" s="3"/>
    </row>
    <row r="32" spans="1:10" ht="50" customHeight="1">
      <c r="A32" s="27" t="s">
        <v>483</v>
      </c>
      <c r="B32" s="3"/>
      <c r="C32" s="3"/>
      <c r="D32" s="3"/>
      <c r="E32" s="3"/>
      <c r="F32" s="3"/>
      <c r="G32" s="3"/>
      <c r="H32" s="3"/>
      <c r="I32" s="9"/>
      <c r="J32" s="3"/>
    </row>
    <row r="33" spans="1:10" ht="50" customHeight="1">
      <c r="A33" s="27" t="s">
        <v>484</v>
      </c>
      <c r="B33" s="3"/>
      <c r="C33" s="3"/>
      <c r="D33" s="3"/>
      <c r="E33" s="3"/>
      <c r="F33" s="3"/>
      <c r="G33" s="3"/>
      <c r="H33" s="3"/>
      <c r="I33" s="9"/>
      <c r="J33" s="3"/>
    </row>
    <row r="34" spans="1:10" ht="50" customHeight="1">
      <c r="A34" s="27" t="s">
        <v>485</v>
      </c>
      <c r="B34" s="3"/>
      <c r="C34" s="3"/>
      <c r="D34" s="3"/>
      <c r="E34" s="3"/>
      <c r="F34" s="3"/>
      <c r="G34" s="3"/>
      <c r="H34" s="3"/>
      <c r="I34" s="9"/>
      <c r="J34" s="3"/>
    </row>
    <row r="35" spans="1:10" ht="50" customHeight="1">
      <c r="A35" s="27" t="s">
        <v>486</v>
      </c>
      <c r="B35" s="3"/>
      <c r="C35" s="3"/>
      <c r="D35" s="3"/>
      <c r="E35" s="3"/>
      <c r="F35" s="3"/>
      <c r="G35" s="3"/>
      <c r="H35" s="3"/>
      <c r="I35" s="9"/>
      <c r="J35" s="3"/>
    </row>
    <row r="36" spans="1:10" ht="50" customHeight="1">
      <c r="A36" s="27" t="s">
        <v>487</v>
      </c>
      <c r="B36" s="3"/>
      <c r="C36" s="3"/>
      <c r="D36" s="3"/>
      <c r="E36" s="3"/>
      <c r="F36" s="3"/>
      <c r="G36" s="3"/>
      <c r="H36" s="3"/>
      <c r="I36" s="9"/>
      <c r="J36" s="3"/>
    </row>
    <row r="37" spans="1:10" ht="50" customHeight="1">
      <c r="A37" s="27" t="s">
        <v>488</v>
      </c>
      <c r="B37" s="3"/>
      <c r="C37" s="3"/>
      <c r="D37" s="3"/>
      <c r="E37" s="3"/>
      <c r="F37" s="3"/>
      <c r="G37" s="3"/>
      <c r="H37" s="3"/>
      <c r="I37" s="9"/>
      <c r="J37" s="3"/>
    </row>
    <row r="38" spans="1:10" ht="50" customHeight="1">
      <c r="A38" s="27" t="s">
        <v>489</v>
      </c>
      <c r="B38" s="3"/>
      <c r="C38" s="3"/>
      <c r="D38" s="3"/>
      <c r="E38" s="3"/>
      <c r="F38" s="3"/>
      <c r="G38" s="3"/>
      <c r="H38" s="3"/>
      <c r="I38" s="9"/>
      <c r="J38" s="3"/>
    </row>
    <row r="39" spans="1:10" ht="50" customHeight="1">
      <c r="A39" s="27" t="s">
        <v>490</v>
      </c>
      <c r="B39" s="3"/>
      <c r="C39" s="3"/>
      <c r="D39" s="3"/>
      <c r="E39" s="3"/>
      <c r="F39" s="3"/>
      <c r="G39" s="3"/>
      <c r="H39" s="3"/>
      <c r="I39" s="9"/>
      <c r="J39" s="3"/>
    </row>
    <row r="40" spans="1:10" ht="50" customHeight="1">
      <c r="A40" s="27" t="s">
        <v>491</v>
      </c>
      <c r="B40" s="3"/>
      <c r="C40" s="3"/>
      <c r="D40" s="3"/>
      <c r="E40" s="3"/>
      <c r="F40" s="3"/>
      <c r="G40" s="3"/>
      <c r="H40" s="3"/>
      <c r="I40" s="9"/>
      <c r="J40" s="3"/>
    </row>
    <row r="41" spans="1:10" ht="50" customHeight="1">
      <c r="A41" s="27" t="s">
        <v>492</v>
      </c>
      <c r="B41" s="3"/>
      <c r="C41" s="3"/>
      <c r="D41" s="3"/>
      <c r="E41" s="3"/>
      <c r="F41" s="3"/>
      <c r="G41" s="3"/>
      <c r="H41" s="3"/>
      <c r="I41" s="9"/>
      <c r="J41" s="3"/>
    </row>
    <row r="42" spans="1:10" ht="50" customHeight="1">
      <c r="A42" s="27" t="s">
        <v>493</v>
      </c>
      <c r="B42" s="3"/>
      <c r="C42" s="3"/>
      <c r="D42" s="3"/>
      <c r="E42" s="3"/>
      <c r="F42" s="3"/>
      <c r="G42" s="3"/>
      <c r="H42" s="3"/>
      <c r="I42" s="9"/>
      <c r="J42" s="3"/>
    </row>
    <row r="43" spans="1:10" ht="50" customHeight="1">
      <c r="A43" s="27" t="s">
        <v>494</v>
      </c>
      <c r="B43" s="3"/>
      <c r="C43" s="3"/>
      <c r="D43" s="3"/>
      <c r="E43" s="3"/>
      <c r="F43" s="3"/>
      <c r="G43" s="3"/>
      <c r="H43" s="3"/>
      <c r="I43" s="9"/>
      <c r="J43" s="3"/>
    </row>
    <row r="44" spans="1:10" ht="50" customHeight="1">
      <c r="A44" s="27" t="s">
        <v>495</v>
      </c>
      <c r="B44" s="3"/>
      <c r="C44" s="3"/>
      <c r="D44" s="3"/>
      <c r="E44" s="3"/>
      <c r="F44" s="3"/>
      <c r="G44" s="3"/>
      <c r="H44" s="3"/>
      <c r="I44" s="9"/>
      <c r="J44" s="3"/>
    </row>
    <row r="45" spans="1:10" ht="50" customHeight="1">
      <c r="A45" s="27" t="s">
        <v>496</v>
      </c>
      <c r="B45" s="3"/>
      <c r="C45" s="3"/>
      <c r="D45" s="3"/>
      <c r="E45" s="3"/>
      <c r="F45" s="3"/>
      <c r="G45" s="3"/>
      <c r="H45" s="3"/>
      <c r="I45" s="9"/>
      <c r="J45" s="3"/>
    </row>
  </sheetData>
  <mergeCells count="3">
    <mergeCell ref="A1:J1"/>
    <mergeCell ref="A2:J2"/>
    <mergeCell ref="A3:J3"/>
  </mergeCells>
  <dataValidations count="1">
    <dataValidation type="list" sqref="C6:C45" xr:uid="{00000000-0002-0000-0900-000000000000}">
      <formula1>"SEC filing,FactSet,Company IR,Peer filing,Industry/regulatory,Market data,Student assumption,Other credible"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Revenue Handoff</vt:lpstr>
      <vt:lpstr>Inputs &amp; Sources</vt:lpstr>
      <vt:lpstr>Scenario Forecasts</vt:lpstr>
      <vt:lpstr>Valuation</vt:lpstr>
      <vt:lpstr>Decision Economics</vt:lpstr>
      <vt:lpstr>Sensitivities</vt:lpstr>
      <vt:lpstr>Board Appendix</vt:lpstr>
      <vt:lpstr>Checks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Bethany Evitts</cp:lastModifiedBy>
  <dcterms:created xsi:type="dcterms:W3CDTF">2026-08-11T13:42:56Z</dcterms:created>
  <dcterms:modified xsi:type="dcterms:W3CDTF">2026-08-11T13:42:56Z</dcterms:modified>
</cp:coreProperties>
</file>