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777c52089df410c" /></Relationships>
</file>

<file path=xl/workbook.xml><?xml version="1.0" encoding="utf-8"?>
<x:workbook xmlns:x="http://schemas.openxmlformats.org/spreadsheetml/2006/main">
  <x:sheets>
    <x:sheet xmlns:r="http://schemas.openxmlformats.org/officeDocument/2006/relationships" name="Start" sheetId="1" r:id="R4416fddbc82e4663"/>
    <x:sheet xmlns:r="http://schemas.openxmlformats.org/officeDocument/2006/relationships" name="Revenue" sheetId="2" r:id="R9c4524eca45e41d3"/>
    <x:sheet xmlns:r="http://schemas.openxmlformats.org/officeDocument/2006/relationships" name="Model" sheetId="3" r:id="R5927ba7a44814967"/>
    <x:sheet xmlns:r="http://schemas.openxmlformats.org/officeDocument/2006/relationships" name="Sources" sheetId="4" r:id="R1108ed6e787a440d"/>
    <x:sheet xmlns:r="http://schemas.openxmlformats.org/officeDocument/2006/relationships" name="Revision" sheetId="5" r:id="Rd49d010b3dee4afe"/>
    <x:sheet xmlns:r="http://schemas.openxmlformats.org/officeDocument/2006/relationships" name="Example" sheetId="6" r:id="Re1b3765a4d1b483a"/>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
    <x:numFmt numFmtId="201" formatCode="#,##0.00;(#,##0.00);&quot;—&quot;"/>
    <x:numFmt numFmtId="202" formatCode="0%"/>
    <x:numFmt numFmtId="203" formatCode="0.00;(0.00);&quot;—&quot;"/>
    <x:numFmt numFmtId="204" formatCode="0.00"/>
  </x:numFmts>
  <x:fonts count="5">
    <x:font>
      <x:sz val="11"/>
      <x:name val="Carlito"/>
    </x:font>
    <x:font>
      <x:sz val="11"/>
      <x:color rgb="FF152536"/>
      <x:name val="Arial"/>
    </x:font>
    <x:font>
      <x:b/>
      <x:sz val="19"/>
      <x:color rgb="FF152536"/>
      <x:name val="Arial"/>
    </x:font>
    <x:font>
      <x:sz val="11"/>
      <x:color rgb="FF1757A6"/>
      <x:name val="Arial"/>
    </x:font>
    <x:font>
      <x:b/>
      <x:sz val="11"/>
      <x:color rgb="FFFFFFFF"/>
      <x:name val="Arial"/>
    </x:font>
  </x:fonts>
  <x:fills count="4">
    <x:fill>
      <x:patternFill patternType="none"/>
    </x:fill>
    <x:fill>
      <x:patternFill patternType="gray125"/>
    </x:fill>
    <x:fill>
      <x:patternFill patternType="solid">
        <x:fgColor rgb="FFFFF3D5"/>
      </x:patternFill>
    </x:fill>
    <x:fill>
      <x:patternFill patternType="solid">
        <x:fgColor rgb="FF152536"/>
      </x:patternFill>
    </x:fill>
  </x:fills>
  <x:borders count="1">
    <x:border/>
  </x:borders>
  <x:cellStyleXfs count="1">
    <x:xf numFmtId="0" fontId="0" fillId="0" borderId="0"/>
  </x:cellStyleXfs>
  <x:cellXfs count="1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3" fillId="2" borderId="0" xfId="0" applyNumberFormat="1" applyFont="1" applyFill="1" applyBorder="1" applyAlignment="1">
      <x:alignment vertical="top" wrapText="1"/>
    </x:xf>
    <x:xf numFmtId="200" fontId="3" fillId="2"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2" fontId="3" fillId="2"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3" fontId="1" fillId="0" borderId="0" xfId="0" applyNumberFormat="1" applyFont="1" applyFill="1" applyBorder="1" applyAlignment="1">
      <x:alignment vertical="top" wrapText="1"/>
    </x:xf>
    <x:xf numFmtId="204"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b781a758176457e" /><Relationship Type="http://schemas.openxmlformats.org/officeDocument/2006/relationships/theme" Target="/xl/theme/theme1.xml" Id="R86e9cc3475d44be6" /><Relationship Type="http://schemas.openxmlformats.org/officeDocument/2006/relationships/sharedStrings" Target="/xl/sharedStrings.xml" Id="R76d345081ca3482c" /><Relationship Type="http://schemas.openxmlformats.org/officeDocument/2006/relationships/worksheet" Target="/xl/worksheets/sheet1.xml" Id="R4416fddbc82e4663" /><Relationship Type="http://schemas.openxmlformats.org/officeDocument/2006/relationships/worksheet" Target="/xl/worksheets/sheet2.xml" Id="R9c4524eca45e41d3" /><Relationship Type="http://schemas.openxmlformats.org/officeDocument/2006/relationships/worksheet" Target="/xl/worksheets/sheet3.xml" Id="R5927ba7a44814967" /><Relationship Type="http://schemas.openxmlformats.org/officeDocument/2006/relationships/worksheet" Target="/xl/worksheets/sheet4.xml" Id="R1108ed6e787a440d" /><Relationship Type="http://schemas.openxmlformats.org/officeDocument/2006/relationships/worksheet" Target="/xl/worksheets/sheet5.xml" Id="Rd49d010b3dee4afe" /><Relationship Type="http://schemas.openxmlformats.org/officeDocument/2006/relationships/worksheet" Target="/xl/worksheets/sheet6.xml" Id="Re1b3765a4d1b483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18" hidden="0" customWidth="1"/>
    <x:col min="4" max="4" width="18" hidden="0" customWidth="1"/>
    <x:col min="5" max="5" width="40" hidden="0" customWidth="1"/>
    <x:col min="6" max="6" width="18" hidden="0" customWidth="1"/>
    <x:col min="7" max="7" width="18" hidden="0" customWidth="1"/>
  </x:cols>
  <x:sheetData>
    <x:row r="1" ht="32" customHeight="1">
      <x:c r="A1" s="4" t="str">
        <x:v>BUS311 Company Capstone</x:v>
      </x:c>
      <x:c r="B1" s="3"/>
      <x:c r="C1" s="3"/>
      <x:c r="D1" s="3"/>
      <x:c r="E1" s="3"/>
      <x:c r="F1" s="3"/>
      <x:c r="G1" s="3"/>
    </x:row>
    <x:row r="2" ht="44" customHeight="1">
      <x:c r="A2" s="3" t="str">
        <x:v>Choose one U.S.-listed public company. Use this workbook at Stages 1–3. Yellow cells are inputs; blue text identifies your entries. Formulas are black. Read Example before Model.</x:v>
      </x:c>
      <x:c r="B2" s="3"/>
      <x:c r="C2" s="3"/>
      <x:c r="D2" s="3"/>
      <x:c r="E2" s="3"/>
      <x:c r="F2" s="3"/>
      <x:c r="G2" s="3"/>
    </x:row>
    <x:row r="3" ht="26" customHeight="1">
      <x:c r="A3" s="3"/>
      <x:c r="B3" s="3"/>
      <x:c r="C3" s="3"/>
      <x:c r="D3" s="3"/>
      <x:c r="E3" s="3"/>
      <x:c r="F3" s="3"/>
      <x:c r="G3" s="3"/>
    </x:row>
    <x:row r="4" ht="52" customHeight="1">
      <x:c r="A4" s="3" t="str">
        <x:v>Student name</x:v>
      </x:c>
      <x:c r="B4" s="6"/>
      <x:c r="C4" s="6"/>
      <x:c r="D4" s="6"/>
      <x:c r="E4" s="6"/>
      <x:c r="F4" s="6"/>
      <x:c r="G4" s="6"/>
    </x:row>
    <x:row r="5" ht="26" customHeight="1">
      <x:c r="A5" s="3"/>
      <x:c r="B5" s="3"/>
      <x:c r="C5" s="3"/>
      <x:c r="D5" s="3"/>
      <x:c r="E5" s="3"/>
      <x:c r="F5" s="3"/>
      <x:c r="G5" s="3"/>
    </x:row>
    <x:row r="6" ht="52" customHeight="1">
      <x:c r="A6" s="3" t="str">
        <x:v>Company, ticker, exchange</x:v>
      </x:c>
      <x:c r="B6" s="6"/>
      <x:c r="C6" s="6"/>
      <x:c r="D6" s="6"/>
      <x:c r="E6" s="6"/>
      <x:c r="F6" s="6"/>
      <x:c r="G6" s="6"/>
    </x:row>
    <x:row r="7" ht="26" customHeight="1">
      <x:c r="A7" s="3"/>
      <x:c r="B7" s="3"/>
      <x:c r="C7" s="3"/>
      <x:c r="D7" s="3"/>
      <x:c r="E7" s="3"/>
      <x:c r="F7" s="3"/>
      <x:c r="G7" s="3"/>
    </x:row>
    <x:row r="8" ht="52" customHeight="1">
      <x:c r="A8" s="3" t="str">
        <x:v>Company snapshot</x:v>
      </x:c>
      <x:c r="B8" s="6"/>
      <x:c r="C8" s="6"/>
      <x:c r="D8" s="6"/>
      <x:c r="E8" s="6"/>
      <x:c r="F8" s="6"/>
      <x:c r="G8" s="6"/>
    </x:row>
    <x:row r="9" ht="34" customHeight="1">
      <x:c r="A9" s="3" t="str">
        <x:v>In 2–3 sentences: what it sells, who buys, and why the business interests you.</x:v>
      </x:c>
      <x:c r="B9" s="3"/>
      <x:c r="C9" s="3"/>
      <x:c r="D9" s="3"/>
      <x:c r="E9" s="3"/>
      <x:c r="F9" s="3"/>
      <x:c r="G9" s="3"/>
    </x:row>
    <x:row r="10" ht="52" customHeight="1">
      <x:c r="A10" s="3" t="str">
        <x:v>Decision path</x:v>
      </x:c>
      <x:c r="B10" s="6" t="str"/>
      <x:c r="C10" s="6"/>
      <x:c r="D10" s="6"/>
      <x:c r="E10" s="6"/>
      <x:c r="F10" s="6"/>
      <x:c r="G10" s="6"/>
    </x:row>
    <x:row r="11" ht="26" customHeight="1">
      <x:c r="A11" s="3"/>
      <x:c r="B11" s="3"/>
      <x:c r="C11" s="3"/>
      <x:c r="D11" s="3"/>
      <x:c r="E11" s="3"/>
      <x:c r="F11" s="3"/>
      <x:c r="G11" s="3"/>
    </x:row>
    <x:row r="12" ht="52" customHeight="1">
      <x:c r="A12" s="3" t="str">
        <x:v>Tentative decision</x:v>
      </x:c>
      <x:c r="B12" s="6"/>
      <x:c r="C12" s="6"/>
      <x:c r="D12" s="6"/>
      <x:c r="E12" s="6"/>
      <x:c r="F12" s="6"/>
      <x:c r="G12" s="6"/>
    </x:row>
    <x:row r="13" ht="34" customHeight="1">
      <x:c r="A13" s="3" t="str">
        <x:v>Should [company] make [specific change]? Why might it help? Compare with doing nothing.</x:v>
      </x:c>
      <x:c r="B13" s="3"/>
      <x:c r="C13" s="3"/>
      <x:c r="D13" s="3"/>
      <x:c r="E13" s="3"/>
      <x:c r="F13" s="3"/>
      <x:c r="G13" s="3"/>
    </x:row>
    <x:row r="14" ht="52" customHeight="1">
      <x:c r="A14" s="3" t="str">
        <x:v>One FactSet learning</x:v>
      </x:c>
      <x:c r="B14" s="6"/>
      <x:c r="C14" s="6"/>
      <x:c r="D14" s="6"/>
      <x:c r="E14" s="6"/>
      <x:c r="F14" s="6"/>
      <x:c r="G14" s="6"/>
    </x:row>
    <x:row r="15" ht="34" customHeight="1">
      <x:c r="A15" s="3" t="str">
        <x:v>Name the specific learning and the screen/report/feature used. Stage 1 does not require formal citation.</x:v>
      </x:c>
      <x:c r="B15" s="3"/>
      <x:c r="C15" s="3"/>
      <x:c r="D15" s="3"/>
      <x:c r="E15" s="3"/>
      <x:c r="F15" s="3"/>
      <x:c r="G15" s="3"/>
    </x:row>
    <x:row r="16" ht="52" customHeight="1">
      <x:c r="A16" s="3" t="str">
        <x:v>Workbook version/date</x:v>
      </x:c>
      <x:c r="B16" s="6"/>
      <x:c r="C16" s="6"/>
      <x:c r="D16" s="6"/>
      <x:c r="E16" s="6"/>
      <x:c r="F16" s="6"/>
      <x:c r="G16" s="6"/>
    </x:row>
    <x:row r="17" ht="34" customHeight="1">
      <x:c r="A17" s="3" t="str">
        <x:v>Update before each submission. Use this version in presentation source notes.</x:v>
      </x:c>
      <x:c r="B17" s="3"/>
      <x:c r="C17" s="3"/>
      <x:c r="D17" s="3"/>
      <x:c r="E17" s="3"/>
      <x:c r="F17" s="3"/>
      <x:c r="G17" s="3"/>
    </x:row>
    <x:row r="18" ht="26" customHeight="1">
      <x:c r="A18" s="3"/>
      <x:c r="B18" s="3"/>
      <x:c r="C18" s="3"/>
      <x:c r="D18" s="3"/>
      <x:c r="E18" s="3"/>
      <x:c r="F18" s="3"/>
      <x:c r="G18" s="3"/>
    </x:row>
    <x:row r="19" ht="34" customHeight="1">
      <x:c r="A19" s="8" t="str">
        <x:v>Stage</x:v>
      </x:c>
      <x:c r="B19" s="8" t="str">
        <x:v>Due</x:v>
      </x:c>
      <x:c r="C19" s="8" t="str">
        <x:v>Points</x:v>
      </x:c>
      <x:c r="D19" s="8" t="str">
        <x:v>Tabs</x:v>
      </x:c>
      <x:c r="E19" s="3"/>
      <x:c r="F19" s="3"/>
      <x:c r="G19" s="3"/>
    </x:row>
    <x:row r="20" ht="68" customHeight="1">
      <x:c r="A20" s="3" t="str">
        <x:v>Stage 1</x:v>
      </x:c>
      <x:c r="B20" s="3" t="str">
        <x:v>September 9 at 12:30 p.m. ET</x:v>
      </x:c>
      <x:c r="C20" s="3" t="n">
        <x:v>5</x:v>
      </x:c>
      <x:c r="D20" s="3" t="str">
        <x:v>Start</x:v>
      </x:c>
      <x:c r="E20" s="3"/>
      <x:c r="F20" s="3"/>
      <x:c r="G20" s="3"/>
    </x:row>
    <x:row r="21" ht="68" customHeight="1">
      <x:c r="A21" s="3" t="str">
        <x:v>Stage 2</x:v>
      </x:c>
      <x:c r="B21" s="3" t="str">
        <x:v>September 30 at 12:30 p.m. ET</x:v>
      </x:c>
      <x:c r="C21" s="3" t="n">
        <x:v>8</x:v>
      </x:c>
      <x:c r="D21" s="3" t="str">
        <x:v>Revenue, Sources</x:v>
      </x:c>
      <x:c r="E21" s="3"/>
      <x:c r="F21" s="3"/>
      <x:c r="G21" s="3"/>
    </x:row>
    <x:row r="22" ht="68" customHeight="1">
      <x:c r="A22" s="3" t="str">
        <x:v>Stage 3</x:v>
      </x:c>
      <x:c r="B22" s="3" t="str">
        <x:v>November 4 at 12:30 p.m. ET</x:v>
      </x:c>
      <x:c r="C22" s="3" t="n">
        <x:v>12</x:v>
      </x:c>
      <x:c r="D22" s="3" t="str">
        <x:v>Model, Sources, Revision</x:v>
      </x:c>
      <x:c r="E22" s="3"/>
      <x:c r="F22" s="3"/>
      <x:c r="G22" s="3"/>
    </x:row>
    <x:row r="23" ht="26" customHeight="1">
      <x:c r="A23" s="3"/>
      <x:c r="B23" s="3"/>
      <x:c r="C23" s="3"/>
      <x:c r="D23" s="3"/>
      <x:c r="E23" s="3"/>
      <x:c r="F23" s="3"/>
      <x:c r="G23" s="3"/>
    </x:row>
    <x:row r="24" ht="58" customHeight="1">
      <x:c r="A24" s="3" t="str">
        <x:v>Final: one editable PowerPoint due November 30 at 12:30 p.m. ET. Six core slides plus optional appendix; 50 points. Live Oral Presentation: 7 minutes plus 3 minutes of questions; 25 points.</x:v>
      </x:c>
      <x:c r="B24" s="3"/>
      <x:c r="C24" s="3"/>
      <x:c r="D24" s="3"/>
      <x:c r="E24" s="3"/>
      <x:c r="F24" s="3"/>
      <x:c r="G24" s="3"/>
    </x:row>
    <x:row r="25" ht="26" customHeight="1">
      <x:c r="A25" s="3"/>
      <x:c r="B25" s="3"/>
      <x:c r="C25" s="3"/>
      <x:c r="D25" s="3"/>
      <x:c r="E25" s="3"/>
      <x:c r="F25" s="3"/>
      <x:c r="G25" s="3"/>
    </x:row>
    <x:row r="26" ht="40" customHeight="1">
      <x:c r="A26" s="3" t="str">
        <x:v>Stage 1 grading: Company and snapshot 2; specific FactSet learning 1; a plausible tentative decision 2.</x:v>
      </x:c>
      <x:c r="B26" s="3"/>
      <x:c r="C26" s="3"/>
      <x:c r="D26" s="3"/>
      <x:c r="E26" s="3"/>
      <x:c r="F26" s="3"/>
      <x:c r="G26" s="3"/>
    </x:row>
    <x:row r="27" ht="26" customHeight="1">
      <x:c r="A27" s="3"/>
      <x:c r="B27" s="3"/>
      <x:c r="C27" s="3"/>
      <x:c r="D27" s="3"/>
      <x:c r="E27" s="3"/>
      <x:c r="F27" s="3"/>
      <x:c r="G27" s="3"/>
    </x:row>
    <x:row r="28" ht="35" customHeight="1">
      <x:c r="A28" s="3" t="str">
        <x:v>Project page: https://bevitts-design.github.io/BUS311-Corporate_Finance/CAPSTONE/</x:v>
      </x:c>
      <x:c r="B28" s="3"/>
      <x:c r="C28" s="3"/>
      <x:c r="D28" s="3"/>
      <x:c r="E28" s="3"/>
      <x:c r="F28" s="3"/>
      <x:c r="G28" s="3"/>
    </x:row>
    <x:row r="29" ht="26" customHeight="1">
      <x:c r="A29" s="3"/>
      <x:c r="B29" s="3"/>
      <x:c r="C29" s="3"/>
      <x:c r="D29" s="3"/>
      <x:c r="E29" s="3"/>
      <x:c r="F29" s="3"/>
      <x:c r="G29" s="3"/>
    </x:row>
    <x:row r="30" ht="62" customHeight="1">
      <x:c r="A30" s="3" t="str">
        <x:v>Stage 1 is exploration. Use web research and/or AI plus FactSet. Name one FactSet learning and the feature used. Formal citations and proof are not required until Stage 2. The decision may change as the evidence develops.</x:v>
      </x:c>
      <x:c r="B30" s="3"/>
      <x:c r="C30" s="3"/>
      <x:c r="D30" s="3"/>
      <x:c r="E30" s="3"/>
      <x:c r="F30" s="3"/>
      <x:c r="G30" s="3"/>
    </x:row>
    <x:row r="31" ht="26" customHeight="1">
      <x:c r="A31" s="3"/>
      <x:c r="B31" s="3"/>
      <x:c r="C31" s="3"/>
      <x:c r="D31" s="3"/>
      <x:c r="E31" s="3"/>
      <x:c r="F31" s="3"/>
      <x:c r="G31" s="3"/>
    </x:row>
    <x:row r="32" ht="60" customHeight="1">
      <x:c r="A32" s="3" t="str">
        <x:v>Students and the instructor may use FactSet evidence in BUS311 course deliverables. Raw exports and screenshots remain in approved course-restricted systems and are not committed publicly or uploaded to public AI tools.</x:v>
      </x:c>
      <x:c r="B32" s="3"/>
      <x:c r="C32" s="3"/>
      <x:c r="D32" s="3"/>
      <x:c r="E32" s="3"/>
      <x:c r="F32" s="3"/>
      <x:c r="G32" s="3"/>
    </x:row>
    <x:row r="33" ht="26" customHeight="1">
      <x:c r="A33" s="3"/>
      <x:c r="B33" s="3"/>
      <x:c r="C33" s="3"/>
      <x:c r="D33" s="3"/>
      <x:c r="E33" s="3"/>
      <x:c r="F33" s="3"/>
      <x:c r="G33" s="3"/>
    </x:row>
    <x:row r="34" ht="70" customHeight="1">
      <x:c r="A34" s="3" t="str">
        <x:v>Give public AI tools only a short summary you wrote from public information. Do not upload workbooks, raw FactSet exports or screenshots, personal information, private teaching material, or nonpublic information. If AI is used, name the tool and purpose in Revision and disclose it briefly in the presentation appendix or source notes.</x:v>
      </x:c>
      <x:c r="B34" s="3"/>
      <x:c r="C34" s="3"/>
      <x:c r="D34" s="3"/>
      <x:c r="E34" s="3"/>
      <x:c r="F34" s="3"/>
      <x:c r="G34" s="3"/>
    </x:row>
    <x:row r="35" ht="26" customHeight="1">
      <x:c r="A35" s="3"/>
      <x:c r="B35" s="3"/>
      <x:c r="C35" s="3"/>
      <x:c r="D35" s="3"/>
      <x:c r="E35" s="3"/>
      <x:c r="F35" s="3"/>
      <x:c r="G35" s="3"/>
    </x:row>
    <x:row r="36" ht="74" customHeight="1">
      <x:c r="A36" s="3" t="str">
        <x:v>Model feedback target: November 11, 2026. Revise the existing Stage 3 Canvas submission within seven calendar days of written feedback. The higher score replaces the original. If feedback arrives November 11, the revision window ends November 18. No separate revision file or assignment is required.</x:v>
      </x:c>
      <x:c r="B36" s="3"/>
      <x:c r="C36" s="3"/>
      <x:c r="D36" s="3"/>
      <x:c r="E36" s="3"/>
      <x:c r="F36" s="3"/>
      <x:c r="G36" s="3"/>
    </x:row>
    <x:row r="37" ht="26" customHeight="1">
      <x:c r="A37" s="3"/>
      <x:c r="B37" s="3"/>
      <x:c r="C37" s="3"/>
      <x:c r="D37" s="3"/>
      <x:c r="E37" s="3"/>
      <x:c r="F37" s="3"/>
      <x:c r="G37" s="3"/>
    </x:row>
    <x:row r="38" ht="54" customHeight="1">
      <x:c r="A38" s="3" t="str">
        <x:v>Preparation: the Example tab explains cash flow and discounting before the model deadline. A model workshop should take place before November 4.</x:v>
      </x:c>
      <x:c r="B38" s="3"/>
      <x:c r="C38" s="3"/>
      <x:c r="D38" s="3"/>
      <x:c r="E38" s="3"/>
      <x:c r="F38" s="3"/>
      <x:c r="G38" s="3"/>
    </x:row>
    <x:row r="39" ht="26" customHeight="1">
      <x:c r="A39" s="3"/>
      <x:c r="B39" s="3"/>
      <x:c r="C39" s="3"/>
      <x:c r="D39" s="3"/>
      <x:c r="E39" s="3"/>
      <x:c r="F39" s="3"/>
      <x:c r="G39" s="3"/>
    </x:row>
    <x:row r="40" ht="26" customHeight="1">
      <x:c r="A40" s="3"/>
      <x:c r="B40" s="3"/>
      <x:c r="C40" s="3"/>
      <x:c r="D40" s="3"/>
      <x:c r="E40" s="3"/>
      <x:c r="F40" s="3"/>
      <x:c r="G40" s="3"/>
    </x:row>
    <x:row r="41" ht="26" customHeight="1">
      <x:c r="A41" s="3"/>
      <x:c r="B41" s="3"/>
      <x:c r="C41" s="3"/>
      <x:c r="D41" s="3"/>
      <x:c r="E41" s="3"/>
      <x:c r="F41" s="3"/>
      <x:c r="G41" s="3"/>
    </x:row>
    <x:row r="42" ht="26" customHeight="1">
      <x:c r="A42" s="3"/>
      <x:c r="B42" s="3"/>
      <x:c r="C42" s="3"/>
      <x:c r="D42" s="3"/>
      <x:c r="E42" s="3"/>
      <x:c r="F42" s="3"/>
      <x:c r="G42" s="3"/>
    </x:row>
    <x:row r="43" ht="26" customHeight="1">
      <x:c r="A43" s="3"/>
      <x:c r="B43" s="3"/>
      <x:c r="C43" s="3"/>
      <x:c r="D43" s="3"/>
      <x:c r="E43" s="3"/>
      <x:c r="F43" s="3"/>
      <x:c r="G43" s="3"/>
    </x:row>
  </x:sheetData>
  <x:mergeCells>
    <x:mergeCell ref="A1:G1"/>
    <x:mergeCell ref="A2:G2"/>
    <x:mergeCell ref="B4:G4"/>
    <x:mergeCell ref="B6:G6"/>
    <x:mergeCell ref="B8:G8"/>
    <x:mergeCell ref="A9:G9"/>
    <x:mergeCell ref="B10:G10"/>
    <x:mergeCell ref="B12:G12"/>
    <x:mergeCell ref="A13:G13"/>
    <x:mergeCell ref="B14:G14"/>
    <x:mergeCell ref="A15:G15"/>
    <x:mergeCell ref="B16:G16"/>
    <x:mergeCell ref="A17:G17"/>
    <x:mergeCell ref="A24:G24"/>
    <x:mergeCell ref="A26:G26"/>
    <x:mergeCell ref="A28:G28"/>
    <x:mergeCell ref="A30:G30"/>
    <x:mergeCell ref="A32:G32"/>
    <x:mergeCell ref="A34:G34"/>
    <x:mergeCell ref="A36:G36"/>
    <x:mergeCell ref="A38:G38"/>
  </x:mergeCells>
  <x:dataValidations count="1">
    <x:dataValidation type="list" sqref="B10">
      <x:formula1>"Growth or efficiency investment,Working-capital improvement"</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18" hidden="0" customWidth="1"/>
    <x:col min="4" max="4" width="18" hidden="0" customWidth="1"/>
    <x:col min="5" max="5" width="40" hidden="0" customWidth="1"/>
    <x:col min="6" max="6" width="18" hidden="0" customWidth="1"/>
    <x:col min="7" max="7" width="18" hidden="0" customWidth="1"/>
  </x:cols>
  <x:sheetData>
    <x:row r="1" ht="32" customHeight="1">
      <x:c r="A1" s="4" t="str">
        <x:v>How does the company make money?</x:v>
      </x:c>
      <x:c r="B1" s="3"/>
      <x:c r="C1" s="3"/>
      <x:c r="D1" s="3"/>
      <x:c r="E1" s="3"/>
      <x:c r="F1" s="3"/>
      <x:c r="G1" s="3"/>
    </x:row>
    <x:row r="2" ht="44" customHeight="1">
      <x:c r="A2" s="3" t="str">
        <x:v>Three comparable years, two drivers, one peer comparison, two risks, and one forecast claim. Enter source IDs from Sources beside the evidence.</x:v>
      </x:c>
      <x:c r="B2" s="3"/>
      <x:c r="C2" s="3"/>
      <x:c r="D2" s="3"/>
      <x:c r="E2" s="3"/>
      <x:c r="F2" s="3"/>
      <x:c r="G2" s="3"/>
    </x:row>
    <x:row r="3" ht="26" customHeight="1">
      <x:c r="A3" s="3"/>
      <x:c r="B3" s="3"/>
      <x:c r="C3" s="3"/>
      <x:c r="D3" s="3"/>
      <x:c r="E3" s="3"/>
      <x:c r="F3" s="3"/>
      <x:c r="G3" s="3"/>
    </x:row>
    <x:row r="4" ht="26" customHeight="1">
      <x:c r="A4" s="3"/>
      <x:c r="B4" s="3"/>
      <x:c r="C4" s="3"/>
      <x:c r="D4" s="3"/>
      <x:c r="E4" s="3"/>
      <x:c r="F4" s="3"/>
      <x:c r="G4" s="3"/>
    </x:row>
    <x:row r="5" ht="34" customHeight="1">
      <x:c r="A5" s="8" t="str">
        <x:v>History</x:v>
      </x:c>
      <x:c r="B5" s="8" t="str">
        <x:v>Source ID</x:v>
      </x:c>
      <x:c r="C5" s="8" t="str">
        <x:v>Oldest year</x:v>
      </x:c>
      <x:c r="D5" s="8" t="str">
        <x:v>Middle year</x:v>
      </x:c>
      <x:c r="E5" s="8" t="str">
        <x:v>Latest year</x:v>
      </x:c>
      <x:c r="F5" s="3"/>
      <x:c r="G5" s="3"/>
    </x:row>
    <x:row r="6" ht="26" customHeight="1">
      <x:c r="A6" s="3" t="str">
        <x:v>Fiscal year</x:v>
      </x:c>
      <x:c r="B6" s="3"/>
      <x:c r="C6" s="6"/>
      <x:c r="D6" s="6"/>
      <x:c r="E6" s="6"/>
      <x:c r="F6" s="3"/>
      <x:c r="G6" s="3"/>
    </x:row>
    <x:row r="7" ht="26" customHeight="1">
      <x:c r="A7" s="3" t="str">
        <x:v>Total revenue</x:v>
      </x:c>
      <x:c r="B7" s="6"/>
      <x:c r="C7" s="10"/>
      <x:c r="D7" s="10"/>
      <x:c r="E7" s="10"/>
      <x:c r="F7" s="3"/>
      <x:c r="G7" s="3"/>
    </x:row>
    <x:row r="8" ht="26" customHeight="1">
      <x:c r="A8" s="3" t="str">
        <x:v>Year-over-year growth</x:v>
      </x:c>
      <x:c r="B8" s="3"/>
      <x:c r="C8" s="3"/>
      <x:c r="D8" s="9" t="str">
        <x:f>IF(OR(COUNT(C7:D7)&lt;2,C7&lt;=0),"",D7/C7-1)</x:f>
      </x:c>
      <x:c r="E8" s="9" t="str">
        <x:f>IF(OR(COUNT(D7:E7)&lt;2,D7&lt;=0),"",E7/D7-1)</x:f>
      </x:c>
      <x:c r="F8" s="3"/>
      <x:c r="G8" s="3"/>
    </x:row>
    <x:row r="9" ht="26" customHeight="1">
      <x:c r="A9" s="3"/>
      <x:c r="B9" s="3"/>
      <x:c r="C9" s="3"/>
      <x:c r="D9" s="3"/>
      <x:c r="E9" s="3"/>
      <x:c r="F9" s="3"/>
      <x:c r="G9" s="3"/>
    </x:row>
    <x:row r="10" ht="52" customHeight="1">
      <x:c r="A10" s="3" t="str">
        <x:v>Currency and units</x:v>
      </x:c>
      <x:c r="B10" s="6"/>
      <x:c r="C10" s="6"/>
      <x:c r="D10" s="6"/>
      <x:c r="E10" s="6"/>
      <x:c r="F10" s="6"/>
      <x:c r="G10" s="6"/>
    </x:row>
    <x:row r="11" ht="34" customHeight="1">
      <x:c r="A11" s="3" t="str">
        <x:v>Use the same period, currency, and units across the history and peer comparison.</x:v>
      </x:c>
      <x:c r="B11" s="3"/>
      <x:c r="C11" s="3"/>
      <x:c r="D11" s="3"/>
      <x:c r="E11" s="3"/>
      <x:c r="F11" s="3"/>
      <x:c r="G11" s="3"/>
    </x:row>
    <x:row r="12" ht="52" customHeight="1">
      <x:c r="A12" s="3" t="str">
        <x:v>Comparability or limitations</x:v>
      </x:c>
      <x:c r="B12" s="6"/>
      <x:c r="C12" s="6"/>
      <x:c r="D12" s="6"/>
      <x:c r="E12" s="6"/>
      <x:c r="F12" s="6"/>
      <x:c r="G12" s="6"/>
    </x:row>
    <x:row r="13" ht="34" customHeight="1">
      <x:c r="A13" s="3" t="str">
        <x:v>Explain restatements, acquisitions, changed definitions, or missing figures. No segment analysis is required unless it helps your decision.</x:v>
      </x:c>
      <x:c r="B13" s="3"/>
      <x:c r="C13" s="3"/>
      <x:c r="D13" s="3"/>
      <x:c r="E13" s="3"/>
      <x:c r="F13" s="3"/>
      <x:c r="G13" s="3"/>
    </x:row>
    <x:row r="14" ht="52" customHeight="1">
      <x:c r="A14" s="3" t="str">
        <x:v>Driver 1 and evidence ID</x:v>
      </x:c>
      <x:c r="B14" s="6"/>
      <x:c r="C14" s="6"/>
      <x:c r="D14" s="6"/>
      <x:c r="E14" s="6"/>
      <x:c r="F14" s="6"/>
      <x:c r="G14" s="6"/>
    </x:row>
    <x:row r="15" ht="34" customHeight="1">
      <x:c r="A15" s="3" t="str">
        <x:v>What changed sales? State evidence and its effect on the proposed decision.</x:v>
      </x:c>
      <x:c r="B15" s="3"/>
      <x:c r="C15" s="3"/>
      <x:c r="D15" s="3"/>
      <x:c r="E15" s="3"/>
      <x:c r="F15" s="3"/>
      <x:c r="G15" s="3"/>
    </x:row>
    <x:row r="16" ht="52" customHeight="1">
      <x:c r="A16" s="3" t="str">
        <x:v>Driver 2 and evidence ID</x:v>
      </x:c>
      <x:c r="B16" s="6"/>
      <x:c r="C16" s="6"/>
      <x:c r="D16" s="6"/>
      <x:c r="E16" s="6"/>
      <x:c r="F16" s="6"/>
      <x:c r="G16" s="6"/>
    </x:row>
    <x:row r="17" ht="34" customHeight="1">
      <x:c r="A17" s="3" t="str">
        <x:v>Separate reported facts from your interpretation.</x:v>
      </x:c>
      <x:c r="B17" s="3"/>
      <x:c r="C17" s="3"/>
      <x:c r="D17" s="3"/>
      <x:c r="E17" s="3"/>
      <x:c r="F17" s="3"/>
      <x:c r="G17" s="3"/>
    </x:row>
    <x:row r="18" ht="52" customHeight="1">
      <x:c r="A18" s="3" t="str">
        <x:v>One peer comparison</x:v>
      </x:c>
      <x:c r="B18" s="6"/>
      <x:c r="C18" s="6"/>
      <x:c r="D18" s="6"/>
      <x:c r="E18" s="6"/>
      <x:c r="F18" s="6"/>
      <x:c r="G18" s="6"/>
    </x:row>
    <x:row r="19" ht="34" customHeight="1">
      <x:c r="A19" s="3" t="str">
        <x:v>Name the peer, why it is comparable, the same-period metric, and source ID. If no defensible peer exists, explain why.</x:v>
      </x:c>
      <x:c r="B19" s="3"/>
      <x:c r="C19" s="3"/>
      <x:c r="D19" s="3"/>
      <x:c r="E19" s="3"/>
      <x:c r="F19" s="3"/>
      <x:c r="G19" s="3"/>
    </x:row>
    <x:row r="20" ht="52" customHeight="1">
      <x:c r="A20" s="3" t="str">
        <x:v>Risk 1</x:v>
      </x:c>
      <x:c r="B20" s="6"/>
      <x:c r="C20" s="6"/>
      <x:c r="D20" s="6"/>
      <x:c r="E20" s="6"/>
      <x:c r="F20" s="6"/>
      <x:c r="G20" s="6"/>
    </x:row>
    <x:row r="21" ht="34" customHeight="1">
      <x:c r="A21" s="3" t="str">
        <x:v>Name a revenue or service risk and an observable warning sign.</x:v>
      </x:c>
      <x:c r="B21" s="3"/>
      <x:c r="C21" s="3"/>
      <x:c r="D21" s="3"/>
      <x:c r="E21" s="3"/>
      <x:c r="F21" s="3"/>
      <x:c r="G21" s="3"/>
    </x:row>
    <x:row r="22" ht="52" customHeight="1">
      <x:c r="A22" s="3" t="str">
        <x:v>Risk 2</x:v>
      </x:c>
      <x:c r="B22" s="6"/>
      <x:c r="C22" s="6"/>
      <x:c r="D22" s="6"/>
      <x:c r="E22" s="6"/>
      <x:c r="F22" s="6"/>
      <x:c r="G22" s="6"/>
    </x:row>
    <x:row r="23" ht="34" customHeight="1">
      <x:c r="A23" s="3" t="str">
        <x:v>Name a second risk and what you would monitor.</x:v>
      </x:c>
      <x:c r="B23" s="3"/>
      <x:c r="C23" s="3"/>
      <x:c r="D23" s="3"/>
      <x:c r="E23" s="3"/>
      <x:c r="F23" s="3"/>
      <x:c r="G23" s="3"/>
    </x:row>
    <x:row r="24" ht="52" customHeight="1">
      <x:c r="A24" s="3" t="str">
        <x:v>One forecast claim</x:v>
      </x:c>
      <x:c r="B24" s="6"/>
      <x:c r="C24" s="6"/>
      <x:c r="D24" s="6"/>
      <x:c r="E24" s="6"/>
      <x:c r="F24" s="6"/>
      <x:c r="G24" s="6"/>
    </x:row>
    <x:row r="25" ht="34" customHeight="1">
      <x:c r="A25" s="3" t="str">
        <x:v>Over [period], [driver] should affect [sales/cost/cash] because [evidence]. I would change my view if [observable result].</x:v>
      </x:c>
      <x:c r="B25" s="3"/>
      <x:c r="C25" s="3"/>
      <x:c r="D25" s="3"/>
      <x:c r="E25" s="3"/>
      <x:c r="F25" s="3"/>
      <x:c r="G25" s="3"/>
    </x:row>
    <x:row r="26" ht="52" customHeight="1">
      <x:c r="A26" s="3" t="str">
        <x:v>Link to the model</x:v>
      </x:c>
      <x:c r="B26" s="6"/>
      <x:c r="C26" s="6"/>
      <x:c r="D26" s="6"/>
      <x:c r="E26" s="6"/>
      <x:c r="F26" s="6"/>
      <x:c r="G26" s="6"/>
    </x:row>
    <x:row r="27" ht="34" customHeight="1">
      <x:c r="A27" s="3" t="str">
        <x:v>Identify the Model input this claim informs. Explain how the driver changes that assumption.</x:v>
      </x:c>
      <x:c r="B27" s="3"/>
      <x:c r="C27" s="3"/>
      <x:c r="D27" s="3"/>
      <x:c r="E27" s="3"/>
      <x:c r="F27" s="3"/>
      <x:c r="G27" s="3"/>
    </x:row>
    <x:row r="28" ht="45" customHeight="1">
      <x:c r="A28" s="3" t="str">
        <x:v>Grading: Revenue history 2; two drivers 2; peer and risks 2; forecast claim and sources 2.</x:v>
      </x:c>
      <x:c r="B28" s="3"/>
      <x:c r="C28" s="3"/>
      <x:c r="D28" s="3"/>
      <x:c r="E28" s="3"/>
      <x:c r="F28" s="3"/>
      <x:c r="G28" s="3"/>
    </x:row>
    <x:row r="29" ht="26" customHeight="1">
      <x:c r="A29" s="3"/>
      <x:c r="B29" s="3"/>
      <x:c r="C29" s="3"/>
      <x:c r="D29" s="3"/>
      <x:c r="E29" s="3"/>
      <x:c r="F29" s="3"/>
      <x:c r="G29" s="3"/>
    </x:row>
    <x:row r="30" ht="26" customHeight="1">
      <x:c r="A30" s="3"/>
      <x:c r="B30" s="3"/>
      <x:c r="C30" s="3"/>
      <x:c r="D30" s="3"/>
      <x:c r="E30" s="3"/>
      <x:c r="F30" s="3"/>
      <x:c r="G30" s="3"/>
    </x:row>
    <x:row r="31" ht="26" customHeight="1">
      <x:c r="A31" s="3"/>
      <x:c r="B31" s="3"/>
      <x:c r="C31" s="3"/>
      <x:c r="D31" s="3"/>
      <x:c r="E31" s="3"/>
      <x:c r="F31" s="3"/>
      <x:c r="G31" s="3"/>
    </x:row>
    <x:row r="32" ht="26" customHeight="1">
      <x:c r="A32" s="3"/>
      <x:c r="B32" s="3"/>
      <x:c r="C32" s="3"/>
      <x:c r="D32" s="3"/>
      <x:c r="E32" s="3"/>
      <x:c r="F32" s="3"/>
      <x:c r="G32" s="3"/>
    </x:row>
    <x:row r="33" ht="26" customHeight="1">
      <x:c r="A33" s="3"/>
      <x:c r="B33" s="3"/>
      <x:c r="C33" s="3"/>
      <x:c r="D33" s="3"/>
      <x:c r="E33" s="3"/>
      <x:c r="F33" s="3"/>
      <x:c r="G33" s="3"/>
    </x:row>
    <x:row r="34" ht="26" customHeight="1">
      <x:c r="A34" s="3"/>
      <x:c r="B34" s="3"/>
      <x:c r="C34" s="3"/>
      <x:c r="D34" s="3"/>
      <x:c r="E34" s="3"/>
      <x:c r="F34" s="3"/>
      <x:c r="G34" s="3"/>
    </x:row>
    <x:row r="35" ht="26" customHeight="1">
      <x:c r="A35" s="3"/>
      <x:c r="B35" s="3"/>
      <x:c r="C35" s="3"/>
      <x:c r="D35" s="3"/>
      <x:c r="E35" s="3"/>
      <x:c r="F35" s="3"/>
      <x:c r="G35" s="3"/>
    </x:row>
    <x:row r="36" ht="26" customHeight="1">
      <x:c r="A36" s="3"/>
      <x:c r="B36" s="3"/>
      <x:c r="C36" s="3"/>
      <x:c r="D36" s="3"/>
      <x:c r="E36" s="3"/>
      <x:c r="F36" s="3"/>
      <x:c r="G36" s="3"/>
    </x:row>
    <x:row r="37" ht="26" customHeight="1">
      <x:c r="A37" s="3"/>
      <x:c r="B37" s="3"/>
      <x:c r="C37" s="3"/>
      <x:c r="D37" s="3"/>
      <x:c r="E37" s="3"/>
      <x:c r="F37" s="3"/>
      <x:c r="G37" s="3"/>
    </x:row>
    <x:row r="38" ht="26" customHeight="1">
      <x:c r="A38" s="3"/>
      <x:c r="B38" s="3"/>
      <x:c r="C38" s="3"/>
      <x:c r="D38" s="3"/>
      <x:c r="E38" s="3"/>
      <x:c r="F38" s="3"/>
      <x:c r="G38" s="3"/>
    </x:row>
    <x:row r="39" ht="26" customHeight="1">
      <x:c r="A39" s="3"/>
      <x:c r="B39" s="3"/>
      <x:c r="C39" s="3"/>
      <x:c r="D39" s="3"/>
      <x:c r="E39" s="3"/>
      <x:c r="F39" s="3"/>
      <x:c r="G39" s="3"/>
    </x:row>
    <x:row r="40" ht="26" customHeight="1">
      <x:c r="A40" s="3"/>
      <x:c r="B40" s="3"/>
      <x:c r="C40" s="3"/>
      <x:c r="D40" s="3"/>
      <x:c r="E40" s="3"/>
      <x:c r="F40" s="3"/>
      <x:c r="G40" s="3"/>
    </x:row>
    <x:row r="41" ht="26" customHeight="1">
      <x:c r="A41" s="3"/>
      <x:c r="B41" s="3"/>
      <x:c r="C41" s="3"/>
      <x:c r="D41" s="3"/>
      <x:c r="E41" s="3"/>
      <x:c r="F41" s="3"/>
      <x:c r="G41" s="3"/>
    </x:row>
    <x:row r="42" ht="26" customHeight="1">
      <x:c r="A42" s="3"/>
      <x:c r="B42" s="3"/>
      <x:c r="C42" s="3"/>
      <x:c r="D42" s="3"/>
      <x:c r="E42" s="3"/>
      <x:c r="F42" s="3"/>
      <x:c r="G42" s="3"/>
    </x:row>
  </x:sheetData>
  <x:mergeCells>
    <x:mergeCell ref="A1:G1"/>
    <x:mergeCell ref="A2:G2"/>
    <x:mergeCell ref="B10:G10"/>
    <x:mergeCell ref="A11:G11"/>
    <x:mergeCell ref="B12:G12"/>
    <x:mergeCell ref="A13:G13"/>
    <x:mergeCell ref="B14:G14"/>
    <x:mergeCell ref="A15:G15"/>
    <x:mergeCell ref="B16:G16"/>
    <x:mergeCell ref="A17:G17"/>
    <x:mergeCell ref="B18:G18"/>
    <x:mergeCell ref="A19:G19"/>
    <x:mergeCell ref="B20:G20"/>
    <x:mergeCell ref="A21:G21"/>
    <x:mergeCell ref="B22:G22"/>
    <x:mergeCell ref="A23:G23"/>
    <x:mergeCell ref="B24:G24"/>
    <x:mergeCell ref="A25:G25"/>
    <x:mergeCell ref="B26:G26"/>
    <x:mergeCell ref="A27:G27"/>
    <x:mergeCell ref="A28:G28"/>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18" hidden="0" customWidth="1"/>
    <x:col min="4" max="4" width="18" hidden="0" customWidth="1"/>
    <x:col min="5" max="5" width="40" hidden="0" customWidth="1"/>
    <x:col min="6" max="6" width="18" hidden="0" customWidth="1"/>
    <x:col min="7" max="7" width="18" hidden="0" customWidth="1"/>
  </x:cols>
  <x:sheetData>
    <x:row r="1" ht="32" customHeight="1">
      <x:c r="A1" s="4" t="str">
        <x:v>Does the change create value?</x:v>
      </x:c>
      <x:c r="B1" s="3"/>
      <x:c r="C1" s="3"/>
      <x:c r="D1" s="3"/>
      <x:c r="E1" s="3"/>
      <x:c r="F1" s="3"/>
      <x:c r="G1" s="3"/>
    </x:row>
    <x:row r="2" ht="54" customHeight="1">
      <x:c r="A2" s="3" t="str">
        <x:v>Five-year incremental cash flow versus doing nothing. Complete every numeric input, using 0 when not applicable. Amounts share the Revenue currency/unit. Source IDs and rationale belong beside inputs.</x:v>
      </x:c>
      <x:c r="B2" s="3"/>
      <x:c r="C2" s="3"/>
      <x:c r="D2" s="3"/>
      <x:c r="E2" s="3"/>
      <x:c r="F2" s="3"/>
      <x:c r="G2" s="3"/>
    </x:row>
    <x:row r="3" ht="26" customHeight="1">
      <x:c r="A3" s="3"/>
      <x:c r="B3" s="3"/>
      <x:c r="C3" s="3"/>
      <x:c r="D3" s="3"/>
      <x:c r="E3" s="3"/>
      <x:c r="F3" s="3"/>
      <x:c r="G3" s="3"/>
    </x:row>
    <x:row r="4" ht="26" customHeight="1">
      <x:c r="A4" s="3"/>
      <x:c r="B4" s="3"/>
      <x:c r="C4" s="3"/>
      <x:c r="D4" s="3"/>
      <x:c r="E4" s="3"/>
      <x:c r="F4" s="3"/>
      <x:c r="G4" s="3"/>
    </x:row>
    <x:row r="5" ht="34" customHeight="1">
      <x:c r="A5" s="8" t="str">
        <x:v>Input</x:v>
      </x:c>
      <x:c r="B5" s="8" t="str">
        <x:v>Base</x:v>
      </x:c>
      <x:c r="C5" s="8" t="str">
        <x:v>Upside</x:v>
      </x:c>
      <x:c r="D5" s="8" t="str">
        <x:v>Downside</x:v>
      </x:c>
      <x:c r="E5" s="8" t="str">
        <x:v>Source ID and rationale</x:v>
      </x:c>
      <x:c r="F5" s="3"/>
      <x:c r="G5" s="3"/>
    </x:row>
    <x:row r="6" ht="26" customHeight="1">
      <x:c r="A6" s="3"/>
      <x:c r="B6" s="3"/>
      <x:c r="C6" s="3"/>
      <x:c r="D6" s="3"/>
      <x:c r="E6" s="3"/>
      <x:c r="F6" s="3"/>
      <x:c r="G6" s="3"/>
    </x:row>
    <x:row r="7" ht="42" customHeight="1">
      <x:c r="A7" s="3" t="str">
        <x:v>Equipment/setup cash cost</x:v>
      </x:c>
      <x:c r="B7" s="10"/>
      <x:c r="C7" s="10"/>
      <x:c r="D7" s="10"/>
      <x:c r="E7" s="6"/>
      <x:c r="F7" s="3"/>
      <x:c r="G7" s="3"/>
    </x:row>
    <x:row r="8" ht="42" customHeight="1">
      <x:c r="A8" s="3" t="str">
        <x:v>Initial working capital change</x:v>
      </x:c>
      <x:c r="B8" s="10"/>
      <x:c r="C8" s="10"/>
      <x:c r="D8" s="10"/>
      <x:c r="E8" s="6"/>
      <x:c r="F8" s="3"/>
      <x:c r="G8" s="3"/>
    </x:row>
    <x:row r="9" ht="42" customHeight="1">
      <x:c r="A9" s="3" t="str">
        <x:v>Annual added sales or savings</x:v>
      </x:c>
      <x:c r="B9" s="10"/>
      <x:c r="C9" s="10"/>
      <x:c r="D9" s="10"/>
      <x:c r="E9" s="6"/>
      <x:c r="F9" s="3"/>
      <x:c r="G9" s="3"/>
    </x:row>
    <x:row r="10" ht="42" customHeight="1">
      <x:c r="A10" s="3" t="str">
        <x:v>Annual added operating costs</x:v>
      </x:c>
      <x:c r="B10" s="10"/>
      <x:c r="C10" s="10"/>
      <x:c r="D10" s="10"/>
      <x:c r="E10" s="6"/>
      <x:c r="F10" s="3"/>
      <x:c r="G10" s="3"/>
    </x:row>
    <x:row r="11" ht="42" customHeight="1">
      <x:c r="A11" s="3" t="str">
        <x:v>Depreciable asset basis</x:v>
      </x:c>
      <x:c r="B11" s="10"/>
      <x:c r="C11" s="10"/>
      <x:c r="D11" s="10"/>
      <x:c r="E11" s="6"/>
      <x:c r="F11" s="3"/>
      <x:c r="G11" s="3"/>
    </x:row>
    <x:row r="12" ht="42" customHeight="1">
      <x:c r="A12" s="3" t="str">
        <x:v>Tax rate</x:v>
      </x:c>
      <x:c r="B12" s="11"/>
      <x:c r="C12" s="11"/>
      <x:c r="D12" s="11"/>
      <x:c r="E12" s="6"/>
      <x:c r="F12" s="3"/>
      <x:c r="G12" s="3"/>
    </x:row>
    <x:row r="13" ht="42" customHeight="1">
      <x:c r="A13" s="3" t="str">
        <x:v>Discount rate</x:v>
      </x:c>
      <x:c r="B13" s="11"/>
      <x:c r="C13" s="11"/>
      <x:c r="D13" s="11"/>
      <x:c r="E13" s="6"/>
      <x:c r="F13" s="3"/>
      <x:c r="G13" s="3"/>
    </x:row>
    <x:row r="14" ht="42" customHeight="1">
      <x:c r="A14" s="3" t="str">
        <x:v>Year 5 after-tax asset proceeds</x:v>
      </x:c>
      <x:c r="B14" s="10"/>
      <x:c r="C14" s="10"/>
      <x:c r="D14" s="10"/>
      <x:c r="E14" s="6"/>
      <x:c r="F14" s="3"/>
      <x:c r="G14" s="3"/>
    </x:row>
    <x:row r="15" ht="42" customHeight="1">
      <x:c r="A15" s="3" t="str">
        <x:v>Year 5 working capital recovery</x:v>
      </x:c>
      <x:c r="B15" s="10"/>
      <x:c r="C15" s="10"/>
      <x:c r="D15" s="10"/>
      <x:c r="E15" s="6"/>
      <x:c r="F15" s="3"/>
      <x:c r="G15" s="3"/>
    </x:row>
    <x:row r="16" ht="26" customHeight="1">
      <x:c r="A16" s="3"/>
      <x:c r="B16" s="3"/>
      <x:c r="C16" s="3"/>
      <x:c r="D16" s="3"/>
      <x:c r="E16" s="3"/>
      <x:c r="F16" s="3"/>
      <x:c r="G16" s="3"/>
    </x:row>
    <x:row r="17" ht="54" customHeight="1">
      <x:c r="A17" s="3" t="str">
        <x:v>Signs: enter costs as positive. Initial working-capital increases are positive; releases are negative. Year 5 recovery is positive; restoration of released working capital is negative. Do not count a release as annual revenue.</x:v>
      </x:c>
      <x:c r="B17" s="3"/>
      <x:c r="C17" s="3"/>
      <x:c r="D17" s="3"/>
      <x:c r="E17" s="3"/>
      <x:c r="F17" s="3"/>
      <x:c r="G17" s="3"/>
    </x:row>
    <x:row r="18" ht="26" customHeight="1">
      <x:c r="A18" s="3"/>
      <x:c r="B18" s="3"/>
      <x:c r="C18" s="3"/>
      <x:c r="D18" s="3"/>
      <x:c r="E18" s="3"/>
      <x:c r="F18" s="3"/>
      <x:c r="G18" s="3"/>
    </x:row>
    <x:row r="19" ht="34" customHeight="1">
      <x:c r="A19" s="8" t="str">
        <x:v>Calculated result</x:v>
      </x:c>
      <x:c r="B19" s="8" t="str">
        <x:v>Base</x:v>
      </x:c>
      <x:c r="C19" s="8" t="str">
        <x:v>Upside</x:v>
      </x:c>
      <x:c r="D19" s="8" t="str">
        <x:v>Downside</x:v>
      </x:c>
      <x:c r="E19" s="8" t="str">
        <x:v>Meaning</x:v>
      </x:c>
      <x:c r="F19" s="3"/>
      <x:c r="G19" s="3"/>
    </x:row>
    <x:row r="20" ht="40" customHeight="1">
      <x:c r="A20" s="3" t="str">
        <x:v>Annual depreciation</x:v>
      </x:c>
      <x:c r="B20" s="12" t="str">
        <x:f>IF(AND(COUNT(B7:B15)=9,B7&gt;=0,B9&gt;=0,B10&gt;=0,B11&gt;=0,B11&lt;=B7,B12&gt;=0,B12&lt;=1,B13&gt;=0),B11/5,"")</x:f>
      </x:c>
      <x:c r="C20" s="12" t="str">
        <x:f>IF(AND(COUNT(C7:C15)=9,C7&gt;=0,C9&gt;=0,C10&gt;=0,C11&gt;=0,C11&lt;=C7,C12&gt;=0,C12&lt;=1,C13&gt;=0),C11/5,"")</x:f>
      </x:c>
      <x:c r="D20" s="12" t="str">
        <x:f>IF(AND(COUNT(D7:D15)=9,D7&gt;=0,D9&gt;=0,D10&gt;=0,D11&gt;=0,D11&lt;=D7,D12&gt;=0,D12&lt;=1,D13&gt;=0),D11/5,"")</x:f>
      </x:c>
      <x:c r="E20" s="3" t="str">
        <x:v>Straight-line over five years; no midyear convention.</x:v>
      </x:c>
      <x:c r="F20" s="3"/>
      <x:c r="G20" s="3"/>
    </x:row>
    <x:row r="21" ht="40" customHeight="1">
      <x:c r="A21" s="3" t="str">
        <x:v>Annual taxable profit</x:v>
      </x:c>
      <x:c r="B21" s="12" t="str">
        <x:f>IF(AND(COUNT(B7:B15)=9,B7&gt;=0,B9&gt;=0,B10&gt;=0,B11&gt;=0,B11&lt;=B7,B12&gt;=0,B12&lt;=1,B13&gt;=0),B9-B10-B20,"")</x:f>
      </x:c>
      <x:c r="C21" s="12" t="str">
        <x:f>IF(AND(COUNT(C7:C15)=9,C7&gt;=0,C9&gt;=0,C10&gt;=0,C11&gt;=0,C11&lt;=C7,C12&gt;=0,C12&lt;=1,C13&gt;=0),C9-C10-C20,"")</x:f>
      </x:c>
      <x:c r="D21" s="12" t="str">
        <x:f>IF(AND(COUNT(D7:D15)=9,D7&gt;=0,D9&gt;=0,D10&gt;=0,D11&gt;=0,D11&lt;=D7,D12&gt;=0,D12&lt;=1,D13&gt;=0),D9-D10-D20,"")</x:f>
      </x:c>
      <x:c r="E21" s="3"/>
      <x:c r="F21" s="3"/>
      <x:c r="G21" s="3"/>
    </x:row>
    <x:row r="22" ht="40" customHeight="1">
      <x:c r="A22" s="3" t="str">
        <x:v>Annual cash taxes</x:v>
      </x:c>
      <x:c r="B22" s="12" t="str">
        <x:f>IF(AND(COUNT(B7:B15)=9,B7&gt;=0,B9&gt;=0,B10&gt;=0,B11&gt;=0,B11&lt;=B7,B12&gt;=0,B12&lt;=1,B13&gt;=0),MAX(0,B21)*B12,"")</x:f>
      </x:c>
      <x:c r="C22" s="12" t="str">
        <x:f>IF(AND(COUNT(C7:C15)=9,C7&gt;=0,C9&gt;=0,C10&gt;=0,C11&gt;=0,C11&lt;=C7,C12&gt;=0,C12&lt;=1,C13&gt;=0),MAX(0,C21)*C12,"")</x:f>
      </x:c>
      <x:c r="D22" s="12" t="str">
        <x:f>IF(AND(COUNT(D7:D15)=9,D7&gt;=0,D9&gt;=0,D10&gt;=0,D11&gt;=0,D11&lt;=D7,D12&gt;=0,D12&lt;=1,D13&gt;=0),MAX(0,D21)*D12,"")</x:f>
      </x:c>
      <x:c r="E22" s="3" t="str">
        <x:v>No immediate tax benefit for losses is assumed.</x:v>
      </x:c>
      <x:c r="F22" s="3"/>
      <x:c r="G22" s="3"/>
    </x:row>
    <x:row r="23" ht="40" customHeight="1">
      <x:c r="A23" s="3" t="str">
        <x:v>Annual operating cash flow</x:v>
      </x:c>
      <x:c r="B23" s="12" t="str">
        <x:f>IF(AND(COUNT(B7:B15)=9,B7&gt;=0,B9&gt;=0,B10&gt;=0,B11&gt;=0,B11&lt;=B7,B12&gt;=0,B12&lt;=1,B13&gt;=0),B9-B10-B22,"")</x:f>
      </x:c>
      <x:c r="C23" s="12" t="str">
        <x:f>IF(AND(COUNT(C7:C15)=9,C7&gt;=0,C9&gt;=0,C10&gt;=0,C11&gt;=0,C11&lt;=C7,C12&gt;=0,C12&lt;=1,C13&gt;=0),C9-C10-C22,"")</x:f>
      </x:c>
      <x:c r="D23" s="12" t="str">
        <x:f>IF(AND(COUNT(D7:D15)=9,D7&gt;=0,D9&gt;=0,D10&gt;=0,D11&gt;=0,D11&lt;=D7,D12&gt;=0,D12&lt;=1,D13&gt;=0),D9-D10-D22,"")</x:f>
      </x:c>
      <x:c r="E23" s="3"/>
      <x:c r="F23" s="3"/>
      <x:c r="G23" s="3"/>
    </x:row>
    <x:row r="24" ht="40" customHeight="1">
      <x:c r="A24" s="3" t="str">
        <x:v>Initial cash flow</x:v>
      </x:c>
      <x:c r="B24" s="12" t="str">
        <x:f>IF(AND(COUNT(B7:B15)=9,B7&gt;=0,B9&gt;=0,B10&gt;=0,B11&gt;=0,B11&lt;=B7,B12&gt;=0,B12&lt;=1,B13&gt;=0),-B7-B8,"")</x:f>
      </x:c>
      <x:c r="C24" s="12" t="str">
        <x:f>IF(AND(COUNT(C7:C15)=9,C7&gt;=0,C9&gt;=0,C10&gt;=0,C11&gt;=0,C11&lt;=C7,C12&gt;=0,C12&lt;=1,C13&gt;=0),-C7-C8,"")</x:f>
      </x:c>
      <x:c r="D24" s="12" t="str">
        <x:f>IF(AND(COUNT(D7:D15)=9,D7&gt;=0,D9&gt;=0,D10&gt;=0,D11&gt;=0,D11&lt;=D7,D12&gt;=0,D12&lt;=1,D13&gt;=0),-D7-D8,"")</x:f>
      </x:c>
      <x:c r="E24" s="3"/>
      <x:c r="F24" s="3"/>
      <x:c r="G24" s="3"/>
    </x:row>
    <x:row r="25" ht="40" customHeight="1">
      <x:c r="A25" s="3" t="str">
        <x:v>Net present value (NPV)</x:v>
      </x:c>
      <x:c r="B25" s="12" t="str">
        <x:f>IF(AND(COUNT(B7:B15)=9,B7&gt;=0,B9&gt;=0,B10&gt;=0,B11&gt;=0,B11&lt;=B7,B12&gt;=0,B12&lt;=1,B13&gt;=0),B24+B23/(1+B13)^1+B23/(1+B13)^2+B23/(1+B13)^3+B23/(1+B13)^4+B23/(1+B13)^5+(B14+B15)/(1+B13)^5,"")</x:f>
      </x:c>
      <x:c r="C25" s="12" t="str">
        <x:f>IF(AND(COUNT(C7:C15)=9,C7&gt;=0,C9&gt;=0,C10&gt;=0,C11&gt;=0,C11&lt;=C7,C12&gt;=0,C12&lt;=1,C13&gt;=0),C24+C23/(1+C13)^1+C23/(1+C13)^2+C23/(1+C13)^3+C23/(1+C13)^4+C23/(1+C13)^5+(C14+C15)/(1+C13)^5,"")</x:f>
      </x:c>
      <x:c r="D25" s="12" t="str">
        <x:f>IF(AND(COUNT(D7:D15)=9,D7&gt;=0,D9&gt;=0,D10&gt;=0,D11&gt;=0,D11&lt;=D7,D12&gt;=0,D12&lt;=1,D13&gt;=0),D24+D23/(1+D13)^1+D23/(1+D13)^2+D23/(1+D13)^3+D23/(1+D13)^4+D23/(1+D13)^5+(D14+D15)/(1+D13)^5,"")</x:f>
      </x:c>
      <x:c r="E25" s="3" t="str">
        <x:v>NPV &gt; 0 supports the change financially; also consider risk.</x:v>
      </x:c>
      <x:c r="F25" s="3"/>
      <x:c r="G25" s="3"/>
    </x:row>
    <x:row r="26" ht="40" customHeight="1">
      <x:c r="A26" s="3" t="str">
        <x:v>Inputs to review</x:v>
      </x:c>
      <x:c r="B26" s="3" t="str">
        <x:f>IF(COUNT(B7:B15)&lt;9,"Enter all 9 inputs",IF(AND(COUNT(B7:B15)=9,B7&gt;=0,B9&gt;=0,B10&gt;=0,B11&gt;=0,B11&lt;=B7,B12&gt;=0,B12&lt;=1,B13&gt;=0),"Explain assumptions and results","Review inputs"))</x:f>
        <x:v>Enter all 9 inputs</x:v>
      </x:c>
      <x:c r="C26" s="3" t="str">
        <x:f>IF(COUNT(C7:C15)&lt;9,"Enter all 9 inputs",IF(AND(COUNT(C7:C15)=9,C7&gt;=0,C9&gt;=0,C10&gt;=0,C11&gt;=0,C11&lt;=C7,C12&gt;=0,C12&lt;=1,C13&gt;=0),"Explain assumptions and results","Review inputs"))</x:f>
        <x:v>Enter all 9 inputs</x:v>
      </x:c>
      <x:c r="D26" s="3" t="str">
        <x:f>IF(COUNT(D7:D15)&lt;9,"Enter all 9 inputs",IF(AND(COUNT(D7:D15)=9,D7&gt;=0,D9&gt;=0,D10&gt;=0,D11&gt;=0,D11&lt;=D7,D12&gt;=0,D12&lt;=1,D13&gt;=0),"Explain assumptions and results","Review inputs"))</x:f>
        <x:v>Enter all 9 inputs</x:v>
      </x:c>
      <x:c r="E26" s="3"/>
      <x:c r="F26" s="3"/>
      <x:c r="G26" s="3"/>
    </x:row>
    <x:row r="27" ht="26" customHeight="1">
      <x:c r="A27" s="3"/>
      <x:c r="B27" s="3"/>
      <x:c r="C27" s="3"/>
      <x:c r="D27" s="3"/>
      <x:c r="E27" s="3"/>
      <x:c r="F27" s="3"/>
      <x:c r="G27" s="3"/>
    </x:row>
    <x:row r="28" ht="34" customHeight="1">
      <x:c r="A28" s="8" t="str">
        <x:v>Base cash flow</x:v>
      </x:c>
      <x:c r="B28" s="8" t="str">
        <x:v>Year 0</x:v>
      </x:c>
      <x:c r="C28" s="8" t="str">
        <x:v>Year 1</x:v>
      </x:c>
      <x:c r="D28" s="8" t="str">
        <x:v>Year 2</x:v>
      </x:c>
      <x:c r="E28" s="8" t="str">
        <x:v>Year 3</x:v>
      </x:c>
      <x:c r="F28" s="8" t="str">
        <x:v>Year 4</x:v>
      </x:c>
      <x:c r="G28" s="8" t="str">
        <x:v>Year 5</x:v>
      </x:c>
    </x:row>
    <x:row r="29" ht="26" customHeight="1">
      <x:c r="A29" s="3" t="str">
        <x:v>Incremental cash flow</x:v>
      </x:c>
      <x:c r="B29" s="12" t="str">
        <x:f>IF(AND(COUNT(B7:B15)=9,B7&gt;=0,B9&gt;=0,B10&gt;=0,B11&gt;=0,B11&lt;=B7,B12&gt;=0,B12&lt;=1,B13&gt;=0),B24,"")</x:f>
      </x:c>
      <x:c r="C29" s="12" t="str">
        <x:f>IF(AND(COUNT(B7:B15)=9,B7&gt;=0,B9&gt;=0,B10&gt;=0,B11&gt;=0,B11&lt;=B7,B12&gt;=0,B12&lt;=1,B13&gt;=0),$B$23,"")</x:f>
      </x:c>
      <x:c r="D29" s="12" t="str">
        <x:f>IF(AND(COUNT(B7:B15)=9,B7&gt;=0,B9&gt;=0,B10&gt;=0,B11&gt;=0,B11&lt;=B7,B12&gt;=0,B12&lt;=1,B13&gt;=0),$B$23,"")</x:f>
      </x:c>
      <x:c r="E29" s="12" t="str">
        <x:f>IF(AND(COUNT(B7:B15)=9,B7&gt;=0,B9&gt;=0,B10&gt;=0,B11&gt;=0,B11&lt;=B7,B12&gt;=0,B12&lt;=1,B13&gt;=0),$B$23,"")</x:f>
      </x:c>
      <x:c r="F29" s="12" t="str">
        <x:f>IF(AND(COUNT(B7:B15)=9,B7&gt;=0,B9&gt;=0,B10&gt;=0,B11&gt;=0,B11&lt;=B7,B12&gt;=0,B12&lt;=1,B13&gt;=0),$B$23,"")</x:f>
      </x:c>
      <x:c r="G29" s="12" t="str">
        <x:f>IF(AND(COUNT(B7:B15)=9,B7&gt;=0,B9&gt;=0,B10&gt;=0,B11&gt;=0,B11&lt;=B7,B12&gt;=0,B12&lt;=1,B13&gt;=0),$B$23+$B$14+$B$15,"")</x:f>
      </x:c>
    </x:row>
    <x:row r="30" ht="26" customHeight="1">
      <x:c r="A30" s="3" t="str">
        <x:v>Present value</x:v>
      </x:c>
      <x:c r="B30" s="12" t="str">
        <x:f>IF(AND(COUNT(B7:B15)=9,B7&gt;=0,B9&gt;=0,B10&gt;=0,B11&gt;=0,B11&lt;=B7,B12&gt;=0,B12&lt;=1,B13&gt;=0),B29/(1+$B$13)^0,"")</x:f>
      </x:c>
      <x:c r="C30" s="12" t="str">
        <x:f>IF(AND(COUNT(B7:B15)=9,B7&gt;=0,B9&gt;=0,B10&gt;=0,B11&gt;=0,B11&lt;=B7,B12&gt;=0,B12&lt;=1,B13&gt;=0),C29/(1+$B$13)^1,"")</x:f>
      </x:c>
      <x:c r="D30" s="12" t="str">
        <x:f>IF(AND(COUNT(B7:B15)=9,B7&gt;=0,B9&gt;=0,B10&gt;=0,B11&gt;=0,B11&lt;=B7,B12&gt;=0,B12&lt;=1,B13&gt;=0),D29/(1+$B$13)^2,"")</x:f>
      </x:c>
      <x:c r="E30" s="12" t="str">
        <x:f>IF(AND(COUNT(B7:B15)=9,B7&gt;=0,B9&gt;=0,B10&gt;=0,B11&gt;=0,B11&lt;=B7,B12&gt;=0,B12&lt;=1,B13&gt;=0),E29/(1+$B$13)^3,"")</x:f>
      </x:c>
      <x:c r="F30" s="12" t="str">
        <x:f>IF(AND(COUNT(B7:B15)=9,B7&gt;=0,B9&gt;=0,B10&gt;=0,B11&gt;=0,B11&lt;=B7,B12&gt;=0,B12&lt;=1,B13&gt;=0),F29/(1+$B$13)^4,"")</x:f>
      </x:c>
      <x:c r="G30" s="12" t="str">
        <x:f>IF(AND(COUNT(B7:B15)=9,B7&gt;=0,B9&gt;=0,B10&gt;=0,B11&gt;=0,B11&lt;=B7,B12&gt;=0,B12&lt;=1,B13&gt;=0),G29/(1+$B$13)^5,"")</x:f>
      </x:c>
    </x:row>
    <x:row r="31" ht="26" customHeight="1">
      <x:c r="A31" s="3"/>
      <x:c r="B31" s="3"/>
      <x:c r="C31" s="3"/>
      <x:c r="D31" s="3"/>
      <x:c r="E31" s="3"/>
      <x:c r="F31" s="3"/>
      <x:c r="G31" s="3"/>
    </x:row>
    <x:row r="32" ht="44" customHeight="1">
      <x:c r="A32" s="3" t="str">
        <x:v>NPV adds the initial cash flow and the present value of Years 1–5. Discounting reduces the value of later cash flows. The status quo has zero incremental NPV.</x:v>
      </x:c>
      <x:c r="B32" s="3"/>
      <x:c r="C32" s="3"/>
      <x:c r="D32" s="3"/>
      <x:c r="E32" s="3"/>
      <x:c r="F32" s="3"/>
      <x:c r="G32" s="3"/>
    </x:row>
    <x:row r="33" ht="26" customHeight="1">
      <x:c r="A33" s="3"/>
      <x:c r="B33" s="3"/>
      <x:c r="C33" s="3"/>
      <x:c r="D33" s="3"/>
      <x:c r="E33" s="3"/>
      <x:c r="F33" s="3"/>
      <x:c r="G33" s="3"/>
    </x:row>
    <x:row r="34" ht="34" customHeight="1">
      <x:c r="A34" s="8" t="str">
        <x:v>Sensitivity</x:v>
      </x:c>
      <x:c r="B34" s="8" t="str">
        <x:v>Low test</x:v>
      </x:c>
      <x:c r="C34" s="8" t="str">
        <x:v>Base</x:v>
      </x:c>
      <x:c r="D34" s="8" t="str">
        <x:v>High test</x:v>
      </x:c>
      <x:c r="E34" s="8" t="str">
        <x:v>What this isolates</x:v>
      </x:c>
      <x:c r="F34" s="3"/>
      <x:c r="G34" s="3"/>
    </x:row>
    <x:row r="35" ht="60" customHeight="1">
      <x:c r="A35" s="3" t="str">
        <x:v>Key assumption multiplier</x:v>
      </x:c>
      <x:c r="B35" s="13" t="n">
        <x:v>0.8</x:v>
      </x:c>
      <x:c r="C35" s="13" t="n">
        <x:v>1</x:v>
      </x:c>
      <x:c r="D35" s="13" t="n">
        <x:v>1.2</x:v>
      </x:c>
      <x:c r="E35" s="3" t="str">
        <x:v>Investment: annual benefits. Working capital: days reduced, scaling release and restoration.</x:v>
      </x:c>
      <x:c r="F35" s="3"/>
      <x:c r="G35" s="3"/>
    </x:row>
    <x:row r="36" ht="26" customHeight="1">
      <x:c r="A36" s="3" t="str">
        <x:v>NPV at changed assumption</x:v>
      </x:c>
      <x:c r="B36" s="12" t="str">
        <x:f>IF(AND(AND(COUNT(B7:B15)=9,B7&gt;=0,B9&gt;=0,B10&gt;=0,B11&gt;=0,B11&lt;=B7,B12&gt;=0,B12&lt;=1,B13&gt;=0),ISNUMBER(B35),B35&gt;=0),IF(Start!$B$10="Working-capital improvement",-$B$7-$B$8*B35+$B$23/(1+$B$13)^1+$B$23/(1+$B$13)^2+$B$23/(1+$B$13)^3+$B$23/(1+$B$13)^4+$B$23/(1+$B$13)^5+($B$14+$B$15*B35)/(1+$B$13)^5,$B$24+($B$9*B35-$B$10-MAX(0,$B$9*B35-$B$10-$B$20)*$B$12)/(1+$B$13)^1+($B$9*B35-$B$10-MAX(0,$B$9*B35-$B$10-$B$20)*$B$12)/(1+$B$13)^2+($B$9*B35-$B$10-MAX(0,$B$9*B35-$B$10-$B$20)*$B$12)/(1+$B$13)^3+($B$9*B35-$B$10-MAX(0,$B$9*B35-$B$10-$B$20)*$B$12)/(1+$B$13)^4+($B$9*B35-$B$10-MAX(0,$B$9*B35-$B$10-$B$20)*$B$12)/(1+$B$13)^5+($B$14+$B$15)/(1+$B$13)^5),"")</x:f>
      </x:c>
      <x:c r="C36" s="12" t="str">
        <x:f>IF(AND(AND(COUNT(B7:B15)=9,B7&gt;=0,B9&gt;=0,B10&gt;=0,B11&gt;=0,B11&lt;=B7,B12&gt;=0,B12&lt;=1,B13&gt;=0),ISNUMBER(C35),C35&gt;=0),IF(Start!$B$10="Working-capital improvement",-$B$7-$B$8*C35+$B$23/(1+$B$13)^1+$B$23/(1+$B$13)^2+$B$23/(1+$B$13)^3+$B$23/(1+$B$13)^4+$B$23/(1+$B$13)^5+($B$14+$B$15*C35)/(1+$B$13)^5,$B$24+($B$9*C35-$B$10-MAX(0,$B$9*C35-$B$10-$B$20)*$B$12)/(1+$B$13)^1+($B$9*C35-$B$10-MAX(0,$B$9*C35-$B$10-$B$20)*$B$12)/(1+$B$13)^2+($B$9*C35-$B$10-MAX(0,$B$9*C35-$B$10-$B$20)*$B$12)/(1+$B$13)^3+($B$9*C35-$B$10-MAX(0,$B$9*C35-$B$10-$B$20)*$B$12)/(1+$B$13)^4+($B$9*C35-$B$10-MAX(0,$B$9*C35-$B$10-$B$20)*$B$12)/(1+$B$13)^5+($B$14+$B$15)/(1+$B$13)^5),"")</x:f>
      </x:c>
      <x:c r="D36" s="12" t="str">
        <x:f>IF(AND(AND(COUNT(B7:B15)=9,B7&gt;=0,B9&gt;=0,B10&gt;=0,B11&gt;=0,B11&lt;=B7,B12&gt;=0,B12&lt;=1,B13&gt;=0),ISNUMBER(D35),D35&gt;=0),IF(Start!$B$10="Working-capital improvement",-$B$7-$B$8*D35+$B$23/(1+$B$13)^1+$B$23/(1+$B$13)^2+$B$23/(1+$B$13)^3+$B$23/(1+$B$13)^4+$B$23/(1+$B$13)^5+($B$14+$B$15*D35)/(1+$B$13)^5,$B$24+($B$9*D35-$B$10-MAX(0,$B$9*D35-$B$10-$B$20)*$B$12)/(1+$B$13)^1+($B$9*D35-$B$10-MAX(0,$B$9*D35-$B$10-$B$20)*$B$12)/(1+$B$13)^2+($B$9*D35-$B$10-MAX(0,$B$9*D35-$B$10-$B$20)*$B$12)/(1+$B$13)^3+($B$9*D35-$B$10-MAX(0,$B$9*D35-$B$10-$B$20)*$B$12)/(1+$B$13)^4+($B$9*D35-$B$10-MAX(0,$B$9*D35-$B$10-$B$20)*$B$12)/(1+$B$13)^5+($B$14+$B$15)/(1+$B$13)^5),"")</x:f>
      </x:c>
      <x:c r="E36" s="3"/>
      <x:c r="F36" s="3"/>
      <x:c r="G36" s="3"/>
    </x:row>
    <x:row r="37" ht="26" customHeight="1">
      <x:c r="A37" s="3"/>
      <x:c r="B37" s="3"/>
      <x:c r="C37" s="3"/>
      <x:c r="D37" s="3"/>
      <x:c r="E37" s="3"/>
      <x:c r="F37" s="3"/>
      <x:c r="G37" s="3"/>
    </x:row>
    <x:row r="38" ht="52" customHeight="1">
      <x:c r="A38" s="3" t="str">
        <x:v>Interpretation</x:v>
      </x:c>
      <x:c r="B38" s="6"/>
      <x:c r="C38" s="6"/>
      <x:c r="D38" s="6"/>
      <x:c r="E38" s="6"/>
      <x:c r="F38" s="6"/>
      <x:c r="G38" s="6"/>
    </x:row>
    <x:row r="39" ht="34" customHeight="1">
      <x:c r="A39" s="3" t="str">
        <x:v>Which case changes your decision? Explain the sensitivity and a result that would make you pause.</x:v>
      </x:c>
      <x:c r="B39" s="3"/>
      <x:c r="C39" s="3"/>
      <x:c r="D39" s="3"/>
      <x:c r="E39" s="3"/>
      <x:c r="F39" s="3"/>
      <x:c r="G39" s="3"/>
    </x:row>
    <x:row r="40" ht="34" customHeight="1">
      <x:c r="A40" s="8" t="str">
        <x:v>Working-capital helper</x:v>
      </x:c>
      <x:c r="B40" s="8" t="str">
        <x:v>Base</x:v>
      </x:c>
      <x:c r="C40" s="8" t="str">
        <x:v>Upside</x:v>
      </x:c>
      <x:c r="D40" s="8" t="str">
        <x:v>Downside</x:v>
      </x:c>
      <x:c r="E40" s="8" t="str">
        <x:v>Use only for this path</x:v>
      </x:c>
      <x:c r="F40" s="3"/>
      <x:c r="G40" s="3"/>
    </x:row>
    <x:row r="41" ht="54" customHeight="1">
      <x:c r="A41" s="3" t="str">
        <x:v>Annual sales or cost of sales</x:v>
      </x:c>
      <x:c r="B41" s="6"/>
      <x:c r="C41" s="6"/>
      <x:c r="D41" s="6"/>
      <x:c r="E41" s="3" t="str">
        <x:v>Receivables: latest annual sales. Inventory: annual cost of goods sold.</x:v>
      </x:c>
      <x:c r="F41" s="3"/>
      <x:c r="G41" s="3"/>
    </x:row>
    <x:row r="42" ht="54" customHeight="1">
      <x:c r="A42" s="3" t="str">
        <x:v>Days reduced</x:v>
      </x:c>
      <x:c r="B42" s="6"/>
      <x:c r="C42" s="6"/>
      <x:c r="D42" s="6"/>
      <x:c r="E42" s="3" t="str">
        <x:v>Estimate from current days and a defensible target.</x:v>
      </x:c>
      <x:c r="F42" s="3"/>
      <x:c r="G42" s="3"/>
    </x:row>
    <x:row r="43" ht="54" customHeight="1">
      <x:c r="A43" s="3" t="str">
        <x:v>One-time cash released</x:v>
      </x:c>
      <x:c r="B43" s="12" t="str">
        <x:f>IF(AND(COUNT(B41:B42)=2,B41&gt;=0,B42&gt;=0),B41/365*B42,"")</x:f>
      </x:c>
      <x:c r="C43" s="12" t="str">
        <x:f>IF(AND(COUNT(C41:C42)=2,C41&gt;=0,C42&gt;=0),C41/365*C42,"")</x:f>
      </x:c>
      <x:c r="D43" s="12" t="str">
        <x:f>IF(AND(COUNT(D41:D42)=2,D41&gt;=0,D42&gt;=0),D41/365*D42,"")</x:f>
      </x:c>
      <x:c r="E43" s="3" t="str">
        <x:v>Link row 8 to the negative of this result.</x:v>
      </x:c>
      <x:c r="F43" s="3"/>
      <x:c r="G43" s="3"/>
    </x:row>
    <x:row r="44" ht="26" customHeight="1">
      <x:c r="A44" s="3"/>
      <x:c r="B44" s="3"/>
      <x:c r="C44" s="3"/>
      <x:c r="D44" s="3"/>
      <x:c r="E44" s="3"/>
      <x:c r="F44" s="3"/>
      <x:c r="G44" s="3"/>
    </x:row>
    <x:row r="45" ht="58" customHeight="1">
      <x:c r="A45" s="3" t="str">
        <x:v>Working capital: enter only recurring service costs/savings in rows 9–10. Count the cash release once in row 8. If the improvement ends in Year 5, enter negative restoration in row 15. If permanent, explain why row 15 is zero.</x:v>
      </x:c>
      <x:c r="B45" s="3"/>
      <x:c r="C45" s="3"/>
      <x:c r="D45" s="3"/>
      <x:c r="E45" s="3"/>
      <x:c r="F45" s="3"/>
      <x:c r="G45" s="3"/>
    </x:row>
    <x:row r="46" ht="26" customHeight="1">
      <x:c r="A46" s="3"/>
      <x:c r="B46" s="3"/>
      <x:c r="C46" s="3"/>
      <x:c r="D46" s="3"/>
      <x:c r="E46" s="3"/>
      <x:c r="F46" s="3"/>
      <x:c r="G46" s="3"/>
    </x:row>
    <x:row r="47" ht="54" customHeight="1">
      <x:c r="A47" s="3" t="str">
        <x:v>Investment: source an equipment/setup estimate and annual incremental sales or savings. Row 11 cannot exceed row 7. Use row 14 for after-tax salvage. Row 8 captures additional working capital and row 15 its release.</x:v>
      </x:c>
      <x:c r="B47" s="3"/>
      <x:c r="C47" s="3"/>
      <x:c r="D47" s="3"/>
      <x:c r="E47" s="3"/>
      <x:c r="F47" s="3"/>
      <x:c r="G47" s="3"/>
    </x:row>
    <x:row r="48" ht="26" customHeight="1">
      <x:c r="A48" s="3"/>
      <x:c r="B48" s="3"/>
      <x:c r="C48" s="3"/>
      <x:c r="D48" s="3"/>
      <x:c r="E48" s="3"/>
      <x:c r="F48" s="3"/>
      <x:c r="G48" s="3"/>
    </x:row>
    <x:row r="49" ht="58" customHeight="1">
      <x:c r="A49" s="3" t="str">
        <x:v>Use an instructor-provided discount rate or a sourced company/risk estimate; justify it. The five-year model assumes constant annual cash flows, straight-line depreciation, and no immediate loss tax benefit. Label these simplifications.</x:v>
      </x:c>
      <x:c r="B49" s="3"/>
      <x:c r="C49" s="3"/>
      <x:c r="D49" s="3"/>
      <x:c r="E49" s="3"/>
      <x:c r="F49" s="3"/>
      <x:c r="G49" s="3"/>
    </x:row>
    <x:row r="50" ht="26" customHeight="1">
      <x:c r="A50" s="3"/>
      <x:c r="B50" s="3"/>
      <x:c r="C50" s="3"/>
      <x:c r="D50" s="3"/>
      <x:c r="E50" s="3"/>
      <x:c r="F50" s="3"/>
      <x:c r="G50" s="3"/>
    </x:row>
    <x:row r="51" ht="45" customHeight="1">
      <x:c r="A51" s="3" t="str">
        <x:v>Grading: Cash-flow model and assumptions 4; scenarios and sensitivity 4; verified challenge and judgment 4.</x:v>
      </x:c>
      <x:c r="B51" s="3"/>
      <x:c r="C51" s="3"/>
      <x:c r="D51" s="3"/>
      <x:c r="E51" s="3"/>
      <x:c r="F51" s="3"/>
      <x:c r="G51" s="3"/>
    </x:row>
    <x:row r="52" ht="26" customHeight="1">
      <x:c r="A52" s="3"/>
      <x:c r="B52" s="3"/>
      <x:c r="C52" s="3"/>
      <x:c r="D52" s="3"/>
      <x:c r="E52" s="3"/>
      <x:c r="F52" s="3"/>
      <x:c r="G52" s="3"/>
    </x:row>
    <x:row r="53" ht="26" customHeight="1">
      <x:c r="A53" s="3"/>
      <x:c r="B53" s="3"/>
      <x:c r="C53" s="3"/>
      <x:c r="D53" s="3"/>
      <x:c r="E53" s="3"/>
      <x:c r="F53" s="3"/>
      <x:c r="G53" s="3"/>
    </x:row>
    <x:row r="54" ht="26" customHeight="1">
      <x:c r="A54" s="3"/>
      <x:c r="B54" s="3"/>
      <x:c r="C54" s="3"/>
      <x:c r="D54" s="3"/>
      <x:c r="E54" s="3"/>
      <x:c r="F54" s="3"/>
      <x:c r="G54" s="3"/>
    </x:row>
    <x:row r="55" ht="26" customHeight="1">
      <x:c r="A55" s="3"/>
      <x:c r="B55" s="3"/>
      <x:c r="C55" s="3"/>
      <x:c r="D55" s="3"/>
      <x:c r="E55" s="3"/>
      <x:c r="F55" s="3"/>
      <x:c r="G55" s="3"/>
    </x:row>
    <x:row r="56" ht="26" customHeight="1">
      <x:c r="A56" s="3"/>
      <x:c r="B56" s="3"/>
      <x:c r="C56" s="3"/>
      <x:c r="D56" s="3"/>
      <x:c r="E56" s="3"/>
      <x:c r="F56" s="3"/>
      <x:c r="G56" s="3"/>
    </x:row>
    <x:row r="57" ht="26" customHeight="1">
      <x:c r="A57" s="3"/>
      <x:c r="B57" s="3"/>
      <x:c r="C57" s="3"/>
      <x:c r="D57" s="3"/>
      <x:c r="E57" s="3"/>
      <x:c r="F57" s="3"/>
      <x:c r="G57" s="3"/>
    </x:row>
    <x:row r="58" ht="26" customHeight="1">
      <x:c r="A58" s="3"/>
      <x:c r="B58" s="3"/>
      <x:c r="C58" s="3"/>
      <x:c r="D58" s="3"/>
      <x:c r="E58" s="3"/>
      <x:c r="F58" s="3"/>
      <x:c r="G58" s="3"/>
    </x:row>
    <x:row r="59" ht="26" customHeight="1">
      <x:c r="A59" s="3"/>
      <x:c r="B59" s="3"/>
      <x:c r="C59" s="3"/>
      <x:c r="D59" s="3"/>
      <x:c r="E59" s="3"/>
      <x:c r="F59" s="3"/>
      <x:c r="G59" s="3"/>
    </x:row>
    <x:row r="60" ht="26" customHeight="1">
      <x:c r="A60" s="3"/>
      <x:c r="B60" s="3"/>
      <x:c r="C60" s="3"/>
      <x:c r="D60" s="3"/>
      <x:c r="E60" s="3"/>
      <x:c r="F60" s="3"/>
      <x:c r="G60" s="3"/>
    </x:row>
    <x:row r="61" ht="26" customHeight="1">
      <x:c r="A61" s="3"/>
      <x:c r="B61" s="3"/>
      <x:c r="C61" s="3"/>
      <x:c r="D61" s="3"/>
      <x:c r="E61" s="3"/>
      <x:c r="F61" s="3"/>
      <x:c r="G61" s="3"/>
    </x:row>
  </x:sheetData>
  <x:mergeCells>
    <x:mergeCell ref="A1:G1"/>
    <x:mergeCell ref="A2:G2"/>
    <x:mergeCell ref="A17:G17"/>
    <x:mergeCell ref="A32:G32"/>
    <x:mergeCell ref="B38:G38"/>
    <x:mergeCell ref="A39:G39"/>
    <x:mergeCell ref="A45:G45"/>
    <x:mergeCell ref="A47:G47"/>
    <x:mergeCell ref="A49:G49"/>
    <x:mergeCell ref="A51:G5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27" hidden="0" customWidth="1"/>
    <x:col min="3" max="3" width="27" hidden="0" customWidth="1"/>
    <x:col min="4" max="4" width="27" hidden="0" customWidth="1"/>
    <x:col min="5" max="5" width="30" hidden="0" customWidth="1"/>
    <x:col min="6" max="6" width="30" hidden="0" customWidth="1"/>
    <x:col min="7" max="7" width="30" hidden="0" customWidth="1"/>
  </x:cols>
  <x:sheetData>
    <x:row r="1" ht="32" customHeight="1">
      <x:c r="A1" s="4" t="str">
        <x:v>Sources and assumptions</x:v>
      </x:c>
      <x:c r="B1" s="3"/>
      <x:c r="C1" s="3"/>
      <x:c r="D1" s="3"/>
      <x:c r="E1" s="3"/>
      <x:c r="F1" s="3"/>
      <x:c r="G1" s="3"/>
    </x:row>
    <x:row r="2" ht="66" customHeight="1">
      <x:c r="A2" s="3" t="str">
        <x:v>From Stage 2, use one Sources tab. Record a source ID, exact SEC filing/table or FactSet report/metric, link or report locator, date and period, units, and the fact or assumption used. Put that ID beside the input or claim. Explain changed definitions or missing evidence where they matter.</x:v>
      </x:c>
      <x:c r="B2" s="3"/>
      <x:c r="C2" s="3"/>
      <x:c r="D2" s="3"/>
      <x:c r="E2" s="3"/>
      <x:c r="F2" s="3"/>
      <x:c r="G2" s="3"/>
    </x:row>
    <x:row r="3" ht="26" customHeight="1">
      <x:c r="A3" s="3"/>
      <x:c r="B3" s="3"/>
      <x:c r="C3" s="3"/>
      <x:c r="D3" s="3"/>
      <x:c r="E3" s="3"/>
      <x:c r="F3" s="3"/>
      <x:c r="G3" s="3"/>
    </x:row>
    <x:row r="4" ht="26" customHeight="1">
      <x:c r="A4" s="3"/>
      <x:c r="B4" s="3"/>
      <x:c r="C4" s="3"/>
      <x:c r="D4" s="3"/>
      <x:c r="E4" s="3"/>
      <x:c r="F4" s="3"/>
      <x:c r="G4" s="3"/>
    </x:row>
    <x:row r="5" ht="34" customHeight="1">
      <x:c r="A5" s="8" t="str">
        <x:v>Source ID</x:v>
      </x:c>
      <x:c r="B5" s="8" t="str">
        <x:v>Source type</x:v>
      </x:c>
      <x:c r="C5" s="8" t="str">
        <x:v>Exact filing/report</x:v>
      </x:c>
      <x:c r="D5" s="8" t="str">
        <x:v>URL or locator</x:v>
      </x:c>
      <x:c r="E5" s="8" t="str">
        <x:v>Period, date and units</x:v>
      </x:c>
      <x:c r="F5" s="8" t="str">
        <x:v>Fact or assumption used</x:v>
      </x:c>
      <x:c r="G5" s="8" t="str">
        <x:v>Limitation</x:v>
      </x:c>
    </x:row>
    <x:row r="6" ht="64" customHeight="1">
      <x:c r="A6" s="6"/>
      <x:c r="B6" s="6"/>
      <x:c r="C6" s="6"/>
      <x:c r="D6" s="6"/>
      <x:c r="E6" s="6"/>
      <x:c r="F6" s="6"/>
      <x:c r="G6" s="6"/>
    </x:row>
    <x:row r="7" ht="64" customHeight="1">
      <x:c r="A7" s="6"/>
      <x:c r="B7" s="6"/>
      <x:c r="C7" s="6"/>
      <x:c r="D7" s="6"/>
      <x:c r="E7" s="6"/>
      <x:c r="F7" s="6"/>
      <x:c r="G7" s="6"/>
    </x:row>
    <x:row r="8" ht="64" customHeight="1">
      <x:c r="A8" s="6"/>
      <x:c r="B8" s="6"/>
      <x:c r="C8" s="6"/>
      <x:c r="D8" s="6"/>
      <x:c r="E8" s="6"/>
      <x:c r="F8" s="6"/>
      <x:c r="G8" s="6"/>
    </x:row>
    <x:row r="9" ht="64" customHeight="1">
      <x:c r="A9" s="6"/>
      <x:c r="B9" s="6"/>
      <x:c r="C9" s="6"/>
      <x:c r="D9" s="6"/>
      <x:c r="E9" s="6"/>
      <x:c r="F9" s="6"/>
      <x:c r="G9" s="6"/>
    </x:row>
    <x:row r="10" ht="64" customHeight="1">
      <x:c r="A10" s="6"/>
      <x:c r="B10" s="6"/>
      <x:c r="C10" s="6"/>
      <x:c r="D10" s="6"/>
      <x:c r="E10" s="6"/>
      <x:c r="F10" s="6"/>
      <x:c r="G10" s="6"/>
    </x:row>
    <x:row r="11" ht="64" customHeight="1">
      <x:c r="A11" s="6"/>
      <x:c r="B11" s="6"/>
      <x:c r="C11" s="6"/>
      <x:c r="D11" s="6"/>
      <x:c r="E11" s="6"/>
      <x:c r="F11" s="6"/>
      <x:c r="G11" s="6"/>
    </x:row>
    <x:row r="12" ht="64" customHeight="1">
      <x:c r="A12" s="6"/>
      <x:c r="B12" s="6"/>
      <x:c r="C12" s="6"/>
      <x:c r="D12" s="6"/>
      <x:c r="E12" s="6"/>
      <x:c r="F12" s="6"/>
      <x:c r="G12" s="6"/>
    </x:row>
    <x:row r="13" ht="64" customHeight="1">
      <x:c r="A13" s="6"/>
      <x:c r="B13" s="6"/>
      <x:c r="C13" s="6"/>
      <x:c r="D13" s="6"/>
      <x:c r="E13" s="6"/>
      <x:c r="F13" s="6"/>
      <x:c r="G13" s="6"/>
    </x:row>
    <x:row r="14" ht="64" customHeight="1">
      <x:c r="A14" s="6"/>
      <x:c r="B14" s="6"/>
      <x:c r="C14" s="6"/>
      <x:c r="D14" s="6"/>
      <x:c r="E14" s="6"/>
      <x:c r="F14" s="6"/>
      <x:c r="G14" s="6"/>
    </x:row>
    <x:row r="15" ht="64" customHeight="1">
      <x:c r="A15" s="6"/>
      <x:c r="B15" s="6"/>
      <x:c r="C15" s="6"/>
      <x:c r="D15" s="6"/>
      <x:c r="E15" s="6"/>
      <x:c r="F15" s="6"/>
      <x:c r="G15" s="6"/>
    </x:row>
    <x:row r="16" ht="64" customHeight="1">
      <x:c r="A16" s="6"/>
      <x:c r="B16" s="6"/>
      <x:c r="C16" s="6"/>
      <x:c r="D16" s="6"/>
      <x:c r="E16" s="6"/>
      <x:c r="F16" s="6"/>
      <x:c r="G16" s="6"/>
    </x:row>
    <x:row r="17" ht="64" customHeight="1">
      <x:c r="A17" s="6"/>
      <x:c r="B17" s="6"/>
      <x:c r="C17" s="6"/>
      <x:c r="D17" s="6"/>
      <x:c r="E17" s="6"/>
      <x:c r="F17" s="6"/>
      <x:c r="G17" s="6"/>
    </x:row>
    <x:row r="18" ht="64" customHeight="1">
      <x:c r="A18" s="6"/>
      <x:c r="B18" s="6"/>
      <x:c r="C18" s="6"/>
      <x:c r="D18" s="6"/>
      <x:c r="E18" s="6"/>
      <x:c r="F18" s="6"/>
      <x:c r="G18" s="6"/>
    </x:row>
    <x:row r="19" ht="64" customHeight="1">
      <x:c r="A19" s="6"/>
      <x:c r="B19" s="6"/>
      <x:c r="C19" s="6"/>
      <x:c r="D19" s="6"/>
      <x:c r="E19" s="6"/>
      <x:c r="F19" s="6"/>
      <x:c r="G19" s="6"/>
    </x:row>
    <x:row r="20" ht="64" customHeight="1">
      <x:c r="A20" s="6"/>
      <x:c r="B20" s="6"/>
      <x:c r="C20" s="6"/>
      <x:c r="D20" s="6"/>
      <x:c r="E20" s="6"/>
      <x:c r="F20" s="6"/>
      <x:c r="G20" s="6"/>
    </x:row>
    <x:row r="21" ht="26" customHeight="1">
      <x:c r="A21" s="3"/>
      <x:c r="B21" s="3"/>
      <x:c r="C21" s="3"/>
      <x:c r="D21" s="3"/>
      <x:c r="E21" s="3"/>
      <x:c r="F21" s="3"/>
      <x:c r="G21" s="3"/>
    </x:row>
    <x:row r="22" ht="50" customHeight="1">
      <x:c r="A22" s="3" t="str">
        <x:v>Add rows if needed. Cite the same source ID wherever you reuse a fact. Explain your own estimates and their public benchmark; do not label assumptions as reported facts.</x:v>
      </x:c>
      <x:c r="B22" s="3"/>
      <x:c r="C22" s="3"/>
      <x:c r="D22" s="3"/>
      <x:c r="E22" s="3"/>
      <x:c r="F22" s="3"/>
      <x:c r="G22" s="3"/>
    </x:row>
    <x:row r="23" ht="26" customHeight="1">
      <x:c r="A23" s="3"/>
      <x:c r="B23" s="3"/>
      <x:c r="C23" s="3"/>
      <x:c r="D23" s="3"/>
      <x:c r="E23" s="3"/>
      <x:c r="F23" s="3"/>
      <x:c r="G23" s="3"/>
    </x:row>
    <x:row r="24" ht="26" customHeight="1">
      <x:c r="A24" s="3"/>
      <x:c r="B24" s="3"/>
      <x:c r="C24" s="3"/>
      <x:c r="D24" s="3"/>
      <x:c r="E24" s="3"/>
      <x:c r="F24" s="3"/>
      <x:c r="G24" s="3"/>
    </x:row>
    <x:row r="25" ht="26" customHeight="1">
      <x:c r="A25" s="3"/>
      <x:c r="B25" s="3"/>
      <x:c r="C25" s="3"/>
      <x:c r="D25" s="3"/>
      <x:c r="E25" s="3"/>
      <x:c r="F25" s="3"/>
      <x:c r="G25" s="3"/>
    </x:row>
  </x:sheetData>
  <x:mergeCells>
    <x:mergeCell ref="A1:G1"/>
    <x:mergeCell ref="A2:G2"/>
    <x:mergeCell ref="A22:G2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18" hidden="0" customWidth="1"/>
    <x:col min="4" max="4" width="18" hidden="0" customWidth="1"/>
    <x:col min="5" max="5" width="40" hidden="0" customWidth="1"/>
    <x:col min="6" max="6" width="18" hidden="0" customWidth="1"/>
    <x:col min="7" max="7" width="18" hidden="0" customWidth="1"/>
  </x:cols>
  <x:sheetData>
    <x:row r="1" ht="32" customHeight="1">
      <x:c r="A1" s="4" t="str">
        <x:v>Challenge and judgment</x:v>
      </x:c>
      <x:c r="B1" s="3"/>
      <x:c r="C1" s="3"/>
      <x:c r="D1" s="3"/>
      <x:c r="E1" s="3"/>
      <x:c r="F1" s="3"/>
      <x:c r="G1" s="3"/>
    </x:row>
    <x:row r="2" ht="44" customHeight="1">
      <x:c r="A2" s="3" t="str">
        <x:v>Complete one challenge for Stage 3. Use AI, a peer, or the self-review questions below. You own the analysis and the verification.</x:v>
      </x:c>
      <x:c r="B2" s="3"/>
      <x:c r="C2" s="3"/>
      <x:c r="D2" s="3"/>
      <x:c r="E2" s="3"/>
      <x:c r="F2" s="3"/>
      <x:c r="G2" s="3"/>
    </x:row>
    <x:row r="3" ht="26" customHeight="1">
      <x:c r="A3" s="3"/>
      <x:c r="B3" s="3"/>
      <x:c r="C3" s="3"/>
      <x:c r="D3" s="3"/>
      <x:c r="E3" s="3"/>
      <x:c r="F3" s="3"/>
      <x:c r="G3" s="3"/>
    </x:row>
    <x:row r="4" ht="52" customHeight="1">
      <x:c r="A4" s="3" t="str">
        <x:v>Strongest challenge</x:v>
      </x:c>
      <x:c r="B4" s="6"/>
      <x:c r="C4" s="6"/>
      <x:c r="D4" s="6"/>
      <x:c r="E4" s="6"/>
      <x:c r="F4" s="6"/>
      <x:c r="G4" s="6"/>
    </x:row>
    <x:row r="5" ht="34" customHeight="1">
      <x:c r="A5" s="3" t="str">
        <x:v>What assumption could most easily make the decision unattractive?</x:v>
      </x:c>
      <x:c r="B5" s="3"/>
      <x:c r="C5" s="3"/>
      <x:c r="D5" s="3"/>
      <x:c r="E5" s="3"/>
      <x:c r="F5" s="3"/>
      <x:c r="G5" s="3"/>
    </x:row>
    <x:row r="6" ht="52" customHeight="1">
      <x:c r="A6" s="3" t="str">
        <x:v>Evidence checked</x:v>
      </x:c>
      <x:c r="B6" s="6"/>
      <x:c r="C6" s="6"/>
      <x:c r="D6" s="6"/>
      <x:c r="E6" s="6"/>
      <x:c r="F6" s="6"/>
      <x:c r="G6" s="6"/>
    </x:row>
    <x:row r="7" ht="34" customHeight="1">
      <x:c r="A7" s="3" t="str">
        <x:v>Identify the source ID or Model cell, what you checked, and the finding.</x:v>
      </x:c>
      <x:c r="B7" s="3"/>
      <x:c r="C7" s="3"/>
      <x:c r="D7" s="3"/>
      <x:c r="E7" s="3"/>
      <x:c r="F7" s="3"/>
      <x:c r="G7" s="3"/>
    </x:row>
    <x:row r="8" ht="52" customHeight="1">
      <x:c r="A8" s="3" t="str">
        <x:v>What changed and why</x:v>
      </x:c>
      <x:c r="B8" s="6"/>
      <x:c r="C8" s="6"/>
      <x:c r="D8" s="6"/>
      <x:c r="E8" s="6"/>
      <x:c r="F8" s="6"/>
      <x:c r="G8" s="6"/>
    </x:row>
    <x:row r="9" ht="34" customHeight="1">
      <x:c r="A9" s="3" t="str">
        <x:v>Describe the change, or explain why the evidence supports keeping the original assumption or recommendation.</x:v>
      </x:c>
      <x:c r="B9" s="3"/>
      <x:c r="C9" s="3"/>
      <x:c r="D9" s="3"/>
      <x:c r="E9" s="3"/>
      <x:c r="F9" s="3"/>
      <x:c r="G9" s="3"/>
    </x:row>
    <x:row r="10" ht="52" customHeight="1">
      <x:c r="A10" s="3" t="str">
        <x:v>Method and disclosure</x:v>
      </x:c>
      <x:c r="B10" s="6"/>
      <x:c r="C10" s="6"/>
      <x:c r="D10" s="6"/>
      <x:c r="E10" s="6"/>
      <x:c r="F10" s="6"/>
      <x:c r="G10" s="6"/>
    </x:row>
    <x:row r="11" ht="34" customHeight="1">
      <x:c r="A11" s="3" t="str">
        <x:v>Name the AI tool/purpose, peer discussion, or self-review. Disclose any AI output retained and your verification.</x:v>
      </x:c>
      <x:c r="B11" s="3"/>
      <x:c r="C11" s="3"/>
      <x:c r="D11" s="3"/>
      <x:c r="E11" s="3"/>
      <x:c r="F11" s="3"/>
      <x:c r="G11" s="3"/>
    </x:row>
    <x:row r="12" ht="52" customHeight="1">
      <x:c r="A12" s="3" t="str">
        <x:v>Optional feedback revision</x:v>
      </x:c>
      <x:c r="B12" s="6"/>
      <x:c r="C12" s="6"/>
      <x:c r="D12" s="6"/>
      <x:c r="E12" s="6"/>
      <x:c r="F12" s="6"/>
      <x:c r="G12" s="6"/>
    </x:row>
    <x:row r="13" ht="34" customHeight="1">
      <x:c r="A13" s="3" t="str">
        <x:v>If revising after instructor feedback, record the date, changed cells, and reason. Replace the workbook in the original Stage 3 assignment.</x:v>
      </x:c>
      <x:c r="B13" s="3"/>
      <x:c r="C13" s="3"/>
      <x:c r="D13" s="3"/>
      <x:c r="E13" s="3"/>
      <x:c r="F13" s="3"/>
      <x:c r="G13" s="3"/>
    </x:row>
    <x:row r="14" ht="26" customHeight="1">
      <x:c r="A14" s="3"/>
      <x:c r="B14" s="3"/>
      <x:c r="C14" s="3"/>
      <x:c r="D14" s="3"/>
      <x:c r="E14" s="3"/>
      <x:c r="F14" s="3"/>
      <x:c r="G14" s="3"/>
    </x:row>
    <x:row r="15" ht="44" customHeight="1">
      <x:c r="A15" s="3" t="str">
        <x:v>Grading: specific challenge 1; independent evidence or calculation 2; justified judgment 1. No separate upload.</x:v>
      </x:c>
      <x:c r="B15" s="3"/>
      <x:c r="C15" s="3"/>
      <x:c r="D15" s="3"/>
      <x:c r="E15" s="3"/>
      <x:c r="F15" s="3"/>
      <x:c r="G15" s="3"/>
    </x:row>
    <x:row r="16" ht="26" customHeight="1">
      <x:c r="A16" s="3"/>
      <x:c r="B16" s="3"/>
      <x:c r="C16" s="3"/>
      <x:c r="D16" s="3"/>
      <x:c r="E16" s="3"/>
      <x:c r="F16" s="3"/>
      <x:c r="G16" s="3"/>
    </x:row>
    <x:row r="17" ht="68" customHeight="1">
      <x:c r="A17" s="3" t="str">
        <x:v>Give public AI tools only a short summary you wrote from public information. Do not upload workbooks, raw FactSet exports or screenshots, personal information, private teaching material, or nonpublic information. If AI is used, name the tool and purpose in Revision and disclose it briefly in the presentation appendix or source notes.</x:v>
      </x:c>
      <x:c r="B17" s="3"/>
      <x:c r="C17" s="3"/>
      <x:c r="D17" s="3"/>
      <x:c r="E17" s="3"/>
      <x:c r="F17" s="3"/>
      <x:c r="G17" s="3"/>
    </x:row>
    <x:row r="18" ht="26" customHeight="1">
      <x:c r="A18" s="3"/>
      <x:c r="B18" s="3"/>
      <x:c r="C18" s="3"/>
      <x:c r="D18" s="3"/>
      <x:c r="E18" s="3"/>
      <x:c r="F18" s="3"/>
      <x:c r="G18" s="3"/>
    </x:row>
    <x:row r="19" ht="55" customHeight="1">
      <x:c r="A19" s="3" t="str">
        <x:v>If feedback changes your numbers, replace the workbook in the original Stage 3 assignment and use that version in the slides. Identify the workbook version and model cell below each financial result.</x:v>
      </x:c>
      <x:c r="B19" s="3"/>
      <x:c r="C19" s="3"/>
      <x:c r="D19" s="3"/>
      <x:c r="E19" s="3"/>
      <x:c r="F19" s="3"/>
      <x:c r="G19" s="3"/>
    </x:row>
    <x:row r="20" ht="26" customHeight="1">
      <x:c r="A20" s="3"/>
      <x:c r="B20" s="3"/>
      <x:c r="C20" s="3"/>
      <x:c r="D20" s="3"/>
      <x:c r="E20" s="3"/>
      <x:c r="F20" s="3"/>
      <x:c r="G20" s="3"/>
    </x:row>
    <x:row r="21" ht="26" customHeight="1">
      <x:c r="A21" s="3"/>
      <x:c r="B21" s="3"/>
      <x:c r="C21" s="3"/>
      <x:c r="D21" s="3"/>
      <x:c r="E21" s="3"/>
      <x:c r="F21" s="3"/>
      <x:c r="G21" s="3"/>
    </x:row>
    <x:row r="22" ht="26" customHeight="1">
      <x:c r="A22" s="3"/>
      <x:c r="B22" s="3"/>
      <x:c r="C22" s="3"/>
      <x:c r="D22" s="3"/>
      <x:c r="E22" s="3"/>
      <x:c r="F22" s="3"/>
      <x:c r="G22" s="3"/>
    </x:row>
    <x:row r="23" ht="26" customHeight="1">
      <x:c r="A23" s="3"/>
      <x:c r="B23" s="3"/>
      <x:c r="C23" s="3"/>
      <x:c r="D23" s="3"/>
      <x:c r="E23" s="3"/>
      <x:c r="F23" s="3"/>
      <x:c r="G23" s="3"/>
    </x:row>
    <x:row r="24" ht="26" customHeight="1">
      <x:c r="A24" s="3"/>
      <x:c r="B24" s="3"/>
      <x:c r="C24" s="3"/>
      <x:c r="D24" s="3"/>
      <x:c r="E24" s="3"/>
      <x:c r="F24" s="3"/>
      <x:c r="G24" s="3"/>
    </x:row>
    <x:row r="25" ht="26" customHeight="1">
      <x:c r="A25" s="3"/>
      <x:c r="B25" s="3"/>
      <x:c r="C25" s="3"/>
      <x:c r="D25" s="3"/>
      <x:c r="E25" s="3"/>
      <x:c r="F25" s="3"/>
      <x:c r="G25" s="3"/>
    </x:row>
    <x:row r="26" ht="26" customHeight="1">
      <x:c r="A26" s="3"/>
      <x:c r="B26" s="3"/>
      <x:c r="C26" s="3"/>
      <x:c r="D26" s="3"/>
      <x:c r="E26" s="3"/>
      <x:c r="F26" s="3"/>
      <x:c r="G26" s="3"/>
    </x:row>
    <x:row r="27" ht="26" customHeight="1">
      <x:c r="A27" s="3"/>
      <x:c r="B27" s="3"/>
      <x:c r="C27" s="3"/>
      <x:c r="D27" s="3"/>
      <x:c r="E27" s="3"/>
      <x:c r="F27" s="3"/>
      <x:c r="G27" s="3"/>
    </x:row>
  </x:sheetData>
  <x:mergeCells>
    <x:mergeCell ref="A1:G1"/>
    <x:mergeCell ref="A2:G2"/>
    <x:mergeCell ref="B4:G4"/>
    <x:mergeCell ref="A5:G5"/>
    <x:mergeCell ref="B6:G6"/>
    <x:mergeCell ref="A7:G7"/>
    <x:mergeCell ref="B8:G8"/>
    <x:mergeCell ref="A9:G9"/>
    <x:mergeCell ref="B10:G10"/>
    <x:mergeCell ref="A11:G11"/>
    <x:mergeCell ref="B12:G12"/>
    <x:mergeCell ref="A13:G13"/>
    <x:mergeCell ref="A15:G15"/>
    <x:mergeCell ref="A17:G17"/>
    <x:mergeCell ref="A19:G19"/>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18" hidden="0" customWidth="1"/>
    <x:col min="4" max="4" width="18" hidden="0" customWidth="1"/>
    <x:col min="5" max="5" width="40" hidden="0" customWidth="1"/>
    <x:col min="6" max="6" width="18" hidden="0" customWidth="1"/>
    <x:col min="7" max="7" width="18" hidden="0" customWidth="1"/>
  </x:cols>
  <x:sheetData>
    <x:row r="1" ht="32" customHeight="1">
      <x:c r="A1" s="4" t="str">
        <x:v>Harbor Supply Co. (fictional)</x:v>
      </x:c>
      <x:c r="B1" s="3"/>
      <x:c r="C1" s="3"/>
      <x:c r="D1" s="3"/>
      <x:c r="E1" s="3"/>
      <x:c r="F1" s="3"/>
      <x:c r="G1" s="3"/>
    </x:row>
    <x:row r="2" ht="44" customHeight="1">
      <x:c r="A2" s="3" t="str">
        <x:v>All company names, historical figures, and assumptions in this example are fictional teaching data. They are not a student company solution.</x:v>
      </x:c>
      <x:c r="B2" s="3"/>
      <x:c r="C2" s="3"/>
      <x:c r="D2" s="3"/>
      <x:c r="E2" s="3"/>
      <x:c r="F2" s="3"/>
      <x:c r="G2" s="3"/>
    </x:row>
    <x:row r="3" ht="26" customHeight="1">
      <x:c r="A3" s="3"/>
      <x:c r="B3" s="3"/>
      <x:c r="C3" s="3"/>
      <x:c r="D3" s="3"/>
      <x:c r="E3" s="3"/>
      <x:c r="F3" s="3"/>
      <x:c r="G3" s="3"/>
    </x:row>
    <x:row r="4" ht="35" customHeight="1">
      <x:c r="A4" s="3" t="str">
        <x:v>Install order-handling equipment for a five-year project.</x:v>
      </x:c>
      <x:c r="B4" s="3"/>
      <x:c r="C4" s="3"/>
      <x:c r="D4" s="3"/>
      <x:c r="E4" s="3"/>
      <x:c r="F4" s="3"/>
      <x:c r="G4" s="3"/>
    </x:row>
    <x:row r="5" ht="26" customHeight="1">
      <x:c r="A5" s="3"/>
      <x:c r="B5" s="3"/>
      <x:c r="C5" s="3"/>
      <x:c r="D5" s="3"/>
      <x:c r="E5" s="3"/>
      <x:c r="F5" s="3"/>
      <x:c r="G5" s="3"/>
    </x:row>
    <x:row r="6" ht="34" customHeight="1">
      <x:c r="A6" s="8" t="str">
        <x:v>Year</x:v>
      </x:c>
      <x:c r="B6" s="8" t="n">
        <x:v>2023</x:v>
      </x:c>
      <x:c r="C6" s="8" t="n">
        <x:v>2024</x:v>
      </x:c>
      <x:c r="D6" s="8" t="n">
        <x:v>2025</x:v>
      </x:c>
      <x:c r="E6" s="8" t="str">
        <x:v>All amounts in $ millions</x:v>
      </x:c>
      <x:c r="F6" s="3"/>
      <x:c r="G6" s="3"/>
    </x:row>
    <x:row r="7" ht="26" customHeight="1">
      <x:c r="A7" s="3" t="str">
        <x:v>Revenue</x:v>
      </x:c>
      <x:c r="B7" s="3" t="n">
        <x:v>100</x:v>
      </x:c>
      <x:c r="C7" s="3" t="n">
        <x:v>110</x:v>
      </x:c>
      <x:c r="D7" s="3" t="n">
        <x:v>121</x:v>
      </x:c>
      <x:c r="E7" s="3"/>
      <x:c r="F7" s="3"/>
      <x:c r="G7" s="3"/>
    </x:row>
    <x:row r="8" ht="26" customHeight="1">
      <x:c r="A8" s="3" t="str">
        <x:v>Growth</x:v>
      </x:c>
      <x:c r="B8" s="3"/>
      <x:c r="C8" s="9" t="n">
        <x:f>C7/B7-1</x:f>
        <x:v>0.10000000000000009</x:v>
      </x:c>
      <x:c r="D8" s="9" t="n">
        <x:f>D7/C7-1</x:f>
        <x:v>0.10000000000000009</x:v>
      </x:c>
      <x:c r="E8" s="3"/>
      <x:c r="F8" s="3"/>
      <x:c r="G8" s="3"/>
    </x:row>
    <x:row r="9" ht="26" customHeight="1">
      <x:c r="A9" s="3"/>
      <x:c r="B9" s="3"/>
      <x:c r="C9" s="3"/>
      <x:c r="D9" s="3"/>
      <x:c r="E9" s="3"/>
      <x:c r="F9" s="3"/>
      <x:c r="G9" s="3"/>
    </x:row>
    <x:row r="10" ht="46" customHeight="1">
      <x:c r="A10" s="3" t="str">
        <x:v>More customer orders support higher sales. Faster order handling may reduce labor cost per order.</x:v>
      </x:c>
      <x:c r="B10" s="3"/>
      <x:c r="C10" s="3"/>
      <x:c r="D10" s="3"/>
      <x:c r="E10" s="3"/>
      <x:c r="F10" s="3"/>
      <x:c r="G10" s="3"/>
    </x:row>
    <x:row r="11" ht="26" customHeight="1">
      <x:c r="A11" s="3"/>
      <x:c r="B11" s="3"/>
      <x:c r="C11" s="3"/>
      <x:c r="D11" s="3"/>
      <x:c r="E11" s="3"/>
      <x:c r="F11" s="3"/>
      <x:c r="G11" s="3"/>
    </x:row>
    <x:row r="12" ht="45" customHeight="1">
      <x:c r="A12" s="3" t="str">
        <x:v>Fictional Dockside Supply sales grew 8% in 2025; Harbor grew 10%. Both use calendar years and the same currency.</x:v>
      </x:c>
      <x:c r="B12" s="3"/>
      <x:c r="C12" s="3"/>
      <x:c r="D12" s="3"/>
      <x:c r="E12" s="3"/>
      <x:c r="F12" s="3"/>
      <x:c r="G12" s="3"/>
    </x:row>
    <x:row r="13" ht="26" customHeight="1">
      <x:c r="A13" s="3"/>
      <x:c r="B13" s="3"/>
      <x:c r="C13" s="3"/>
      <x:c r="D13" s="3"/>
      <x:c r="E13" s="3"/>
      <x:c r="F13" s="3"/>
      <x:c r="G13" s="3"/>
    </x:row>
    <x:row r="14" ht="70" customHeight="1">
      <x:c r="A14" s="3" t="str">
        <x:v>If the new equipment reduces handling time without raising errors, Harbor can save $3 million annually for five years. Reject this assumption if the pilot savings fall below the break-even level.</x:v>
      </x:c>
      <x:c r="B14" s="3"/>
      <x:c r="C14" s="3"/>
      <x:c r="D14" s="3"/>
      <x:c r="E14" s="3"/>
      <x:c r="F14" s="3"/>
      <x:c r="G14" s="3"/>
    </x:row>
    <x:row r="15" ht="26" customHeight="1">
      <x:c r="A15" s="3"/>
      <x:c r="B15" s="3"/>
      <x:c r="C15" s="3"/>
      <x:c r="D15" s="3"/>
      <x:c r="E15" s="3"/>
      <x:c r="F15" s="3"/>
      <x:c r="G15" s="3"/>
    </x:row>
    <x:row r="16" ht="34" customHeight="1">
      <x:c r="A16" s="8" t="str">
        <x:v>Input or result</x:v>
      </x:c>
      <x:c r="B16" s="8" t="str">
        <x:v>Base</x:v>
      </x:c>
      <x:c r="C16" s="8" t="str">
        <x:v>Upside</x:v>
      </x:c>
      <x:c r="D16" s="8" t="str">
        <x:v>Downside</x:v>
      </x:c>
      <x:c r="E16" s="8" t="str">
        <x:v>Why this is enough</x:v>
      </x:c>
      <x:c r="F16" s="3"/>
      <x:c r="G16" s="3"/>
    </x:row>
    <x:row r="17" ht="40" customHeight="1">
      <x:c r="A17" s="3" t="str">
        <x:v>Initial equipment cost</x:v>
      </x:c>
      <x:c r="B17" s="3" t="n">
        <x:v>8</x:v>
      </x:c>
      <x:c r="C17" s="3" t="n">
        <x:v>8</x:v>
      </x:c>
      <x:c r="D17" s="3" t="n">
        <x:v>8</x:v>
      </x:c>
      <x:c r="E17" s="3" t="str">
        <x:v>Estimate; require a vendor/public benchmark in your own work.</x:v>
      </x:c>
      <x:c r="F17" s="3"/>
      <x:c r="G17" s="3"/>
    </x:row>
    <x:row r="18" ht="40" customHeight="1">
      <x:c r="A18" s="3" t="str">
        <x:v>Annual gross savings</x:v>
      </x:c>
      <x:c r="B18" s="3" t="n">
        <x:v>3</x:v>
      </x:c>
      <x:c r="C18" s="3" t="n">
        <x:v>3.6</x:v>
      </x:c>
      <x:c r="D18" s="3" t="n">
        <x:v>2.2</x:v>
      </x:c>
      <x:c r="E18" s="3"/>
      <x:c r="F18" s="3"/>
      <x:c r="G18" s="3"/>
    </x:row>
    <x:row r="19" ht="40" customHeight="1">
      <x:c r="A19" s="3" t="str">
        <x:v>Annual depreciation</x:v>
      </x:c>
      <x:c r="B19" s="3" t="n">
        <x:v>1.6</x:v>
      </x:c>
      <x:c r="C19" s="3" t="n">
        <x:v>1.6</x:v>
      </x:c>
      <x:c r="D19" s="3" t="n">
        <x:v>1.6</x:v>
      </x:c>
      <x:c r="E19" s="3"/>
      <x:c r="F19" s="3"/>
      <x:c r="G19" s="3"/>
    </x:row>
    <x:row r="20" ht="40" customHeight="1">
      <x:c r="A20" s="3" t="str">
        <x:v>Tax rate</x:v>
      </x:c>
      <x:c r="B20" s="14" t="n">
        <x:v>0.25</x:v>
      </x:c>
      <x:c r="C20" s="14" t="n">
        <x:v>0.25</x:v>
      </x:c>
      <x:c r="D20" s="14" t="n">
        <x:v>0.25</x:v>
      </x:c>
      <x:c r="E20" s="3"/>
      <x:c r="F20" s="3"/>
      <x:c r="G20" s="3"/>
    </x:row>
    <x:row r="21" ht="40" customHeight="1">
      <x:c r="A21" s="3" t="str">
        <x:v>Discount rate</x:v>
      </x:c>
      <x:c r="B21" s="14" t="n">
        <x:v>0.1</x:v>
      </x:c>
      <x:c r="C21" s="14" t="n">
        <x:v>0.1</x:v>
      </x:c>
      <x:c r="D21" s="14" t="n">
        <x:v>0.1</x:v>
      </x:c>
      <x:c r="E21" s="3"/>
      <x:c r="F21" s="3"/>
      <x:c r="G21" s="3"/>
    </x:row>
    <x:row r="22" ht="40" customHeight="1">
      <x:c r="A22" s="3" t="str">
        <x:v>Years</x:v>
      </x:c>
      <x:c r="B22" s="3" t="n">
        <x:v>5</x:v>
      </x:c>
      <x:c r="C22" s="3" t="n">
        <x:v>5</x:v>
      </x:c>
      <x:c r="D22" s="3" t="n">
        <x:v>5</x:v>
      </x:c>
      <x:c r="E22" s="3"/>
      <x:c r="F22" s="3"/>
      <x:c r="G22" s="3"/>
    </x:row>
    <x:row r="23" ht="40" customHeight="1">
      <x:c r="A23" s="3"/>
      <x:c r="B23" s="3"/>
      <x:c r="C23" s="3"/>
      <x:c r="D23" s="3"/>
      <x:c r="E23" s="3"/>
      <x:c r="F23" s="3"/>
      <x:c r="G23" s="3"/>
    </x:row>
    <x:row r="24" ht="40" customHeight="1">
      <x:c r="A24" s="3" t="str">
        <x:v>Annual after-tax cash flow</x:v>
      </x:c>
      <x:c r="B24" s="15" t="n">
        <x:f>B18-MAX(0,B18-B19)*B20</x:f>
        <x:v>2.65</x:v>
      </x:c>
      <x:c r="C24" s="15" t="n">
        <x:f>C18-MAX(0,C18-C19)*C20</x:f>
        <x:v>3.1</x:v>
      </x:c>
      <x:c r="D24" s="15" t="n">
        <x:f>D18-MAX(0,D18-D19)*D20</x:f>
        <x:v>2.0500000000000003</x:v>
      </x:c>
      <x:c r="E24" s="3" t="str">
        <x:v>Savings minus cash taxes; depreciation is not a cash payment.</x:v>
      </x:c>
      <x:c r="F24" s="3"/>
      <x:c r="G24" s="3"/>
    </x:row>
    <x:row r="25" ht="40" customHeight="1">
      <x:c r="A25" s="3" t="str">
        <x:v>NPV</x:v>
      </x:c>
      <x:c r="B25" s="15" t="n">
        <x:f>-B17+B24/(1+B21)^1+B24/(1+B21)^2+B24/(1+B21)^3+B24/(1+B21)^4+B24/(1+B21)^5</x:f>
        <x:v>2.045584938932385</x:v>
      </x:c>
      <x:c r="C25" s="15" t="n">
        <x:f>-C17+C24/(1+C21)^1+C24/(1+C21)^2+C24/(1+C21)^3+C24/(1+C21)^4+C24/(1+C21)^5</x:f>
        <x:v>3.7514389851661876</x:v>
      </x:c>
      <x:c r="D25" s="15" t="n">
        <x:f>-D17+D24/(1+D21)^1+D24/(1+D21)^2+D24/(1+D21)^3+D24/(1+D21)^4+D24/(1+D21)^5</x:f>
        <x:v>-0.22888712271268208</x:v>
      </x:c>
      <x:c r="E25" s="3"/>
      <x:c r="F25" s="3"/>
      <x:c r="G25" s="3"/>
    </x:row>
    <x:row r="26" ht="26" customHeight="1">
      <x:c r="A26" s="3"/>
      <x:c r="B26" s="3"/>
      <x:c r="C26" s="3"/>
      <x:c r="D26" s="3"/>
      <x:c r="E26" s="3"/>
      <x:c r="F26" s="3"/>
      <x:c r="G26" s="3"/>
    </x:row>
    <x:row r="27" ht="26" customHeight="1">
      <x:c r="A27" s="3" t="str">
        <x:v>Break-even annual savings</x:v>
      </x:c>
      <x:c r="B27" s="16" t="n">
        <x:f>($B$17/(1/(1+$B$21)^1+1/(1+$B$21)^2+1/(1+$B$21)^3+1/(1+$B$21)^4+1/(1+$B$21)^5)-$B$19*$B$20)/(1-$B$20)</x:f>
        <x:v>2.2805064618106177</x:v>
      </x:c>
      <x:c r="C27" s="3"/>
      <x:c r="D27" s="3"/>
      <x:c r="E27" s="3"/>
      <x:c r="F27" s="3"/>
      <x:c r="G27" s="3"/>
    </x:row>
    <x:row r="28" ht="50" customHeight="1">
      <x:c r="A28" s="3" t="str">
        <x:v>Break-even assumes positive taxable profit. It solves for the annual savings at which NPV is zero. The Model sensitivity tests the same benefit while other assumptions remain fixed.</x:v>
      </x:c>
      <x:c r="B28" s="3"/>
      <x:c r="C28" s="3"/>
      <x:c r="D28" s="3"/>
      <x:c r="E28" s="3"/>
      <x:c r="F28" s="3"/>
      <x:c r="G28" s="3"/>
    </x:row>
    <x:row r="29" ht="26" customHeight="1">
      <x:c r="A29" s="3"/>
      <x:c r="B29" s="3"/>
      <x:c r="C29" s="3"/>
      <x:c r="D29" s="3"/>
      <x:c r="E29" s="3"/>
      <x:c r="F29" s="3"/>
      <x:c r="G29" s="3"/>
    </x:row>
    <x:row r="30" ht="62" customHeight="1">
      <x:c r="A30" s="3" t="str">
        <x:v>Challenge: The vendor saving estimate may overstate achievable labor savings. Check: Recalculate NPV using $2.2 million annual savings, then compare the required saving with a pilot measurement.</x:v>
      </x:c>
      <x:c r="B30" s="3"/>
      <x:c r="C30" s="3"/>
      <x:c r="D30" s="3"/>
      <x:c r="E30" s="3"/>
      <x:c r="F30" s="3"/>
      <x:c r="G30" s="3"/>
    </x:row>
    <x:row r="31" ht="26" customHeight="1">
      <x:c r="A31" s="3"/>
      <x:c r="B31" s="3"/>
      <x:c r="C31" s="3"/>
      <x:c r="D31" s="3"/>
      <x:c r="E31" s="3"/>
      <x:c r="F31" s="3"/>
      <x:c r="G31" s="3"/>
    </x:row>
    <x:row r="32" ht="62" customHeight="1">
      <x:c r="A32" s="3" t="str">
        <x:v>Recommend a pilot before full commitment. Base NPV is positive but the downside is negative; expand only if observed annualized savings exceed the break-even amount.</x:v>
      </x:c>
      <x:c r="B32" s="3"/>
      <x:c r="C32" s="3"/>
      <x:c r="D32" s="3"/>
      <x:c r="E32" s="3"/>
      <x:c r="F32" s="3"/>
      <x:c r="G32" s="3"/>
    </x:row>
    <x:row r="33" ht="26" customHeight="1">
      <x:c r="A33" s="3"/>
      <x:c r="B33" s="3"/>
      <x:c r="C33" s="3"/>
      <x:c r="D33" s="3"/>
      <x:c r="E33" s="3"/>
      <x:c r="F33" s="3"/>
      <x:c r="G33" s="3"/>
    </x:row>
    <x:row r="34" ht="66" customHeight="1">
      <x:c r="A34" s="3" t="str">
        <x:v>Two risks: savings may disappoint; installation may disrupt service. Monitor pilot savings and order-error rates. Start with an operations-led pilot, review after 60 days, and require acceptable service results before expansion.</x:v>
      </x:c>
      <x:c r="B34" s="3"/>
      <x:c r="C34" s="3"/>
      <x:c r="D34" s="3"/>
      <x:c r="E34" s="3"/>
      <x:c r="F34" s="3"/>
      <x:c r="G34" s="3"/>
    </x:row>
    <x:row r="35" ht="26" customHeight="1">
      <x:c r="A35" s="3"/>
      <x:c r="B35" s="3"/>
      <x:c r="C35" s="3"/>
      <x:c r="D35" s="3"/>
      <x:c r="E35" s="3"/>
      <x:c r="F35" s="3"/>
      <x:c r="G35" s="3"/>
    </x:row>
    <x:row r="36" ht="110" customHeight="1">
      <x:c r="A36" s="3" t="str">
        <x:v>Why this meets expectations: Three years and two drivers establish enough context to explain the decision. The $8 million cost and annual savings are labeled assumptions, not reported company facts. Annual depreciation is $8 million / 5 years; taxable operating savings are reduced by depreciation. The model compares incremental cash flow with doing nothing. It discounts cash received later. The downside and break-even test reveal what evidence would change the recommendation.</x:v>
      </x:c>
      <x:c r="B36" s="3"/>
      <x:c r="C36" s="3"/>
      <x:c r="D36" s="3"/>
      <x:c r="E36" s="3"/>
      <x:c r="F36" s="3"/>
      <x:c r="G36" s="3"/>
    </x:row>
    <x:row r="37" ht="26" customHeight="1">
      <x:c r="A37" s="3"/>
      <x:c r="B37" s="3"/>
      <x:c r="C37" s="3"/>
      <x:c r="D37" s="3"/>
      <x:c r="E37" s="3"/>
      <x:c r="F37" s="3"/>
      <x:c r="G37" s="3"/>
    </x:row>
    <x:row r="38" ht="26" customHeight="1">
      <x:c r="A38" s="3"/>
      <x:c r="B38" s="3"/>
      <x:c r="C38" s="3"/>
      <x:c r="D38" s="3"/>
      <x:c r="E38" s="3"/>
      <x:c r="F38" s="3"/>
      <x:c r="G38" s="3"/>
    </x:row>
    <x:row r="39" ht="26" customHeight="1">
      <x:c r="A39" s="3"/>
      <x:c r="B39" s="3"/>
      <x:c r="C39" s="3"/>
      <x:c r="D39" s="3"/>
      <x:c r="E39" s="3"/>
      <x:c r="F39" s="3"/>
      <x:c r="G39" s="3"/>
    </x:row>
    <x:row r="40" ht="26" customHeight="1">
      <x:c r="A40" s="3"/>
      <x:c r="B40" s="3"/>
      <x:c r="C40" s="3"/>
      <x:c r="D40" s="3"/>
      <x:c r="E40" s="3"/>
      <x:c r="F40" s="3"/>
      <x:c r="G40" s="3"/>
    </x:row>
    <x:row r="41" ht="26" customHeight="1">
      <x:c r="A41" s="3"/>
      <x:c r="B41" s="3"/>
      <x:c r="C41" s="3"/>
      <x:c r="D41" s="3"/>
      <x:c r="E41" s="3"/>
      <x:c r="F41" s="3"/>
      <x:c r="G41" s="3"/>
    </x:row>
    <x:row r="42" ht="26" customHeight="1">
      <x:c r="A42" s="3"/>
      <x:c r="B42" s="3"/>
      <x:c r="C42" s="3"/>
      <x:c r="D42" s="3"/>
      <x:c r="E42" s="3"/>
      <x:c r="F42" s="3"/>
      <x:c r="G42" s="3"/>
    </x:row>
    <x:row r="43" ht="26" customHeight="1">
      <x:c r="A43" s="3"/>
      <x:c r="B43" s="3"/>
      <x:c r="C43" s="3"/>
      <x:c r="D43" s="3"/>
      <x:c r="E43" s="3"/>
      <x:c r="F43" s="3"/>
      <x:c r="G43" s="3"/>
    </x:row>
  </x:sheetData>
  <x:mergeCells>
    <x:mergeCell ref="A1:G1"/>
    <x:mergeCell ref="A2:G2"/>
    <x:mergeCell ref="A4:G4"/>
    <x:mergeCell ref="A10:G10"/>
    <x:mergeCell ref="A12:G12"/>
    <x:mergeCell ref="A14:G14"/>
    <x:mergeCell ref="A28:G28"/>
    <x:mergeCell ref="A30:G30"/>
    <x:mergeCell ref="A32:G32"/>
    <x:mergeCell ref="A34:G34"/>
    <x:mergeCell ref="A36:G36"/>
  </x:mergeCells>
  <x:pageMargins left="0.7" right="0.7" top="0.75" bottom="0.75" header="0.3" footer="0.3"/>
</x:worksheet>
</file>