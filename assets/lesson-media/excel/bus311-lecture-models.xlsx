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140853877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 Creation" sheetId="1" r:id="Re3e07eb481f6411b"/>
    <x:sheet xmlns:r="http://schemas.openxmlformats.org/officeDocument/2006/relationships" name="Market Cap" sheetId="2" r:id="Rd31c2aa5ceb5418f"/>
    <x:sheet xmlns:r="http://schemas.openxmlformats.org/officeDocument/2006/relationships" name="Statements" sheetId="3" r:id="R9eaa2baae0e14797"/>
    <x:sheet xmlns:r="http://schemas.openxmlformats.org/officeDocument/2006/relationships" name="Ratio Analysis" sheetId="4" r:id="Rd4c4332ddfb14007"/>
    <x:sheet xmlns:r="http://schemas.openxmlformats.org/officeDocument/2006/relationships" name="TVM" sheetId="5" r:id="Rbd1c044af4e04db9"/>
    <x:sheet xmlns:r="http://schemas.openxmlformats.org/officeDocument/2006/relationships" name="Bond Price" sheetId="6" r:id="R8f345a572e784ca5"/>
    <x:sheet xmlns:r="http://schemas.openxmlformats.org/officeDocument/2006/relationships" name="Equity Value" sheetId="7" r:id="R130f1596568849bd"/>
    <x:sheet xmlns:r="http://schemas.openxmlformats.org/officeDocument/2006/relationships" name="Capital Budget" sheetId="8" r:id="R732d5834ef2242c9"/>
    <x:sheet xmlns:r="http://schemas.openxmlformats.org/officeDocument/2006/relationships" name="CAPM" sheetId="9" r:id="R63461842ea894c5f"/>
    <x:sheet xmlns:r="http://schemas.openxmlformats.org/officeDocument/2006/relationships" name="WACC" sheetId="10" r:id="Rcd366dc895cc41e9"/>
    <x:sheet xmlns:r="http://schemas.openxmlformats.org/officeDocument/2006/relationships" name="Capital Structure" sheetId="11" r:id="R5ee1bce08160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0.0x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9C4A2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9">
    <x:border/>
    <x:border>
      <x:left style="thin">
        <x:color rgb="FFD9D5CB"/>
      </x:left>
      <x:top style="thin">
        <x:color rgb="FFD9D5CB"/>
      </x:top>
    </x:border>
    <x:border>
      <x:top style="thin">
        <x:color rgb="FFD9D5CB"/>
      </x:top>
    </x:border>
    <x:border>
      <x:right style="thin">
        <x:color rgb="FFD9D5CB"/>
      </x:right>
      <x:top style="thin">
        <x:color rgb="FFD9D5CB"/>
      </x:top>
    </x:border>
    <x:border>
      <x:left style="thin">
        <x:color rgb="FFD9D5CB"/>
      </x:left>
    </x:border>
    <x:border>
      <x:right style="thin">
        <x:color rgb="FFD9D5CB"/>
      </x:right>
    </x:border>
    <x:border>
      <x:left style="thin">
        <x:color rgb="FFD9D5CB"/>
      </x:left>
      <x:bottom style="thin">
        <x:color rgb="FFD9D5CB"/>
      </x:bottom>
    </x:border>
    <x:border>
      <x:bottom style="thin">
        <x:color rgb="FFD9D5CB"/>
      </x:bottom>
    </x:border>
    <x:border>
      <x:right style="thin">
        <x:color rgb="FFD9D5CB"/>
      </x:right>
      <x:bottom style="thin">
        <x:color rgb="FFD9D5CB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7" xfId="0" applyNumberFormat="1" applyFont="1" applyFill="1" applyBorder="1" applyAlignment="1">
      <x:alignment wrapText="1"/>
    </x:xf>
    <x:xf numFmtId="202" fontId="0" fillId="5" borderId="0" xfId="0" applyNumberFormat="1" applyFont="1" applyFill="1" applyBorder="1"/>
    <x:xf numFmtId="0" fontId="0" fillId="5" borderId="5" xfId="0" applyNumberFormat="1" applyFont="1" applyFill="1" applyBorder="1" applyAlignment="1">
      <x:alignment wrapText="1"/>
    </x:xf>
    <x:xf numFmtId="202" fontId="0" fillId="5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7d06d4a6644e0" /><Relationship Type="http://schemas.openxmlformats.org/officeDocument/2006/relationships/theme" Target="/xl/theme/theme1.xml" Id="Re389d9b70a224b8f" /><Relationship Type="http://schemas.openxmlformats.org/officeDocument/2006/relationships/sharedStrings" Target="/xl/sharedStrings.xml" Id="Ref0ba0092475422b" /><Relationship Type="http://schemas.openxmlformats.org/officeDocument/2006/relationships/worksheet" Target="/xl/worksheets/sheet1.xml" Id="Re3e07eb481f6411b" /><Relationship Type="http://schemas.openxmlformats.org/officeDocument/2006/relationships/worksheet" Target="/xl/worksheets/sheet2.xml" Id="Rd31c2aa5ceb5418f" /><Relationship Type="http://schemas.openxmlformats.org/officeDocument/2006/relationships/worksheet" Target="/xl/worksheets/sheet3.xml" Id="R9eaa2baae0e14797" /><Relationship Type="http://schemas.openxmlformats.org/officeDocument/2006/relationships/worksheet" Target="/xl/worksheets/sheet4.xml" Id="Rd4c4332ddfb14007" /><Relationship Type="http://schemas.openxmlformats.org/officeDocument/2006/relationships/worksheet" Target="/xl/worksheets/sheet5.xml" Id="Rbd1c044af4e04db9" /><Relationship Type="http://schemas.openxmlformats.org/officeDocument/2006/relationships/worksheet" Target="/xl/worksheets/sheet6.xml" Id="R8f345a572e784ca5" /><Relationship Type="http://schemas.openxmlformats.org/officeDocument/2006/relationships/worksheet" Target="/xl/worksheets/sheet7.xml" Id="R130f1596568849bd" /><Relationship Type="http://schemas.openxmlformats.org/officeDocument/2006/relationships/worksheet" Target="/xl/worksheets/sheet8.xml" Id="R732d5834ef2242c9" /><Relationship Type="http://schemas.openxmlformats.org/officeDocument/2006/relationships/worksheet" Target="/xl/worksheets/sheet9.xml" Id="R63461842ea894c5f" /><Relationship Type="http://schemas.openxmlformats.org/officeDocument/2006/relationships/worksheet" Target="/xl/worksheets/sheet10.xml" Id="Rcd366dc895cc41e9" /><Relationship Type="http://schemas.openxmlformats.org/officeDocument/2006/relationships/worksheet" Target="/xl/worksheets/sheet11.xml" Id="R5ee1bce0816042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8" hidden="0" customWidth="1"/>
  </x:cols>
  <x:sheetData>
    <x:row r="1">
      <x:c r="A1" s="2" t="str">
        <x:v>Costco Value-Creation Screen</x:v>
      </x:c>
      <x:c r="B1" s="2"/>
      <x:c r="C1" s="2"/>
      <x:c r="D1" s="2"/>
      <x:c r="E1" s="2"/>
      <x:c r="F1" s="2"/>
    </x:row>
    <x:row r="3">
      <x:c r="A3" s="12" t="str">
        <x:v>Input</x:v>
      </x:c>
      <x:c r="B3" s="13" t="str">
        <x:v>Value</x:v>
      </x:c>
      <x:c r="C3" s="14" t="str">
        <x:v>Units</x:v>
      </x:c>
    </x:row>
    <x:row r="4">
      <x:c r="A4" s="15" t="str">
        <x:v>Initial investment</x:v>
      </x:c>
      <x:c r="B4" s="7" t="n">
        <x:v>-1000</x:v>
      </x:c>
      <x:c r="C4" s="16" t="str">
        <x:v>$m</x:v>
      </x:c>
    </x:row>
    <x:row r="5">
      <x:c r="A5" s="15" t="str">
        <x:v>Discount rate</x:v>
      </x:c>
      <x:c r="B5" s="8" t="n">
        <x:v>0.08</x:v>
      </x:c>
      <x:c r="C5" s="16" t="str">
        <x:v>%</x:v>
      </x:c>
    </x:row>
    <x:row r="6">
      <x:c r="A6" s="15" t="str">
        <x:v>Year 1 cash flow</x:v>
      </x:c>
      <x:c r="B6" s="7" t="n">
        <x:v>260</x:v>
      </x:c>
      <x:c r="C6" s="16" t="str">
        <x:v>$m</x:v>
      </x:c>
    </x:row>
    <x:row r="7">
      <x:c r="A7" s="15" t="str">
        <x:v>Year 2 cash flow</x:v>
      </x:c>
      <x:c r="B7" s="7" t="n">
        <x:v>280</x:v>
      </x:c>
      <x:c r="C7" s="16" t="str">
        <x:v>$m</x:v>
      </x:c>
    </x:row>
    <x:row r="8">
      <x:c r="A8" s="15" t="str">
        <x:v>Year 3 cash flow</x:v>
      </x:c>
      <x:c r="B8" s="7" t="n">
        <x:v>300</x:v>
      </x:c>
      <x:c r="C8" s="16" t="str">
        <x:v>$m</x:v>
      </x:c>
    </x:row>
    <x:row r="9">
      <x:c r="A9" s="15" t="str">
        <x:v>Year 4 cash flow</x:v>
      </x:c>
      <x:c r="B9" s="7" t="n">
        <x:v>310</x:v>
      </x:c>
      <x:c r="C9" s="16" t="str">
        <x:v>$m</x:v>
      </x:c>
    </x:row>
    <x:row r="10">
      <x:c r="A10" s="15" t="str">
        <x:v>Year 5 cash flow</x:v>
      </x:c>
      <x:c r="B10" s="7" t="n">
        <x:v>320</x:v>
      </x:c>
      <x:c r="C10" s="16" t="str">
        <x:v>$m</x:v>
      </x:c>
    </x:row>
    <x:row r="11">
      <x:c r="A11" s="15"/>
      <x:c r="B11" s="17"/>
      <x:c r="C11" s="16"/>
    </x:row>
    <x:row r="12">
      <x:c r="A12" s="18" t="str">
        <x:v>Model output</x:v>
      </x:c>
      <x:c r="B12" s="4" t="str">
        <x:v>Calculated value</x:v>
      </x:c>
      <x:c r="C12" s="19" t="str">
        <x:v>Interpretation</x:v>
      </x:c>
    </x:row>
    <x:row r="13">
      <x:c r="A13" s="20" t="str">
        <x:v>Net present value</x:v>
      </x:c>
      <x:c r="B13" s="21" t="n">
        <x:f>B4+B6/(1+B5)^1+B7/(1+B5)^2+B8/(1+B5)^3+B9/(1+B5)^4+B10/(1+B5)^5</x:f>
        <x:v>164.59116014899237</x:v>
      </x:c>
      <x:c r="C13" s="22" t="str">
        <x:v>Fund only if NPV remains positive after downside testing.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8" hidden="0" customWidth="1"/>
  </x:cols>
  <x:sheetData>
    <x:row r="1">
      <x:c r="A1" s="2" t="str">
        <x:v>Apple Market Capitalization</x:v>
      </x:c>
      <x:c r="B1" s="2"/>
      <x:c r="C1" s="2"/>
      <x:c r="D1" s="2"/>
      <x:c r="E1" s="2"/>
      <x:c r="F1" s="2"/>
    </x:row>
    <x:row r="3">
      <x:c r="A3" s="12" t="str">
        <x:v>Input</x:v>
      </x:c>
      <x:c r="B3" s="13" t="str">
        <x:v>Value</x:v>
      </x:c>
      <x:c r="C3" s="14" t="str">
        <x:v>Units</x:v>
      </x:c>
    </x:row>
    <x:row r="4">
      <x:c r="A4" s="15" t="str">
        <x:v>Share price</x:v>
      </x:c>
      <x:c r="B4" s="7" t="n">
        <x:v>225</x:v>
      </x:c>
      <x:c r="C4" s="16" t="str">
        <x:v>$/share</x:v>
      </x:c>
    </x:row>
    <x:row r="5">
      <x:c r="A5" s="15" t="str">
        <x:v>Diluted shares</x:v>
      </x:c>
      <x:c r="B5" s="7" t="n">
        <x:v>15.2</x:v>
      </x:c>
      <x:c r="C5" s="16" t="str">
        <x:v>billion</x:v>
      </x:c>
    </x:row>
    <x:row r="6">
      <x:c r="A6" s="15"/>
      <x:c r="B6" s="17"/>
      <x:c r="C6" s="16"/>
    </x:row>
    <x:row r="7">
      <x:c r="A7" s="15"/>
      <x:c r="B7" s="17"/>
      <x:c r="C7" s="16"/>
    </x:row>
    <x:row r="8">
      <x:c r="A8" s="15"/>
      <x:c r="B8" s="17"/>
      <x:c r="C8" s="16"/>
    </x:row>
    <x:row r="9">
      <x:c r="A9" s="15"/>
      <x:c r="B9" s="17"/>
      <x:c r="C9" s="16"/>
    </x:row>
    <x:row r="10">
      <x:c r="A10" s="15"/>
      <x:c r="B10" s="17"/>
      <x:c r="C10" s="16"/>
    </x:row>
    <x:row r="11">
      <x:c r="A11" s="15"/>
      <x:c r="B11" s="17"/>
      <x:c r="C11" s="16"/>
    </x:row>
    <x:row r="12">
      <x:c r="A12" s="18" t="str">
        <x:v>Model output</x:v>
      </x:c>
      <x:c r="B12" s="4" t="str">
        <x:v>Calculated value</x:v>
      </x:c>
      <x:c r="C12" s="19" t="str">
        <x:v>Interpretation</x:v>
      </x:c>
    </x:row>
    <x:row r="13">
      <x:c r="A13" s="20" t="str">
        <x:v>Equity value</x:v>
      </x:c>
      <x:c r="B13" s="21" t="n">
        <x:f>B4*B5</x:f>
        <x:v>3420</x:v>
      </x:c>
      <x:c r="C13" s="22" t="str">
        <x:v>Reconcile price date, share count, and units before comparing firms.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8" hidden="0" customWidth="1"/>
  </x:cols>
  <x:sheetData>
    <x:row r="1">
      <x:c r="A1" s="2" t="str">
        <x:v>Microsoft Statement Bridge</x:v>
      </x:c>
      <x:c r="B1" s="2"/>
      <x:c r="C1" s="2"/>
      <x:c r="D1" s="2"/>
      <x:c r="E1" s="2"/>
      <x:c r="F1" s="2"/>
    </x:row>
    <x:row r="3">
      <x:c r="A3" s="12" t="str">
        <x:v>Input</x:v>
      </x:c>
      <x:c r="B3" s="13" t="str">
        <x:v>Value</x:v>
      </x:c>
      <x:c r="C3" s="14" t="str">
        <x:v>Units</x:v>
      </x:c>
    </x:row>
    <x:row r="4">
      <x:c r="A4" s="15" t="str">
        <x:v>Revenue</x:v>
      </x:c>
      <x:c r="B4" s="7" t="n">
        <x:v>1200</x:v>
      </x:c>
      <x:c r="C4" s="16" t="str">
        <x:v>$m</x:v>
      </x:c>
    </x:row>
    <x:row r="5">
      <x:c r="A5" s="15" t="str">
        <x:v>Cost of goods sold</x:v>
      </x:c>
      <x:c r="B5" s="7" t="n">
        <x:v>520</x:v>
      </x:c>
      <x:c r="C5" s="16" t="str">
        <x:v>$m</x:v>
      </x:c>
    </x:row>
    <x:row r="6">
      <x:c r="A6" s="15" t="str">
        <x:v>Operating expenses</x:v>
      </x:c>
      <x:c r="B6" s="7" t="n">
        <x:v>330</x:v>
      </x:c>
      <x:c r="C6" s="16" t="str">
        <x:v>$m</x:v>
      </x:c>
    </x:row>
    <x:row r="7">
      <x:c r="A7" s="15" t="str">
        <x:v>Interest expense</x:v>
      </x:c>
      <x:c r="B7" s="7" t="n">
        <x:v>40</x:v>
      </x:c>
      <x:c r="C7" s="16" t="str">
        <x:v>$m</x:v>
      </x:c>
    </x:row>
    <x:row r="8">
      <x:c r="A8" s="15" t="str">
        <x:v>Taxes</x:v>
      </x:c>
      <x:c r="B8" s="7" t="n">
        <x:v>65</x:v>
      </x:c>
      <x:c r="C8" s="16" t="str">
        <x:v>$m</x:v>
      </x:c>
    </x:row>
    <x:row r="9">
      <x:c r="A9" s="15"/>
      <x:c r="B9" s="17"/>
      <x:c r="C9" s="16"/>
    </x:row>
    <x:row r="10">
      <x:c r="A10" s="15"/>
      <x:c r="B10" s="17"/>
      <x:c r="C10" s="16"/>
    </x:row>
    <x:row r="11">
      <x:c r="A11" s="15"/>
      <x:c r="B11" s="17"/>
      <x:c r="C11" s="16"/>
    </x:row>
    <x:row r="12">
      <x:c r="A12" s="18" t="str">
        <x:v>Model output</x:v>
      </x:c>
      <x:c r="B12" s="4" t="str">
        <x:v>Calculated value</x:v>
      </x:c>
      <x:c r="C12" s="19" t="str">
        <x:v>Interpretation</x:v>
      </x:c>
    </x:row>
    <x:row r="13">
      <x:c r="A13" s="20" t="str">
        <x:v>Net income</x:v>
      </x:c>
      <x:c r="B13" s="21" t="n">
        <x:f>B4-B5-B6-B7-B8</x:f>
        <x:v>245</x:v>
      </x:c>
      <x:c r="C13" s="22" t="str">
        <x:v>Reconcile the result with retained earnings and operating cash flow.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8" hidden="0" customWidth="1"/>
  </x:cols>
  <x:sheetData>
    <x:row r="1">
      <x:c r="A1" s="2" t="str">
        <x:v>Nike Return on Equity</x:v>
      </x:c>
      <x:c r="B1" s="2"/>
      <x:c r="C1" s="2"/>
      <x:c r="D1" s="2"/>
      <x:c r="E1" s="2"/>
      <x:c r="F1" s="2"/>
    </x:row>
    <x:row r="3">
      <x:c r="A3" s="12" t="str">
        <x:v>Input</x:v>
      </x:c>
      <x:c r="B3" s="13" t="str">
        <x:v>Value</x:v>
      </x:c>
      <x:c r="C3" s="14" t="str">
        <x:v>Units</x:v>
      </x:c>
    </x:row>
    <x:row r="4">
      <x:c r="A4" s="15" t="str">
        <x:v>Net income</x:v>
      </x:c>
      <x:c r="B4" s="7" t="n">
        <x:v>245</x:v>
      </x:c>
      <x:c r="C4" s="16" t="str">
        <x:v>$m</x:v>
      </x:c>
    </x:row>
    <x:row r="5">
      <x:c r="A5" s="15" t="str">
        <x:v>Beginning equity</x:v>
      </x:c>
      <x:c r="B5" s="7" t="n">
        <x:v>1000</x:v>
      </x:c>
      <x:c r="C5" s="16" t="str">
        <x:v>$m</x:v>
      </x:c>
    </x:row>
    <x:row r="6">
      <x:c r="A6" s="15" t="str">
        <x:v>Ending equity</x:v>
      </x:c>
      <x:c r="B6" s="7" t="n">
        <x:v>1100</x:v>
      </x:c>
      <x:c r="C6" s="16" t="str">
        <x:v>$m</x:v>
      </x:c>
    </x:row>
    <x:row r="7">
      <x:c r="A7" s="15"/>
      <x:c r="B7" s="17"/>
      <x:c r="C7" s="16"/>
    </x:row>
    <x:row r="8">
      <x:c r="A8" s="15"/>
      <x:c r="B8" s="17"/>
      <x:c r="C8" s="16"/>
    </x:row>
    <x:row r="9">
      <x:c r="A9" s="15"/>
      <x:c r="B9" s="17"/>
      <x:c r="C9" s="16"/>
    </x:row>
    <x:row r="10">
      <x:c r="A10" s="15"/>
      <x:c r="B10" s="17"/>
      <x:c r="C10" s="16"/>
    </x:row>
    <x:row r="11">
      <x:c r="A11" s="15"/>
      <x:c r="B11" s="17"/>
      <x:c r="C11" s="16"/>
    </x:row>
    <x:row r="12">
      <x:c r="A12" s="18" t="str">
        <x:v>Model output</x:v>
      </x:c>
      <x:c r="B12" s="4" t="str">
        <x:v>Calculated value</x:v>
      </x:c>
      <x:c r="C12" s="19" t="str">
        <x:v>Interpretation</x:v>
      </x:c>
    </x:row>
    <x:row r="13">
      <x:c r="A13" s="20" t="str">
        <x:v>Return on equity</x:v>
      </x:c>
      <x:c r="B13" s="24" t="n">
        <x:f>B4/AVERAGE(B5:B6)</x:f>
        <x:v>0.23333333333333334</x:v>
      </x:c>
      <x:c r="C13" s="22" t="str">
        <x:v>Decompose ROE into margin, asset use, and leverage before judging performance.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8" hidden="0" customWidth="1"/>
  </x:cols>
  <x:sheetData>
    <x:row r="1">
      <x:c r="A1" s="2" t="str">
        <x:v>Berkshire Future Value</x:v>
      </x:c>
      <x:c r="B1" s="2"/>
      <x:c r="C1" s="2"/>
      <x:c r="D1" s="2"/>
      <x:c r="E1" s="2"/>
      <x:c r="F1" s="2"/>
    </x:row>
    <x:row r="3">
      <x:c r="A3" s="12" t="str">
        <x:v>Input</x:v>
      </x:c>
      <x:c r="B3" s="13" t="str">
        <x:v>Value</x:v>
      </x:c>
      <x:c r="C3" s="14" t="str">
        <x:v>Units</x:v>
      </x:c>
    </x:row>
    <x:row r="4">
      <x:c r="A4" s="15" t="str">
        <x:v>Present value</x:v>
      </x:c>
      <x:c r="B4" s="7" t="n">
        <x:v>-10000</x:v>
      </x:c>
      <x:c r="C4" s="16" t="str">
        <x:v>$</x:v>
      </x:c>
    </x:row>
    <x:row r="5">
      <x:c r="A5" s="15" t="str">
        <x:v>Annual rate</x:v>
      </x:c>
      <x:c r="B5" s="8" t="n">
        <x:v>0.08</x:v>
      </x:c>
      <x:c r="C5" s="16" t="str">
        <x:v>%</x:v>
      </x:c>
    </x:row>
    <x:row r="6">
      <x:c r="A6" s="15" t="str">
        <x:v>Years</x:v>
      </x:c>
      <x:c r="B6" s="7" t="n">
        <x:v>5</x:v>
      </x:c>
      <x:c r="C6" s="16" t="str">
        <x:v>years</x:v>
      </x:c>
    </x:row>
    <x:row r="7">
      <x:c r="A7" s="15"/>
      <x:c r="B7" s="17"/>
      <x:c r="C7" s="16"/>
    </x:row>
    <x:row r="8">
      <x:c r="A8" s="15"/>
      <x:c r="B8" s="17"/>
      <x:c r="C8" s="16"/>
    </x:row>
    <x:row r="9">
      <x:c r="A9" s="15"/>
      <x:c r="B9" s="17"/>
      <x:c r="C9" s="16"/>
    </x:row>
    <x:row r="10">
      <x:c r="A10" s="15"/>
      <x:c r="B10" s="17"/>
      <x:c r="C10" s="16"/>
    </x:row>
    <x:row r="11">
      <x:c r="A11" s="15"/>
      <x:c r="B11" s="17"/>
      <x:c r="C11" s="16"/>
    </x:row>
    <x:row r="12">
      <x:c r="A12" s="18" t="str">
        <x:v>Model output</x:v>
      </x:c>
      <x:c r="B12" s="4" t="str">
        <x:v>Calculated value</x:v>
      </x:c>
      <x:c r="C12" s="19" t="str">
        <x:v>Interpretation</x:v>
      </x:c>
    </x:row>
    <x:row r="13">
      <x:c r="A13" s="20" t="str">
        <x:v>Future value</x:v>
      </x:c>
      <x:c r="B13" s="21" t="n">
        <x:f>-B4*(1+B5)^B6</x:f>
        <x:v>14693.280768000006</x:v>
      </x:c>
      <x:c r="C13" s="22" t="str">
        <x:v>Use only after rate, period, timing, and sign conventions agree.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8" hidden="0" customWidth="1"/>
  </x:cols>
  <x:sheetData>
    <x:row r="1">
      <x:c r="A1" s="2" t="str">
        <x:v>Caterpillar Bond Price</x:v>
      </x:c>
      <x:c r="B1" s="2"/>
      <x:c r="C1" s="2"/>
      <x:c r="D1" s="2"/>
      <x:c r="E1" s="2"/>
      <x:c r="F1" s="2"/>
    </x:row>
    <x:row r="3">
      <x:c r="A3" s="12" t="str">
        <x:v>Input</x:v>
      </x:c>
      <x:c r="B3" s="13" t="str">
        <x:v>Value</x:v>
      </x:c>
      <x:c r="C3" s="14" t="str">
        <x:v>Units</x:v>
      </x:c>
    </x:row>
    <x:row r="4">
      <x:c r="A4" s="15" t="str">
        <x:v>Face value</x:v>
      </x:c>
      <x:c r="B4" s="7" t="n">
        <x:v>1000</x:v>
      </x:c>
      <x:c r="C4" s="16" t="str">
        <x:v>$</x:v>
      </x:c>
    </x:row>
    <x:row r="5">
      <x:c r="A5" s="15" t="str">
        <x:v>Coupon rate</x:v>
      </x:c>
      <x:c r="B5" s="8" t="n">
        <x:v>0.05</x:v>
      </x:c>
      <x:c r="C5" s="16" t="str">
        <x:v>%</x:v>
      </x:c>
    </x:row>
    <x:row r="6">
      <x:c r="A6" s="15" t="str">
        <x:v>Yield to maturity</x:v>
      </x:c>
      <x:c r="B6" s="8" t="n">
        <x:v>0.06</x:v>
      </x:c>
      <x:c r="C6" s="16" t="str">
        <x:v>%</x:v>
      </x:c>
    </x:row>
    <x:row r="7">
      <x:c r="A7" s="15" t="str">
        <x:v>Years to maturity</x:v>
      </x:c>
      <x:c r="B7" s="7" t="n">
        <x:v>10</x:v>
      </x:c>
      <x:c r="C7" s="16" t="str">
        <x:v>years</x:v>
      </x:c>
    </x:row>
    <x:row r="8">
      <x:c r="A8" s="15" t="str">
        <x:v>Payments per year</x:v>
      </x:c>
      <x:c r="B8" s="7" t="n">
        <x:v>2</x:v>
      </x:c>
      <x:c r="C8" s="16" t="str">
        <x:v>count</x:v>
      </x:c>
    </x:row>
    <x:row r="9">
      <x:c r="A9" s="15"/>
      <x:c r="B9" s="17"/>
      <x:c r="C9" s="16"/>
    </x:row>
    <x:row r="10">
      <x:c r="A10" s="15"/>
      <x:c r="B10" s="17"/>
      <x:c r="C10" s="16"/>
    </x:row>
    <x:row r="11">
      <x:c r="A11" s="15"/>
      <x:c r="B11" s="17"/>
      <x:c r="C11" s="16"/>
    </x:row>
    <x:row r="12">
      <x:c r="A12" s="18" t="str">
        <x:v>Model output</x:v>
      </x:c>
      <x:c r="B12" s="4" t="str">
        <x:v>Calculated value</x:v>
      </x:c>
      <x:c r="C12" s="19" t="str">
        <x:v>Interpretation</x:v>
      </x:c>
    </x:row>
    <x:row r="13">
      <x:c r="A13" s="20" t="str">
        <x:v>Estimated bond price</x:v>
      </x:c>
      <x:c r="B13" s="21" t="n">
        <x:f>-PV(B6/B8,B7*B8,B4*B5/B8,B4)</x:f>
        <x:v>925.6126256977225</x:v>
      </x:c>
      <x:c r="C13" s="22" t="str">
        <x:v>Interpret price together with duration, credit quality, and liquidity.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8" hidden="0" customWidth="1"/>
  </x:cols>
  <x:sheetData>
    <x:row r="1">
      <x:c r="A1" s="2" t="str">
        <x:v>Reddit Valuation Range</x:v>
      </x:c>
      <x:c r="B1" s="2"/>
      <x:c r="C1" s="2"/>
      <x:c r="D1" s="2"/>
      <x:c r="E1" s="2"/>
      <x:c r="F1" s="2"/>
    </x:row>
    <x:row r="3">
      <x:c r="A3" s="12" t="str">
        <x:v>Input</x:v>
      </x:c>
      <x:c r="B3" s="13" t="str">
        <x:v>Value</x:v>
      </x:c>
      <x:c r="C3" s="14" t="str">
        <x:v>Units</x:v>
      </x:c>
    </x:row>
    <x:row r="4">
      <x:c r="A4" s="15" t="str">
        <x:v>Next dividend / cash flow</x:v>
      </x:c>
      <x:c r="B4" s="7" t="n">
        <x:v>2.4</x:v>
      </x:c>
      <x:c r="C4" s="16" t="str">
        <x:v>$/share</x:v>
      </x:c>
    </x:row>
    <x:row r="5">
      <x:c r="A5" s="15" t="str">
        <x:v>Long-run growth</x:v>
      </x:c>
      <x:c r="B5" s="8" t="n">
        <x:v>0.04</x:v>
      </x:c>
      <x:c r="C5" s="16" t="str">
        <x:v>%</x:v>
      </x:c>
    </x:row>
    <x:row r="6">
      <x:c r="A6" s="15" t="str">
        <x:v>Required return</x:v>
      </x:c>
      <x:c r="B6" s="8" t="n">
        <x:v>0.1</x:v>
      </x:c>
      <x:c r="C6" s="16" t="str">
        <x:v>%</x:v>
      </x:c>
    </x:row>
    <x:row r="7">
      <x:c r="A7" s="15"/>
      <x:c r="B7" s="17"/>
      <x:c r="C7" s="16"/>
    </x:row>
    <x:row r="8">
      <x:c r="A8" s="15"/>
      <x:c r="B8" s="17"/>
      <x:c r="C8" s="16"/>
    </x:row>
    <x:row r="9">
      <x:c r="A9" s="15"/>
      <x:c r="B9" s="17"/>
      <x:c r="C9" s="16"/>
    </x:row>
    <x:row r="10">
      <x:c r="A10" s="15"/>
      <x:c r="B10" s="17"/>
      <x:c r="C10" s="16"/>
    </x:row>
    <x:row r="11">
      <x:c r="A11" s="15"/>
      <x:c r="B11" s="17"/>
      <x:c r="C11" s="16"/>
    </x:row>
    <x:row r="12">
      <x:c r="A12" s="18" t="str">
        <x:v>Model output</x:v>
      </x:c>
      <x:c r="B12" s="4" t="str">
        <x:v>Calculated value</x:v>
      </x:c>
      <x:c r="C12" s="19" t="str">
        <x:v>Interpretation</x:v>
      </x:c>
    </x:row>
    <x:row r="13">
      <x:c r="A13" s="20" t="str">
        <x:v>Constant-growth value</x:v>
      </x:c>
      <x:c r="B13" s="21" t="n">
        <x:f>B4/(B6-B5)</x:f>
        <x:v>39.99999999999999</x:v>
      </x:c>
      <x:c r="C13" s="22" t="str">
        <x:v>Triangulate with peer multiples and scenario evidence.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8" hidden="0" customWidth="1"/>
  </x:cols>
  <x:sheetData>
    <x:row r="1">
      <x:c r="A1" s="2" t="str">
        <x:v>Walmart Automation Project</x:v>
      </x:c>
      <x:c r="B1" s="2"/>
      <x:c r="C1" s="2"/>
      <x:c r="D1" s="2"/>
      <x:c r="E1" s="2"/>
      <x:c r="F1" s="2"/>
    </x:row>
    <x:row r="3">
      <x:c r="A3" s="12" t="str">
        <x:v>Input</x:v>
      </x:c>
      <x:c r="B3" s="13" t="str">
        <x:v>Value</x:v>
      </x:c>
      <x:c r="C3" s="14" t="str">
        <x:v>Units</x:v>
      </x:c>
    </x:row>
    <x:row r="4">
      <x:c r="A4" s="15" t="str">
        <x:v>Initial outlay</x:v>
      </x:c>
      <x:c r="B4" s="7" t="n">
        <x:v>-500</x:v>
      </x:c>
      <x:c r="C4" s="16" t="str">
        <x:v>$k</x:v>
      </x:c>
    </x:row>
    <x:row r="5">
      <x:c r="A5" s="15" t="str">
        <x:v>Discount rate</x:v>
      </x:c>
      <x:c r="B5" s="8" t="n">
        <x:v>0.1</x:v>
      </x:c>
      <x:c r="C5" s="16" t="str">
        <x:v>%</x:v>
      </x:c>
    </x:row>
    <x:row r="6">
      <x:c r="A6" s="15" t="str">
        <x:v>Year 1 cash flow</x:v>
      </x:c>
      <x:c r="B6" s="7" t="n">
        <x:v>150</x:v>
      </x:c>
      <x:c r="C6" s="16" t="str">
        <x:v>$k</x:v>
      </x:c>
    </x:row>
    <x:row r="7">
      <x:c r="A7" s="15" t="str">
        <x:v>Year 2 cash flow</x:v>
      </x:c>
      <x:c r="B7" s="7" t="n">
        <x:v>165</x:v>
      </x:c>
      <x:c r="C7" s="16" t="str">
        <x:v>$k</x:v>
      </x:c>
    </x:row>
    <x:row r="8">
      <x:c r="A8" s="15" t="str">
        <x:v>Year 3 cash flow</x:v>
      </x:c>
      <x:c r="B8" s="7" t="n">
        <x:v>175</x:v>
      </x:c>
      <x:c r="C8" s="16" t="str">
        <x:v>$k</x:v>
      </x:c>
    </x:row>
    <x:row r="9">
      <x:c r="A9" s="15" t="str">
        <x:v>Year 4 cash flow</x:v>
      </x:c>
      <x:c r="B9" s="7" t="n">
        <x:v>190</x:v>
      </x:c>
      <x:c r="C9" s="16" t="str">
        <x:v>$k</x:v>
      </x:c>
    </x:row>
    <x:row r="10">
      <x:c r="A10" s="15"/>
      <x:c r="B10" s="17"/>
      <x:c r="C10" s="16"/>
    </x:row>
    <x:row r="11">
      <x:c r="A11" s="15"/>
      <x:c r="B11" s="17"/>
      <x:c r="C11" s="16"/>
    </x:row>
    <x:row r="12">
      <x:c r="A12" s="18" t="str">
        <x:v>Model output</x:v>
      </x:c>
      <x:c r="B12" s="4" t="str">
        <x:v>Calculated value</x:v>
      </x:c>
      <x:c r="C12" s="19" t="str">
        <x:v>Interpretation</x:v>
      </x:c>
    </x:row>
    <x:row r="13">
      <x:c r="A13" s="20" t="str">
        <x:v>Project NPV</x:v>
      </x:c>
      <x:c r="B13" s="21" t="n">
        <x:f>B4+B6/(1+B5)^1+B7/(1+B5)^2+B8/(1+B5)^3+B9/(1+B5)^4</x:f>
        <x:v>33.979919404412186</x:v>
      </x:c>
      <x:c r="C13" s="22" t="str">
        <x:v>Accept only if NPV remains positive under defensible downside assumptions.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8" hidden="0" customWidth="1"/>
  </x:cols>
  <x:sheetData>
    <x:row r="1">
      <x:c r="A1" s="2" t="str">
        <x:v>Boeing Required Return</x:v>
      </x:c>
      <x:c r="B1" s="2"/>
      <x:c r="C1" s="2"/>
      <x:c r="D1" s="2"/>
      <x:c r="E1" s="2"/>
      <x:c r="F1" s="2"/>
    </x:row>
    <x:row r="3">
      <x:c r="A3" s="12" t="str">
        <x:v>Input</x:v>
      </x:c>
      <x:c r="B3" s="13" t="str">
        <x:v>Value</x:v>
      </x:c>
      <x:c r="C3" s="14" t="str">
        <x:v>Units</x:v>
      </x:c>
    </x:row>
    <x:row r="4">
      <x:c r="A4" s="15" t="str">
        <x:v>Risk-free rate</x:v>
      </x:c>
      <x:c r="B4" s="8" t="n">
        <x:v>0.04</x:v>
      </x:c>
      <x:c r="C4" s="16" t="str">
        <x:v>%</x:v>
      </x:c>
    </x:row>
    <x:row r="5">
      <x:c r="A5" s="15" t="str">
        <x:v>Beta</x:v>
      </x:c>
      <x:c r="B5" s="7" t="n">
        <x:v>1.25</x:v>
      </x:c>
      <x:c r="C5" s="16" t="str">
        <x:v>x</x:v>
      </x:c>
    </x:row>
    <x:row r="6">
      <x:c r="A6" s="15" t="str">
        <x:v>Expected market return</x:v>
      </x:c>
      <x:c r="B6" s="8" t="n">
        <x:v>0.1</x:v>
      </x:c>
      <x:c r="C6" s="16" t="str">
        <x:v>%</x:v>
      </x:c>
    </x:row>
    <x:row r="7">
      <x:c r="A7" s="15"/>
      <x:c r="B7" s="17"/>
      <x:c r="C7" s="16"/>
    </x:row>
    <x:row r="8">
      <x:c r="A8" s="15"/>
      <x:c r="B8" s="17"/>
      <x:c r="C8" s="16"/>
    </x:row>
    <x:row r="9">
      <x:c r="A9" s="15"/>
      <x:c r="B9" s="17"/>
      <x:c r="C9" s="16"/>
    </x:row>
    <x:row r="10">
      <x:c r="A10" s="15"/>
      <x:c r="B10" s="17"/>
      <x:c r="C10" s="16"/>
    </x:row>
    <x:row r="11">
      <x:c r="A11" s="15"/>
      <x:c r="B11" s="17"/>
      <x:c r="C11" s="16"/>
    </x:row>
    <x:row r="12">
      <x:c r="A12" s="18" t="str">
        <x:v>Model output</x:v>
      </x:c>
      <x:c r="B12" s="4" t="str">
        <x:v>Calculated value</x:v>
      </x:c>
      <x:c r="C12" s="19" t="str">
        <x:v>Interpretation</x:v>
      </x:c>
    </x:row>
    <x:row r="13">
      <x:c r="A13" s="20" t="str">
        <x:v>CAPM required return</x:v>
      </x:c>
      <x:c r="B13" s="24" t="n">
        <x:f>B4+B5*(B6-B4)</x:f>
        <x:v>0.11500000000000002</x:v>
      </x:c>
      <x:c r="C13" s="22" t="str">
        <x:v>Disclose estimation-window and company-specific limitations.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8" hidden="0" customWidth="1"/>
  </x:cols>
  <x:sheetData>
    <x:row r="1">
      <x:c r="A1" s="2" t="str">
        <x:v>Target Weighted Cost of Capital</x:v>
      </x:c>
      <x:c r="B1" s="2"/>
      <x:c r="C1" s="2"/>
      <x:c r="D1" s="2"/>
      <x:c r="E1" s="2"/>
      <x:c r="F1" s="2"/>
    </x:row>
    <x:row r="3">
      <x:c r="A3" s="12" t="str">
        <x:v>Input</x:v>
      </x:c>
      <x:c r="B3" s="13" t="str">
        <x:v>Value</x:v>
      </x:c>
      <x:c r="C3" s="14" t="str">
        <x:v>Units</x:v>
      </x:c>
    </x:row>
    <x:row r="4">
      <x:c r="A4" s="15" t="str">
        <x:v>Equity weight</x:v>
      </x:c>
      <x:c r="B4" s="8" t="n">
        <x:v>0.7</x:v>
      </x:c>
      <x:c r="C4" s="16" t="str">
        <x:v>%</x:v>
      </x:c>
    </x:row>
    <x:row r="5">
      <x:c r="A5" s="15" t="str">
        <x:v>Cost of equity</x:v>
      </x:c>
      <x:c r="B5" s="8" t="n">
        <x:v>0.105</x:v>
      </x:c>
      <x:c r="C5" s="16" t="str">
        <x:v>%</x:v>
      </x:c>
    </x:row>
    <x:row r="6">
      <x:c r="A6" s="15" t="str">
        <x:v>Debt weight</x:v>
      </x:c>
      <x:c r="B6" s="8" t="n">
        <x:v>0.3</x:v>
      </x:c>
      <x:c r="C6" s="16" t="str">
        <x:v>%</x:v>
      </x:c>
    </x:row>
    <x:row r="7">
      <x:c r="A7" s="15" t="str">
        <x:v>Pretax cost of debt</x:v>
      </x:c>
      <x:c r="B7" s="8" t="n">
        <x:v>0.058</x:v>
      </x:c>
      <x:c r="C7" s="16" t="str">
        <x:v>%</x:v>
      </x:c>
    </x:row>
    <x:row r="8">
      <x:c r="A8" s="15" t="str">
        <x:v>Marginal tax rate</x:v>
      </x:c>
      <x:c r="B8" s="8" t="n">
        <x:v>0.25</x:v>
      </x:c>
      <x:c r="C8" s="16" t="str">
        <x:v>%</x:v>
      </x:c>
    </x:row>
    <x:row r="9">
      <x:c r="A9" s="15"/>
      <x:c r="B9" s="17"/>
      <x:c r="C9" s="16"/>
    </x:row>
    <x:row r="10">
      <x:c r="A10" s="15"/>
      <x:c r="B10" s="17"/>
      <x:c r="C10" s="16"/>
    </x:row>
    <x:row r="11">
      <x:c r="A11" s="15"/>
      <x:c r="B11" s="17"/>
      <x:c r="C11" s="16"/>
    </x:row>
    <x:row r="12">
      <x:c r="A12" s="18" t="str">
        <x:v>Model output</x:v>
      </x:c>
      <x:c r="B12" s="4" t="str">
        <x:v>Calculated value</x:v>
      </x:c>
      <x:c r="C12" s="19" t="str">
        <x:v>Interpretation</x:v>
      </x:c>
    </x:row>
    <x:row r="13">
      <x:c r="A13" s="20" t="str">
        <x:v>WACC</x:v>
      </x:c>
      <x:c r="B13" s="24" t="n">
        <x:f>B4*B5+B6*B7*(1-B8)</x:f>
        <x:v>0.08654999999999999</x:v>
      </x:c>
      <x:c r="C13" s="22" t="str">
        <x:v>Apply only to projects with matching operating risk and cash-flow definitions.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8" hidden="0" customWidth="1"/>
  </x:cols>
  <x:sheetData>
    <x:row r="1">
      <x:c r="A1" s="2" t="str">
        <x:v>Delta Coverage Stress Test</x:v>
      </x:c>
      <x:c r="B1" s="2"/>
      <x:c r="C1" s="2"/>
      <x:c r="D1" s="2"/>
      <x:c r="E1" s="2"/>
      <x:c r="F1" s="2"/>
    </x:row>
    <x:row r="3">
      <x:c r="A3" s="12" t="str">
        <x:v>Input</x:v>
      </x:c>
      <x:c r="B3" s="13" t="str">
        <x:v>Value</x:v>
      </x:c>
      <x:c r="C3" s="14" t="str">
        <x:v>Units</x:v>
      </x:c>
    </x:row>
    <x:row r="4">
      <x:c r="A4" s="15" t="str">
        <x:v>Base EBIT</x:v>
      </x:c>
      <x:c r="B4" s="7" t="n">
        <x:v>1200</x:v>
      </x:c>
      <x:c r="C4" s="16" t="str">
        <x:v>$m</x:v>
      </x:c>
    </x:row>
    <x:row r="5">
      <x:c r="A5" s="15" t="str">
        <x:v>Downside EBIT</x:v>
      </x:c>
      <x:c r="B5" s="7" t="n">
        <x:v>750</x:v>
      </x:c>
      <x:c r="C5" s="16" t="str">
        <x:v>$m</x:v>
      </x:c>
    </x:row>
    <x:row r="6">
      <x:c r="A6" s="15" t="str">
        <x:v>Interest expense</x:v>
      </x:c>
      <x:c r="B6" s="7" t="n">
        <x:v>300</x:v>
      </x:c>
      <x:c r="C6" s="16" t="str">
        <x:v>$m</x:v>
      </x:c>
    </x:row>
    <x:row r="7">
      <x:c r="A7" s="15"/>
      <x:c r="B7" s="17"/>
      <x:c r="C7" s="16"/>
    </x:row>
    <x:row r="8">
      <x:c r="A8" s="15"/>
      <x:c r="B8" s="17"/>
      <x:c r="C8" s="16"/>
    </x:row>
    <x:row r="9">
      <x:c r="A9" s="15"/>
      <x:c r="B9" s="17"/>
      <x:c r="C9" s="16"/>
    </x:row>
    <x:row r="10">
      <x:c r="A10" s="15"/>
      <x:c r="B10" s="17"/>
      <x:c r="C10" s="16"/>
    </x:row>
    <x:row r="11">
      <x:c r="A11" s="15"/>
      <x:c r="B11" s="17"/>
      <x:c r="C11" s="16"/>
    </x:row>
    <x:row r="12">
      <x:c r="A12" s="18" t="str">
        <x:v>Model output</x:v>
      </x:c>
      <x:c r="B12" s="4" t="str">
        <x:v>Calculated value</x:v>
      </x:c>
      <x:c r="C12" s="19" t="str">
        <x:v>Interpretation</x:v>
      </x:c>
    </x:row>
    <x:row r="13">
      <x:c r="A13" s="15" t="str">
        <x:v>Base interest coverage</x:v>
      </x:c>
      <x:c r="B13" s="11" t="n">
        <x:f>B4/B6</x:f>
        <x:v>4</x:v>
      </x:c>
      <x:c r="C13" s="26" t="str">
        <x:v>Preserve liquidity and flexibility before adding fixed obligations.</x:v>
      </x:c>
    </x:row>
    <x:row r="14">
      <x:c r="A14" s="20" t="str">
        <x:v>Downside coverage</x:v>
      </x:c>
      <x:c r="B14" s="27" t="n">
        <x:f>B5/B6</x:f>
        <x:v>2.5</x:v>
      </x:c>
      <x:c r="C14" s="28"/>
    </x:row>
  </x:sheetData>
  <x:mergeCells>
    <x:mergeCell ref="A1:F1"/>
  </x:mergeCells>
  <x:pageMargins left="0.7" right="0.7" top="0.75" bottom="0.75" header="0.3" footer="0.3"/>
</x:worksheet>
</file>