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8bc4958f4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4d0f994d9544ac6"/>
    <x:sheet xmlns:r="http://schemas.openxmlformats.org/officeDocument/2006/relationships" name="CAPM Lab" sheetId="2" r:id="R176b70a7927d4c06"/>
    <x:sheet xmlns:r="http://schemas.openxmlformats.org/officeDocument/2006/relationships" name="Checks" sheetId="3" r:id="Rf6a745c55557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201" fontId="5" fillId="5" borderId="0" xfId="0" applyNumberFormat="1" applyFont="1" applyFill="1" applyBorder="1"/>
    <x:xf numFmtId="202" fontId="5" fillId="5" borderId="0" xfId="0" applyNumberFormat="1" applyFont="1" applyFill="1" applyBorder="1"/>
    <x:xf numFmtId="201" fontId="6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1f70feeae4e2d" /><Relationship Type="http://schemas.openxmlformats.org/officeDocument/2006/relationships/theme" Target="/xl/theme/theme1.xml" Id="R8ffd1e2bde314b6c" /><Relationship Type="http://schemas.openxmlformats.org/officeDocument/2006/relationships/sharedStrings" Target="/xl/sharedStrings.xml" Id="R6e43bb318f184b38" /><Relationship Type="http://schemas.openxmlformats.org/officeDocument/2006/relationships/worksheet" Target="/xl/worksheets/sheet1.xml" Id="Rd4d0f994d9544ac6" /><Relationship Type="http://schemas.openxmlformats.org/officeDocument/2006/relationships/worksheet" Target="/xl/worksheets/sheet2.xml" Id="R176b70a7927d4c06" /><Relationship Type="http://schemas.openxmlformats.org/officeDocument/2006/relationships/worksheet" Target="/xl/worksheets/sheet3.xml" Id="Rf6a745c55557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8" hidden="0" customWidth="1"/>
  </x:cols>
  <x:sheetData>
    <x:row r="1">
      <x:c r="A1" s="2" t="str">
        <x:v>Risk, Return, and CAPM</x:v>
      </x:c>
      <x:c r="B1" s="2"/>
      <x:c r="C1" s="2"/>
      <x:c r="D1" s="2"/>
      <x:c r="E1" s="2"/>
      <x:c r="F1" s="2"/>
    </x:row>
    <x:row r="3">
      <x:c r="A3" s="4" t="str">
        <x:v>BUS311 · decisions-m01-l01 · FactSet required</x:v>
      </x:c>
      <x:c r="B3" s="4"/>
      <x:c r="C3" s="4"/>
      <x:c r="D3" s="4"/>
      <x:c r="E3" s="4"/>
      <x:c r="F3" s="4"/>
    </x:row>
    <x:row r="5">
      <x:c r="A5" s="7" t="str">
        <x:v>Step</x:v>
      </x:c>
      <x:c r="B5" s="8" t="str">
        <x:v>Instruction</x:v>
      </x:c>
    </x:row>
    <x:row r="6">
      <x:c r="A6" s="9" t="n">
        <x:v>1</x:v>
      </x:c>
      <x:c r="B6" s="10" t="str">
        <x:v>Read the lesson pre-reading and confirm FactSet access.</x:v>
      </x:c>
    </x:row>
    <x:row r="7">
      <x:c r="A7" s="9" t="n">
        <x:v>2</x:v>
      </x:c>
      <x:c r="B7" s="10" t="str">
        <x:v>Enter or verify blue input values and document field definitions.</x:v>
      </x:c>
    </x:row>
    <x:row r="8">
      <x:c r="A8" s="9" t="n">
        <x:v>3</x:v>
      </x:c>
      <x:c r="B8" s="10" t="str">
        <x:v>Complete yellow calculation cells with auditable formulas.</x:v>
      </x:c>
    </x:row>
    <x:row r="9">
      <x:c r="A9" s="9" t="n">
        <x:v>4</x:v>
      </x:c>
      <x:c r="B9" s="10" t="str">
        <x:v>Use the Checks sheet before writing a recommendation.</x:v>
      </x:c>
    </x:row>
    <x:row r="10">
      <x:c r="A10" s="11" t="n">
        <x:v>5</x:v>
      </x:c>
      <x:c r="B10" s="12" t="str">
        <x:v>State the decision, evidence, risk, and monitoring trigger.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2" hidden="0" customWidth="1"/>
  </x:cols>
  <x:sheetData>
    <x:row r="1">
      <x:c r="A1" s="13" t="str">
        <x:v>Boeing Risk and Required Return</x:v>
      </x:c>
      <x:c r="B1" s="13"/>
      <x:c r="C1" s="13"/>
      <x:c r="D1" s="13"/>
      <x:c r="E1" s="13"/>
      <x:c r="F1" s="13"/>
      <x:c r="G1" s="13"/>
    </x:row>
    <x:row r="3">
      <x:c r="A3" s="4" t="str">
        <x:v>Input</x:v>
      </x:c>
      <x:c r="B3" s="4" t="str">
        <x:v>Value</x:v>
      </x:c>
      <x:c r="C3" s="4" t="str">
        <x:v>Source / definition</x:v>
      </x:c>
    </x:row>
    <x:row r="4">
      <x:c r="A4" t="str">
        <x:v>Risk-free rate</x:v>
      </x:c>
      <x:c r="B4" s="19" t="n">
        <x:v>0.04</x:v>
      </x:c>
      <x:c r="C4" t="str">
        <x:v>FactSet / Treasury benchmark</x:v>
      </x:c>
    </x:row>
    <x:row r="5">
      <x:c r="A5" t="str">
        <x:v>Expected market return</x:v>
      </x:c>
      <x:c r="B5" s="19" t="n">
        <x:v>0.1</x:v>
      </x:c>
      <x:c r="C5" t="str">
        <x:v>Course assumption</x:v>
      </x:c>
    </x:row>
    <x:row r="6">
      <x:c r="A6" t="str">
        <x:v>Beta</x:v>
      </x:c>
      <x:c r="B6" s="20" t="n">
        <x:v>1.25</x:v>
      </x:c>
      <x:c r="C6" t="str">
        <x:v>FactSet, record window and benchmark</x:v>
      </x:c>
    </x:row>
    <x:row r="7">
      <x:c r="A7" t="str">
        <x:v>CAPM required return</x:v>
      </x:c>
      <x:c r="B7" s="21"/>
      <x:c r="C7" t="str">
        <x:v>Calculated</x:v>
      </x:c>
    </x:row>
    <x:row r="10">
      <x:c r="A10" s="4" t="str">
        <x:v>Beta Scenario</x:v>
      </x:c>
      <x:c r="B10" s="4" t="str">
        <x:v>Required Return</x:v>
      </x:c>
      <x:c r="C10" s="4" t="str">
        <x:v>Interpretation</x:v>
      </x:c>
    </x:row>
    <x:row r="11">
      <x:c r="A11" s="16" t="n">
        <x:v>0.8</x:v>
      </x:c>
      <x:c r="B11" s="21"/>
      <x:c r="C11" t="str">
        <x:v>Defensive market exposure</x:v>
      </x:c>
    </x:row>
    <x:row r="12">
      <x:c r="A12" s="16" t="n">
        <x:v>1</x:v>
      </x:c>
      <x:c r="B12" s="21"/>
      <x:c r="C12" t="str">
        <x:v>Market-like exposure</x:v>
      </x:c>
    </x:row>
    <x:row r="13">
      <x:c r="A13" s="16" t="n">
        <x:v>1.25</x:v>
      </x:c>
      <x:c r="B13" s="21"/>
      <x:c r="C13" t="str">
        <x:v>Base company estimate</x:v>
      </x:c>
    </x:row>
    <x:row r="14">
      <x:c r="A14" s="16" t="n">
        <x:v>1.5</x:v>
      </x:c>
      <x:c r="B14" s="21"/>
      <x:c r="C14" t="str">
        <x:v>Higher cyclical exposure</x:v>
      </x:c>
    </x:row>
    <x:row r="15">
      <x:c r="A15" s="16" t="n">
        <x:v>1.8</x:v>
      </x:c>
      <x:c r="B15" s="21"/>
      <x:c r="C15" t="str">
        <x:v>High market sensitivity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4" hidden="0" customWidth="1"/>
  </x:cols>
  <x:sheetData>
    <x:row r="1">
      <x:c r="A1" s="13" t="str">
        <x:v>CAPM Checks</x:v>
      </x:c>
      <x:c r="B1" s="13"/>
      <x:c r="C1" s="13"/>
      <x:c r="D1" s="13"/>
      <x:c r="E1" s="13"/>
    </x:row>
    <x:row r="3">
      <x:c r="A3" s="4" t="str">
        <x:v>Check</x:v>
      </x:c>
      <x:c r="B3" s="4" t="str">
        <x:v>Actual</x:v>
      </x:c>
      <x:c r="C3" s="4" t="str">
        <x:v>Expected</x:v>
      </x:c>
      <x:c r="D3" s="4" t="str">
        <x:v>Difference</x:v>
      </x:c>
      <x:c r="E3" s="4" t="str">
        <x:v>Status</x:v>
      </x:c>
    </x:row>
    <x:row r="4">
      <x:c r="A4" t="str">
        <x:v>Base required return</x:v>
      </x:c>
      <x:c r="B4" t="n">
        <x:f>'CAPM Lab'!B7</x:f>
        <x:v>0</x:v>
      </x:c>
      <x:c r="C4" t="n">
        <x:v>0.115</x:v>
      </x:c>
      <x:c r="D4" t="n">
        <x:f>B4-C4</x:f>
        <x:v>-0.115</x:v>
      </x:c>
      <x:c r="E4" t="str">
        <x:f>IF(ABS(D4)&lt;0.0001,"OK","CHECK")</x:f>
        <x:v>CHECK</x:v>
      </x:c>
    </x:row>
    <x:row r="5">
      <x:c r="A5" t="str">
        <x:v>Scenario ordering</x:v>
      </x:c>
      <x:c r="B5" t="n">
        <x:f>'CAPM Lab'!B15-'CAPM Lab'!B11</x:f>
        <x:v>0</x:v>
      </x:c>
      <x:c r="C5" t="n">
        <x:v>0.06</x:v>
      </x:c>
      <x:c r="D5" t="n">
        <x:f>B5-C5</x:f>
        <x:v>-0.06</x:v>
      </x:c>
      <x:c r="E5" t="str">
        <x:f>IF(ABS(D5)&lt;0.0001,"OK","CHECK")</x:f>
        <x:v>CHECK</x:v>
      </x:c>
    </x:row>
  </x:sheetData>
  <x:mergeCells>
    <x:mergeCell ref="A1:E1"/>
  </x:mergeCells>
  <x:pageMargins left="0.7" right="0.7" top="0.75" bottom="0.75" header="0.3" footer="0.3"/>
</x:worksheet>
</file>