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ce8b56530a4963" /></Relationships>
</file>

<file path=xl/workbook.xml><?xml version="1.0" encoding="utf-8"?>
<x:workbook xmlns:x="http://schemas.openxmlformats.org/spreadsheetml/2006/main">
  <x:sheets>
    <x:sheet xmlns:r="http://schemas.openxmlformats.org/officeDocument/2006/relationships" name="Instructions" sheetId="1" r:id="R09b55400c8064acb"/>
    <x:sheet xmlns:r="http://schemas.openxmlformats.org/officeDocument/2006/relationships" name="Class Practice" sheetId="8" r:id="R2be991744ca94d7f"/>
    <x:sheet xmlns:r="http://schemas.openxmlformats.org/officeDocument/2006/relationships" name="Company Data" sheetId="2" r:id="Ra83556b481f64478"/>
    <x:sheet xmlns:r="http://schemas.openxmlformats.org/officeDocument/2006/relationships" name="Student Calculations" sheetId="3" r:id="Rca20150d615f425b"/>
    <x:sheet xmlns:r="http://schemas.openxmlformats.org/officeDocument/2006/relationships" name="DuPont &amp; Driver" sheetId="4" r:id="R07abe502b7f6489c"/>
    <x:sheet xmlns:r="http://schemas.openxmlformats.org/officeDocument/2006/relationships" name="Ratio Dashboard" sheetId="5" r:id="R4ebf5dfbdda54d13"/>
    <x:sheet xmlns:r="http://schemas.openxmlformats.org/officeDocument/2006/relationships" name="Checks &amp; Recommendation" sheetId="6" r:id="Rd6ed272f52d34921"/>
    <x:sheet xmlns:r="http://schemas.openxmlformats.org/officeDocument/2006/relationships" name="BUS311 Guide" sheetId="7" r:id="Rbe27d6de17f94a13"/>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quot;$&quot;#,##0;[Red](&quot;$&quot;#,##0);-"/>
    <x:numFmt numFmtId="201" formatCode="0.0%;[Red](0.0%);-"/>
    <x:numFmt numFmtId="202" formatCode="0.00x;[Red](0.00x);-"/>
    <x:numFmt numFmtId="203" formatCode="0.00%;[Red](0.00%);-"/>
    <x:numFmt numFmtId="204" formatCode="0.00&quot;x&quot;"/>
    <x:numFmt numFmtId="205" formatCode="$#,##0"/>
    <x:numFmt numFmtId="206" formatCode="0.0%"/>
  </x:numFmts>
  <x:fonts count="16">
    <x:font>
      <x:sz val="11"/>
      <x:name val="Carlito"/>
    </x:font>
    <x:font>
      <x:b/>
      <x:sz val="11"/>
      <x:color rgb="FFFFFFFF"/>
      <x:name val="Carlito"/>
    </x:font>
    <x:font>
      <x:i/>
      <x:sz val="11"/>
      <x:color rgb="FF5E6878"/>
      <x:name val="Carlito"/>
    </x:font>
    <x:font>
      <x:b/>
      <x:sz val="11"/>
      <x:color rgb="FF17243F"/>
      <x:name val="Carlito"/>
    </x:font>
    <x:font>
      <x:sz val="11"/>
      <x:color rgb="FF0000FF"/>
      <x:name val="Carlito"/>
    </x:font>
    <x:font>
      <x:sz val="11"/>
      <x:color rgb="FF008000"/>
      <x:name val="Carlito"/>
    </x:font>
    <x:font>
      <x:b/>
      <x:sz val="11"/>
      <x:name val="Carlito"/>
    </x:font>
    <x:font>
      <x:sz val="11"/>
      <x:color rgb="FF172033"/>
      <x:name val="Carlito"/>
    </x:font>
    <x:font>
      <x:b/>
      <x:sz val="11"/>
      <x:color rgb="FF0000FF"/>
      <x:name val="Carlito"/>
    </x:font>
    <x:font>
      <x:b/>
      <x:sz val="11"/>
      <x:color rgb="FF172033"/>
      <x:name val="Carlito"/>
    </x:font>
    <x:font>
      <x:b/>
      <x:sz val="11"/>
      <x:color rgb="FF008000"/>
      <x:name val="Carlito"/>
    </x:font>
    <x:font>
      <x:sz val="11"/>
      <x:name val="Arial"/>
    </x:font>
    <x:font>
      <x:b/>
      <x:sz val="16"/>
      <x:color rgb="FFFFFFFF"/>
      <x:name val="Arial"/>
    </x:font>
    <x:font>
      <x:sz val="11"/>
      <x:color rgb="FF0000FF"/>
      <x:name val="Arial"/>
    </x:font>
    <x:font>
      <x:b/>
      <x:sz val="11"/>
      <x:name val="Arial"/>
    </x:font>
    <x:font>
      <x:b/>
      <x:sz val="11"/>
      <x:color rgb="FFFFFFFF"/>
      <x:name val="Arial"/>
    </x:font>
  </x:fonts>
  <x:fills count="17">
    <x:fill>
      <x:patternFill patternType="none"/>
    </x:fill>
    <x:fill>
      <x:patternFill patternType="gray125"/>
    </x:fill>
    <x:fill>
      <x:patternFill patternType="solid">
        <x:fgColor rgb="FF17243F"/>
      </x:patternFill>
    </x:fill>
    <x:fill>
      <x:patternFill patternType="solid">
        <x:fgColor rgb="FFF7F4ED"/>
      </x:patternFill>
    </x:fill>
    <x:fill>
      <x:patternFill patternType="solid">
        <x:fgColor rgb="FFA34A2A"/>
      </x:patternFill>
    </x:fill>
    <x:fill>
      <x:patternFill patternType="solid">
        <x:fgColor rgb="FFFFFFFF"/>
      </x:patternFill>
    </x:fill>
    <x:fill>
      <x:patternFill patternType="solid">
        <x:fgColor rgb="FFD9E8F5"/>
      </x:patternFill>
    </x:fill>
    <x:fill>
      <x:patternFill patternType="solid">
        <x:fgColor rgb="FFEAF2F8"/>
      </x:patternFill>
    </x:fill>
    <x:fill>
      <x:patternFill patternType="solid">
        <x:fgColor rgb="FFFFF2CC"/>
      </x:patternFill>
    </x:fill>
    <x:fill>
      <x:patternFill patternType="solid">
        <x:fgColor rgb="FFF2F2F2"/>
      </x:patternFill>
    </x:fill>
    <x:fill>
      <x:patternFill patternType="solid">
        <x:fgColor rgb="FFE2F0D9"/>
      </x:patternFill>
    </x:fill>
    <x:fill>
      <x:patternFill patternType="solid">
        <x:fgColor rgb="FFDCA94A"/>
      </x:patternFill>
    </x:fill>
    <x:fill>
      <x:patternFill patternType="solid">
        <x:fgColor rgb="FFF2F2F2"/>
      </x:patternFill>
    </x:fill>
    <x:fill>
      <x:patternFill patternType="solid">
        <x:fgColor rgb="FFFFF2CC"/>
      </x:patternFill>
    </x:fill>
    <x:fill>
      <x:patternFill patternType="solid">
        <x:fgColor rgb="FF192640"/>
      </x:patternFill>
    </x:fill>
    <x:fill>
      <x:patternFill patternType="solid">
        <x:fgColor rgb="FFDCE8F3"/>
      </x:patternFill>
    </x:fill>
    <x:fill>
      <x:patternFill patternType="solid">
        <x:fgColor rgb="FF192640"/>
      </x:patternFill>
    </x:fill>
  </x:fills>
  <x:borders count="16">
    <x:border/>
    <x:border>
      <x:left style="thin">
        <x:color rgb="FFC9CED6"/>
      </x:left>
      <x:top style="thin">
        <x:color rgb="FFC9CED6"/>
      </x:top>
    </x:border>
    <x:border>
      <x:top style="thin">
        <x:color rgb="FFC9CED6"/>
      </x:top>
    </x:border>
    <x:border>
      <x:right style="thin">
        <x:color rgb="FFC9CED6"/>
      </x:right>
      <x:top style="thin">
        <x:color rgb="FFC9CED6"/>
      </x:top>
    </x:border>
    <x:border>
      <x:left style="thin">
        <x:color rgb="FFC9CED6"/>
      </x:left>
      <x:bottom style="thin">
        <x:color rgb="FFC9CED6"/>
      </x:bottom>
    </x:border>
    <x:border>
      <x:bottom style="thin">
        <x:color rgb="FFC9CED6"/>
      </x:bottom>
    </x:border>
    <x:border>
      <x:right style="thin">
        <x:color rgb="FFC9CED6"/>
      </x:right>
      <x:bottom style="thin">
        <x:color rgb="FFC9CED6"/>
      </x:bottom>
    </x:border>
    <x:border>
      <x:bottom style="thin">
        <x:color rgb="FF355773"/>
      </x:bottom>
    </x:border>
    <x:border>
      <x:left style="thin">
        <x:color rgb="FFC9CED6"/>
      </x:left>
      <x:top style="thin">
        <x:color rgb="FFC9CED6"/>
      </x:top>
      <x:bottom style="thin">
        <x:color rgb="FF355773"/>
      </x:bottom>
    </x:border>
    <x:border>
      <x:top style="thin">
        <x:color rgb="FFC9CED6"/>
      </x:top>
      <x:bottom style="thin">
        <x:color rgb="FF355773"/>
      </x:bottom>
    </x:border>
    <x:border>
      <x:right style="thin">
        <x:color rgb="FFC9CED6"/>
      </x:right>
      <x:top style="thin">
        <x:color rgb="FFC9CED6"/>
      </x:top>
      <x:bottom style="thin">
        <x:color rgb="FF355773"/>
      </x:bottom>
    </x:border>
    <x:border>
      <x:left style="thin">
        <x:color rgb="FFC9CED6"/>
      </x:left>
    </x:border>
    <x:border>
      <x:right style="thin">
        <x:color rgb="FFC9CED6"/>
      </x:right>
    </x:border>
    <x:border>
      <x:left style="thin">
        <x:color rgb="FFC9CED6"/>
      </x:left>
      <x:top style="thin">
        <x:color rgb="FFC9CED6"/>
      </x:top>
      <x:bottom style="thin">
        <x:color rgb="FFC9CED6"/>
      </x:bottom>
    </x:border>
    <x:border>
      <x:top style="thin">
        <x:color rgb="FFC9CED6"/>
      </x:top>
      <x:bottom style="thin">
        <x:color rgb="FFC9CED6"/>
      </x:bottom>
    </x:border>
    <x:border>
      <x:right style="thin">
        <x:color rgb="FFC9CED6"/>
      </x:right>
      <x:top style="thin">
        <x:color rgb="FFC9CED6"/>
      </x:top>
      <x:bottom style="thin">
        <x:color rgb="FFC9CED6"/>
      </x:bottom>
    </x:border>
  </x:borders>
  <x:cellStyleXfs count="1">
    <x:xf numFmtId="0" fontId="0" fillId="0" borderId="0"/>
  </x:cellStyleXfs>
  <x:cellXfs count="26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vertical="center"/>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6" xfId="0" applyNumberFormat="1" applyFont="1" applyFill="1" applyBorder="1" applyAlignment="1">
      <x:alignment vertical="top" wrapText="1"/>
    </x:xf>
    <x:xf numFmtId="0" fontId="0" fillId="6" borderId="0" xfId="0" applyNumberFormat="1" applyFont="1" applyFill="1" applyBorder="1"/>
    <x:xf numFmtId="0" fontId="3" fillId="6" borderId="0" xfId="0" applyNumberFormat="1" applyFont="1" applyFill="1" applyBorder="1"/>
    <x:xf numFmtId="0" fontId="3" fillId="6" borderId="7" xfId="0" applyNumberFormat="1" applyFont="1" applyFill="1" applyBorder="1"/>
    <x:xf numFmtId="0" fontId="3" fillId="6" borderId="7" xfId="0" applyNumberFormat="1" applyFont="1" applyFill="1" applyBorder="1" applyAlignment="1">
      <x:alignment wrapText="1"/>
    </x:xf>
    <x:xf numFmtId="0" fontId="3" fillId="6" borderId="7"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3" fillId="6" borderId="8" xfId="0" applyNumberFormat="1" applyFont="1" applyFill="1" applyBorder="1" applyAlignment="1">
      <x:alignment vertical="center" wrapText="1"/>
    </x:xf>
    <x:xf numFmtId="0" fontId="3" fillId="6" borderId="9" xfId="0" applyNumberFormat="1" applyFont="1" applyFill="1" applyBorder="1" applyAlignment="1">
      <x:alignment vertical="center" wrapText="1"/>
    </x:xf>
    <x:xf numFmtId="0" fontId="3" fillId="6" borderId="10" xfId="0" applyNumberFormat="1" applyFont="1" applyFill="1" applyBorder="1" applyAlignment="1">
      <x:alignment vertical="center" wrapText="1"/>
    </x:xf>
    <x:xf numFmtId="0" fontId="0" fillId="0" borderId="11" xfId="0" applyNumberFormat="1" applyFont="1" applyFill="1" applyBorder="1" applyAlignment="1">
      <x:alignment horizontal="center" vertical="top" wrapText="1"/>
    </x:xf>
    <x:xf numFmtId="0" fontId="0" fillId="0" borderId="12"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0" fillId="7" borderId="0" xfId="0" applyNumberFormat="1" applyFont="1" applyFill="1" applyBorder="1"/>
    <x:xf numFmtId="0" fontId="4" fillId="7" borderId="0" xfId="0" applyNumberFormat="1" applyFont="1" applyFill="1" applyBorder="1"/>
    <x:xf numFmtId="0" fontId="0" fillId="8" borderId="0" xfId="0" applyNumberFormat="1" applyFont="1" applyFill="1" applyBorder="1"/>
    <x:xf numFmtId="0" fontId="4" fillId="8" borderId="0" xfId="0" applyNumberFormat="1" applyFont="1" applyFill="1" applyBorder="1"/>
    <x:xf numFmtId="0" fontId="5" fillId="0" borderId="0" xfId="0" applyNumberFormat="1" applyFont="1" applyFill="1" applyBorder="1"/>
    <x:xf numFmtId="0" fontId="0" fillId="9" borderId="0" xfId="0" applyNumberFormat="1" applyFont="1" applyFill="1" applyBorder="1"/>
    <x:xf numFmtId="0" fontId="6" fillId="9" borderId="0" xfId="0" applyNumberFormat="1" applyFont="1" applyFill="1" applyBorder="1"/>
    <x:xf numFmtId="0" fontId="4" fillId="7" borderId="1" xfId="0" applyNumberFormat="1" applyFont="1" applyFill="1" applyBorder="1"/>
    <x:xf numFmtId="0" fontId="0" fillId="0" borderId="3" xfId="0" applyNumberFormat="1" applyFont="1" applyFill="1" applyBorder="1"/>
    <x:xf numFmtId="0" fontId="4" fillId="8" borderId="11" xfId="0" applyNumberFormat="1" applyFont="1" applyFill="1" applyBorder="1"/>
    <x:xf numFmtId="0" fontId="0" fillId="0" borderId="12" xfId="0" applyNumberFormat="1" applyFont="1" applyFill="1" applyBorder="1"/>
    <x:xf numFmtId="0" fontId="5" fillId="0" borderId="11" xfId="0" applyNumberFormat="1" applyFont="1" applyFill="1" applyBorder="1"/>
    <x:xf numFmtId="0" fontId="6" fillId="9" borderId="4" xfId="0" applyNumberFormat="1" applyFont="1" applyFill="1" applyBorder="1"/>
    <x:xf numFmtId="0" fontId="0" fillId="0" borderId="6"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0" fillId="3" borderId="2" xfId="0" applyNumberFormat="1" applyFont="1" applyFill="1" applyBorder="1" applyAlignment="1">
      <x:alignment vertical="top" wrapText="1"/>
    </x:xf>
    <x:xf numFmtId="0" fontId="0" fillId="3"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3" borderId="6" xfId="0" applyNumberFormat="1" applyFont="1" applyFill="1" applyBorder="1" applyAlignment="1">
      <x:alignment vertical="top" wrapText="1"/>
    </x:xf>
    <x:xf numFmtId="0" fontId="3"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3"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3"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3" fillId="6" borderId="7" xfId="0" applyNumberFormat="1" applyFont="1" applyFill="1" applyBorder="1" applyAlignment="1">
      <x:alignment horizontal="right" vertical="center" wrapText="1"/>
    </x:xf>
    <x:xf numFmtId="200" fontId="4" fillId="7" borderId="0" xfId="0" applyNumberFormat="1" applyFont="1" applyFill="1" applyBorder="1"/>
    <x:xf numFmtId="0" fontId="7" fillId="9" borderId="0" xfId="0" applyNumberFormat="1" applyFont="1" applyFill="1" applyBorder="1"/>
    <x:xf numFmtId="200" fontId="7" fillId="9" borderId="0" xfId="0" applyNumberFormat="1" applyFont="1" applyFill="1" applyBorder="1"/>
    <x:xf numFmtId="201" fontId="7" fillId="9" borderId="0" xfId="0" applyNumberFormat="1" applyFont="1" applyFill="1" applyBorder="1"/>
    <x:xf numFmtId="0" fontId="0" fillId="0" borderId="2" xfId="0" applyNumberFormat="1" applyFont="1" applyFill="1" applyBorder="1"/>
    <x:xf numFmtId="200" fontId="7" fillId="9" borderId="2" xfId="0" applyNumberFormat="1" applyFont="1" applyFill="1" applyBorder="1"/>
    <x:xf numFmtId="0" fontId="6" fillId="0" borderId="0" xfId="0" applyNumberFormat="1" applyFont="1" applyFill="1" applyBorder="1"/>
    <x:xf numFmtId="200" fontId="8" fillId="7" borderId="0" xfId="0" applyNumberFormat="1" applyFont="1" applyFill="1" applyBorder="1"/>
    <x:xf numFmtId="0" fontId="6" fillId="0" borderId="2" xfId="0" applyNumberFormat="1" applyFont="1" applyFill="1" applyBorder="1"/>
    <x:xf numFmtId="200" fontId="9" fillId="9" borderId="2" xfId="0" applyNumberFormat="1" applyFont="1" applyFill="1" applyBorder="1"/>
    <x:xf numFmtId="200" fontId="9" fillId="9" borderId="0" xfId="0" applyNumberFormat="1" applyFont="1" applyFill="1" applyBorder="1"/>
    <x:xf numFmtId="201" fontId="9" fillId="9" borderId="0" xfId="0" applyNumberFormat="1" applyFont="1" applyFill="1" applyBorder="1"/>
    <x:xf numFmtId="0" fontId="3" fillId="6" borderId="9" xfId="0" applyNumberFormat="1" applyFont="1" applyFill="1" applyBorder="1" applyAlignment="1">
      <x:alignment horizontal="right" vertical="center" wrapText="1"/>
    </x:xf>
    <x:xf numFmtId="0" fontId="3" fillId="6" borderId="10" xfId="0" applyNumberFormat="1" applyFont="1" applyFill="1" applyBorder="1" applyAlignment="1">
      <x:alignment horizontal="right" vertical="center" wrapText="1"/>
    </x:xf>
    <x:xf numFmtId="0" fontId="1" fillId="4" borderId="11" xfId="0" applyNumberFormat="1" applyFont="1" applyFill="1" applyBorder="1" applyAlignment="1">
      <x:alignment vertical="center"/>
    </x:xf>
    <x:xf numFmtId="0" fontId="0" fillId="0" borderId="0" xfId="0" applyNumberFormat="1" applyFont="1" applyFill="1" applyBorder="1"/>
    <x:xf numFmtId="0" fontId="0" fillId="0" borderId="11" xfId="0" applyNumberFormat="1" applyFont="1" applyFill="1" applyBorder="1"/>
    <x:xf numFmtId="200" fontId="4" fillId="7" borderId="12" xfId="0" applyNumberFormat="1" applyFont="1" applyFill="1" applyBorder="1"/>
    <x:xf numFmtId="0" fontId="6" fillId="0" borderId="11" xfId="0" applyNumberFormat="1" applyFont="1" applyFill="1" applyBorder="1"/>
    <x:xf numFmtId="200" fontId="8" fillId="7" borderId="12" xfId="0" applyNumberFormat="1" applyFont="1" applyFill="1" applyBorder="1"/>
    <x:xf numFmtId="0" fontId="6" fillId="0" borderId="1" xfId="0" applyNumberFormat="1" applyFont="1" applyFill="1" applyBorder="1"/>
    <x:xf numFmtId="200" fontId="9" fillId="9" borderId="3" xfId="0" applyNumberFormat="1" applyFont="1" applyFill="1" applyBorder="1"/>
    <x:xf numFmtId="0" fontId="6" fillId="0" borderId="4" xfId="0" applyNumberFormat="1" applyFont="1" applyFill="1" applyBorder="1"/>
    <x:xf numFmtId="200" fontId="8" fillId="7" borderId="5" xfId="0" applyNumberFormat="1" applyFont="1" applyFill="1" applyBorder="1"/>
    <x:xf numFmtId="200" fontId="8" fillId="7" borderId="6" xfId="0" applyNumberFormat="1" applyFont="1" applyFill="1" applyBorder="1"/>
    <x:xf numFmtId="0" fontId="1" fillId="4" borderId="1" xfId="0" applyNumberFormat="1" applyFont="1" applyFill="1" applyBorder="1" applyAlignment="1">
      <x:alignment vertical="center"/>
    </x:xf>
    <x:xf numFmtId="0" fontId="0" fillId="0" borderId="4" xfId="0" applyNumberFormat="1" applyFont="1" applyFill="1" applyBorder="1"/>
    <x:xf numFmtId="200" fontId="4" fillId="7" borderId="5" xfId="0" applyNumberFormat="1" applyFont="1" applyFill="1" applyBorder="1"/>
    <x:xf numFmtId="200" fontId="4" fillId="7" borderId="6" xfId="0" applyNumberFormat="1" applyFont="1" applyFill="1" applyBorder="1"/>
    <x:xf numFmtId="200" fontId="9" fillId="9" borderId="12" xfId="0" applyNumberFormat="1" applyFont="1" applyFill="1" applyBorder="1"/>
    <x:xf numFmtId="201" fontId="9" fillId="9" borderId="5" xfId="0" applyNumberFormat="1" applyFont="1" applyFill="1" applyBorder="1"/>
    <x:xf numFmtId="201" fontId="9" fillId="9" borderId="6" xfId="0" applyNumberFormat="1" applyFont="1" applyFill="1" applyBorder="1"/>
    <x:xf numFmtId="0" fontId="0" fillId="0" borderId="0" xfId="0" applyNumberFormat="1" applyFont="1" applyFill="1" applyBorder="1" applyAlignment="1">
      <x:alignment vertical="center"/>
    </x:xf>
    <x:xf numFmtId="0" fontId="3" fillId="0" borderId="1" xfId="0" applyNumberFormat="1" applyFont="1" applyFill="1" applyBorder="1" applyAlignment="1">
      <x:alignment vertical="center" wrapText="1"/>
    </x:xf>
    <x:xf numFmtId="0" fontId="0" fillId="0" borderId="2" xfId="0" applyNumberFormat="1" applyFont="1" applyFill="1" applyBorder="1" applyAlignment="1">
      <x:alignment vertical="center" wrapText="1"/>
    </x:xf>
    <x:xf numFmtId="0" fontId="0" fillId="0" borderId="3" xfId="0" applyNumberFormat="1" applyFont="1" applyFill="1" applyBorder="1" applyAlignment="1">
      <x:alignment vertical="center" wrapText="1"/>
    </x:xf>
    <x:xf numFmtId="0" fontId="3" fillId="0" borderId="11"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12"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0" borderId="12" xfId="0" applyNumberFormat="1" applyFont="1" applyFill="1" applyBorder="1" applyAlignment="1">
      <x:alignment vertical="center"/>
    </x:xf>
    <x:xf numFmtId="0" fontId="0" fillId="0" borderId="11" xfId="0" applyNumberFormat="1" applyFont="1" applyFill="1" applyBorder="1" applyAlignment="1">
      <x:alignment vertical="center"/>
    </x:xf>
    <x:xf numFmtId="200" fontId="4" fillId="7" borderId="0" xfId="0" applyNumberFormat="1" applyFont="1" applyFill="1" applyBorder="1" applyAlignment="1">
      <x:alignment vertical="center"/>
    </x:xf>
    <x:xf numFmtId="200" fontId="4" fillId="7" borderId="12" xfId="0" applyNumberFormat="1" applyFont="1" applyFill="1" applyBorder="1" applyAlignment="1">
      <x:alignment vertical="center"/>
    </x:xf>
    <x:xf numFmtId="0" fontId="6" fillId="0" borderId="11" xfId="0" applyNumberFormat="1" applyFont="1" applyFill="1" applyBorder="1" applyAlignment="1">
      <x:alignment vertical="center"/>
    </x:xf>
    <x:xf numFmtId="200" fontId="8" fillId="7" borderId="0" xfId="0" applyNumberFormat="1" applyFont="1" applyFill="1" applyBorder="1" applyAlignment="1">
      <x:alignment vertical="center"/>
    </x:xf>
    <x:xf numFmtId="200" fontId="8" fillId="7" borderId="12" xfId="0" applyNumberFormat="1" applyFont="1" applyFill="1" applyBorder="1" applyAlignment="1">
      <x:alignment vertical="center"/>
    </x:xf>
    <x:xf numFmtId="0" fontId="6" fillId="0" borderId="1" xfId="0" applyNumberFormat="1" applyFont="1" applyFill="1" applyBorder="1" applyAlignment="1">
      <x:alignment vertical="center"/>
    </x:xf>
    <x:xf numFmtId="200" fontId="9" fillId="9" borderId="2" xfId="0" applyNumberFormat="1" applyFont="1" applyFill="1" applyBorder="1" applyAlignment="1">
      <x:alignment vertical="center"/>
    </x:xf>
    <x:xf numFmtId="200" fontId="9" fillId="9" borderId="3" xfId="0" applyNumberFormat="1" applyFont="1" applyFill="1" applyBorder="1" applyAlignment="1">
      <x:alignment vertical="center"/>
    </x:xf>
    <x:xf numFmtId="0" fontId="6" fillId="0" borderId="4" xfId="0" applyNumberFormat="1" applyFont="1" applyFill="1" applyBorder="1" applyAlignment="1">
      <x:alignment vertical="center"/>
    </x:xf>
    <x:xf numFmtId="200" fontId="8" fillId="7" borderId="5" xfId="0" applyNumberFormat="1" applyFont="1" applyFill="1" applyBorder="1" applyAlignment="1">
      <x:alignment vertical="center"/>
    </x:xf>
    <x:xf numFmtId="200" fontId="8" fillId="7" borderId="6" xfId="0" applyNumberFormat="1" applyFont="1" applyFill="1" applyBorder="1" applyAlignment="1">
      <x:alignment vertical="center"/>
    </x:xf>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200" fontId="4" fillId="7" borderId="5" xfId="0" applyNumberFormat="1" applyFont="1" applyFill="1" applyBorder="1" applyAlignment="1">
      <x:alignment vertical="center"/>
    </x:xf>
    <x:xf numFmtId="200" fontId="4" fillId="7" borderId="6" xfId="0" applyNumberFormat="1" applyFont="1" applyFill="1" applyBorder="1" applyAlignment="1">
      <x:alignment vertical="center"/>
    </x:xf>
    <x:xf numFmtId="200" fontId="9" fillId="9" borderId="0" xfId="0" applyNumberFormat="1" applyFont="1" applyFill="1" applyBorder="1" applyAlignment="1">
      <x:alignment vertical="center"/>
    </x:xf>
    <x:xf numFmtId="200" fontId="9" fillId="9" borderId="12" xfId="0" applyNumberFormat="1" applyFont="1" applyFill="1" applyBorder="1" applyAlignment="1">
      <x:alignment vertical="center"/>
    </x:xf>
    <x:xf numFmtId="201" fontId="9" fillId="9" borderId="5" xfId="0" applyNumberFormat="1" applyFont="1" applyFill="1" applyBorder="1" applyAlignment="1">
      <x:alignment vertical="center"/>
    </x:xf>
    <x:xf numFmtId="201" fontId="9" fillId="9" borderId="6" xfId="0" applyNumberFormat="1" applyFont="1" applyFill="1" applyBorder="1" applyAlignment="1">
      <x:alignment vertical="center"/>
    </x:xf>
    <x:xf numFmtId="202" fontId="0" fillId="0" borderId="0" xfId="0" applyNumberFormat="1" applyFont="1" applyFill="1" applyBorder="1"/>
    <x:xf numFmtId="202" fontId="0" fillId="8" borderId="0" xfId="0" applyNumberFormat="1" applyFont="1" applyFill="1" applyBorder="1"/>
    <x:xf numFmtId="202" fontId="4" fillId="8" borderId="0" xfId="0" applyNumberFormat="1" applyFont="1" applyFill="1" applyBorder="1"/>
    <x:xf numFmtId="201" fontId="0" fillId="0" borderId="0" xfId="0" applyNumberFormat="1" applyFont="1" applyFill="1" applyBorder="1"/>
    <x:xf numFmtId="201" fontId="0" fillId="8" borderId="0" xfId="0" applyNumberFormat="1" applyFont="1" applyFill="1" applyBorder="1"/>
    <x:xf numFmtId="201" fontId="4" fillId="8" borderId="0" xfId="0" applyNumberFormat="1" applyFont="1" applyFill="1" applyBorder="1"/>
    <x:xf numFmtId="202" fontId="4" fillId="8" borderId="5" xfId="0" applyNumberFormat="1" applyFont="1" applyFill="1" applyBorder="1"/>
    <x:xf numFmtId="202" fontId="0" fillId="0" borderId="5" xfId="0" applyNumberFormat="1" applyFont="1" applyFill="1" applyBorder="1"/>
    <x:xf numFmtId="0" fontId="2" fillId="3" borderId="13"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3" fillId="6" borderId="9" xfId="0" applyNumberFormat="1" applyFont="1" applyFill="1" applyBorder="1" applyAlignment="1">
      <x:alignment horizontal="left" vertical="center" wrapText="1"/>
    </x:xf>
    <x:xf numFmtId="0" fontId="3" fillId="6" borderId="10" xfId="0" applyNumberFormat="1" applyFont="1" applyFill="1" applyBorder="1" applyAlignment="1">
      <x:alignment horizontal="left" vertical="center" wrapText="1"/>
    </x:xf>
    <x:xf numFmtId="202" fontId="4" fillId="8" borderId="0" xfId="0" applyNumberFormat="1" applyFont="1" applyFill="1" applyBorder="1" applyAlignment="1">
      <x:alignment vertical="center"/>
    </x:xf>
    <x:xf numFmtId="202" fontId="0" fillId="0" borderId="0" xfId="0" applyNumberFormat="1" applyFont="1" applyFill="1" applyBorder="1" applyAlignment="1">
      <x:alignment vertical="center"/>
    </x:xf>
    <x:xf numFmtId="201" fontId="4" fillId="8" borderId="0" xfId="0" applyNumberFormat="1" applyFont="1" applyFill="1" applyBorder="1" applyAlignment="1">
      <x:alignment vertical="center"/>
    </x:xf>
    <x:xf numFmtId="201" fontId="0" fillId="0" borderId="0" xfId="0" applyNumberFormat="1" applyFont="1" applyFill="1" applyBorder="1" applyAlignment="1">
      <x:alignment vertical="center"/>
    </x:xf>
    <x:xf numFmtId="202" fontId="4" fillId="8" borderId="5" xfId="0" applyNumberFormat="1" applyFont="1" applyFill="1" applyBorder="1" applyAlignment="1">
      <x:alignment vertical="center"/>
    </x:xf>
    <x:xf numFmtId="202"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2" fillId="3" borderId="13" xfId="0" applyNumberFormat="1" applyFont="1" applyFill="1" applyBorder="1" applyAlignment="1">
      <x:alignment vertical="center" wrapText="1"/>
    </x:xf>
    <x:xf numFmtId="0" fontId="2" fillId="3" borderId="14" xfId="0" applyNumberFormat="1" applyFont="1" applyFill="1" applyBorder="1" applyAlignment="1">
      <x:alignment vertical="center" wrapText="1"/>
    </x:xf>
    <x:xf numFmtId="0" fontId="2" fillId="3" borderId="15" xfId="0" applyNumberFormat="1" applyFont="1" applyFill="1" applyBorder="1" applyAlignment="1">
      <x:alignment vertical="center" wrapText="1"/>
    </x:xf>
    <x:xf numFmtId="0" fontId="5" fillId="9" borderId="0" xfId="0" applyNumberFormat="1" applyFont="1" applyFill="1" applyBorder="1"/>
    <x:xf numFmtId="200" fontId="5" fillId="9" borderId="0" xfId="0" applyNumberFormat="1" applyFont="1" applyFill="1" applyBorder="1"/>
    <x:xf numFmtId="200" fontId="5" fillId="9" borderId="5" xfId="0" applyNumberFormat="1" applyFont="1" applyFill="1" applyBorder="1"/>
    <x:xf numFmtId="201" fontId="5" fillId="0" borderId="0" xfId="0" applyNumberFormat="1" applyFont="1" applyFill="1" applyBorder="1"/>
    <x:xf numFmtId="202" fontId="5" fillId="0" borderId="0" xfId="0" applyNumberFormat="1" applyFont="1" applyFill="1" applyBorder="1"/>
    <x:xf numFmtId="203" fontId="5" fillId="0" borderId="0" xfId="0" applyNumberFormat="1" applyFont="1" applyFill="1" applyBorder="1"/>
    <x:xf numFmtId="0" fontId="9" fillId="0" borderId="0" xfId="0" applyNumberFormat="1" applyFont="1" applyFill="1" applyBorder="1"/>
    <x:xf numFmtId="203" fontId="9" fillId="0" borderId="0" xfId="0" applyNumberFormat="1" applyFont="1" applyFill="1" applyBorder="1"/>
    <x:xf numFmtId="203" fontId="10" fillId="0" borderId="0" xfId="0" applyNumberFormat="1" applyFont="1" applyFill="1" applyBorder="1"/>
    <x:xf numFmtId="0" fontId="9" fillId="0" borderId="11" xfId="0" applyNumberFormat="1" applyFont="1" applyFill="1" applyBorder="1"/>
    <x:xf numFmtId="203" fontId="5" fillId="0" borderId="5" xfId="0" applyNumberFormat="1" applyFont="1" applyFill="1" applyBorder="1"/>
    <x:xf numFmtId="200" fontId="5" fillId="0" borderId="0" xfId="0" applyNumberFormat="1" applyFont="1" applyFill="1" applyBorder="1"/>
    <x:xf numFmtId="0" fontId="4" fillId="8" borderId="0" xfId="0" applyNumberFormat="1" applyFont="1" applyFill="1" applyBorder="1" applyAlignment="1">
      <x:alignment wrapText="1"/>
    </x:xf>
    <x:xf numFmtId="0" fontId="4" fillId="8"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4" fillId="8" borderId="5" xfId="0" applyNumberFormat="1" applyFont="1" applyFill="1" applyBorder="1" applyAlignment="1">
      <x:alignment vertical="top" wrapText="1"/>
    </x:xf>
    <x:xf numFmtId="0" fontId="0" fillId="0" borderId="6" xfId="0" applyNumberFormat="1" applyFont="1" applyFill="1" applyBorder="1" applyAlignment="1">
      <x:alignment vertical="top"/>
    </x:xf>
    <x:xf numFmtId="0" fontId="0" fillId="10" borderId="0" xfId="0" applyNumberFormat="1" applyFont="1" applyFill="1" applyBorder="1"/>
    <x:xf numFmtId="0" fontId="5" fillId="10" borderId="0" xfId="0" applyNumberFormat="1" applyFont="1" applyFill="1" applyBorder="1"/>
    <x:xf numFmtId="202" fontId="5" fillId="10" borderId="0" xfId="0" applyNumberFormat="1" applyFont="1" applyFill="1" applyBorder="1"/>
    <x:xf numFmtId="202" fontId="5" fillId="10" borderId="12" xfId="0" applyNumberFormat="1" applyFont="1" applyFill="1" applyBorder="1"/>
    <x:xf numFmtId="202" fontId="5" fillId="10" borderId="5" xfId="0" applyNumberFormat="1" applyFont="1" applyFill="1" applyBorder="1"/>
    <x:xf numFmtId="202" fontId="5" fillId="10" borderId="6" xfId="0" applyNumberFormat="1" applyFont="1" applyFill="1" applyBorder="1"/>
    <x:xf numFmtId="201" fontId="5" fillId="10" borderId="0" xfId="0" applyNumberFormat="1" applyFont="1" applyFill="1" applyBorder="1"/>
    <x:xf numFmtId="201" fontId="5" fillId="10" borderId="12" xfId="0" applyNumberFormat="1" applyFont="1" applyFill="1" applyBorder="1"/>
    <x:xf numFmtId="201" fontId="5" fillId="10" borderId="5" xfId="0" applyNumberFormat="1" applyFont="1" applyFill="1" applyBorder="1"/>
    <x:xf numFmtId="201" fontId="5" fillId="10" borderId="6" xfId="0" applyNumberFormat="1" applyFont="1" applyFill="1" applyBorder="1"/>
    <x:xf numFmtId="203" fontId="0" fillId="0" borderId="0" xfId="0" applyNumberFormat="1" applyFont="1" applyFill="1" applyBorder="1"/>
    <x:xf numFmtId="201" fontId="0" fillId="10" borderId="0" xfId="0" applyNumberFormat="1" applyFont="1" applyFill="1" applyBorder="1"/>
    <x:xf numFmtId="202" fontId="0" fillId="10" borderId="0" xfId="0" applyNumberFormat="1" applyFont="1" applyFill="1" applyBorder="1"/>
    <x:xf numFmtId="203" fontId="0" fillId="10" borderId="0" xfId="0" applyNumberFormat="1" applyFont="1" applyFill="1" applyBorder="1"/>
    <x:xf numFmtId="203" fontId="5" fillId="10" borderId="0" xfId="0" applyNumberFormat="1" applyFont="1" applyFill="1" applyBorder="1"/>
    <x:xf numFmtId="203" fontId="5" fillId="10" borderId="5" xfId="0" applyNumberFormat="1" applyFont="1" applyFill="1" applyBorder="1"/>
    <x:xf numFmtId="0" fontId="7" fillId="3" borderId="0" xfId="0" applyNumberFormat="1" applyFont="1" applyFill="1" applyBorder="1"/>
    <x:xf numFmtId="0" fontId="7"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7" fillId="3" borderId="1" xfId="0" applyNumberFormat="1" applyFont="1" applyFill="1" applyBorder="1" applyAlignment="1">
      <x:alignment vertical="top" wrapText="1"/>
    </x:xf>
    <x:xf numFmtId="0" fontId="7" fillId="3" borderId="2" xfId="0" applyNumberFormat="1" applyFont="1" applyFill="1" applyBorder="1" applyAlignment="1">
      <x:alignment vertical="top" wrapText="1"/>
    </x:xf>
    <x:xf numFmtId="0" fontId="7" fillId="3" borderId="3" xfId="0" applyNumberFormat="1" applyFont="1" applyFill="1" applyBorder="1" applyAlignment="1">
      <x:alignment vertical="top" wrapText="1"/>
    </x:xf>
    <x:xf numFmtId="0" fontId="7" fillId="3" borderId="11" xfId="0" applyNumberFormat="1" applyFont="1" applyFill="1" applyBorder="1" applyAlignment="1">
      <x:alignment vertical="top" wrapText="1"/>
    </x:xf>
    <x:xf numFmtId="0" fontId="7" fillId="3" borderId="12" xfId="0" applyNumberFormat="1" applyFont="1" applyFill="1" applyBorder="1" applyAlignment="1">
      <x:alignment vertical="top" wrapText="1"/>
    </x:xf>
    <x:xf numFmtId="0" fontId="7" fillId="3" borderId="4" xfId="0" applyNumberFormat="1" applyFont="1" applyFill="1" applyBorder="1" applyAlignment="1">
      <x:alignment vertical="top" wrapText="1"/>
    </x:xf>
    <x:xf numFmtId="0" fontId="7" fillId="3" borderId="5" xfId="0" applyNumberFormat="1" applyFont="1" applyFill="1" applyBorder="1" applyAlignment="1">
      <x:alignment vertical="top" wrapText="1"/>
    </x:xf>
    <x:xf numFmtId="0" fontId="7" fillId="3" borderId="6" xfId="0" applyNumberFormat="1" applyFont="1" applyFill="1" applyBorder="1" applyAlignment="1">
      <x:alignment vertical="top" wrapText="1"/>
    </x:xf>
    <x:xf numFmtId="0" fontId="2" fillId="9" borderId="0" xfId="0" applyNumberFormat="1" applyFont="1" applyFill="1" applyBorder="1"/>
    <x:xf numFmtId="0" fontId="2" fillId="9"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6" fillId="0" borderId="0" xfId="0" applyNumberFormat="1" applyFont="1" applyFill="1" applyBorder="1" applyAlignment="1">
      <x:alignment horizontal="center"/>
    </x:xf>
    <x:xf numFmtId="0" fontId="0" fillId="0" borderId="5" xfId="0" applyNumberFormat="1" applyFont="1" applyFill="1" applyBorder="1"/>
    <x:xf numFmtId="0" fontId="5" fillId="0" borderId="5" xfId="0" applyNumberFormat="1" applyFont="1" applyFill="1" applyBorder="1"/>
    <x:xf numFmtId="0" fontId="3" fillId="6" borderId="0" xfId="0" applyNumberFormat="1" applyFont="1" applyFill="1" applyBorder="1" applyAlignment="1">
      <x:alignment wrapText="1"/>
    </x:xf>
    <x:xf numFmtId="0" fontId="3" fillId="6" borderId="1" xfId="0" applyNumberFormat="1" applyFont="1" applyFill="1" applyBorder="1" applyAlignment="1">
      <x:alignment wrapText="1"/>
    </x:xf>
    <x:xf numFmtId="0" fontId="3" fillId="6" borderId="2" xfId="0" applyNumberFormat="1" applyFont="1" applyFill="1" applyBorder="1" applyAlignment="1">
      <x:alignment wrapText="1"/>
    </x:xf>
    <x:xf numFmtId="0" fontId="3" fillId="6" borderId="3" xfId="0" applyNumberFormat="1" applyFont="1" applyFill="1" applyBorder="1" applyAlignment="1">
      <x:alignment wrapText="1"/>
    </x:xf>
    <x:xf numFmtId="0" fontId="4" fillId="8" borderId="11" xfId="0" applyNumberFormat="1" applyFont="1" applyFill="1" applyBorder="1" applyAlignment="1">
      <x:alignment vertical="top" wrapText="1"/>
    </x:xf>
    <x:xf numFmtId="0" fontId="4" fillId="8" borderId="12" xfId="0" applyNumberFormat="1" applyFont="1" applyFill="1" applyBorder="1" applyAlignment="1">
      <x:alignment vertical="top" wrapText="1"/>
    </x:xf>
    <x:xf numFmtId="0" fontId="4" fillId="8" borderId="4" xfId="0" applyNumberFormat="1" applyFont="1" applyFill="1" applyBorder="1" applyAlignment="1">
      <x:alignment vertical="top" wrapText="1"/>
    </x:xf>
    <x:xf numFmtId="0" fontId="4" fillId="8" borderId="6"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3" borderId="2"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2" fillId="3" borderId="4" xfId="0" applyNumberFormat="1" applyFont="1" applyFill="1" applyBorder="1" applyAlignment="1">
      <x:alignment vertical="top" wrapText="1"/>
    </x:xf>
    <x:xf numFmtId="0" fontId="2" fillId="3" borderId="5" xfId="0" applyNumberFormat="1" applyFont="1" applyFill="1" applyBorder="1" applyAlignment="1">
      <x:alignment vertical="top" wrapText="1"/>
    </x:xf>
    <x:xf numFmtId="0" fontId="2" fillId="3" borderId="6" xfId="0" applyNumberFormat="1" applyFont="1" applyFill="1" applyBorder="1" applyAlignment="1">
      <x:alignment vertical="top" wrapText="1"/>
    </x:xf>
    <x:xf numFmtId="0" fontId="0" fillId="0" borderId="0" xfId="0" applyNumberFormat="1" applyFont="1" applyFill="1" applyBorder="1" applyAlignment="1">
      <x:alignment horizontal="center"/>
    </x:xf>
    <x:xf numFmtId="0" fontId="0" fillId="0" borderId="11" xfId="0" applyNumberFormat="1" applyFont="1" applyFill="1" applyBorder="1" applyAlignment="1">
      <x:alignment horizontal="center"/>
    </x:xf>
    <x:xf numFmtId="0" fontId="0" fillId="0" borderId="4" xfId="0" applyNumberFormat="1" applyFont="1" applyFill="1" applyBorder="1" applyAlignment="1">
      <x:alignment horizontal="center"/>
    </x:xf>
    <x:xf numFmtId="0" fontId="4" fillId="8" borderId="12" xfId="0" applyNumberFormat="1" applyFont="1" applyFill="1" applyBorder="1" applyAlignment="1">
      <x:alignment wrapText="1"/>
    </x:xf>
    <x:xf numFmtId="0" fontId="4" fillId="8" borderId="5" xfId="0" applyNumberFormat="1" applyFont="1" applyFill="1" applyBorder="1" applyAlignment="1">
      <x:alignment wrapText="1"/>
    </x:xf>
    <x:xf numFmtId="0" fontId="4" fillId="8" borderId="6" xfId="0" applyNumberFormat="1" applyFont="1" applyFill="1" applyBorder="1" applyAlignment="1">
      <x:alignment wrapText="1"/>
    </x:xf>
    <x:xf numFmtId="0" fontId="1" fillId="4" borderId="0" xfId="0" applyNumberFormat="1" applyFont="1" applyFill="1" applyBorder="1" applyAlignment="1">
      <x:alignment vertical="center" wrapText="1"/>
    </x:xf>
    <x:xf numFmtId="202" fontId="4" fillId="12" borderId="0" xfId="0" applyNumberFormat="1" applyFont="1" applyFill="1" applyBorder="1" applyAlignment="1">
      <x:alignment vertical="center"/>
    </x:xf>
    <x:xf numFmtId="201" fontId="4" fillId="12" borderId="0" xfId="0" applyNumberFormat="1" applyFont="1" applyFill="1" applyBorder="1" applyAlignment="1">
      <x:alignment vertical="center"/>
    </x:xf>
    <x:xf numFmtId="204" fontId="0" fillId="0" borderId="0" xfId="0" applyNumberFormat="1" applyFont="1" applyFill="1" applyBorder="1" applyAlignment="1">
      <x:alignment vertical="center"/>
    </x:xf>
    <x:xf numFmtId="204" fontId="0" fillId="13" borderId="0" xfId="0" applyNumberFormat="1" applyFont="1" applyFill="1" applyBorder="1" applyAlignment="1">
      <x:alignment vertical="center"/>
    </x:xf>
    <x:xf numFmtId="204" fontId="0" fillId="0" borderId="0" xfId="0" applyNumberFormat="1" applyFont="1" applyFill="1" applyBorder="1"/>
    <x:xf numFmtId="0" fontId="11" fillId="0" borderId="0" xfId="0" applyNumberFormat="1" applyFont="1" applyFill="1" applyBorder="1"/>
    <x:xf numFmtId="0" fontId="11" fillId="14" borderId="0" xfId="0" applyNumberFormat="1" applyFont="1" applyFill="1" applyBorder="1"/>
    <x:xf numFmtId="0" fontId="12" fillId="14" borderId="0" xfId="0" applyNumberFormat="1" applyFont="1" applyFill="1" applyBorder="1"/>
    <x:xf numFmtId="0" fontId="11" fillId="0" borderId="0" xfId="0" applyNumberFormat="1" applyFont="1" applyFill="1" applyBorder="1" applyAlignment="1">
      <x:alignment wrapText="1"/>
    </x:xf>
    <x:xf numFmtId="0" fontId="11" fillId="15" borderId="0" xfId="0" applyNumberFormat="1" applyFont="1" applyFill="1" applyBorder="1"/>
    <x:xf numFmtId="0" fontId="13" fillId="15" borderId="0" xfId="0" applyNumberFormat="1" applyFont="1" applyFill="1" applyBorder="1"/>
    <x:xf numFmtId="205" fontId="13" fillId="15" borderId="0" xfId="0" applyNumberFormat="1" applyFont="1" applyFill="1" applyBorder="1"/>
    <x:xf numFmtId="0" fontId="11" fillId="13" borderId="0" xfId="0" applyNumberFormat="1" applyFont="1" applyFill="1" applyBorder="1"/>
    <x:xf numFmtId="204" fontId="11" fillId="13" borderId="0" xfId="0" applyNumberFormat="1" applyFont="1" applyFill="1" applyBorder="1"/>
    <x:xf numFmtId="206" fontId="11" fillId="13" borderId="0" xfId="0" applyNumberFormat="1" applyFont="1" applyFill="1" applyBorder="1"/>
    <x:xf numFmtId="206" fontId="11" fillId="0" borderId="0" xfId="0" applyNumberFormat="1" applyFont="1" applyFill="1" applyBorder="1"/>
    <x:xf numFmtId="204" fontId="11" fillId="0" borderId="0" xfId="0" applyNumberFormat="1" applyFont="1" applyFill="1" applyBorder="1"/>
    <x:xf numFmtId="0" fontId="11" fillId="13" borderId="0" xfId="0" applyNumberFormat="1" applyFont="1" applyFill="1" applyBorder="1" applyAlignment="1">
      <x:alignment wrapText="1"/>
    </x:xf>
    <x:xf numFmtId="0" fontId="11" fillId="13" borderId="0" xfId="0" applyNumberFormat="1" applyFont="1" applyFill="1" applyBorder="1" applyAlignment="1">
      <x:alignment vertical="top" wrapText="1"/>
    </x:xf>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horizontal="center"/>
    </x:xf>
    <x:xf numFmtId="0" fontId="14" fillId="0" borderId="0" xfId="0" applyNumberFormat="1" applyFont="1" applyFill="1" applyBorder="1" applyAlignment="1">
      <x:alignment horizontal="center" vertical="center"/>
    </x:xf>
  </x:cellXfs>
  <x:cellStyles count="1">
    <x:cellStyle name="Normal" xfId="0"/>
  </x:cellStyles>
  <x:dxfs count="66">
    <x:dxf>
      <x:font>
        <x:b/>
        <x:color rgb="FF1B5E20"/>
      </x:font>
      <x:fill>
        <x:patternFill>
          <x:bgColor rgb="FFE2F0D9"/>
        </x:patternFill>
      </x:fill>
    </x:dxf>
    <x:dxf>
      <x:font>
        <x:b/>
        <x:color rgb="FF7F6000"/>
      </x:font>
      <x:fill>
        <x:patternFill>
          <x:bgColor rgb="FFFFF2CC"/>
        </x:patternFill>
      </x:fill>
    </x:dxf>
    <x:dxf>
      <x:font>
        <x:b/>
        <x:color rgb="FF9C0006"/>
      </x:font>
      <x:fill>
        <x:patternFill>
          <x:bgColor rgb="FFFCE8E6"/>
        </x:patternFill>
      </x:fill>
    </x:dxf>
    <x:dxf>
      <x:font>
        <x:b/>
        <x:color rgb="FF1B5E20"/>
      </x:font>
      <x:fill>
        <x:patternFill>
          <x:bgColor rgb="FFE2F0D9"/>
        </x:patternFill>
      </x:fill>
    </x:dxf>
    <x:dxf>
      <x:font>
        <x:b/>
        <x:color rgb="FF7F6000"/>
      </x:font>
      <x:fill>
        <x:patternFill>
          <x:bgColor rgb="FFFFF2CC"/>
        </x:patternFill>
      </x:fill>
    </x:dxf>
    <x:dxf>
      <x:font>
        <x:b/>
        <x:color rgb="FF9C0006"/>
      </x:font>
      <x:fill>
        <x:patternFill>
          <x:bgColor rgb="FFFCE8E6"/>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
      <x:font>
        <x:color rgb="FF166534"/>
      </x:font>
      <x:fill>
        <x:patternFill>
          <x:bgColor rgb="FFD6F2DD"/>
        </x:patternFill>
      </x:fill>
    </x:dxf>
    <x:dxf>
      <x:font>
        <x:color rgb="FF854D0E"/>
      </x:font>
      <x:fill>
        <x:patternFill>
          <x:bgColor rgb="FFFFF0C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fe67ff9a9c4e75" /><Relationship Type="http://schemas.openxmlformats.org/officeDocument/2006/relationships/theme" Target="/xl/theme/theme1.xml" Id="R76b5e328e6384200" /><Relationship Type="http://schemas.openxmlformats.org/officeDocument/2006/relationships/sharedStrings" Target="/xl/sharedStrings.xml" Id="R55ee2f1780a54b45" /><Relationship Type="http://schemas.openxmlformats.org/officeDocument/2006/relationships/worksheet" Target="/xl/worksheets/sheet1.xml" Id="R09b55400c8064acb" /><Relationship Type="http://schemas.openxmlformats.org/officeDocument/2006/relationships/worksheet" Target="/xl/worksheets/sheet2.xml" Id="R2be991744ca94d7f" /><Relationship Type="http://schemas.openxmlformats.org/officeDocument/2006/relationships/worksheet" Target="/xl/worksheets/sheet3.xml" Id="Ra83556b481f64478" /><Relationship Type="http://schemas.openxmlformats.org/officeDocument/2006/relationships/worksheet" Target="/xl/worksheets/sheet4.xml" Id="Rca20150d615f425b" /><Relationship Type="http://schemas.openxmlformats.org/officeDocument/2006/relationships/worksheet" Target="/xl/worksheets/sheet5.xml" Id="R07abe502b7f6489c" /><Relationship Type="http://schemas.openxmlformats.org/officeDocument/2006/relationships/worksheet" Target="/xl/worksheets/sheet6.xml" Id="R4ebf5dfbdda54d13" /><Relationship Type="http://schemas.openxmlformats.org/officeDocument/2006/relationships/worksheet" Target="/xl/worksheets/sheet7.xml" Id="Rd6ed272f52d34921" /><Relationship Type="http://schemas.openxmlformats.org/officeDocument/2006/relationships/worksheet" Target="/xl/worksheets/sheet8.xml" Id="Rbe27d6de17f94a1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62" hidden="0" customWidth="1"/>
    <x:col min="3" max="3" width="42" hidden="0" customWidth="1"/>
    <x:col min="4" max="4" width="12" hidden="0" customWidth="1"/>
    <x:col min="5" max="5" width="12" hidden="0" customWidth="1"/>
    <x:col min="6" max="6" width="12" hidden="0" customWidth="1"/>
    <x:col min="7" max="7" width="12" hidden="0" customWidth="1"/>
    <x:col min="8" max="8" width="12" hidden="0" customWidth="1"/>
  </x:cols>
  <x:sheetData>
    <x:row r="1" ht="32" customHeight="1">
      <x:c r="A1" s="3" t="str">
        <x:v>BUS311 | Ratio Analysis and Corporate Performance</x:v>
      </x:c>
    </x:row>
    <x:row r="2" ht="62" customHeight="1">
      <x:c r="A2" s="7" t="str">
        <x:v>Use financial ratios, DuPont, and an expense-reduction test to explain business performance and support a recommendation. Complete calculations in class; finish explanations after class before submitting to Canvas.</x:v>
      </x:c>
    </x:row>
    <x:row r="4" ht="23" customHeight="1">
      <x:c r="A4" s="235" t="str">
        <x:v>Purpose and deliverables</x:v>
      </x:c>
    </x:row>
    <x:row r="5" ht="94" customHeight="1">
      <x:c r="A5" s="14" t="str">
        <x:v>In class: complete Class Practice E5:E9, all eight CORE ratio rows for both retailers, and the DuPont &amp; Driver expense test. After class: finish the Class Practice brief (A21), driver explanation (B29), and retailer recommendation (A19 on Checks &amp; Recommendation). Submit one completed Excel workbook to Canvas.</x:v>
      </x:c>
      <x:c r="B5" s="15"/>
      <x:c r="C5" s="15"/>
      <x:c r="D5" s="15"/>
      <x:c r="E5" s="15"/>
      <x:c r="F5" s="15"/>
      <x:c r="G5" s="15"/>
      <x:c r="H5" s="16"/>
    </x:row>
    <x:row r="6">
      <x:c r="A6" s="17"/>
      <x:c r="B6" s="18"/>
      <x:c r="C6" s="18"/>
      <x:c r="D6" s="18"/>
      <x:c r="E6" s="18"/>
      <x:c r="F6" s="18"/>
      <x:c r="G6" s="18"/>
      <x:c r="H6" s="19"/>
    </x:row>
    <x:row r="8" ht="23" customHeight="1">
      <x:c r="A8" s="10" t="str">
        <x:v>Work in this order</x:v>
      </x:c>
    </x:row>
    <x:row r="9">
      <x:c r="A9" s="28" t="str">
        <x:v>Step</x:v>
      </x:c>
      <x:c r="B9" s="29" t="str">
        <x:v>Action</x:v>
      </x:c>
      <x:c r="C9" s="30" t="str">
        <x:v>Visible checkpoint</x:v>
      </x:c>
    </x:row>
    <x:row r="10" ht="68" customHeight="1">
      <x:c r="A10" s="31" t="n">
        <x:v>1</x:v>
      </x:c>
      <x:c r="B10" s="26" t="str">
        <x:v>In class: open Class Practice (second tab).</x:v>
      </x:c>
      <x:c r="C10" s="32" t="str">
        <x:v>Calculate five ratios in E5:E9 and review the linked DuPont bridge.</x:v>
      </x:c>
    </x:row>
    <x:row r="11" ht="68" customHeight="1">
      <x:c r="A11" s="31" t="n">
        <x:v>2</x:v>
      </x:c>
      <x:c r="B11" s="26" t="str">
        <x:v>In class: use Company Data and Student Calculations.</x:v>
      </x:c>
      <x:c r="C11" s="32" t="str">
        <x:v>Complete CORE rows 6, 10, 12, 14, 17, 18, 22, 23 for both firms; check feedback in F:G.</x:v>
      </x:c>
    </x:row>
    <x:row r="12" ht="68" customHeight="1">
      <x:c r="A12" s="31" t="n">
        <x:v>3</x:v>
      </x:c>
      <x:c r="B12" s="26" t="str">
        <x:v>In class: open DuPont &amp; Driver.</x:v>
      </x:c>
      <x:c r="C12" s="32" t="str">
        <x:v>Reconcile direct and DuPont ROE; the differences in row 16 should equal zero.</x:v>
      </x:c>
    </x:row>
    <x:row r="13" ht="68" customHeight="1">
      <x:c r="A13" s="31" t="n">
        <x:v>4</x:v>
      </x:c>
      <x:c r="B13" s="26" t="str">
        <x:v>In class: predict, then enter 1% in DuPont &amp; Driver!B20.</x:v>
      </x:c>
      <x:c r="C13" s="32" t="str">
        <x:v>Compare the linked scenario results. Finish the explanation in B29 after class.</x:v>
      </x:c>
    </x:row>
    <x:row r="14" ht="68" customHeight="1">
      <x:c r="A14" s="31" t="n">
        <x:v>5</x:v>
      </x:c>
      <x:c r="B14" s="26" t="str">
        <x:v>In class: review Ratio Dashboard.</x:v>
      </x:c>
      <x:c r="C14" s="32" t="str">
        <x:v>Compare profitability, asset use, financing, coverage, and the expense test.</x:v>
      </x:c>
    </x:row>
    <x:row r="15" ht="68" customHeight="1">
      <x:c r="A15" s="33" t="n">
        <x:v>6</x:v>
      </x:c>
      <x:c r="B15" s="34" t="str">
        <x:v>After class: finish explanations, review, and submit.</x:v>
      </x:c>
      <x:c r="C15" s="35" t="str">
        <x:v>Complete Class Practice A21, DuPont &amp; Driver B29, and Checks &amp; Recommendation A19. Submit the workbook to Canvas.</x:v>
      </x:c>
    </x:row>
    <x:row r="17" ht="23" customHeight="1">
      <x:c r="A17" s="10" t="str">
        <x:v>Analytical safeguards</x:v>
      </x:c>
    </x:row>
    <x:row r="18">
      <x:c r="A18" s="39" t="str">
        <x:v>Period match</x:v>
      </x:c>
      <x:c r="B18" s="40" t="str">
        <x:v>Use average assets, equity, inventory, and receivables when a period-flow numerator is divided by a point-in-time balance.</x:v>
      </x:c>
      <x:c r="C18" s="40"/>
      <x:c r="D18" s="41"/>
    </x:row>
    <x:row r="19">
      <x:c r="A19" s="42" t="str">
        <x:v>Debt definition</x:v>
      </x:c>
      <x:c r="B19" s="26" t="str">
        <x:v>Total debt equals short-term debt plus long-term debt; do not substitute total liabilities.</x:v>
      </x:c>
      <x:c r="C19" s="26"/>
      <x:c r="D19" s="32"/>
    </x:row>
    <x:row r="20">
      <x:c r="A20" s="42" t="str">
        <x:v>DuPont contract</x:v>
      </x:c>
      <x:c r="B20" s="26" t="str">
        <x:v>Net margin × asset turnover × average equity multiplier must reconcile to direct ROE.</x:v>
      </x:c>
      <x:c r="C20" s="26"/>
      <x:c r="D20" s="32"/>
    </x:row>
    <x:row r="21">
      <x:c r="A21" s="43" t="str">
        <x:v>Decision rule</x:v>
      </x:c>
      <x:c r="B21" s="34" t="str">
        <x:v>Move from result → driver → implication; do not treat a benchmark as a universal target.</x:v>
      </x:c>
      <x:c r="C21" s="34"/>
      <x:c r="D21" s="35"/>
    </x:row>
    <x:row r="23" ht="23" customHeight="1">
      <x:c r="A23" s="10" t="str">
        <x:v>Formatting legend</x:v>
      </x:c>
    </x:row>
    <x:row r="24">
      <x:c r="A24" s="51" t="str">
        <x:v>Pale blue + blue text</x:v>
      </x:c>
      <x:c r="B24" s="52" t="str">
        <x:v>Given source inputs</x:v>
      </x:c>
    </x:row>
    <x:row r="25">
      <x:c r="A25" s="53" t="str">
        <x:v>Pale yellow + blue text</x:v>
      </x:c>
      <x:c r="B25" s="54" t="str">
        <x:v>Student formula, assumption, or written response</x:v>
      </x:c>
    </x:row>
    <x:row r="26">
      <x:c r="A26" s="55" t="str">
        <x:v>Green text</x:v>
      </x:c>
      <x:c r="B26" s="54" t="str">
        <x:v>Formula linked to another worksheet</x:v>
      </x:c>
    </x:row>
    <x:row r="27">
      <x:c r="A27" s="56" t="str">
        <x:v>PASS / WAITING / REVIEW</x:v>
      </x:c>
      <x:c r="B27" s="57" t="str">
        <x:v>Control status with a written label; color is supplemental</x:v>
      </x:c>
    </x:row>
    <x:row r="29" ht="23" customHeight="1">
      <x:c r="A29" s="235" t="str">
        <x:v>Lemonade Stand is deferred; it is not part of the M04 submission.</x:v>
      </x:c>
    </x:row>
    <x:row r="30" ht="70" customHeight="1">
      <x:c r="A30" s="60" t="str">
        <x:v>Before Canvas submission: confirm calculations are complete, review any Check or REVIEW messages, and finish all three written responses. Correct and PASS check numbers or completion, not the quality of your reasoning. Optional ratios may remain blank.</x:v>
      </x:c>
      <x:c r="B30" s="61"/>
      <x:c r="C30" s="61"/>
      <x:c r="D30" s="61"/>
      <x:c r="E30" s="61"/>
      <x:c r="F30" s="61"/>
      <x:c r="G30" s="61"/>
      <x:c r="H30" s="62"/>
    </x:row>
    <x:row r="31">
      <x:c r="A31" s="63"/>
      <x:c r="B31" s="64"/>
      <x:c r="C31" s="64"/>
      <x:c r="D31" s="64"/>
      <x:c r="E31" s="64"/>
      <x:c r="F31" s="64"/>
      <x:c r="G31" s="64"/>
      <x:c r="H31" s="65"/>
    </x:row>
  </x:sheetData>
  <x:mergeCells>
    <x:mergeCell ref="A1:H1"/>
    <x:mergeCell ref="A2:H2"/>
    <x:mergeCell ref="A4:H4"/>
    <x:mergeCell ref="A5:H6"/>
    <x:mergeCell ref="A8:H8"/>
    <x:mergeCell ref="A17:H17"/>
    <x:mergeCell ref="B18:D18"/>
    <x:mergeCell ref="B19:D19"/>
    <x:mergeCell ref="B20:D20"/>
    <x:mergeCell ref="B21:D21"/>
    <x:mergeCell ref="A23:H23"/>
    <x:mergeCell ref="A29:H29"/>
    <x:mergeCell ref="A30:H31"/>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9" hidden="0" customWidth="1"/>
    <x:col min="3" max="3" width="3" hidden="0" customWidth="1"/>
    <x:col min="4" max="4" width="27" hidden="0" customWidth="1"/>
    <x:col min="5" max="5" width="18" hidden="0" customWidth="1"/>
    <x:col min="6" max="6" width="42" hidden="0" customWidth="1"/>
  </x:cols>
  <x:sheetData>
    <x:row r="1" ht="32" customHeight="1">
      <x:c r="A1" s="243" t="str">
        <x:v>M04 | Class Practice — same example as the slides</x:v>
      </x:c>
      <x:c r="B1" s="243"/>
      <x:c r="C1" s="243"/>
      <x:c r="D1" s="243"/>
      <x:c r="E1" s="243"/>
      <x:c r="F1" s="243"/>
    </x:row>
    <x:row r="2" ht="48" customHeight="1">
      <x:c r="A2" s="244" t="str">
        <x:v>In class: enter five formulas in E5:E9 and review the linked DuPont drivers. Draft the brief in A21; you may finish the explanation after class before Canvas submission.</x:v>
      </x:c>
      <x:c r="B2" s="241"/>
      <x:c r="C2" s="241"/>
      <x:c r="D2" s="241"/>
      <x:c r="E2" s="241"/>
      <x:c r="F2" s="241"/>
    </x:row>
    <x:row r="3">
      <x:c r="A3" s="241"/>
      <x:c r="B3" s="241"/>
      <x:c r="C3" s="241"/>
      <x:c r="D3" s="241"/>
      <x:c r="E3" s="241"/>
      <x:c r="F3" s="241"/>
    </x:row>
    <x:row r="4" ht="28" customHeight="1">
      <x:c r="A4" s="255" t="str">
        <x:v>Given inputs (USD)</x:v>
      </x:c>
      <x:c r="B4" s="255" t="str">
        <x:v>Amount</x:v>
      </x:c>
      <x:c r="C4" s="241"/>
      <x:c r="D4" s="255" t="str">
        <x:v>Five core signals</x:v>
      </x:c>
      <x:c r="E4" s="255" t="str">
        <x:v>Your formula</x:v>
      </x:c>
      <x:c r="F4" s="255" t="str">
        <x:v>Definition</x:v>
      </x:c>
    </x:row>
    <x:row r="5" ht="30" customHeight="1">
      <x:c r="A5" s="241" t="str">
        <x:v>Revenue</x:v>
      </x:c>
      <x:c r="B5" s="247" t="n">
        <x:v>120000</x:v>
      </x:c>
      <x:c r="C5" s="241"/>
      <x:c r="D5" s="241" t="str">
        <x:v>Current ratio</x:v>
      </x:c>
      <x:c r="E5" s="249"/>
      <x:c r="F5" s="244" t="str">
        <x:v>Current assets / current liabilities</x:v>
      </x:c>
    </x:row>
    <x:row r="6" ht="30" customHeight="1">
      <x:c r="A6" s="241" t="str">
        <x:v>Cost of goods sold</x:v>
      </x:c>
      <x:c r="B6" s="247" t="n">
        <x:v>48000</x:v>
      </x:c>
      <x:c r="C6" s="241"/>
      <x:c r="D6" s="241" t="str">
        <x:v>Gross margin</x:v>
      </x:c>
      <x:c r="E6" s="250"/>
      <x:c r="F6" s="244" t="str">
        <x:v>(Revenue - COGS) / revenue</x:v>
      </x:c>
    </x:row>
    <x:row r="7" ht="30" customHeight="1">
      <x:c r="A7" s="241" t="str">
        <x:v>Net income</x:v>
      </x:c>
      <x:c r="B7" s="247" t="n">
        <x:v>12000</x:v>
      </x:c>
      <x:c r="C7" s="241"/>
      <x:c r="D7" s="241" t="str">
        <x:v>Asset turnover</x:v>
      </x:c>
      <x:c r="E7" s="249"/>
      <x:c r="F7" s="244" t="str">
        <x:v>Revenue / average assets</x:v>
      </x:c>
    </x:row>
    <x:row r="8" ht="30" customHeight="1">
      <x:c r="A8" s="241" t="str">
        <x:v>Average assets</x:v>
      </x:c>
      <x:c r="B8" s="247" t="n">
        <x:v>80000</x:v>
      </x:c>
      <x:c r="C8" s="241"/>
      <x:c r="D8" s="241" t="str">
        <x:v>Debt ratio</x:v>
      </x:c>
      <x:c r="E8" s="250"/>
      <x:c r="F8" s="244" t="str">
        <x:v>Total debt / ending assets</x:v>
      </x:c>
    </x:row>
    <x:row r="9" ht="30" customHeight="1">
      <x:c r="A9" s="241" t="str">
        <x:v>Current assets</x:v>
      </x:c>
      <x:c r="B9" s="247" t="n">
        <x:v>36000</x:v>
      </x:c>
      <x:c r="C9" s="241"/>
      <x:c r="D9" s="241" t="str">
        <x:v>ROE</x:v>
      </x:c>
      <x:c r="E9" s="250"/>
      <x:c r="F9" s="244" t="str">
        <x:v>Net income / average equity</x:v>
      </x:c>
    </x:row>
    <x:row r="10" ht="30" customHeight="1">
      <x:c r="A10" s="241" t="str">
        <x:v>Current liabilities</x:v>
      </x:c>
      <x:c r="B10" s="247" t="n">
        <x:v>18000</x:v>
      </x:c>
      <x:c r="C10" s="241"/>
      <x:c r="D10" s="241"/>
      <x:c r="E10" s="241"/>
      <x:c r="F10" s="244"/>
    </x:row>
    <x:row r="11" ht="30" customHeight="1">
      <x:c r="A11" s="241" t="str">
        <x:v>Total debt</x:v>
      </x:c>
      <x:c r="B11" s="247" t="n">
        <x:v>44000</x:v>
      </x:c>
      <x:c r="C11" s="241"/>
      <x:c r="D11" s="241"/>
      <x:c r="E11" s="241"/>
      <x:c r="F11" s="244"/>
    </x:row>
    <x:row r="12" ht="30" customHeight="1">
      <x:c r="A12" s="241" t="str">
        <x:v>Ending assets</x:v>
      </x:c>
      <x:c r="B12" s="247" t="n">
        <x:v>88000</x:v>
      </x:c>
      <x:c r="C12" s="241"/>
      <x:c r="D12" s="255" t="str">
        <x:v>DuPont bridge</x:v>
      </x:c>
      <x:c r="E12" s="255" t="str">
        <x:v>Linked result</x:v>
      </x:c>
      <x:c r="F12" s="256" t="str">
        <x:v>Meaning</x:v>
      </x:c>
    </x:row>
    <x:row r="13" ht="30" customHeight="1">
      <x:c r="A13" s="241" t="str">
        <x:v>Beginning equity</x:v>
      </x:c>
      <x:c r="B13" s="247" t="n">
        <x:v>28000</x:v>
      </x:c>
      <x:c r="C13" s="241"/>
      <x:c r="D13" s="241" t="str">
        <x:v>Net margin</x:v>
      </x:c>
      <x:c r="E13" s="251" t="n">
        <x:f>B7/B5</x:f>
        <x:v>0.1</x:v>
      </x:c>
      <x:c r="F13" s="244" t="str">
        <x:v>After all expenses; compare with gross margin</x:v>
      </x:c>
    </x:row>
    <x:row r="14" ht="30" customHeight="1">
      <x:c r="A14" s="241" t="str">
        <x:v>Ending equity</x:v>
      </x:c>
      <x:c r="B14" s="247" t="n">
        <x:v>32000</x:v>
      </x:c>
      <x:c r="C14" s="241"/>
      <x:c r="D14" s="241" t="str">
        <x:v>Asset turnover</x:v>
      </x:c>
      <x:c r="E14" s="252" t="str">
        <x:f>IF(E7="","",E7)</x:f>
      </x:c>
      <x:c r="F14" s="244" t="str">
        <x:v>Same ratio as E7</x:v>
      </x:c>
    </x:row>
    <x:row r="15" ht="30" customHeight="1">
      <x:c r="A15" s="241"/>
      <x:c r="B15" s="241"/>
      <x:c r="C15" s="241"/>
      <x:c r="D15" s="241" t="str">
        <x:v>Equity multiplier</x:v>
      </x:c>
      <x:c r="E15" s="252" t="n">
        <x:f>B8/AVERAGE(B13:B14)</x:f>
        <x:v>2.6666666666666665</x:v>
      </x:c>
      <x:c r="F15" s="244" t="str">
        <x:v>Use the full value; display rounds to 2.67x</x:v>
      </x:c>
    </x:row>
    <x:row r="16" ht="30" customHeight="1">
      <x:c r="A16" s="241"/>
      <x:c r="B16" s="241"/>
      <x:c r="C16" s="241"/>
      <x:c r="D16" s="241" t="str">
        <x:v>DuPont ROE</x:v>
      </x:c>
      <x:c r="E16" s="251" t="str">
        <x:f>IF(E14="","",E13*E14*E15)</x:f>
      </x:c>
      <x:c r="F16" s="244" t="str">
        <x:v>Net margin x turnover x equity multiplier</x:v>
      </x:c>
    </x:row>
    <x:row r="17" ht="30" customHeight="1">
      <x:c r="A17" s="241"/>
      <x:c r="B17" s="241"/>
      <x:c r="C17" s="241"/>
      <x:c r="D17" s="241" t="str">
        <x:v>Reconciliation difference</x:v>
      </x:c>
      <x:c r="E17" s="251" t="str">
        <x:f>IF(OR(E9="",E16=""),"",E16-E9)</x:f>
      </x:c>
      <x:c r="F17" s="244" t="str">
        <x:v>Should be zero when ROE is consistent</x:v>
      </x:c>
    </x:row>
    <x:row r="18">
      <x:c r="A18" s="241"/>
      <x:c r="B18" s="241"/>
      <x:c r="C18" s="241"/>
      <x:c r="D18" s="241"/>
      <x:c r="E18" s="241"/>
      <x:c r="F18" s="241"/>
    </x:row>
    <x:row r="19">
      <x:c r="A19" s="241"/>
      <x:c r="B19" s="241"/>
      <x:c r="C19" s="241"/>
      <x:c r="D19" s="241"/>
      <x:c r="E19" s="241"/>
      <x:c r="F19" s="241"/>
    </x:row>
    <x:row r="20" ht="32" customHeight="1">
      <x:c r="A20" s="244" t="str">
        <x:v>Written deliverable in A21: two sentences using two ratios, a driver, a risk, and a follow-up data request.</x:v>
      </x:c>
      <x:c r="B20" s="241"/>
      <x:c r="C20" s="241"/>
      <x:c r="D20" s="241"/>
      <x:c r="E20" s="241"/>
      <x:c r="F20" s="241"/>
    </x:row>
    <x:row r="21">
      <x:c r="A21" s="254"/>
      <x:c r="B21" s="254"/>
      <x:c r="C21" s="254"/>
      <x:c r="D21" s="254"/>
      <x:c r="E21" s="254"/>
      <x:c r="F21" s="254"/>
    </x:row>
    <x:row r="22">
      <x:c r="A22" s="254"/>
      <x:c r="B22" s="254"/>
      <x:c r="C22" s="254"/>
      <x:c r="D22" s="254"/>
      <x:c r="E22" s="254"/>
      <x:c r="F22" s="254"/>
    </x:row>
    <x:row r="23">
      <x:c r="A23" s="254"/>
      <x:c r="B23" s="254"/>
      <x:c r="C23" s="254"/>
      <x:c r="D23" s="254"/>
      <x:c r="E23" s="254"/>
      <x:c r="F23" s="254"/>
    </x:row>
    <x:row r="24">
      <x:c r="A24" s="254"/>
      <x:c r="B24" s="254"/>
      <x:c r="C24" s="254"/>
      <x:c r="D24" s="254"/>
      <x:c r="E24" s="254"/>
      <x:c r="F24" s="254"/>
    </x:row>
    <x:row r="25">
      <x:c r="A25" s="241"/>
      <x:c r="B25" s="241"/>
      <x:c r="C25" s="241"/>
      <x:c r="D25" s="241"/>
      <x:c r="E25" s="241"/>
      <x:c r="F25" s="241"/>
    </x:row>
    <x:row r="26">
      <x:c r="A26" s="241"/>
      <x:c r="B26" s="241"/>
      <x:c r="C26" s="241"/>
      <x:c r="D26" s="241"/>
      <x:c r="E26" s="241"/>
      <x:c r="F26" s="241"/>
    </x:row>
    <x:row r="27">
      <x:c r="A27" s="244" t="str">
        <x:v>In class: continue to Company Data and Student Calculations for the two-retailer case. Complete CORE rows 6, 10, 12, 14, 17, 18, 22, and 23 for both firms. Optional rows may remain blank.</x:v>
      </x:c>
      <x:c r="B27" s="241"/>
      <x:c r="C27" s="241"/>
      <x:c r="D27" s="241"/>
      <x:c r="E27" s="241"/>
      <x:c r="F27" s="241"/>
    </x:row>
    <x:row r="28">
      <x:c r="A28" s="241"/>
      <x:c r="B28" s="241"/>
      <x:c r="C28" s="241"/>
      <x:c r="D28" s="241"/>
      <x:c r="E28" s="241"/>
      <x:c r="F28" s="241"/>
    </x:row>
    <x:row r="29">
      <x:c r="A29" s="241"/>
      <x:c r="B29" s="241"/>
      <x:c r="C29" s="241"/>
      <x:c r="D29" s="241"/>
      <x:c r="E29" s="241"/>
      <x:c r="F29" s="241"/>
    </x:row>
    <x:row r="30">
      <x:c r="A30" s="244" t="str">
        <x:v>Source: instructor-created classroom example matching the M04 slides. No external retrieval required.</x:v>
      </x:c>
      <x:c r="B30" s="241"/>
      <x:c r="C30" s="241"/>
      <x:c r="D30" s="241"/>
      <x:c r="E30" s="241"/>
      <x:c r="F30" s="241"/>
    </x:row>
    <x:row r="31">
      <x:c r="A31" s="241"/>
      <x:c r="B31" s="241"/>
      <x:c r="C31" s="241"/>
      <x:c r="D31" s="241"/>
      <x:c r="E31" s="241"/>
      <x:c r="F31" s="241"/>
    </x:row>
    <x:row r="32">
      <x:c r="A32" s="241"/>
      <x:c r="B32" s="241"/>
      <x:c r="C32" s="241"/>
      <x:c r="D32" s="241"/>
      <x:c r="E32" s="241"/>
      <x:c r="F32" s="241"/>
    </x:row>
    <x:row r="33">
      <x:c r="A33" s="241"/>
      <x:c r="B33" s="241"/>
      <x:c r="C33" s="241"/>
      <x:c r="D33" s="241"/>
      <x:c r="E33" s="241"/>
      <x:c r="F33" s="241"/>
    </x:row>
    <x:row r="34">
      <x:c r="A34" s="241"/>
      <x:c r="B34" s="241"/>
      <x:c r="C34" s="241"/>
      <x:c r="D34" s="241"/>
      <x:c r="E34" s="241"/>
      <x:c r="F34" s="241"/>
    </x:row>
  </x:sheetData>
  <x:mergeCells>
    <x:mergeCell ref="A1:F1"/>
    <x:mergeCell ref="A2:F2"/>
    <x:mergeCell ref="A20:F20"/>
    <x:mergeCell ref="A21:F24"/>
    <x:mergeCell ref="A27:F28"/>
    <x:mergeCell ref="A30:F3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6" hidden="0" customWidth="1"/>
    <x:col min="2" max="2" width="22" hidden="0" customWidth="1"/>
    <x:col min="3" max="3" width="22" hidden="0" customWidth="1"/>
  </x:cols>
  <x:sheetData>
    <x:row r="1" ht="32" customHeight="1">
      <x:c r="A1" s="3" t="str">
        <x:v>Company Data | Two-Firm Comparison</x:v>
      </x:c>
      <x:c r="B1" s="107"/>
      <x:c r="C1" s="107"/>
    </x:row>
    <x:row r="2" ht="46" customHeight="1">
      <x:c r="A2" s="7" t="str">
        <x:v>Fictional retail cases in USD. Supplied current-year income statements and current/prior year-end balances; no FactSet lookup required.</x:v>
      </x:c>
      <x:c r="B2" s="107"/>
      <x:c r="C2" s="107"/>
    </x:row>
    <x:row r="3">
      <x:c r="A3" s="107"/>
      <x:c r="B3" s="107"/>
      <x:c r="C3" s="107"/>
    </x:row>
    <x:row r="4" ht="23" customHeight="1">
      <x:c r="A4" s="10" t="str">
        <x:v>Model conventions</x:v>
      </x:c>
      <x:c r="B4" s="107"/>
      <x:c r="C4" s="107"/>
    </x:row>
    <x:row r="5">
      <x:c r="A5" s="108" t="str">
        <x:v>Units</x:v>
      </x:c>
      <x:c r="B5" s="109" t="str">
        <x:v>USD</x:v>
      </x:c>
      <x:c r="C5" s="110"/>
    </x:row>
    <x:row r="6">
      <x:c r="A6" s="111" t="str">
        <x:v>Period basis</x:v>
      </x:c>
      <x:c r="B6" s="112" t="str">
        <x:v>Current-year income statement; current and prior year-end balance sheets</x:v>
      </x:c>
      <x:c r="C6" s="113"/>
    </x:row>
    <x:row r="7">
      <x:c r="A7" s="111" t="str">
        <x:v>Total debt</x:v>
      </x:c>
      <x:c r="B7" s="112" t="str">
        <x:v>Short-term debt + long-term debt</x:v>
      </x:c>
      <x:c r="C7" s="113"/>
    </x:row>
    <x:row r="8">
      <x:c r="A8" s="114" t="str">
        <x:v>Average denominator</x:v>
      </x:c>
      <x:c r="B8" s="115" t="str">
        <x:v>(Prior year-end + current year-end) ÷ 2</x:v>
      </x:c>
      <x:c r="C8" s="116"/>
    </x:row>
    <x:row r="9">
      <x:c r="A9" s="107"/>
      <x:c r="B9" s="107"/>
      <x:c r="C9" s="107"/>
    </x:row>
    <x:row r="10">
      <x:c r="A10" s="28" t="str">
        <x:v>Account</x:v>
      </x:c>
      <x:c r="B10" s="87" t="str">
        <x:v>TechStyle Retail</x:v>
      </x:c>
      <x:c r="C10" s="88" t="str">
        <x:v>Urban Goods Co.</x:v>
      </x:c>
    </x:row>
    <x:row r="11" ht="23" customHeight="1">
      <x:c r="A11" s="89" t="str">
        <x:v>Balance sheet | Current year-end</x:v>
      </x:c>
      <x:c r="B11" s="107"/>
      <x:c r="C11" s="117"/>
    </x:row>
    <x:row r="12">
      <x:c r="A12" s="118" t="str">
        <x:v>Cash</x:v>
      </x:c>
      <x:c r="B12" s="119" t="n">
        <x:v>2450000</x:v>
      </x:c>
      <x:c r="C12" s="120" t="n">
        <x:v>890000</x:v>
      </x:c>
    </x:row>
    <x:row r="13">
      <x:c r="A13" s="118" t="str">
        <x:v>Accounts Receivable</x:v>
      </x:c>
      <x:c r="B13" s="119" t="n">
        <x:v>3200000</x:v>
      </x:c>
      <x:c r="C13" s="120" t="n">
        <x:v>4100000</x:v>
      </x:c>
    </x:row>
    <x:row r="14">
      <x:c r="A14" s="118" t="str">
        <x:v>Inventory</x:v>
      </x:c>
      <x:c r="B14" s="119" t="n">
        <x:v>5800000</x:v>
      </x:c>
      <x:c r="C14" s="120" t="n">
        <x:v>8200000</x:v>
      </x:c>
    </x:row>
    <x:row r="15">
      <x:c r="A15" s="118" t="str">
        <x:v>Current Assets</x:v>
      </x:c>
      <x:c r="B15" s="119" t="n">
        <x:v>11450000</x:v>
      </x:c>
      <x:c r="C15" s="120" t="n">
        <x:v>13190000</x:v>
      </x:c>
    </x:row>
    <x:row r="16">
      <x:c r="A16" s="118" t="str">
        <x:v>Property, Plant &amp; Equipment</x:v>
      </x:c>
      <x:c r="B16" s="119" t="n">
        <x:v>18500000</x:v>
      </x:c>
      <x:c r="C16" s="120" t="n">
        <x:v>22300000</x:v>
      </x:c>
    </x:row>
    <x:row r="17">
      <x:c r="A17" s="121" t="str">
        <x:v>Total Assets</x:v>
      </x:c>
      <x:c r="B17" s="122" t="n">
        <x:v>29950000</x:v>
      </x:c>
      <x:c r="C17" s="123" t="n">
        <x:v>35490000</x:v>
      </x:c>
    </x:row>
    <x:row r="18">
      <x:c r="A18" s="118" t="str">
        <x:v>Accounts Payable</x:v>
      </x:c>
      <x:c r="B18" s="119" t="n">
        <x:v>2100000</x:v>
      </x:c>
      <x:c r="C18" s="120" t="n">
        <x:v>3800000</x:v>
      </x:c>
    </x:row>
    <x:row r="19">
      <x:c r="A19" s="118" t="str">
        <x:v>Short-term Debt</x:v>
      </x:c>
      <x:c r="B19" s="119" t="n">
        <x:v>1500000</x:v>
      </x:c>
      <x:c r="C19" s="120" t="n">
        <x:v>2900000</x:v>
      </x:c>
    </x:row>
    <x:row r="20">
      <x:c r="A20" s="118" t="str">
        <x:v>Current Liabilities</x:v>
      </x:c>
      <x:c r="B20" s="119" t="n">
        <x:v>3600000</x:v>
      </x:c>
      <x:c r="C20" s="120" t="n">
        <x:v>6700000</x:v>
      </x:c>
    </x:row>
    <x:row r="21">
      <x:c r="A21" s="118" t="str">
        <x:v>Long-term Debt</x:v>
      </x:c>
      <x:c r="B21" s="119" t="n">
        <x:v>8400000</x:v>
      </x:c>
      <x:c r="C21" s="120" t="n">
        <x:v>14200000</x:v>
      </x:c>
    </x:row>
    <x:row r="22">
      <x:c r="A22" s="124" t="str">
        <x:v>Total Debt</x:v>
      </x:c>
      <x:c r="B22" s="125" t="n">
        <x:f>B19+B21</x:f>
        <x:v>9900000</x:v>
      </x:c>
      <x:c r="C22" s="126" t="n">
        <x:f>C19+C21</x:f>
        <x:v>17100000</x:v>
      </x:c>
    </x:row>
    <x:row r="23">
      <x:c r="A23" s="121" t="str">
        <x:v>Total Liabilities</x:v>
      </x:c>
      <x:c r="B23" s="122" t="n">
        <x:v>12000000</x:v>
      </x:c>
      <x:c r="C23" s="123" t="n">
        <x:v>20900000</x:v>
      </x:c>
    </x:row>
    <x:row r="24">
      <x:c r="A24" s="127" t="str">
        <x:v>Total Equity</x:v>
      </x:c>
      <x:c r="B24" s="128" t="n">
        <x:v>17950000</x:v>
      </x:c>
      <x:c r="C24" s="129" t="n">
        <x:v>14590000</x:v>
      </x:c>
    </x:row>
    <x:row r="25">
      <x:c r="A25" s="107"/>
      <x:c r="B25" s="107"/>
      <x:c r="C25" s="107"/>
    </x:row>
    <x:row r="26" ht="23" customHeight="1">
      <x:c r="A26" s="100" t="str">
        <x:v>Balance sheet | Prior year-end</x:v>
      </x:c>
      <x:c r="B26" s="130"/>
      <x:c r="C26" s="131"/>
    </x:row>
    <x:row r="27">
      <x:c r="A27" s="118" t="str">
        <x:v>Inventory - Prior</x:v>
      </x:c>
      <x:c r="B27" s="119" t="n">
        <x:v>5200000</x:v>
      </x:c>
      <x:c r="C27" s="120" t="n">
        <x:v>7500000</x:v>
      </x:c>
    </x:row>
    <x:row r="28">
      <x:c r="A28" s="118" t="str">
        <x:v>Accounts Receivable - Prior</x:v>
      </x:c>
      <x:c r="B28" s="119" t="n">
        <x:v>2900000</x:v>
      </x:c>
      <x:c r="C28" s="120" t="n">
        <x:v>3800000</x:v>
      </x:c>
    </x:row>
    <x:row r="29">
      <x:c r="A29" s="118" t="str">
        <x:v>Total Assets - Prior</x:v>
      </x:c>
      <x:c r="B29" s="119" t="n">
        <x:v>27800000</x:v>
      </x:c>
      <x:c r="C29" s="120" t="n">
        <x:v>32100000</x:v>
      </x:c>
    </x:row>
    <x:row r="30">
      <x:c r="A30" s="132" t="str">
        <x:v>Total Equity - Prior</x:v>
      </x:c>
      <x:c r="B30" s="133" t="n">
        <x:v>16700000</x:v>
      </x:c>
      <x:c r="C30" s="134" t="n">
        <x:v>15050000</x:v>
      </x:c>
    </x:row>
    <x:row r="31">
      <x:c r="A31" s="107"/>
      <x:c r="B31" s="107"/>
      <x:c r="C31" s="107"/>
    </x:row>
    <x:row r="32" ht="23" customHeight="1">
      <x:c r="A32" s="100" t="str">
        <x:v>Income statement | Current year</x:v>
      </x:c>
      <x:c r="B32" s="130"/>
      <x:c r="C32" s="131"/>
    </x:row>
    <x:row r="33">
      <x:c r="A33" s="118" t="str">
        <x:v>Revenue</x:v>
      </x:c>
      <x:c r="B33" s="119" t="n">
        <x:v>48500000</x:v>
      </x:c>
      <x:c r="C33" s="120" t="n">
        <x:v>52300000</x:v>
      </x:c>
    </x:row>
    <x:row r="34">
      <x:c r="A34" s="118" t="str">
        <x:v>Cost of Goods Sold</x:v>
      </x:c>
      <x:c r="B34" s="119" t="n">
        <x:v>33200000</x:v>
      </x:c>
      <x:c r="C34" s="120" t="n">
        <x:v>39800000</x:v>
      </x:c>
    </x:row>
    <x:row r="35">
      <x:c r="A35" s="121" t="str">
        <x:v>Gross Profit</x:v>
      </x:c>
      <x:c r="B35" s="135" t="n">
        <x:f>B33-B34</x:f>
        <x:v>15300000</x:v>
      </x:c>
      <x:c r="C35" s="136" t="n">
        <x:f>C33-C34</x:f>
        <x:v>12500000</x:v>
      </x:c>
    </x:row>
    <x:row r="36">
      <x:c r="A36" s="118" t="str">
        <x:v>Operating Expenses</x:v>
      </x:c>
      <x:c r="B36" s="119" t="n">
        <x:v>10500000</x:v>
      </x:c>
      <x:c r="C36" s="120" t="n">
        <x:v>10800000</x:v>
      </x:c>
    </x:row>
    <x:row r="37">
      <x:c r="A37" s="121" t="str">
        <x:v>EBIT</x:v>
      </x:c>
      <x:c r="B37" s="135" t="n">
        <x:f>B35-B36</x:f>
        <x:v>4800000</x:v>
      </x:c>
      <x:c r="C37" s="136" t="n">
        <x:f>C35-C36</x:f>
        <x:v>1700000</x:v>
      </x:c>
    </x:row>
    <x:row r="38">
      <x:c r="A38" s="118" t="str">
        <x:v>Interest Expense</x:v>
      </x:c>
      <x:c r="B38" s="119" t="n">
        <x:v>550000</x:v>
      </x:c>
      <x:c r="C38" s="120" t="n">
        <x:v>1250000</x:v>
      </x:c>
    </x:row>
    <x:row r="39">
      <x:c r="A39" s="121" t="str">
        <x:v>Pretax Income</x:v>
      </x:c>
      <x:c r="B39" s="135" t="n">
        <x:f>B37-B38</x:f>
        <x:v>4250000</x:v>
      </x:c>
      <x:c r="C39" s="136" t="n">
        <x:f>C37-C38</x:f>
        <x:v>450000</x:v>
      </x:c>
    </x:row>
    <x:row r="40">
      <x:c r="A40" s="121" t="str">
        <x:v>Income Tax Expense</x:v>
      </x:c>
      <x:c r="B40" s="122" t="n">
        <x:v>1062500</x:v>
      </x:c>
      <x:c r="C40" s="123" t="n">
        <x:v>112500</x:v>
      </x:c>
    </x:row>
    <x:row r="41">
      <x:c r="A41" s="121" t="str">
        <x:v>Net Income</x:v>
      </x:c>
      <x:c r="B41" s="135" t="n">
        <x:f>B39-B40</x:f>
        <x:v>3187500</x:v>
      </x:c>
      <x:c r="C41" s="136" t="n">
        <x:f>C39-C40</x:f>
        <x:v>337500</x:v>
      </x:c>
    </x:row>
    <x:row r="42">
      <x:c r="A42" s="127" t="str">
        <x:v>Effective Tax Rate</x:v>
      </x:c>
      <x:c r="B42" s="137" t="n">
        <x:f>B40/B39</x:f>
        <x:v>0.25</x:v>
      </x:c>
      <x:c r="C42" s="138" t="n">
        <x:f>C40/C39</x:f>
        <x:v>0.25</x:v>
      </x:c>
    </x:row>
  </x:sheetData>
  <x:mergeCells>
    <x:mergeCell ref="A1:C1"/>
    <x:mergeCell ref="A2:C2"/>
    <x:mergeCell ref="A4:C4"/>
    <x:mergeCell ref="B5:C5"/>
    <x:mergeCell ref="B6:C6"/>
    <x:mergeCell ref="B7:C7"/>
    <x:mergeCell ref="B8:C8"/>
    <x:mergeCell ref="A11:C11"/>
    <x:mergeCell ref="A26:C26"/>
    <x:mergeCell ref="A32:C3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20" hidden="0" customWidth="1"/>
    <x:col min="3" max="3" width="20" hidden="0" customWidth="1"/>
    <x:col min="4" max="4" width="23" hidden="0" customWidth="1"/>
    <x:col min="5" max="5" width="58" hidden="0" customWidth="1"/>
    <x:col min="6" max="6" width="19" hidden="0" customWidth="1"/>
    <x:col min="7" max="7" width="19" hidden="0" customWidth="1"/>
  </x:cols>
  <x:sheetData>
    <x:row r="1" ht="32" customHeight="1">
      <x:c r="A1" s="3" t="str">
        <x:v>Student Calculations | Ratio Families</x:v>
      </x:c>
    </x:row>
    <x:row r="2" ht="58" customHeight="1">
      <x:c r="A2" s="7" t="str">
        <x:v>Complete all eight CORE ratio rows for both firms in class. Feedback checks numeric results at displayed precision: Correct or Check. Optional rows may remain blank. Finish written explanations after class before Canvas submission.</x:v>
      </x:c>
    </x:row>
    <x:row r="4" ht="32" customHeight="1">
      <x:c r="A4" s="28" t="str">
        <x:v>Ratio</x:v>
      </x:c>
      <x:c r="B4" s="87" t="str">
        <x:v>TechStyle Retail</x:v>
      </x:c>
      <x:c r="C4" s="87" t="str">
        <x:v>Urban</x:v>
      </x:c>
      <x:c r="D4" s="150" t="str">
        <x:v>Reference (illustrative)</x:v>
      </x:c>
      <x:c r="E4" s="151" t="str">
        <x:v>Definition / denominator contract</x:v>
      </x:c>
      <x:c r="F4" s="259" t="str">
        <x:v>TechStyle check</x:v>
      </x:c>
      <x:c r="G4" s="259" t="str">
        <x:v>Urban check</x:v>
      </x:c>
    </x:row>
    <x:row r="5" ht="23" customHeight="1">
      <x:c r="A5" s="89" t="str">
        <x:v>Liquidity</x:v>
      </x:c>
      <x:c r="B5" s="107"/>
      <x:c r="C5" s="107"/>
      <x:c r="D5" s="107"/>
      <x:c r="E5" s="113"/>
    </x:row>
    <x:row r="6">
      <x:c r="A6" s="118" t="str">
        <x:v>CORE · Current Ratio</x:v>
      </x:c>
      <x:c r="B6" s="152"/>
      <x:c r="C6" s="152"/>
      <x:c r="D6" s="153" t="n">
        <x:v>2</x:v>
      </x:c>
      <x:c r="E6" s="113" t="str">
        <x:v>Current Assets / Current Liabilities</x:v>
      </x:c>
      <x:c r="F6" s="262" t="str">
        <x:f>IFERROR(IF(COUNTBLANK(B6)&gt;0,"",IF(NOT(ISNUMBER(B6)),"Check",IF(ROUND(B6,2)=ROUND('Company Data'!B15/'Company Data'!B20,2),"Correct","Check"))),"Check")</x:f>
      </x:c>
      <x:c r="G6" s="262" t="str">
        <x:f>IFERROR(IF(COUNTBLANK(C6)&gt;0,"",IF(NOT(ISNUMBER(C6)),"Check",IF(ROUND(C6,2)=ROUND('Company Data'!C15/'Company Data'!C20,2),"Correct","Check"))),"Check")</x:f>
      </x:c>
    </x:row>
    <x:row r="7">
      <x:c r="A7" s="118" t="str">
        <x:v>Optional · Quick Ratio</x:v>
      </x:c>
      <x:c r="B7" s="236"/>
      <x:c r="C7" s="236"/>
      <x:c r="D7" s="153" t="n">
        <x:v>1</x:v>
      </x:c>
      <x:c r="E7" s="113" t="str">
        <x:v>(Current Assets - Inventory) / Current Liabilities</x:v>
      </x:c>
      <x:c r="F7" s="262" t="str">
        <x:f>IFERROR(IF(COUNTBLANK(B7)&gt;0,"",IF(NOT(ISNUMBER(B7)),"Check",IF(ROUND(B7,2)=ROUND(('Company Data'!B15-'Company Data'!B14)/'Company Data'!B20,2),"Correct","Check"))),"Check")</x:f>
      </x:c>
      <x:c r="G7" s="262" t="str">
        <x:f>IFERROR(IF(COUNTBLANK(C7)&gt;0,"",IF(NOT(ISNUMBER(C7)),"Check",IF(ROUND(C7,2)=ROUND(('Company Data'!C15-'Company Data'!C14)/'Company Data'!C20,2),"Correct","Check"))),"Check")</x:f>
      </x:c>
    </x:row>
    <x:row r="8">
      <x:c r="A8" s="118" t="str">
        <x:v>Optional · Cash Ratio</x:v>
      </x:c>
      <x:c r="B8" s="236"/>
      <x:c r="C8" s="236"/>
      <x:c r="D8" s="153" t="n">
        <x:v>0.5</x:v>
      </x:c>
      <x:c r="E8" s="113" t="str">
        <x:v>Cash / Current Liabilities</x:v>
      </x:c>
      <x:c r="F8" s="262" t="str">
        <x:f>IFERROR(IF(COUNTBLANK(B8)&gt;0,"",IF(NOT(ISNUMBER(B8)),"Check",IF(ROUND(B8,2)=ROUND('Company Data'!B12/'Company Data'!B20,2),"Correct","Check"))),"Check")</x:f>
      </x:c>
      <x:c r="G8" s="262" t="str">
        <x:f>IFERROR(IF(COUNTBLANK(C8)&gt;0,"",IF(NOT(ISNUMBER(C8)),"Check",IF(ROUND(C8,2)=ROUND('Company Data'!C12/'Company Data'!C20,2),"Correct","Check"))),"Check")</x:f>
      </x:c>
    </x:row>
    <x:row r="9" ht="23" customHeight="1">
      <x:c r="A9" s="89" t="str">
        <x:v>Profitability</x:v>
      </x:c>
      <x:c r="B9" s="107"/>
      <x:c r="C9" s="107"/>
      <x:c r="D9" s="107"/>
      <x:c r="E9" s="113"/>
    </x:row>
    <x:row r="10">
      <x:c r="A10" s="118" t="str">
        <x:v>CORE · Gross Margin</x:v>
      </x:c>
      <x:c r="B10" s="154"/>
      <x:c r="C10" s="154"/>
      <x:c r="D10" s="155" t="n">
        <x:v>0.35</x:v>
      </x:c>
      <x:c r="E10" s="113" t="str">
        <x:v>Gross Profit / Revenue</x:v>
      </x:c>
      <x:c r="F10" s="262" t="str">
        <x:f>IFERROR(IF(COUNTBLANK(B10)&gt;0,"",IF(NOT(ISNUMBER(B10)),"Check",IF(ROUND(B10,3)=ROUND('Company Data'!B35/'Company Data'!B33,3),"Correct","Check"))),"Check")</x:f>
      </x:c>
      <x:c r="G10" s="262" t="str">
        <x:f>IFERROR(IF(COUNTBLANK(C10)&gt;0,"",IF(NOT(ISNUMBER(C10)),"Check",IF(ROUND(C10,3)=ROUND('Company Data'!C35/'Company Data'!C33,3),"Correct","Check"))),"Check")</x:f>
      </x:c>
    </x:row>
    <x:row r="11">
      <x:c r="A11" s="118" t="str">
        <x:v>Optional · Operating Margin</x:v>
      </x:c>
      <x:c r="B11" s="237"/>
      <x:c r="C11" s="237"/>
      <x:c r="D11" s="155" t="n">
        <x:v>0.1</x:v>
      </x:c>
      <x:c r="E11" s="113" t="str">
        <x:v>EBIT / Revenue</x:v>
      </x:c>
      <x:c r="F11" s="262" t="str">
        <x:f>IFERROR(IF(COUNTBLANK(B11)&gt;0,"",IF(NOT(ISNUMBER(B11)),"Check",IF(ROUND(B11,3)=ROUND('Company Data'!B37/'Company Data'!B33,3),"Correct","Check"))),"Check")</x:f>
      </x:c>
      <x:c r="G11" s="262" t="str">
        <x:f>IFERROR(IF(COUNTBLANK(C11)&gt;0,"",IF(NOT(ISNUMBER(C11)),"Check",IF(ROUND(C11,3)=ROUND('Company Data'!C37/'Company Data'!C33,3),"Correct","Check"))),"Check")</x:f>
      </x:c>
    </x:row>
    <x:row r="12">
      <x:c r="A12" s="118" t="str">
        <x:v>CORE · Net Profit Margin</x:v>
      </x:c>
      <x:c r="B12" s="154"/>
      <x:c r="C12" s="154"/>
      <x:c r="D12" s="155" t="n">
        <x:v>0.07</x:v>
      </x:c>
      <x:c r="E12" s="113" t="str">
        <x:v>Net Income / Revenue</x:v>
      </x:c>
      <x:c r="F12" s="262" t="str">
        <x:f>IFERROR(IF(COUNTBLANK(B12)&gt;0,"",IF(NOT(ISNUMBER(B12)),"Check",IF(ROUND(B12,3)=ROUND('Company Data'!B41/'Company Data'!B33,3),"Correct","Check"))),"Check")</x:f>
      </x:c>
      <x:c r="G12" s="262" t="str">
        <x:f>IFERROR(IF(COUNTBLANK(C12)&gt;0,"",IF(NOT(ISNUMBER(C12)),"Check",IF(ROUND(C12,3)=ROUND('Company Data'!C41/'Company Data'!C33,3),"Correct","Check"))),"Check")</x:f>
      </x:c>
    </x:row>
    <x:row r="13">
      <x:c r="A13" s="118" t="str">
        <x:v>Optional · Return on Assets (ROA)</x:v>
      </x:c>
      <x:c r="B13" s="237"/>
      <x:c r="C13" s="237"/>
      <x:c r="D13" s="155" t="n">
        <x:v>0.09</x:v>
      </x:c>
      <x:c r="E13" s="113" t="str">
        <x:v>Net Income / Average Total Assets</x:v>
      </x:c>
      <x:c r="F13" s="262" t="str">
        <x:f>IFERROR(IF(COUNTBLANK(B13)&gt;0,"",IF(NOT(ISNUMBER(B13)),"Check",IF(ROUND(B13,3)=ROUND('Company Data'!B41/AVERAGE('Company Data'!B17,'Company Data'!B29),3),"Correct","Check"))),"Check")</x:f>
      </x:c>
      <x:c r="G13" s="262" t="str">
        <x:f>IFERROR(IF(COUNTBLANK(C13)&gt;0,"",IF(NOT(ISNUMBER(C13)),"Check",IF(ROUND(C13,3)=ROUND('Company Data'!C41/AVERAGE('Company Data'!C17,'Company Data'!C29),3),"Correct","Check"))),"Check")</x:f>
      </x:c>
    </x:row>
    <x:row r="14">
      <x:c r="A14" s="118" t="str">
        <x:v>CORE · Return on Equity (ROE)</x:v>
      </x:c>
      <x:c r="B14" s="154"/>
      <x:c r="C14" s="154"/>
      <x:c r="D14" s="155" t="n">
        <x:v>0.15</x:v>
      </x:c>
      <x:c r="E14" s="113" t="str">
        <x:v>Net Income / Average Total Equity</x:v>
      </x:c>
      <x:c r="F14" s="262" t="str">
        <x:f>IFERROR(IF(COUNTBLANK(B14)&gt;0,"",IF(NOT(ISNUMBER(B14)),"Check",IF(ROUND(B14,3)=ROUND('Company Data'!B41/AVERAGE('Company Data'!B24,'Company Data'!B30),3),"Correct","Check"))),"Check")</x:f>
      </x:c>
      <x:c r="G14" s="262" t="str">
        <x:f>IFERROR(IF(COUNTBLANK(C14)&gt;0,"",IF(NOT(ISNUMBER(C14)),"Check",IF(ROUND(C14,3)=ROUND('Company Data'!C41/AVERAGE('Company Data'!C24,'Company Data'!C30),3),"Correct","Check"))),"Check")</x:f>
      </x:c>
    </x:row>
    <x:row r="15" ht="23" customHeight="1">
      <x:c r="A15" s="89" t="str">
        <x:v>Leverage</x:v>
      </x:c>
      <x:c r="B15" s="107"/>
      <x:c r="C15" s="107"/>
      <x:c r="D15" s="107"/>
      <x:c r="E15" s="113"/>
    </x:row>
    <x:row r="16">
      <x:c r="A16" s="118" t="str">
        <x:v>Optional · Debt-to-Equity</x:v>
      </x:c>
      <x:c r="B16" s="236"/>
      <x:c r="C16" s="236"/>
      <x:c r="D16" s="153" t="n">
        <x:v>0.8</x:v>
      </x:c>
      <x:c r="E16" s="113" t="str">
        <x:v>Total Debt (ST + LT) / Current Total Equity</x:v>
      </x:c>
      <x:c r="F16" s="262" t="str">
        <x:f>IFERROR(IF(COUNTBLANK(B16)&gt;0,"",IF(NOT(ISNUMBER(B16)),"Check",IF(ROUND(B16,2)=ROUND('Company Data'!B22/'Company Data'!B24,2),"Correct","Check"))),"Check")</x:f>
      </x:c>
      <x:c r="G16" s="262" t="str">
        <x:f>IFERROR(IF(COUNTBLANK(C16)&gt;0,"",IF(NOT(ISNUMBER(C16)),"Check",IF(ROUND(C16,2)=ROUND('Company Data'!C22/'Company Data'!C24,2),"Correct","Check"))),"Check")</x:f>
      </x:c>
    </x:row>
    <x:row r="17">
      <x:c r="A17" s="118" t="str">
        <x:v>CORE · Debt Ratio</x:v>
      </x:c>
      <x:c r="B17" s="154"/>
      <x:c r="C17" s="154"/>
      <x:c r="D17" s="155" t="n">
        <x:v>0.45</x:v>
      </x:c>
      <x:c r="E17" s="113" t="str">
        <x:v>Total Debt (ST + LT) / Current Total Assets</x:v>
      </x:c>
      <x:c r="F17" s="262" t="str">
        <x:f>IFERROR(IF(COUNTBLANK(B17)&gt;0,"",IF(NOT(ISNUMBER(B17)),"Check",IF(ROUND(B17,3)=ROUND('Company Data'!B22/'Company Data'!B17,3),"Correct","Check"))),"Check")</x:f>
      </x:c>
      <x:c r="G17" s="262" t="str">
        <x:f>IFERROR(IF(COUNTBLANK(C17)&gt;0,"",IF(NOT(ISNUMBER(C17)),"Check",IF(ROUND(C17,3)=ROUND('Company Data'!C22/'Company Data'!C17,3),"Correct","Check"))),"Check")</x:f>
      </x:c>
    </x:row>
    <x:row r="18">
      <x:c r="A18" s="118" t="str">
        <x:v>CORE · Average Equity Multiplier</x:v>
      </x:c>
      <x:c r="B18" s="152"/>
      <x:c r="C18" s="152"/>
      <x:c r="D18" s="153" t="n">
        <x:v>2</x:v>
      </x:c>
      <x:c r="E18" s="113" t="str">
        <x:v>Average Total Assets / Average Total Equity</x:v>
      </x:c>
      <x:c r="F18" s="262" t="str">
        <x:f>IFERROR(IF(COUNTBLANK(B18)&gt;0,"",IF(NOT(ISNUMBER(B18)),"Check",IF(ROUND(B18,2)=ROUND(AVERAGE('Company Data'!B17,'Company Data'!B29)/AVERAGE('Company Data'!B24,'Company Data'!B30),2),"Correct","Check"))),"Check")</x:f>
      </x:c>
      <x:c r="G18" s="262" t="str">
        <x:f>IFERROR(IF(COUNTBLANK(C18)&gt;0,"",IF(NOT(ISNUMBER(C18)),"Check",IF(ROUND(C18,2)=ROUND(AVERAGE('Company Data'!C17,'Company Data'!C29)/AVERAGE('Company Data'!C24,'Company Data'!C30),2),"Correct","Check"))),"Check")</x:f>
      </x:c>
    </x:row>
    <x:row r="19" ht="23" customHeight="1">
      <x:c r="A19" s="89" t="str">
        <x:v>Efficiency</x:v>
      </x:c>
      <x:c r="B19" s="107"/>
      <x:c r="C19" s="107"/>
      <x:c r="D19" s="107"/>
      <x:c r="E19" s="113"/>
    </x:row>
    <x:row r="20">
      <x:c r="A20" s="118" t="str">
        <x:v>Optional · Inventory Turnover</x:v>
      </x:c>
      <x:c r="B20" s="236"/>
      <x:c r="C20" s="236"/>
      <x:c r="D20" s="153" t="n">
        <x:v>6</x:v>
      </x:c>
      <x:c r="E20" s="113" t="str">
        <x:v>COGS / Average Inventory</x:v>
      </x:c>
      <x:c r="F20" s="262" t="str">
        <x:f>IFERROR(IF(COUNTBLANK(B20)&gt;0,"",IF(NOT(ISNUMBER(B20)),"Check",IF(ROUND(B20,2)=ROUND('Company Data'!B34/AVERAGE('Company Data'!B14,'Company Data'!B27),2),"Correct","Check"))),"Check")</x:f>
      </x:c>
      <x:c r="G20" s="262" t="str">
        <x:f>IFERROR(IF(COUNTBLANK(C20)&gt;0,"",IF(NOT(ISNUMBER(C20)),"Check",IF(ROUND(C20,2)=ROUND('Company Data'!C34/AVERAGE('Company Data'!C14,'Company Data'!C27),2),"Correct","Check"))),"Check")</x:f>
      </x:c>
    </x:row>
    <x:row r="21">
      <x:c r="A21" s="118" t="str">
        <x:v>Optional · Receivables Turnover</x:v>
      </x:c>
      <x:c r="B21" s="236"/>
      <x:c r="C21" s="236"/>
      <x:c r="D21" s="153" t="n">
        <x:v>12</x:v>
      </x:c>
      <x:c r="E21" s="113" t="str">
        <x:v>Revenue / Average Accounts Receivable</x:v>
      </x:c>
      <x:c r="F21" s="262" t="str">
        <x:f>IFERROR(IF(COUNTBLANK(B21)&gt;0,"",IF(NOT(ISNUMBER(B21)),"Check",IF(ROUND(B21,2)=ROUND('Company Data'!B33/AVERAGE('Company Data'!B13,'Company Data'!B28),2),"Correct","Check"))),"Check")</x:f>
      </x:c>
      <x:c r="G21" s="262" t="str">
        <x:f>IFERROR(IF(COUNTBLANK(C21)&gt;0,"",IF(NOT(ISNUMBER(C21)),"Check",IF(ROUND(C21,2)=ROUND('Company Data'!C33/AVERAGE('Company Data'!C13,'Company Data'!C28),2),"Correct","Check"))),"Check")</x:f>
      </x:c>
    </x:row>
    <x:row r="22">
      <x:c r="A22" s="132" t="str">
        <x:v>CORE · Asset Turnover</x:v>
      </x:c>
      <x:c r="B22" s="156"/>
      <x:c r="C22" s="156"/>
      <x:c r="D22" s="157" t="n">
        <x:v>1.5</x:v>
      </x:c>
      <x:c r="E22" s="116" t="str">
        <x:v>Revenue / Average Total Assets</x:v>
      </x:c>
      <x:c r="F22" s="262" t="str">
        <x:f>IFERROR(IF(COUNTBLANK(B22)&gt;0,"",IF(NOT(ISNUMBER(B22)),"Check",IF(ROUND(B22,2)=ROUND('Company Data'!B33/AVERAGE('Company Data'!B17,'Company Data'!B29),2),"Correct","Check"))),"Check")</x:f>
      </x:c>
      <x:c r="G22" s="262" t="str">
        <x:f>IFERROR(IF(COUNTBLANK(C22)&gt;0,"",IF(NOT(ISNUMBER(C22)),"Check",IF(ROUND(C22,2)=ROUND('Company Data'!C33/AVERAGE('Company Data'!C17,'Company Data'!C29),2),"Correct","Check"))),"Check")</x:f>
      </x:c>
    </x:row>
    <x:row r="23">
      <x:c r="A23" s="107" t="str">
        <x:v>CORE · Interest coverage</x:v>
      </x:c>
      <x:c r="B23" s="239"/>
      <x:c r="C23" s="239"/>
      <x:c r="D23" s="238" t="n">
        <x:v>1</x:v>
      </x:c>
      <x:c r="E23" s="107" t="str">
        <x:v>EBIT / Interest Expense (same annual period)</x:v>
      </x:c>
      <x:c r="F23" s="262" t="str">
        <x:f>IFERROR(IF(COUNTBLANK(B23)&gt;0,"",IF(NOT(ISNUMBER(B23)),"Check",IF(ROUND(B23,2)=ROUND('Company Data'!B37/'Company Data'!B38,2),"Correct","Check"))),"Check")</x:f>
      </x:c>
      <x:c r="G23" s="262" t="str">
        <x:f>IFERROR(IF(COUNTBLANK(C23)&gt;0,"",IF(NOT(ISNUMBER(C23)),"Check",IF(ROUND(C23,2)=ROUND('Company Data'!C37/'Company Data'!C38,2),"Correct","Check"))),"Check")</x:f>
      </x:c>
    </x:row>
    <x:row r="24" ht="46" customHeight="1">
      <x:c r="A24" s="159" t="str">
        <x:v>Reference values are illustrative, not measured peer averages. Coverage 1.00x is the arithmetic break-even point for EBIT versus interest, not a safe target.</x:v>
      </x:c>
      <x:c r="B24" s="160"/>
      <x:c r="C24" s="160"/>
      <x:c r="D24" s="160"/>
      <x:c r="E24" s="161"/>
    </x:row>
  </x:sheetData>
  <x:mergeCells>
    <x:mergeCell ref="A1:E1"/>
    <x:mergeCell ref="A2:E2"/>
    <x:mergeCell ref="A5:E5"/>
    <x:mergeCell ref="A9:E9"/>
    <x:mergeCell ref="A15:E15"/>
    <x:mergeCell ref="A19:E19"/>
    <x:mergeCell ref="A24:E24"/>
  </x:mergeCells>
  <x:conditionalFormatting sqref="F6:F6">
    <x:cfRule type="expression" dxfId="6" priority="1">
      <x:formula>F6="Correct"</x:formula>
    </x:cfRule>
    <x:cfRule type="expression" dxfId="7" priority="2">
      <x:formula>F6="Check"</x:formula>
    </x:cfRule>
  </x:conditionalFormatting>
  <x:conditionalFormatting sqref="F7:F7">
    <x:cfRule type="expression" dxfId="8" priority="3">
      <x:formula>F7="Correct"</x:formula>
    </x:cfRule>
    <x:cfRule type="expression" dxfId="9" priority="4">
      <x:formula>F7="Check"</x:formula>
    </x:cfRule>
  </x:conditionalFormatting>
  <x:conditionalFormatting sqref="F8:F8">
    <x:cfRule type="expression" dxfId="10" priority="5">
      <x:formula>F8="Correct"</x:formula>
    </x:cfRule>
    <x:cfRule type="expression" dxfId="11" priority="6">
      <x:formula>F8="Check"</x:formula>
    </x:cfRule>
  </x:conditionalFormatting>
  <x:conditionalFormatting sqref="F10:F10">
    <x:cfRule type="expression" dxfId="12" priority="7">
      <x:formula>F10="Correct"</x:formula>
    </x:cfRule>
    <x:cfRule type="expression" dxfId="13" priority="8">
      <x:formula>F10="Check"</x:formula>
    </x:cfRule>
  </x:conditionalFormatting>
  <x:conditionalFormatting sqref="F11:F11">
    <x:cfRule type="expression" dxfId="14" priority="9">
      <x:formula>F11="Correct"</x:formula>
    </x:cfRule>
    <x:cfRule type="expression" dxfId="15" priority="10">
      <x:formula>F11="Check"</x:formula>
    </x:cfRule>
  </x:conditionalFormatting>
  <x:conditionalFormatting sqref="F12:F12">
    <x:cfRule type="expression" dxfId="16" priority="11">
      <x:formula>F12="Correct"</x:formula>
    </x:cfRule>
    <x:cfRule type="expression" dxfId="17" priority="12">
      <x:formula>F12="Check"</x:formula>
    </x:cfRule>
  </x:conditionalFormatting>
  <x:conditionalFormatting sqref="F13:F13">
    <x:cfRule type="expression" dxfId="18" priority="13">
      <x:formula>F13="Correct"</x:formula>
    </x:cfRule>
    <x:cfRule type="expression" dxfId="19" priority="14">
      <x:formula>F13="Check"</x:formula>
    </x:cfRule>
  </x:conditionalFormatting>
  <x:conditionalFormatting sqref="F14:F14">
    <x:cfRule type="expression" dxfId="20" priority="15">
      <x:formula>F14="Correct"</x:formula>
    </x:cfRule>
    <x:cfRule type="expression" dxfId="21" priority="16">
      <x:formula>F14="Check"</x:formula>
    </x:cfRule>
  </x:conditionalFormatting>
  <x:conditionalFormatting sqref="F16:F16">
    <x:cfRule type="expression" dxfId="22" priority="17">
      <x:formula>F16="Correct"</x:formula>
    </x:cfRule>
    <x:cfRule type="expression" dxfId="23" priority="18">
      <x:formula>F16="Check"</x:formula>
    </x:cfRule>
  </x:conditionalFormatting>
  <x:conditionalFormatting sqref="F17:F17">
    <x:cfRule type="expression" dxfId="24" priority="19">
      <x:formula>F17="Correct"</x:formula>
    </x:cfRule>
    <x:cfRule type="expression" dxfId="25" priority="20">
      <x:formula>F17="Check"</x:formula>
    </x:cfRule>
  </x:conditionalFormatting>
  <x:conditionalFormatting sqref="F18:F18">
    <x:cfRule type="expression" dxfId="26" priority="21">
      <x:formula>F18="Correct"</x:formula>
    </x:cfRule>
    <x:cfRule type="expression" dxfId="27" priority="22">
      <x:formula>F18="Check"</x:formula>
    </x:cfRule>
  </x:conditionalFormatting>
  <x:conditionalFormatting sqref="F20:F20">
    <x:cfRule type="expression" dxfId="28" priority="23">
      <x:formula>F20="Correct"</x:formula>
    </x:cfRule>
    <x:cfRule type="expression" dxfId="29" priority="24">
      <x:formula>F20="Check"</x:formula>
    </x:cfRule>
  </x:conditionalFormatting>
  <x:conditionalFormatting sqref="F21:F21">
    <x:cfRule type="expression" dxfId="30" priority="25">
      <x:formula>F21="Correct"</x:formula>
    </x:cfRule>
    <x:cfRule type="expression" dxfId="31" priority="26">
      <x:formula>F21="Check"</x:formula>
    </x:cfRule>
  </x:conditionalFormatting>
  <x:conditionalFormatting sqref="F22:F22">
    <x:cfRule type="expression" dxfId="32" priority="27">
      <x:formula>F22="Correct"</x:formula>
    </x:cfRule>
    <x:cfRule type="expression" dxfId="33" priority="28">
      <x:formula>F22="Check"</x:formula>
    </x:cfRule>
  </x:conditionalFormatting>
  <x:conditionalFormatting sqref="F23:F23">
    <x:cfRule type="expression" dxfId="34" priority="29">
      <x:formula>F23="Correct"</x:formula>
    </x:cfRule>
    <x:cfRule type="expression" dxfId="35" priority="30">
      <x:formula>F23="Check"</x:formula>
    </x:cfRule>
  </x:conditionalFormatting>
  <x:conditionalFormatting sqref="G6:G6">
    <x:cfRule type="expression" dxfId="36" priority="31">
      <x:formula>G6="Correct"</x:formula>
    </x:cfRule>
    <x:cfRule type="expression" dxfId="37" priority="32">
      <x:formula>G6="Check"</x:formula>
    </x:cfRule>
  </x:conditionalFormatting>
  <x:conditionalFormatting sqref="G7:G7">
    <x:cfRule type="expression" dxfId="38" priority="33">
      <x:formula>G7="Correct"</x:formula>
    </x:cfRule>
    <x:cfRule type="expression" dxfId="39" priority="34">
      <x:formula>G7="Check"</x:formula>
    </x:cfRule>
  </x:conditionalFormatting>
  <x:conditionalFormatting sqref="G8:G8">
    <x:cfRule type="expression" dxfId="40" priority="35">
      <x:formula>G8="Correct"</x:formula>
    </x:cfRule>
    <x:cfRule type="expression" dxfId="41" priority="36">
      <x:formula>G8="Check"</x:formula>
    </x:cfRule>
  </x:conditionalFormatting>
  <x:conditionalFormatting sqref="G10:G10">
    <x:cfRule type="expression" dxfId="42" priority="37">
      <x:formula>G10="Correct"</x:formula>
    </x:cfRule>
    <x:cfRule type="expression" dxfId="43" priority="38">
      <x:formula>G10="Check"</x:formula>
    </x:cfRule>
  </x:conditionalFormatting>
  <x:conditionalFormatting sqref="G11:G11">
    <x:cfRule type="expression" dxfId="44" priority="39">
      <x:formula>G11="Correct"</x:formula>
    </x:cfRule>
    <x:cfRule type="expression" dxfId="45" priority="40">
      <x:formula>G11="Check"</x:formula>
    </x:cfRule>
  </x:conditionalFormatting>
  <x:conditionalFormatting sqref="G12:G12">
    <x:cfRule type="expression" dxfId="46" priority="41">
      <x:formula>G12="Correct"</x:formula>
    </x:cfRule>
    <x:cfRule type="expression" dxfId="47" priority="42">
      <x:formula>G12="Check"</x:formula>
    </x:cfRule>
  </x:conditionalFormatting>
  <x:conditionalFormatting sqref="G13:G13">
    <x:cfRule type="expression" dxfId="48" priority="43">
      <x:formula>G13="Correct"</x:formula>
    </x:cfRule>
    <x:cfRule type="expression" dxfId="49" priority="44">
      <x:formula>G13="Check"</x:formula>
    </x:cfRule>
  </x:conditionalFormatting>
  <x:conditionalFormatting sqref="G14:G14">
    <x:cfRule type="expression" dxfId="50" priority="45">
      <x:formula>G14="Correct"</x:formula>
    </x:cfRule>
    <x:cfRule type="expression" dxfId="51" priority="46">
      <x:formula>G14="Check"</x:formula>
    </x:cfRule>
  </x:conditionalFormatting>
  <x:conditionalFormatting sqref="G16:G16">
    <x:cfRule type="expression" dxfId="52" priority="47">
      <x:formula>G16="Correct"</x:formula>
    </x:cfRule>
    <x:cfRule type="expression" dxfId="53" priority="48">
      <x:formula>G16="Check"</x:formula>
    </x:cfRule>
  </x:conditionalFormatting>
  <x:conditionalFormatting sqref="G17:G17">
    <x:cfRule type="expression" dxfId="54" priority="49">
      <x:formula>G17="Correct"</x:formula>
    </x:cfRule>
    <x:cfRule type="expression" dxfId="55" priority="50">
      <x:formula>G17="Check"</x:formula>
    </x:cfRule>
  </x:conditionalFormatting>
  <x:conditionalFormatting sqref="G18:G18">
    <x:cfRule type="expression" dxfId="56" priority="51">
      <x:formula>G18="Correct"</x:formula>
    </x:cfRule>
    <x:cfRule type="expression" dxfId="57" priority="52">
      <x:formula>G18="Check"</x:formula>
    </x:cfRule>
  </x:conditionalFormatting>
  <x:conditionalFormatting sqref="G20:G20">
    <x:cfRule type="expression" dxfId="58" priority="53">
      <x:formula>G20="Correct"</x:formula>
    </x:cfRule>
    <x:cfRule type="expression" dxfId="59" priority="54">
      <x:formula>G20="Check"</x:formula>
    </x:cfRule>
  </x:conditionalFormatting>
  <x:conditionalFormatting sqref="G21:G21">
    <x:cfRule type="expression" dxfId="60" priority="55">
      <x:formula>G21="Correct"</x:formula>
    </x:cfRule>
    <x:cfRule type="expression" dxfId="61" priority="56">
      <x:formula>G21="Check"</x:formula>
    </x:cfRule>
  </x:conditionalFormatting>
  <x:conditionalFormatting sqref="G22:G22">
    <x:cfRule type="expression" dxfId="62" priority="57">
      <x:formula>G22="Correct"</x:formula>
    </x:cfRule>
    <x:cfRule type="expression" dxfId="63" priority="58">
      <x:formula>G22="Check"</x:formula>
    </x:cfRule>
  </x:conditionalFormatting>
  <x:conditionalFormatting sqref="G23:G23">
    <x:cfRule type="expression" dxfId="64" priority="59">
      <x:formula>G23="Correct"</x:formula>
    </x:cfRule>
    <x:cfRule type="expression" dxfId="65" priority="60">
      <x:formula>G23="Check"</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9" hidden="0" customWidth="1"/>
    <x:col min="2" max="2" width="20" hidden="0" customWidth="1"/>
    <x:col min="3" max="3" width="20" hidden="0" customWidth="1"/>
    <x:col min="4" max="4" width="52" hidden="0" customWidth="1"/>
  </x:cols>
  <x:sheetData>
    <x:row r="1" ht="32" customHeight="1">
      <x:c r="A1" s="3" t="str">
        <x:v>DuPont &amp; Driver Evidence</x:v>
      </x:c>
    </x:row>
    <x:row r="2" ht="28" customHeight="1">
      <x:c r="A2" s="7" t="str">
        <x:v>Decompose ROE into operating profitability, asset use, and financing intensity; then test one operating change.</x:v>
      </x:c>
    </x:row>
    <x:row r="4" ht="23" customHeight="1">
      <x:c r="A4" s="10" t="str">
        <x:v>Aligned denominator helpers</x:v>
      </x:c>
    </x:row>
    <x:row r="5">
      <x:c r="A5" s="28" t="str">
        <x:v>Helper</x:v>
      </x:c>
      <x:c r="B5" s="29" t="str">
        <x:v>TechStyle Retail</x:v>
      </x:c>
      <x:c r="C5" s="29" t="str">
        <x:v>Urban Goods Co.</x:v>
      </x:c>
      <x:c r="D5" s="30" t="str">
        <x:v>Why it matters</x:v>
      </x:c>
    </x:row>
    <x:row r="6">
      <x:c r="A6" s="91" t="str">
        <x:v>Average Total Assets</x:v>
      </x:c>
      <x:c r="B6" s="163" t="n">
        <x:f>AVERAGE('Company Data'!B29,'Company Data'!B17)</x:f>
        <x:v>28875000</x:v>
      </x:c>
      <x:c r="C6" s="163" t="n">
        <x:f>AVERAGE('Company Data'!C29,'Company Data'!C17)</x:f>
        <x:v>33795000</x:v>
      </x:c>
      <x:c r="D6" s="70" t="str">
        <x:v>Common denominator for ROA and asset turnover</x:v>
      </x:c>
    </x:row>
    <x:row r="7">
      <x:c r="A7" s="101" t="str">
        <x:v>Average Total Equity</x:v>
      </x:c>
      <x:c r="B7" s="164" t="n">
        <x:f>AVERAGE('Company Data'!B30,'Company Data'!B24)</x:f>
        <x:v>17325000</x:v>
      </x:c>
      <x:c r="C7" s="164" t="n">
        <x:f>AVERAGE('Company Data'!C30,'Company Data'!C24)</x:f>
        <x:v>14820000</x:v>
      </x:c>
      <x:c r="D7" s="73" t="str">
        <x:v>Common denominator for direct ROE and equity multiplier</x:v>
      </x:c>
    </x:row>
    <x:row r="8">
      <x:c r="D8" s="25"/>
    </x:row>
    <x:row r="9" ht="23" customHeight="1">
      <x:c r="A9" s="10" t="str">
        <x:v>Three-step DuPont decomposition</x:v>
      </x:c>
      <x:c r="D9" s="25"/>
    </x:row>
    <x:row r="10">
      <x:c r="A10" s="28" t="str">
        <x:v>Component</x:v>
      </x:c>
      <x:c r="B10" s="29" t="str">
        <x:v>TechStyle Retail</x:v>
      </x:c>
      <x:c r="C10" s="29" t="str">
        <x:v>Urban Goods Co.</x:v>
      </x:c>
      <x:c r="D10" s="30" t="str">
        <x:v>Interpretation question</x:v>
      </x:c>
    </x:row>
    <x:row r="11">
      <x:c r="A11" s="91" t="str">
        <x:v>Net Profit Margin</x:v>
      </x:c>
      <x:c r="B11" s="165" t="str">
        <x:f>IF('Student Calculations'!B12="","",'Student Calculations'!B12)</x:f>
      </x:c>
      <x:c r="C11" s="165" t="str">
        <x:f>IF('Student Calculations'!C12="","",'Student Calculations'!C12)</x:f>
      </x:c>
      <x:c r="D11" s="70" t="str">
        <x:v>How much bottom-line profit is generated per sales dollar?</x:v>
      </x:c>
    </x:row>
    <x:row r="12">
      <x:c r="A12" s="91" t="str">
        <x:v>Asset Turnover</x:v>
      </x:c>
      <x:c r="B12" s="166" t="str">
        <x:f>IF('Student Calculations'!B22="","",'Student Calculations'!B22)</x:f>
      </x:c>
      <x:c r="C12" s="166" t="str">
        <x:f>IF('Student Calculations'!C22="","",'Student Calculations'!C22)</x:f>
      </x:c>
      <x:c r="D12" s="70" t="str">
        <x:v>How effectively does the asset base generate revenue?</x:v>
      </x:c>
    </x:row>
    <x:row r="13">
      <x:c r="A13" s="91" t="str">
        <x:v>Average Equity Multiplier</x:v>
      </x:c>
      <x:c r="B13" s="166" t="str">
        <x:f>IF('Student Calculations'!B18="","",'Student Calculations'!B18)</x:f>
      </x:c>
      <x:c r="C13" s="166" t="str">
        <x:f>IF('Student Calculations'!C18="","",'Student Calculations'!C18)</x:f>
      </x:c>
      <x:c r="D13" s="70" t="str">
        <x:v>How much asset capacity is supported per equity dollar?</x:v>
      </x:c>
    </x:row>
    <x:row r="14">
      <x:c r="A14" s="171" t="str">
        <x:v>DuPont ROE</x:v>
      </x:c>
      <x:c r="B14" s="170" t="str">
        <x:f>IF(COUNT(B11:B13)&lt;3,"",B11*B12*B13)</x:f>
      </x:c>
      <x:c r="C14" s="170" t="str">
        <x:f>IF(COUNT(C11:C13)&lt;3,"",C11*C12*C13)</x:f>
      </x:c>
      <x:c r="D14" s="70" t="str">
        <x:v>Margin × asset turnover × equity multiplier</x:v>
      </x:c>
    </x:row>
    <x:row r="15">
      <x:c r="A15" s="171" t="str">
        <x:v>Direct ROE</x:v>
      </x:c>
      <x:c r="B15" s="170" t="str">
        <x:f>IF('Student Calculations'!B14="","",'Student Calculations'!B14)</x:f>
      </x:c>
      <x:c r="C15" s="170" t="str">
        <x:f>IF('Student Calculations'!C14="","",'Student Calculations'!C14)</x:f>
      </x:c>
      <x:c r="D15" s="70" t="str">
        <x:v>Net income / average equity</x:v>
      </x:c>
    </x:row>
    <x:row r="16">
      <x:c r="A16" s="101" t="str">
        <x:v>Reconciliation Difference</x:v>
      </x:c>
      <x:c r="B16" s="172" t="str">
        <x:f>IF(OR(B14="",B15=""),"",B14-B15)</x:f>
      </x:c>
      <x:c r="C16" s="172" t="str">
        <x:f>IF(OR(C14="",C15=""),"",C14-C15)</x:f>
      </x:c>
      <x:c r="D16" s="73" t="str">
        <x:v>Should equal zero when denominators are consistent</x:v>
      </x:c>
    </x:row>
    <x:row r="17">
      <x:c r="D17" s="25"/>
    </x:row>
    <x:row r="18" ht="23" customHeight="1">
      <x:c r="A18" s="10" t="str">
        <x:v>Focused operating driver test</x:v>
      </x:c>
      <x:c r="D18" s="25"/>
    </x:row>
    <x:row r="19">
      <x:c r="A19" s="28" t="str">
        <x:v>Driver / output</x:v>
      </x:c>
      <x:c r="B19" s="29" t="str">
        <x:v>TechStyle Retail</x:v>
      </x:c>
      <x:c r="C19" s="29" t="str">
        <x:v>Urban Goods Co.</x:v>
      </x:c>
      <x:c r="D19" s="30" t="str">
        <x:v>Model logic</x:v>
      </x:c>
    </x:row>
    <x:row r="20" ht="42" customHeight="1">
      <x:c r="A20" s="91" t="str">
        <x:v>Operating expense reduction (% of revenue)</x:v>
      </x:c>
      <x:c r="B20" s="144"/>
      <x:c r="C20" s="78" t="str">
        <x:f>IF(B20="","",B20)</x:f>
      </x:c>
      <x:c r="D20" s="70" t="str">
        <x:v>Enter 1% for a reduction equal to 1% of revenue; this is not a 1% cut to existing operating expenses.</x:v>
      </x:c>
    </x:row>
    <x:row r="21">
      <x:c r="A21" s="91" t="str">
        <x:v>Base EBIT</x:v>
      </x:c>
      <x:c r="B21" s="173" t="n">
        <x:f>'Company Data'!B37</x:f>
        <x:v>4800000</x:v>
      </x:c>
      <x:c r="C21" s="173" t="n">
        <x:f>'Company Data'!C37</x:f>
        <x:v>1700000</x:v>
      </x:c>
      <x:c r="D21" s="70" t="str">
        <x:v>Linked to Company Data</x:v>
      </x:c>
    </x:row>
    <x:row r="22">
      <x:c r="A22" s="91" t="str">
        <x:v>Expense reduction ($)</x:v>
      </x:c>
      <x:c r="B22" s="173" t="str">
        <x:f>IF(B20="","",'Company Data'!B33*B20)</x:f>
      </x:c>
      <x:c r="C22" s="173" t="str">
        <x:f>IF(C20="","",'Company Data'!C33*C20)</x:f>
      </x:c>
      <x:c r="D22" s="70" t="str">
        <x:v>Revenue × expense reduction assumption</x:v>
      </x:c>
    </x:row>
    <x:row r="23">
      <x:c r="A23" s="91" t="str">
        <x:v>Scenario EBIT</x:v>
      </x:c>
      <x:c r="B23" s="173" t="str">
        <x:f>IF(B22="","",B21+B22)</x:f>
      </x:c>
      <x:c r="C23" s="173" t="str">
        <x:f>IF(C22="","",C21+C22)</x:f>
      </x:c>
      <x:c r="D23" s="70" t="str">
        <x:v>Base EBIT + expense reduction</x:v>
      </x:c>
    </x:row>
    <x:row r="24">
      <x:c r="A24" s="91" t="str">
        <x:v>After-tax benefit</x:v>
      </x:c>
      <x:c r="B24" s="173" t="str">
        <x:f>IF(B22="","",B22*(1-'Company Data'!B42))</x:f>
      </x:c>
      <x:c r="C24" s="173" t="str">
        <x:f>IF(C22="","",C22*(1-'Company Data'!C42))</x:f>
      </x:c>
      <x:c r="D24" s="70" t="str">
        <x:v>Expense reduction × (1 - effective tax rate)</x:v>
      </x:c>
    </x:row>
    <x:row r="25">
      <x:c r="A25" s="91" t="str">
        <x:v>Scenario Net Income</x:v>
      </x:c>
      <x:c r="B25" s="173" t="str">
        <x:f>IF(B24="","",'Company Data'!B41+B24)</x:f>
      </x:c>
      <x:c r="C25" s="173" t="str">
        <x:f>IF(C24="","",'Company Data'!C41+C24)</x:f>
      </x:c>
      <x:c r="D25" s="70" t="str">
        <x:v>Base net income + after-tax benefit</x:v>
      </x:c>
    </x:row>
    <x:row r="26">
      <x:c r="A26" s="91" t="str">
        <x:v>Scenario Operating Margin</x:v>
      </x:c>
      <x:c r="B26" s="167" t="str">
        <x:f>IF(B23="","",B23/'Company Data'!B33)</x:f>
      </x:c>
      <x:c r="C26" s="167" t="str">
        <x:f>IF(C23="","",C23/'Company Data'!C33)</x:f>
      </x:c>
      <x:c r="D26" s="70" t="str">
        <x:v>Scenario EBIT / revenue</x:v>
      </x:c>
    </x:row>
    <x:row r="27">
      <x:c r="A27" s="91" t="str">
        <x:v>Scenario ROE</x:v>
      </x:c>
      <x:c r="B27" s="167" t="str">
        <x:f>IF(B25="","",B25/B7)</x:f>
      </x:c>
      <x:c r="C27" s="167" t="str">
        <x:f>IF(C25="","",C25/C7)</x:f>
      </x:c>
      <x:c r="D27" s="70" t="str">
        <x:v>Scenario net income / average equity</x:v>
      </x:c>
    </x:row>
    <x:row r="28">
      <x:c r="A28" s="91" t="str">
        <x:v>ROE Change</x:v>
      </x:c>
      <x:c r="B28" s="167" t="str">
        <x:f>IF(OR(B27="",B15=""),"",B27-B15)</x:f>
      </x:c>
      <x:c r="C28" s="167" t="str">
        <x:f>IF(OR(C27="",C15=""),"",C27-C15)</x:f>
      </x:c>
      <x:c r="D28" s="70" t="str">
        <x:v>Scenario ROE - direct ROE</x:v>
      </x:c>
    </x:row>
    <x:row r="29" ht="72" customHeight="1">
      <x:c r="A29" s="177" t="str">
        <x:v>Driver interpretation</x:v>
      </x:c>
      <x:c r="B29" s="178"/>
      <x:c r="C29" s="178"/>
      <x:c r="D29" s="35" t="str">
        <x:v>Explain direction, magnitude, and whether the conclusion changes</x:v>
      </x:c>
    </x:row>
  </x:sheetData>
  <x:mergeCells>
    <x:mergeCell ref="A1:D1"/>
    <x:mergeCell ref="A2:D2"/>
    <x:mergeCell ref="A4:D4"/>
    <x:mergeCell ref="A9:D9"/>
    <x:mergeCell ref="A18:D18"/>
    <x:mergeCell ref="B29:C29"/>
  </x:mergeCells>
  <x:dataValidations count="1">
    <x:dataValidation type="decimal" operator="between" sqref="B20">
      <x:formula1>0</x:formula1>
      <x:formula2>0.1</x:formula2>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15" hidden="0" customWidth="1"/>
    <x:col min="3" max="3" width="15" hidden="0" customWidth="1"/>
    <x:col min="4" max="4" width="30" hidden="0" customWidth="1"/>
    <x:col min="5" max="5" width="3" hidden="0" customWidth="1"/>
    <x:col min="6" max="6" width="27" hidden="0" customWidth="1"/>
    <x:col min="7" max="7" width="15" hidden="0" customWidth="1"/>
    <x:col min="8" max="8" width="15" hidden="0" customWidth="1"/>
    <x:col min="9" max="9" width="15" hidden="0" customWidth="1"/>
  </x:cols>
  <x:sheetData>
    <x:row r="1" ht="32" customHeight="1">
      <x:c r="A1" s="3" t="str">
        <x:v>Formula-Linked Ratio Dashboard</x:v>
      </x:c>
    </x:row>
    <x:row r="2" ht="44" customHeight="1">
      <x:c r="A2" s="7" t="str">
        <x:v>Linked outputs: CORE ratios are required. Blank optional ratios are expected. Reference values are illustrative classroom assumptions.</x:v>
      </x:c>
    </x:row>
    <x:row r="4" ht="23" customHeight="1">
      <x:c r="A4" s="10" t="str">
        <x:v>Liquidity</x:v>
      </x:c>
      <x:c r="F4" s="10" t="str">
        <x:v>Profitability</x:v>
      </x:c>
    </x:row>
    <x:row r="5">
      <x:c r="A5" s="28" t="str">
        <x:v>Metric</x:v>
      </x:c>
      <x:c r="B5" s="29" t="str">
        <x:v>TechStyle</x:v>
      </x:c>
      <x:c r="C5" s="29" t="str">
        <x:v>Urban</x:v>
      </x:c>
      <x:c r="D5" s="30" t="str">
        <x:v>Illustrative</x:v>
      </x:c>
      <x:c r="F5" s="28" t="str">
        <x:v>Metric</x:v>
      </x:c>
      <x:c r="G5" s="29" t="str">
        <x:v>TechStyle</x:v>
      </x:c>
      <x:c r="H5" s="29" t="str">
        <x:v>Urban</x:v>
      </x:c>
      <x:c r="I5" s="30" t="str">
        <x:v>Illustrative</x:v>
      </x:c>
    </x:row>
    <x:row r="6">
      <x:c r="A6" s="91" t="str">
        <x:v>Current Ratio</x:v>
      </x:c>
      <x:c r="B6" s="182" t="str">
        <x:f>IF('Student Calculations'!B6="","",'Student Calculations'!B6)</x:f>
      </x:c>
      <x:c r="C6" s="182" t="str">
        <x:f>IF('Student Calculations'!C6="","",'Student Calculations'!C6)</x:f>
      </x:c>
      <x:c r="D6" s="183" t="n">
        <x:f>IF('Student Calculations'!D6="","",'Student Calculations'!D6)</x:f>
        <x:v>2</x:v>
      </x:c>
      <x:c r="F6" s="91" t="str">
        <x:v>Gross Margin</x:v>
      </x:c>
      <x:c r="G6" s="186" t="str">
        <x:f>IF('Student Calculations'!B10="","",'Student Calculations'!B10)</x:f>
      </x:c>
      <x:c r="H6" s="186" t="str">
        <x:f>IF('Student Calculations'!C10="","",'Student Calculations'!C10)</x:f>
      </x:c>
      <x:c r="I6" s="187" t="n">
        <x:f>IF('Student Calculations'!D10="","",'Student Calculations'!D10)</x:f>
        <x:v>0.35</x:v>
      </x:c>
    </x:row>
    <x:row r="7">
      <x:c r="A7" s="91" t="str">
        <x:v>Quick Ratio</x:v>
      </x:c>
      <x:c r="B7" s="182" t="str">
        <x:f>IF('Student Calculations'!B7="","",'Student Calculations'!B7)</x:f>
      </x:c>
      <x:c r="C7" s="182" t="str">
        <x:f>IF('Student Calculations'!C7="","",'Student Calculations'!C7)</x:f>
      </x:c>
      <x:c r="D7" s="183" t="n">
        <x:f>IF('Student Calculations'!D7="","",'Student Calculations'!D7)</x:f>
        <x:v>1</x:v>
      </x:c>
      <x:c r="F7" s="91" t="str">
        <x:v>Operating Margin</x:v>
      </x:c>
      <x:c r="G7" s="186" t="str">
        <x:f>IF('Student Calculations'!B11="","",'Student Calculations'!B11)</x:f>
      </x:c>
      <x:c r="H7" s="186" t="str">
        <x:f>IF('Student Calculations'!C11="","",'Student Calculations'!C11)</x:f>
      </x:c>
      <x:c r="I7" s="187" t="n">
        <x:f>IF('Student Calculations'!D11="","",'Student Calculations'!D11)</x:f>
        <x:v>0.1</x:v>
      </x:c>
    </x:row>
    <x:row r="8">
      <x:c r="A8" s="101" t="str">
        <x:v>Cash Ratio</x:v>
      </x:c>
      <x:c r="B8" s="184" t="str">
        <x:f>IF('Student Calculations'!B8="","",'Student Calculations'!B8)</x:f>
      </x:c>
      <x:c r="C8" s="184" t="str">
        <x:f>IF('Student Calculations'!C8="","",'Student Calculations'!C8)</x:f>
      </x:c>
      <x:c r="D8" s="185" t="n">
        <x:f>IF('Student Calculations'!D8="","",'Student Calculations'!D8)</x:f>
        <x:v>0.5</x:v>
      </x:c>
      <x:c r="F8" s="91" t="str">
        <x:v>Net Profit Margin</x:v>
      </x:c>
      <x:c r="G8" s="186" t="str">
        <x:f>IF('Student Calculations'!B12="","",'Student Calculations'!B12)</x:f>
      </x:c>
      <x:c r="H8" s="186" t="str">
        <x:f>IF('Student Calculations'!C12="","",'Student Calculations'!C12)</x:f>
      </x:c>
      <x:c r="I8" s="187" t="n">
        <x:f>IF('Student Calculations'!D12="","",'Student Calculations'!D12)</x:f>
        <x:v>0.07</x:v>
      </x:c>
    </x:row>
    <x:row r="9">
      <x:c r="F9" s="91" t="str">
        <x:v>Return on Assets (ROA)</x:v>
      </x:c>
      <x:c r="G9" s="186" t="str">
        <x:f>IF('Student Calculations'!B13="","",'Student Calculations'!B13)</x:f>
      </x:c>
      <x:c r="H9" s="186" t="str">
        <x:f>IF('Student Calculations'!C13="","",'Student Calculations'!C13)</x:f>
      </x:c>
      <x:c r="I9" s="187" t="n">
        <x:f>IF('Student Calculations'!D13="","",'Student Calculations'!D13)</x:f>
        <x:v>0.09</x:v>
      </x:c>
    </x:row>
    <x:row r="10">
      <x:c r="F10" s="101" t="str">
        <x:v>Return on Equity (ROE)</x:v>
      </x:c>
      <x:c r="G10" s="188" t="str">
        <x:f>IF('Student Calculations'!B14="","",'Student Calculations'!B14)</x:f>
      </x:c>
      <x:c r="H10" s="188" t="str">
        <x:f>IF('Student Calculations'!C14="","",'Student Calculations'!C14)</x:f>
      </x:c>
      <x:c r="I10" s="189" t="n">
        <x:f>IF('Student Calculations'!D14="","",'Student Calculations'!D14)</x:f>
        <x:v>0.15</x:v>
      </x:c>
    </x:row>
    <x:row r="12" ht="23" customHeight="1">
      <x:c r="A12" s="10" t="str">
        <x:v>Leverage</x:v>
      </x:c>
      <x:c r="F12" s="10" t="str">
        <x:v>Efficiency</x:v>
      </x:c>
    </x:row>
    <x:row r="13">
      <x:c r="A13" s="28" t="str">
        <x:v>Metric</x:v>
      </x:c>
      <x:c r="B13" s="29" t="str">
        <x:v>TechStyle</x:v>
      </x:c>
      <x:c r="C13" s="29" t="str">
        <x:v>Urban</x:v>
      </x:c>
      <x:c r="D13" s="30" t="str">
        <x:v>Illustrative</x:v>
      </x:c>
      <x:c r="F13" s="28" t="str">
        <x:v>Metric</x:v>
      </x:c>
      <x:c r="G13" s="29" t="str">
        <x:v>TechStyle</x:v>
      </x:c>
      <x:c r="H13" s="29" t="str">
        <x:v>Urban</x:v>
      </x:c>
      <x:c r="I13" s="30" t="str">
        <x:v>Illustrative</x:v>
      </x:c>
    </x:row>
    <x:row r="14">
      <x:c r="A14" s="91" t="str">
        <x:v>Debt-to-Equity</x:v>
      </x:c>
      <x:c r="B14" s="182" t="str">
        <x:f>IF('Student Calculations'!B16="","",'Student Calculations'!B16)</x:f>
      </x:c>
      <x:c r="C14" s="182" t="str">
        <x:f>IF('Student Calculations'!C16="","",'Student Calculations'!C16)</x:f>
      </x:c>
      <x:c r="D14" s="183" t="n">
        <x:f>IF('Student Calculations'!D16="","",'Student Calculations'!D16)</x:f>
        <x:v>0.8</x:v>
      </x:c>
      <x:c r="F14" s="91" t="str">
        <x:v>Inventory Turnover</x:v>
      </x:c>
      <x:c r="G14" s="182" t="str">
        <x:f>IF('Student Calculations'!B20="","",'Student Calculations'!B20)</x:f>
      </x:c>
      <x:c r="H14" s="182" t="str">
        <x:f>IF('Student Calculations'!C20="","",'Student Calculations'!C20)</x:f>
      </x:c>
      <x:c r="I14" s="183" t="n">
        <x:f>IF('Student Calculations'!D20="","",'Student Calculations'!D20)</x:f>
        <x:v>6</x:v>
      </x:c>
    </x:row>
    <x:row r="15">
      <x:c r="A15" s="91" t="str">
        <x:v>Debt Ratio</x:v>
      </x:c>
      <x:c r="B15" s="186" t="str">
        <x:f>IF('Student Calculations'!B17="","",'Student Calculations'!B17)</x:f>
      </x:c>
      <x:c r="C15" s="186" t="str">
        <x:f>IF('Student Calculations'!C17="","",'Student Calculations'!C17)</x:f>
      </x:c>
      <x:c r="D15" s="187" t="n">
        <x:f>IF('Student Calculations'!D17="","",'Student Calculations'!D17)</x:f>
        <x:v>0.45</x:v>
      </x:c>
      <x:c r="F15" s="91" t="str">
        <x:v>Receivables Turnover</x:v>
      </x:c>
      <x:c r="G15" s="182" t="str">
        <x:f>IF('Student Calculations'!B21="","",'Student Calculations'!B21)</x:f>
      </x:c>
      <x:c r="H15" s="182" t="str">
        <x:f>IF('Student Calculations'!C21="","",'Student Calculations'!C21)</x:f>
      </x:c>
      <x:c r="I15" s="183" t="n">
        <x:f>IF('Student Calculations'!D21="","",'Student Calculations'!D21)</x:f>
        <x:v>12</x:v>
      </x:c>
    </x:row>
    <x:row r="16">
      <x:c r="A16" s="101" t="str">
        <x:v>Average Equity Multiplier</x:v>
      </x:c>
      <x:c r="B16" s="184" t="str">
        <x:f>IF('Student Calculations'!B18="","",'Student Calculations'!B18)</x:f>
      </x:c>
      <x:c r="C16" s="184" t="str">
        <x:f>IF('Student Calculations'!C18="","",'Student Calculations'!C18)</x:f>
      </x:c>
      <x:c r="D16" s="185" t="n">
        <x:f>IF('Student Calculations'!D18="","",'Student Calculations'!D18)</x:f>
        <x:v>2</x:v>
      </x:c>
      <x:c r="F16" s="101" t="str">
        <x:v>Asset Turnover</x:v>
      </x:c>
      <x:c r="G16" s="184" t="str">
        <x:f>IF('Student Calculations'!B22="","",'Student Calculations'!B22)</x:f>
      </x:c>
      <x:c r="H16" s="184" t="str">
        <x:f>IF('Student Calculations'!C22="","",'Student Calculations'!C22)</x:f>
      </x:c>
      <x:c r="I16" s="185" t="n">
        <x:f>IF('Student Calculations'!D22="","",'Student Calculations'!D22)</x:f>
        <x:v>1.5</x:v>
      </x:c>
    </x:row>
    <x:row r="17">
      <x:c r="A17" t="str">
        <x:v>Interest coverage</x:v>
      </x:c>
      <x:c r="B17" s="240" t="str">
        <x:f>IF('Student Calculations'!B23="","",'Student Calculations'!B23)</x:f>
      </x:c>
      <x:c r="C17" s="240" t="str">
        <x:f>IF('Student Calculations'!C23="","",'Student Calculations'!C23)</x:f>
      </x:c>
      <x:c r="D17" s="240" t="n">
        <x:f>IF('Student Calculations'!D23="","",'Student Calculations'!D23)</x:f>
        <x:v>1</x:v>
      </x:c>
    </x:row>
    <x:row r="20" ht="23" customHeight="1">
      <x:c r="A20" s="10" t="str">
        <x:v>DuPont and driver evidence</x:v>
      </x:c>
    </x:row>
    <x:row r="21">
      <x:c r="A21" s="28" t="str">
        <x:v>Metric</x:v>
      </x:c>
      <x:c r="B21" s="29" t="str">
        <x:v>TechStyle</x:v>
      </x:c>
      <x:c r="C21" s="29" t="str">
        <x:v>Urban</x:v>
      </x:c>
      <x:c r="D21" s="30" t="str">
        <x:v>Decision use</x:v>
      </x:c>
      <x:c r="F21" s="199" t="str">
        <x:v>Dashboard discipline
Compare like with like. A higher liquidity or profitability ratio can be favorable, but leverage ratios require a risk judgment. Use the DuPont block to distinguish operating strength from a thin equity base. Use the driver test to decide whether a plausible operating change is large enough to alter the recommendation.</x:v>
      </x:c>
      <x:c r="G21" s="200"/>
      <x:c r="H21" s="200"/>
      <x:c r="I21" s="201"/>
    </x:row>
    <x:row r="22" ht="34" customHeight="1">
      <x:c r="A22" s="91" t="str">
        <x:v>Net Profit Margin</x:v>
      </x:c>
      <x:c r="B22" s="186" t="str">
        <x:f>IF('DuPont &amp; Driver'!B11="","",'DuPont &amp; Driver'!B11)</x:f>
      </x:c>
      <x:c r="C22" s="186" t="str">
        <x:f>IF('DuPont &amp; Driver'!C11="","",'DuPont &amp; Driver'!C11)</x:f>
      </x:c>
      <x:c r="D22" s="70" t="str">
        <x:v>Operating profitability after all expenses</x:v>
      </x:c>
      <x:c r="F22" s="202"/>
      <x:c r="G22" s="198"/>
      <x:c r="H22" s="198"/>
      <x:c r="I22" s="203"/>
    </x:row>
    <x:row r="23" ht="34" customHeight="1">
      <x:c r="A23" s="91" t="str">
        <x:v>Asset Turnover</x:v>
      </x:c>
      <x:c r="B23" s="182" t="str">
        <x:f>IF('DuPont &amp; Driver'!B12="","",'DuPont &amp; Driver'!B12)</x:f>
      </x:c>
      <x:c r="C23" s="182" t="str">
        <x:f>IF('DuPont &amp; Driver'!C12="","",'DuPont &amp; Driver'!C12)</x:f>
      </x:c>
      <x:c r="D23" s="70" t="str">
        <x:v>Revenue generated per average asset dollar</x:v>
      </x:c>
      <x:c r="F23" s="202"/>
      <x:c r="G23" s="198"/>
      <x:c r="H23" s="198"/>
      <x:c r="I23" s="203"/>
    </x:row>
    <x:row r="24" ht="34" customHeight="1">
      <x:c r="A24" s="91" t="str">
        <x:v>Average Equity Multiplier</x:v>
      </x:c>
      <x:c r="B24" s="182" t="str">
        <x:f>IF('DuPont &amp; Driver'!B13="","",'DuPont &amp; Driver'!B13)</x:f>
      </x:c>
      <x:c r="C24" s="182" t="str">
        <x:f>IF('DuPont &amp; Driver'!C13="","",'DuPont &amp; Driver'!C13)</x:f>
      </x:c>
      <x:c r="D24" s="70" t="str">
        <x:v>Financing intensity</x:v>
      </x:c>
      <x:c r="F24" s="202"/>
      <x:c r="G24" s="198"/>
      <x:c r="H24" s="198"/>
      <x:c r="I24" s="203"/>
    </x:row>
    <x:row r="25" ht="34" customHeight="1">
      <x:c r="A25" s="91" t="str">
        <x:v>DuPont ROE</x:v>
      </x:c>
      <x:c r="B25" s="194" t="str">
        <x:f>IF('DuPont &amp; Driver'!B14="","",'DuPont &amp; Driver'!B14)</x:f>
      </x:c>
      <x:c r="C25" s="194" t="str">
        <x:f>IF('DuPont &amp; Driver'!C14="","",'DuPont &amp; Driver'!C14)</x:f>
      </x:c>
      <x:c r="D25" s="70" t="str">
        <x:v>Combined operating and financing result</x:v>
      </x:c>
      <x:c r="F25" s="202"/>
      <x:c r="G25" s="198"/>
      <x:c r="H25" s="198"/>
      <x:c r="I25" s="203"/>
    </x:row>
    <x:row r="26" ht="34" customHeight="1">
      <x:c r="A26" s="91" t="str">
        <x:v>Scenario ROE</x:v>
      </x:c>
      <x:c r="B26" s="194" t="str">
        <x:f>IF('DuPont &amp; Driver'!B27="","",'DuPont &amp; Driver'!B27)</x:f>
      </x:c>
      <x:c r="C26" s="194" t="str">
        <x:f>IF('DuPont &amp; Driver'!C27="","",'DuPont &amp; Driver'!C27)</x:f>
      </x:c>
      <x:c r="D26" s="70" t="str">
        <x:v>ROE after the selected expense change</x:v>
      </x:c>
      <x:c r="F26" s="202"/>
      <x:c r="G26" s="198"/>
      <x:c r="H26" s="198"/>
      <x:c r="I26" s="203"/>
    </x:row>
    <x:row r="27" ht="34" customHeight="1">
      <x:c r="A27" s="101" t="str">
        <x:v>ROE Change</x:v>
      </x:c>
      <x:c r="B27" s="195" t="str">
        <x:f>IF('DuPont &amp; Driver'!B28="","",'DuPont &amp; Driver'!B28)</x:f>
      </x:c>
      <x:c r="C27" s="195" t="str">
        <x:f>IF('DuPont &amp; Driver'!C28="","",'DuPont &amp; Driver'!C28)</x:f>
      </x:c>
      <x:c r="D27" s="73" t="str">
        <x:v>Sensitivity magnitude in percentage points</x:v>
      </x:c>
      <x:c r="F27" s="204"/>
      <x:c r="G27" s="205"/>
      <x:c r="H27" s="205"/>
      <x:c r="I27" s="206"/>
    </x:row>
    <x:row r="29">
      <x:c r="A29" s="208" t="str">
        <x:v>Source: all displayed outputs are formula-linked to the analytical model; no manual re-entry is required.</x:v>
      </x:c>
      <x:c r="B29" s="208"/>
      <x:c r="C29" s="208"/>
      <x:c r="D29" s="208"/>
      <x:c r="E29" s="208"/>
      <x:c r="F29" s="208"/>
      <x:c r="G29" s="208"/>
      <x:c r="H29" s="208"/>
      <x:c r="I29" s="208"/>
    </x:row>
  </x:sheetData>
  <x:mergeCells>
    <x:mergeCell ref="A1:I1"/>
    <x:mergeCell ref="A2:I2"/>
    <x:mergeCell ref="A4:D4"/>
    <x:mergeCell ref="F4:I4"/>
    <x:mergeCell ref="A12:D12"/>
    <x:mergeCell ref="F12:I12"/>
    <x:mergeCell ref="A20:I20"/>
    <x:mergeCell ref="F21:I27"/>
    <x:mergeCell ref="A29:I29"/>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3" max="3" width="15" hidden="0" customWidth="1"/>
    <x:col min="4" max="4" width="15" hidden="0" customWidth="1"/>
    <x:col min="5" max="5" width="15" hidden="0" customWidth="1"/>
    <x:col min="6" max="6" width="15" hidden="0" customWidth="1"/>
    <x:col min="7" max="7" width="14" hidden="0" customWidth="1"/>
    <x:col min="8" max="8" width="48" hidden="0" customWidth="1"/>
  </x:cols>
  <x:sheetData>
    <x:row r="1" ht="32" customHeight="1">
      <x:c r="A1" s="3" t="str">
        <x:v>Checks &amp; Recommendation</x:v>
      </x:c>
    </x:row>
    <x:row r="2" ht="28" customHeight="1">
      <x:c r="A2" s="7" t="str">
        <x:v>Controls test the data and denominator contract; PASS means internally consistent, not automatically decision-correct.</x:v>
      </x:c>
    </x:row>
    <x:row r="4">
      <x:c r="A4" s="210" t="str">
        <x:v>MODEL STATUS</x:v>
      </x:c>
      <x:c r="B4" s="211" t="str">
        <x:f>IFERROR(IF(COUNTIF(G8:G15,"REVIEW")&gt;0,"REVIEW",IF(OR(COUNT('Student Calculations'!B6:C6,'Student Calculations'!B10:C10,'Student Calculations'!B12:C12,'Student Calculations'!B14:C14,'Student Calculations'!B17:C17,'Student Calculations'!B18:C18,'Student Calculations'!B22:C22,'Student Calculations'!B23:C23)&lt;16,COUNTIF(G8:G15,"WAITING")&gt;0,'DuPont &amp; Driver'!B20="",'DuPont &amp; Driver'!B29="",A19=""),"WAITING","PASS")),"REVIEW")</x:f>
        <x:v>WAITING</x:v>
      </x:c>
      <x:c r="C4" s="211"/>
      <x:c r="D4" s="211"/>
    </x:row>
    <x:row r="6" ht="23" customHeight="1">
      <x:c r="A6" s="10" t="str">
        <x:v>Reasonableness and denominator-consistency checks</x:v>
      </x:c>
    </x:row>
    <x:row r="7">
      <x:c r="A7" s="28" t="str">
        <x:v>Check</x:v>
      </x:c>
      <x:c r="B7" s="29" t="str">
        <x:v>Company</x:v>
      </x:c>
      <x:c r="C7" s="29" t="str">
        <x:v>Actual</x:v>
      </x:c>
      <x:c r="D7" s="29" t="str">
        <x:v>Expected</x:v>
      </x:c>
      <x:c r="E7" s="29" t="str">
        <x:v>Difference</x:v>
      </x:c>
      <x:c r="F7" s="29" t="str">
        <x:v>Tolerance</x:v>
      </x:c>
      <x:c r="G7" s="29" t="str">
        <x:v>Status</x:v>
      </x:c>
      <x:c r="H7" s="30" t="str">
        <x:v>Why it matters</x:v>
      </x:c>
    </x:row>
    <x:row r="8" ht="32" customHeight="1">
      <x:c r="A8" s="91" t="str">
        <x:v>Current assets components tie</x:v>
      </x:c>
      <x:c r="B8" s="90" t="str">
        <x:v>TechStyle</x:v>
      </x:c>
      <x:c r="C8" s="173" t="n">
        <x:f>'Company Data'!B15</x:f>
        <x:v>11450000</x:v>
      </x:c>
      <x:c r="D8" s="173" t="n">
        <x:f>SUM('Company Data'!B12:B14)</x:f>
        <x:v>11450000</x:v>
      </x:c>
      <x:c r="E8" s="173" t="n">
        <x:f>IF(OR(C8="",D8=""),"",C8-D8)</x:f>
        <x:v>0</x:v>
      </x:c>
      <x:c r="F8" s="173" t="n">
        <x:v>0</x:v>
      </x:c>
      <x:c r="G8" s="48" t="str">
        <x:f>IF(COUNT(C8:D8)&lt;2,"WAITING",IF(ABS(E8)&lt;=F8,"PASS","REVIEW"))</x:f>
        <x:v>PASS</x:v>
      </x:c>
      <x:c r="H8" s="70" t="str">
        <x:v>Cash + receivables + inventory should equal current assets.</x:v>
      </x:c>
    </x:row>
    <x:row r="9" ht="32" customHeight="1">
      <x:c r="A9" s="91" t="str">
        <x:v>Current assets components tie</x:v>
      </x:c>
      <x:c r="B9" s="90" t="str">
        <x:v>Urban</x:v>
      </x:c>
      <x:c r="C9" s="173" t="n">
        <x:f>'Company Data'!C15</x:f>
        <x:v>13190000</x:v>
      </x:c>
      <x:c r="D9" s="173" t="n">
        <x:f>SUM('Company Data'!C12:C14)</x:f>
        <x:v>13190000</x:v>
      </x:c>
      <x:c r="E9" s="173" t="n">
        <x:f>IF(OR(C9="",D9=""),"",C9-D9)</x:f>
        <x:v>0</x:v>
      </x:c>
      <x:c r="F9" s="173" t="n">
        <x:v>0</x:v>
      </x:c>
      <x:c r="G9" s="48" t="str">
        <x:f>IF(COUNT(C9:D9)&lt;2,"WAITING",IF(ABS(E9)&lt;=F9,"PASS","REVIEW"))</x:f>
        <x:v>PASS</x:v>
      </x:c>
      <x:c r="H9" s="70" t="str">
        <x:v>Cash + receivables + inventory should equal current assets.</x:v>
      </x:c>
    </x:row>
    <x:row r="10" ht="32" customHeight="1">
      <x:c r="A10" s="91" t="str">
        <x:v>Balance sheet equation</x:v>
      </x:c>
      <x:c r="B10" s="90" t="str">
        <x:v>TechStyle</x:v>
      </x:c>
      <x:c r="C10" s="173" t="n">
        <x:f>'Company Data'!B17</x:f>
        <x:v>29950000</x:v>
      </x:c>
      <x:c r="D10" s="173" t="n">
        <x:f>'Company Data'!B23+'Company Data'!B24</x:f>
        <x:v>29950000</x:v>
      </x:c>
      <x:c r="E10" s="173" t="n">
        <x:f>IF(OR(C10="",D10=""),"",C10-D10)</x:f>
        <x:v>0</x:v>
      </x:c>
      <x:c r="F10" s="173" t="n">
        <x:v>0</x:v>
      </x:c>
      <x:c r="G10" s="48" t="str">
        <x:f>IF(COUNT(C10:D10)&lt;2,"WAITING",IF(ABS(E10)&lt;=F10,"PASS","REVIEW"))</x:f>
        <x:v>PASS</x:v>
      </x:c>
      <x:c r="H10" s="70" t="str">
        <x:v>Assets should equal liabilities + equity.</x:v>
      </x:c>
    </x:row>
    <x:row r="11" ht="32" customHeight="1">
      <x:c r="A11" s="91" t="str">
        <x:v>Balance sheet equation</x:v>
      </x:c>
      <x:c r="B11" s="90" t="str">
        <x:v>Urban</x:v>
      </x:c>
      <x:c r="C11" s="173" t="n">
        <x:f>'Company Data'!C17</x:f>
        <x:v>35490000</x:v>
      </x:c>
      <x:c r="D11" s="173" t="n">
        <x:f>'Company Data'!C23+'Company Data'!C24</x:f>
        <x:v>35490000</x:v>
      </x:c>
      <x:c r="E11" s="173" t="n">
        <x:f>IF(OR(C11="",D11=""),"",C11-D11)</x:f>
        <x:v>0</x:v>
      </x:c>
      <x:c r="F11" s="173" t="n">
        <x:v>0</x:v>
      </x:c>
      <x:c r="G11" s="48" t="str">
        <x:f>IF(COUNT(C11:D11)&lt;2,"WAITING",IF(ABS(E11)&lt;=F11,"PASS","REVIEW"))</x:f>
        <x:v>PASS</x:v>
      </x:c>
      <x:c r="H11" s="70" t="str">
        <x:v>Assets should equal liabilities + equity.</x:v>
      </x:c>
    </x:row>
    <x:row r="12" ht="32" customHeight="1">
      <x:c r="A12" s="91" t="str">
        <x:v>ROA denominator consistency</x:v>
      </x:c>
      <x:c r="B12" s="90" t="str">
        <x:v>TechStyle</x:v>
      </x:c>
      <x:c r="C12" s="167" t="str">
        <x:f>IF('Student Calculations'!B13="","",'Student Calculations'!B13)</x:f>
      </x:c>
      <x:c r="D12" s="167" t="str">
        <x:f>IF(OR('Student Calculations'!B12="",'Student Calculations'!B22=""),"",'Student Calculations'!B12*'Student Calculations'!B22)</x:f>
      </x:c>
      <x:c r="E12" s="167" t="str">
        <x:f>IF(OR(C12="",D12=""),"",C12-D12)</x:f>
      </x:c>
      <x:c r="F12" s="167" t="n">
        <x:v>0.0001</x:v>
      </x:c>
      <x:c r="G12" s="48" t="str">
        <x:f>IF('Student Calculations'!B13="","OPTIONAL",IF(COUNT(C12:D12)&lt;2,"WAITING",IF(ABS(E12)&lt;=F12,"PASS","REVIEW")))</x:f>
        <x:v>OPTIONAL</x:v>
      </x:c>
      <x:c r="H12" s="70" t="str">
        <x:v>ROA should equal net margin × asset turnover when average assets match.</x:v>
      </x:c>
    </x:row>
    <x:row r="13" ht="32" customHeight="1">
      <x:c r="A13" s="91" t="str">
        <x:v>ROA denominator consistency</x:v>
      </x:c>
      <x:c r="B13" s="90" t="str">
        <x:v>Urban</x:v>
      </x:c>
      <x:c r="C13" s="167" t="str">
        <x:f>IF('Student Calculations'!C13="","",'Student Calculations'!C13)</x:f>
      </x:c>
      <x:c r="D13" s="167" t="str">
        <x:f>IF(OR('Student Calculations'!C12="",'Student Calculations'!C22=""),"",'Student Calculations'!C12*'Student Calculations'!C22)</x:f>
      </x:c>
      <x:c r="E13" s="167" t="str">
        <x:f>IF(OR(C13="",D13=""),"",C13-D13)</x:f>
      </x:c>
      <x:c r="F13" s="167" t="n">
        <x:v>0.0001</x:v>
      </x:c>
      <x:c r="G13" s="48" t="str">
        <x:f>IF('Student Calculations'!C13="","OPTIONAL",IF(COUNT(C13:D13)&lt;2,"WAITING",IF(ABS(E13)&lt;=F13,"PASS","REVIEW")))</x:f>
        <x:v>OPTIONAL</x:v>
      </x:c>
      <x:c r="H13" s="70" t="str">
        <x:v>ROA should equal net margin × asset turnover when average assets match.</x:v>
      </x:c>
    </x:row>
    <x:row r="14" ht="32" customHeight="1">
      <x:c r="A14" s="91" t="str">
        <x:v>DuPont ROE reconciliation</x:v>
      </x:c>
      <x:c r="B14" s="90" t="str">
        <x:v>TechStyle</x:v>
      </x:c>
      <x:c r="C14" s="167" t="str">
        <x:f>IF('DuPont &amp; Driver'!B14="","",'DuPont &amp; Driver'!B14)</x:f>
      </x:c>
      <x:c r="D14" s="167" t="str">
        <x:f>IF('DuPont &amp; Driver'!B15="","",'DuPont &amp; Driver'!B15)</x:f>
      </x:c>
      <x:c r="E14" s="167" t="str">
        <x:f>IF(OR(C14="",D14=""),"",C14-D14)</x:f>
      </x:c>
      <x:c r="F14" s="167" t="n">
        <x:v>0.0001</x:v>
      </x:c>
      <x:c r="G14" s="48" t="str">
        <x:f>IF(COUNT(C14:D14)&lt;2,"WAITING",IF(ABS(E14)&lt;=F14,"PASS","REVIEW"))</x:f>
        <x:v>WAITING</x:v>
      </x:c>
      <x:c r="H14" s="70" t="str">
        <x:v>DuPont ROE should equal direct ROE.</x:v>
      </x:c>
    </x:row>
    <x:row r="15" ht="32" customHeight="1">
      <x:c r="A15" s="101" t="str">
        <x:v>DuPont ROE reconciliation</x:v>
      </x:c>
      <x:c r="B15" s="212" t="str">
        <x:v>Urban</x:v>
      </x:c>
      <x:c r="C15" s="172" t="str">
        <x:f>IF('DuPont &amp; Driver'!C14="","",'DuPont &amp; Driver'!C14)</x:f>
      </x:c>
      <x:c r="D15" s="172" t="str">
        <x:f>IF('DuPont &amp; Driver'!C15="","",'DuPont &amp; Driver'!C15)</x:f>
      </x:c>
      <x:c r="E15" s="172" t="str">
        <x:f>IF(OR(C15="",D15=""),"",C15-D15)</x:f>
      </x:c>
      <x:c r="F15" s="172" t="n">
        <x:v>0.0001</x:v>
      </x:c>
      <x:c r="G15" s="213" t="str">
        <x:f>IF(COUNT(C15:D15)&lt;2,"WAITING",IF(ABS(E15)&lt;=F15,"PASS","REVIEW"))</x:f>
        <x:v>WAITING</x:v>
      </x:c>
      <x:c r="H15" s="73" t="str">
        <x:v>DuPont ROE should equal direct ROE.</x:v>
      </x:c>
    </x:row>
    <x:row r="17" ht="23" customHeight="1">
      <x:c r="A17" s="10" t="str">
        <x:v>Concise driver-based recommendation</x:v>
      </x:c>
    </x:row>
    <x:row r="18" ht="48" customHeight="1">
      <x:c r="A18" s="215" t="str">
        <x:v>After class: write 4–6 sentences in A19. Compare the retailers using a profitability/DuPont driver, liquidity or leverage, interest coverage, the expense test, and a monitoring trigger.</x:v>
      </x:c>
      <x:c r="B18" s="216"/>
      <x:c r="C18" s="216"/>
      <x:c r="D18" s="216"/>
      <x:c r="E18" s="216"/>
      <x:c r="F18" s="216"/>
      <x:c r="G18" s="216"/>
      <x:c r="H18" s="217"/>
    </x:row>
    <x:row r="19">
      <x:c r="A19" s="218"/>
      <x:c r="B19" s="175"/>
      <x:c r="C19" s="175"/>
      <x:c r="D19" s="175"/>
      <x:c r="E19" s="175"/>
      <x:c r="F19" s="175"/>
      <x:c r="G19" s="175"/>
      <x:c r="H19" s="219"/>
    </x:row>
    <x:row r="20">
      <x:c r="A20" s="218"/>
      <x:c r="B20" s="175"/>
      <x:c r="C20" s="175"/>
      <x:c r="D20" s="175"/>
      <x:c r="E20" s="175"/>
      <x:c r="F20" s="175"/>
      <x:c r="G20" s="175"/>
      <x:c r="H20" s="219"/>
    </x:row>
    <x:row r="21">
      <x:c r="A21" s="218"/>
      <x:c r="B21" s="175"/>
      <x:c r="C21" s="175"/>
      <x:c r="D21" s="175"/>
      <x:c r="E21" s="175"/>
      <x:c r="F21" s="175"/>
      <x:c r="G21" s="175"/>
      <x:c r="H21" s="219"/>
    </x:row>
    <x:row r="22">
      <x:c r="A22" s="218"/>
      <x:c r="B22" s="175"/>
      <x:c r="C22" s="175"/>
      <x:c r="D22" s="175"/>
      <x:c r="E22" s="175"/>
      <x:c r="F22" s="175"/>
      <x:c r="G22" s="175"/>
      <x:c r="H22" s="219"/>
    </x:row>
    <x:row r="23">
      <x:c r="A23" s="220"/>
      <x:c r="B23" s="178"/>
      <x:c r="C23" s="178"/>
      <x:c r="D23" s="178"/>
      <x:c r="E23" s="178"/>
      <x:c r="F23" s="178"/>
      <x:c r="G23" s="178"/>
      <x:c r="H23" s="221"/>
    </x:row>
    <x:row r="25">
      <x:c r="A25" s="223" t="str">
        <x:v>PASS checks core completion and internal consistency, not the quality of the recommendation. Optional ratios may remain blank; illustrative references are not universal targets.</x:v>
      </x:c>
      <x:c r="B25" s="224"/>
      <x:c r="C25" s="224"/>
      <x:c r="D25" s="224"/>
      <x:c r="E25" s="224"/>
      <x:c r="F25" s="224"/>
      <x:c r="G25" s="224"/>
      <x:c r="H25" s="225"/>
    </x:row>
    <x:row r="26">
      <x:c r="A26" s="226"/>
      <x:c r="B26" s="227"/>
      <x:c r="C26" s="227"/>
      <x:c r="D26" s="227"/>
      <x:c r="E26" s="227"/>
      <x:c r="F26" s="227"/>
      <x:c r="G26" s="227"/>
      <x:c r="H26" s="228"/>
    </x:row>
  </x:sheetData>
  <x:mergeCells>
    <x:mergeCell ref="A1:H1"/>
    <x:mergeCell ref="A2:H2"/>
    <x:mergeCell ref="B4:D4"/>
    <x:mergeCell ref="A6:H6"/>
    <x:mergeCell ref="A17:H17"/>
    <x:mergeCell ref="A18:H18"/>
    <x:mergeCell ref="A19:H23"/>
    <x:mergeCell ref="A25:H26"/>
  </x:mergeCells>
  <x:conditionalFormatting sqref="B4:D4">
    <x:cfRule type="containsText" dxfId="0" priority="1" operator="containsText" text="PASS"/>
    <x:cfRule type="containsText" dxfId="1" priority="2" operator="containsText" text="WAITING"/>
    <x:cfRule type="containsText" dxfId="2" priority="3" operator="containsText" text="REVIEW"/>
  </x:conditionalFormatting>
  <x:conditionalFormatting sqref="G8:G15">
    <x:cfRule type="containsText" dxfId="3" priority="4" operator="containsText" text="PASS"/>
    <x:cfRule type="containsText" dxfId="4" priority="5" operator="containsText" text="WAITING"/>
    <x:cfRule type="containsText" dxfId="5" priority="6" operator="containsText" text="REVIEW"/>
  </x:conditionalFormatting>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0" hidden="0" customWidth="1"/>
    <x:col min="2" max="2" width="44" hidden="0" customWidth="1"/>
    <x:col min="3" max="3" width="28" hidden="0" customWidth="1"/>
    <x:col min="4" max="4" width="48" hidden="0" customWidth="1"/>
  </x:cols>
  <x:sheetData>
    <x:row r="1" ht="32" customHeight="1">
      <x:c r="A1" s="3" t="str">
        <x:v>Ratio Analysis and Corporate Performance</x:v>
      </x:c>
    </x:row>
    <x:row r="2" ht="28" customHeight="1">
      <x:c r="A2" s="7" t="str">
        <x:v>BUS311 · intro-m04-l01 · supplied-data practice</x:v>
      </x:c>
    </x:row>
    <x:row r="4" ht="23" customHeight="1">
      <x:c r="A4" s="10" t="str">
        <x:v>Required workflow</x:v>
      </x:c>
    </x:row>
    <x:row r="5">
      <x:c r="A5" s="28" t="str">
        <x:v>Step</x:v>
      </x:c>
      <x:c r="B5" s="30" t="str">
        <x:v>Required action</x:v>
      </x:c>
    </x:row>
    <x:row r="6" ht="62" customHeight="1">
      <x:c r="A6" s="230" t="n">
        <x:v>1</x:v>
      </x:c>
      <x:c r="B6" s="70" t="str">
        <x:v>In class: calculate the five ratios on Class Practice and review DuPont.</x:v>
      </x:c>
    </x:row>
    <x:row r="7" ht="62" customHeight="1">
      <x:c r="A7" s="230" t="n">
        <x:v>2</x:v>
      </x:c>
      <x:c r="B7" s="70" t="str">
        <x:v>In class: complete all eight CORE ratios for both retailers, the expense test, and dashboard review.</x:v>
      </x:c>
    </x:row>
    <x:row r="8" ht="62" customHeight="1">
      <x:c r="A8" s="230" t="n">
        <x:v>3</x:v>
      </x:c>
      <x:c r="B8" s="70" t="str">
        <x:v>In class: reconcile DuPont ROE, predict the expense change, then run the test in B20.</x:v>
      </x:c>
    </x:row>
    <x:row r="9" ht="62" customHeight="1">
      <x:c r="A9" s="230" t="n">
        <x:v>4</x:v>
      </x:c>
      <x:c r="B9" s="70" t="str">
        <x:v>In class: compare the linked Ratio Dashboard and identify evidence for a recommendation.</x:v>
      </x:c>
    </x:row>
    <x:row r="10" ht="62" customHeight="1">
      <x:c r="A10" s="231" t="n">
        <x:v>5</x:v>
      </x:c>
      <x:c r="B10" s="73" t="str">
        <x:v>After class: finish Class Practice A21, DuPont &amp; Driver B29, and Checks &amp; Recommendation A19. Review checks and submit one workbook to Canvas.</x:v>
      </x:c>
    </x:row>
    <x:row r="12" ht="23" customHeight="1">
      <x:c r="A12" s="10" t="str">
        <x:v>Supplied case data / reference documentation</x:v>
      </x:c>
    </x:row>
    <x:row r="13">
      <x:c r="A13" s="28" t="str">
        <x:v>Input</x:v>
      </x:c>
      <x:c r="B13" s="29" t="str">
        <x:v>Field / definition</x:v>
      </x:c>
      <x:c r="C13" s="29" t="str">
        <x:v>Period / units</x:v>
      </x:c>
      <x:c r="D13" s="30" t="str">
        <x:v>Source note</x:v>
      </x:c>
    </x:row>
    <x:row r="14" ht="40" customHeight="1">
      <x:c r="A14" s="91" t="str">
        <x:v>Company identifiers</x:v>
      </x:c>
      <x:c r="B14" s="174" t="str">
        <x:v>TechStyle Retail and Urban Goods: fictional classroom cases</x:v>
      </x:c>
      <x:c r="C14" s="174"/>
      <x:c r="D14" s="232"/>
    </x:row>
    <x:row r="15" ht="40" customHeight="1">
      <x:c r="A15" s="91" t="str">
        <x:v>Balance-sheet values</x:v>
      </x:c>
      <x:c r="B15" s="174" t="str">
        <x:v>Company Data: supplied year-end balances</x:v>
      </x:c>
      <x:c r="C15" s="174"/>
      <x:c r="D15" s="232"/>
    </x:row>
    <x:row r="16" ht="40" customHeight="1">
      <x:c r="A16" s="91" t="str">
        <x:v>Income-statement values</x:v>
      </x:c>
      <x:c r="B16" s="174" t="str">
        <x:v>Company Data: supplied annual income statements</x:v>
      </x:c>
      <x:c r="C16" s="174"/>
      <x:c r="D16" s="232"/>
    </x:row>
    <x:row r="17" ht="40" customHeight="1">
      <x:c r="A17" s="91" t="str">
        <x:v>Debt definition</x:v>
      </x:c>
      <x:c r="B17" s="174" t="str">
        <x:v>Short-term debt + long-term debt</x:v>
      </x:c>
      <x:c r="C17" s="174"/>
      <x:c r="D17" s="232"/>
    </x:row>
    <x:row r="18" ht="40" customHeight="1">
      <x:c r="A18" s="101" t="str">
        <x:v>Comparison benchmark</x:v>
      </x:c>
      <x:c r="B18" s="233" t="str">
        <x:v>Illustrative classroom references; not observed industry averages</x:v>
      </x:c>
      <x:c r="C18" s="233"/>
      <x:c r="D18" s="234"/>
    </x:row>
    <x:row r="20" ht="23" customHeight="1">
      <x:c r="A20" s="10" t="str">
        <x:v>Decision evidence checklist</x:v>
      </x:c>
    </x:row>
    <x:row r="21">
      <x:c r="A21" s="28" t="str">
        <x:v>Evidence</x:v>
      </x:c>
      <x:c r="B21" s="29" t="str">
        <x:v>Required response</x:v>
      </x:c>
      <x:c r="C21" s="29"/>
      <x:c r="D21" s="30"/>
    </x:row>
    <x:row r="22">
      <x:c r="A22" s="91" t="str">
        <x:v>Profitability / DuPont driver</x:v>
      </x:c>
      <x:c r="B22" s="174"/>
      <x:c r="C22" s="174"/>
      <x:c r="D22" s="232"/>
    </x:row>
    <x:row r="23">
      <x:c r="A23" s="91" t="str">
        <x:v>Liquidity or leverage trade-off</x:v>
      </x:c>
      <x:c r="B23" s="174"/>
      <x:c r="C23" s="174"/>
      <x:c r="D23" s="232"/>
    </x:row>
    <x:row r="24">
      <x:c r="A24" s="91" t="str">
        <x:v>Operating-driver test</x:v>
      </x:c>
      <x:c r="B24" s="174"/>
      <x:c r="C24" s="174"/>
      <x:c r="D24" s="232"/>
    </x:row>
    <x:row r="25">
      <x:c r="A25" s="101" t="str">
        <x:v>Risk and monitoring trigger</x:v>
      </x:c>
      <x:c r="B25" s="233"/>
      <x:c r="C25" s="233"/>
      <x:c r="D25" s="234"/>
    </x:row>
    <x:row r="27">
      <x:c r="A27" s="223" t="str">
        <x:v>No FactSet retrieval is required for M04. A later real-company extension would require company, field, period, currency, units, and retrieval date. Lemonade is reserved for later use.</x:v>
      </x:c>
      <x:c r="B27" s="224"/>
      <x:c r="C27" s="224"/>
      <x:c r="D27" s="225"/>
    </x:row>
    <x:row r="28">
      <x:c r="A28" s="226"/>
      <x:c r="B28" s="227"/>
      <x:c r="C28" s="227"/>
      <x:c r="D28" s="228"/>
    </x:row>
  </x:sheetData>
  <x:mergeCells>
    <x:mergeCell ref="A1:D1"/>
    <x:mergeCell ref="A2:D2"/>
    <x:mergeCell ref="A4:D4"/>
    <x:mergeCell ref="A12:D12"/>
    <x:mergeCell ref="A20:D20"/>
    <x:mergeCell ref="B22:D22"/>
    <x:mergeCell ref="B23:D23"/>
    <x:mergeCell ref="B24:D24"/>
    <x:mergeCell ref="B25:D25"/>
    <x:mergeCell ref="A27:D28"/>
  </x:mergeCells>
  <x:pageMargins left="0.7" right="0.7" top="0.75" bottom="0.75" header="0.3" footer="0.3"/>
</x:worksheet>
</file>