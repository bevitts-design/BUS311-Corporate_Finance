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91f334c9d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1b5ceddb101428d"/>
    <x:sheet xmlns:r="http://schemas.openxmlformats.org/officeDocument/2006/relationships" name="Class Practice" sheetId="8" r:id="Rfed5955485f74439"/>
    <x:sheet xmlns:r="http://schemas.openxmlformats.org/officeDocument/2006/relationships" name="Company Data" sheetId="2" r:id="Rfaa76ee0da3545dc"/>
    <x:sheet xmlns:r="http://schemas.openxmlformats.org/officeDocument/2006/relationships" name="Student Calculations" sheetId="3" r:id="R5c75078c7551405b"/>
    <x:sheet xmlns:r="http://schemas.openxmlformats.org/officeDocument/2006/relationships" name="DuPont &amp; Driver" sheetId="4" r:id="R8fee8ed6ebd84027"/>
    <x:sheet xmlns:r="http://schemas.openxmlformats.org/officeDocument/2006/relationships" name="Ratio Dashboard" sheetId="5" r:id="R01b9735ffe2d4dc6"/>
    <x:sheet xmlns:r="http://schemas.openxmlformats.org/officeDocument/2006/relationships" name="Checks &amp; Recommendation" sheetId="6" r:id="Ra86f998e0ae84e67"/>
    <x:sheet xmlns:r="http://schemas.openxmlformats.org/officeDocument/2006/relationships" name="BUS311 Guide" sheetId="7" r:id="Rde0ee913d44d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&quot;$&quot;#,##0;[Red](&quot;$&quot;#,##0);-"/>
    <x:numFmt numFmtId="201" formatCode="0.0%;[Red](0.0%);-"/>
    <x:numFmt numFmtId="202" formatCode="0.00x;[Red](0.00x);-"/>
    <x:numFmt numFmtId="203" formatCode="0.00%;[Red](0.00%);-"/>
    <x:numFmt numFmtId="204" formatCode="0.00&quot;x&quot;"/>
    <x:numFmt numFmtId="205" formatCode="$#,##0"/>
    <x:numFmt numFmtId="206" formatCode="0.0%"/>
  </x:numFmts>
  <x:fonts count="1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5E6878"/>
      <x:name val="Carlito"/>
    </x:font>
    <x:font>
      <x:b/>
      <x:sz val="11"/>
      <x:color rgb="FF17243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name val="Carlito"/>
    </x:font>
    <x:font>
      <x:sz val="11"/>
      <x:color rgb="FF172033"/>
      <x:name val="Carlito"/>
    </x:font>
    <x:font>
      <x:b/>
      <x:sz val="11"/>
      <x:color rgb="FF0000FF"/>
      <x:name val="Carlito"/>
    </x:font>
    <x:font>
      <x:b/>
      <x:sz val="11"/>
      <x:color rgb="FF172033"/>
      <x:name val="Carlito"/>
    </x:font>
    <x:font>
      <x:b/>
      <x:sz val="11"/>
      <x:color rgb="FF008000"/>
      <x:name val="Carlito"/>
    </x:font>
    <x:font>
      <x:sz val="11"/>
      <x:name val="Arial"/>
    </x:font>
    <x:font>
      <x:b/>
      <x:sz val="16"/>
      <x:color rgb="FFFFFFFF"/>
      <x:name val="Arial"/>
    </x:font>
    <x:font>
      <x:sz val="11"/>
      <x:color rgb="FF0000FF"/>
      <x:name val="Arial"/>
    </x:font>
    <x:font>
      <x:b/>
      <x:sz val="11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7243F"/>
      </x:patternFill>
    </x:fill>
    <x:fill>
      <x:patternFill patternType="solid">
        <x:fgColor rgb="FFF7F4ED"/>
      </x:patternFill>
    </x:fill>
    <x:fill>
      <x:patternFill patternType="solid">
        <x:fgColor rgb="FFA34A2A"/>
      </x:patternFill>
    </x:fill>
    <x:fill>
      <x:patternFill patternType="solid">
        <x:fgColor rgb="FFFFFFFF"/>
      </x:patternFill>
    </x:fill>
    <x:fill>
      <x:patternFill patternType="solid">
        <x:fgColor rgb="FFD9E8F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DCA94A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92640"/>
      </x:patternFill>
    </x:fill>
    <x:fill>
      <x:patternFill patternType="solid">
        <x:fgColor rgb="FFDCE8F3"/>
      </x:patternFill>
    </x:fill>
  </x:fills>
  <x:borders count="16">
    <x:border/>
    <x:border>
      <x:left style="thin">
        <x:color rgb="FFC9CED6"/>
      </x:left>
      <x:top style="thin">
        <x:color rgb="FFC9CED6"/>
      </x:top>
    </x:border>
    <x:border>
      <x:top style="thin">
        <x:color rgb="FFC9CED6"/>
      </x:top>
    </x:border>
    <x:border>
      <x:right style="thin">
        <x:color rgb="FFC9CED6"/>
      </x:right>
      <x:top style="thin">
        <x:color rgb="FFC9CED6"/>
      </x:top>
    </x:border>
    <x:border>
      <x:left style="thin">
        <x:color rgb="FFC9CED6"/>
      </x:left>
      <x:bottom style="thin">
        <x:color rgb="FFC9CED6"/>
      </x:bottom>
    </x:border>
    <x:border>
      <x:bottom style="thin">
        <x:color rgb="FFC9CED6"/>
      </x:bottom>
    </x:border>
    <x:border>
      <x:right style="thin">
        <x:color rgb="FFC9CED6"/>
      </x:right>
      <x:bottom style="thin">
        <x:color rgb="FFC9CED6"/>
      </x:bottom>
    </x:border>
    <x:border>
      <x:bottom style="thin">
        <x:color rgb="FF355773"/>
      </x:bottom>
    </x:border>
    <x:border>
      <x:left style="thin">
        <x:color rgb="FFC9CED6"/>
      </x:left>
      <x:top style="thin">
        <x:color rgb="FFC9CED6"/>
      </x:top>
      <x:bottom style="thin">
        <x:color rgb="FF355773"/>
      </x:bottom>
    </x:border>
    <x:border>
      <x:top style="thin">
        <x:color rgb="FFC9CED6"/>
      </x:top>
      <x:bottom style="thin">
        <x:color rgb="FF355773"/>
      </x:bottom>
    </x:border>
    <x:border>
      <x:right style="thin">
        <x:color rgb="FFC9CED6"/>
      </x:right>
      <x:top style="thin">
        <x:color rgb="FFC9CED6"/>
      </x:top>
      <x:bottom style="thin">
        <x:color rgb="FF355773"/>
      </x:bottom>
    </x:border>
    <x:border>
      <x:left style="thin">
        <x:color rgb="FFC9CED6"/>
      </x:left>
    </x:border>
    <x:border>
      <x:right style="thin">
        <x:color rgb="FFC9CED6"/>
      </x:right>
    </x:border>
    <x:border>
      <x:left style="thin">
        <x:color rgb="FFC9CED6"/>
      </x:left>
      <x:top style="thin">
        <x:color rgb="FFC9CED6"/>
      </x:top>
      <x:bottom style="thin">
        <x:color rgb="FFC9CED6"/>
      </x:bottom>
    </x:border>
    <x:border>
      <x:top style="thin">
        <x:color rgb="FFC9CED6"/>
      </x:top>
      <x:bottom style="thin">
        <x:color rgb="FFC9CED6"/>
      </x:bottom>
    </x:border>
    <x:border>
      <x:right style="thin">
        <x:color rgb="FFC9CED6"/>
      </x:right>
      <x:top style="thin">
        <x:color rgb="FFC9CED6"/>
      </x:top>
      <x:bottom style="thin">
        <x:color rgb="FFC9CED6"/>
      </x:bottom>
    </x:border>
  </x:borders>
  <x:cellStyleXfs count="1">
    <x:xf numFmtId="0" fontId="0" fillId="0" borderId="0"/>
  </x:cellStyleXfs>
  <x:cellXfs count="2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7" xfId="0" applyNumberFormat="1" applyFont="1" applyFill="1" applyBorder="1"/>
    <x:xf numFmtId="0" fontId="3" fillId="6" borderId="7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3" fillId="6" borderId="8" xfId="0" applyNumberFormat="1" applyFont="1" applyFill="1" applyBorder="1" applyAlignment="1">
      <x:alignment vertical="center" wrapText="1"/>
    </x:xf>
    <x:xf numFmtId="0" fontId="3" fillId="6" borderId="9" xfId="0" applyNumberFormat="1" applyFont="1" applyFill="1" applyBorder="1" applyAlignment="1">
      <x:alignment vertical="center" wrapText="1"/>
    </x:xf>
    <x:xf numFmtId="0" fontId="3" fillId="6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5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4" fillId="7" borderId="1" xfId="0" applyNumberFormat="1" applyFont="1" applyFill="1" applyBorder="1"/>
    <x:xf numFmtId="0" fontId="0" fillId="0" borderId="3" xfId="0" applyNumberFormat="1" applyFont="1" applyFill="1" applyBorder="1"/>
    <x:xf numFmtId="0" fontId="4" fillId="8" borderId="11" xfId="0" applyNumberFormat="1" applyFont="1" applyFill="1" applyBorder="1"/>
    <x:xf numFmtId="0" fontId="0" fillId="0" borderId="12" xfId="0" applyNumberFormat="1" applyFont="1" applyFill="1" applyBorder="1"/>
    <x:xf numFmtId="0" fontId="5" fillId="0" borderId="11" xfId="0" applyNumberFormat="1" applyFont="1" applyFill="1" applyBorder="1"/>
    <x:xf numFmtId="0" fontId="6" fillId="9" borderId="4" xfId="0" applyNumberFormat="1" applyFont="1" applyFill="1" applyBorder="1"/>
    <x:xf numFmtId="0" fontId="0" fillId="0" borderId="6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horizontal="right" vertical="center" wrapText="1"/>
    </x:xf>
    <x:xf numFmtId="200" fontId="4" fillId="7" borderId="0" xfId="0" applyNumberFormat="1" applyFont="1" applyFill="1" applyBorder="1"/>
    <x:xf numFmtId="0" fontId="7" fillId="9" borderId="0" xfId="0" applyNumberFormat="1" applyFont="1" applyFill="1" applyBorder="1"/>
    <x:xf numFmtId="200" fontId="7" fillId="9" borderId="0" xfId="0" applyNumberFormat="1" applyFont="1" applyFill="1" applyBorder="1"/>
    <x:xf numFmtId="201" fontId="7" fillId="9" borderId="0" xfId="0" applyNumberFormat="1" applyFont="1" applyFill="1" applyBorder="1"/>
    <x:xf numFmtId="0" fontId="0" fillId="0" borderId="2" xfId="0" applyNumberFormat="1" applyFont="1" applyFill="1" applyBorder="1"/>
    <x:xf numFmtId="200" fontId="7" fillId="9" borderId="2" xfId="0" applyNumberFormat="1" applyFont="1" applyFill="1" applyBorder="1"/>
    <x:xf numFmtId="0" fontId="6" fillId="0" borderId="0" xfId="0" applyNumberFormat="1" applyFont="1" applyFill="1" applyBorder="1"/>
    <x:xf numFmtId="200" fontId="8" fillId="7" borderId="0" xfId="0" applyNumberFormat="1" applyFont="1" applyFill="1" applyBorder="1"/>
    <x:xf numFmtId="0" fontId="6" fillId="0" borderId="2" xfId="0" applyNumberFormat="1" applyFont="1" applyFill="1" applyBorder="1"/>
    <x:xf numFmtId="200" fontId="9" fillId="9" borderId="2" xfId="0" applyNumberFormat="1" applyFont="1" applyFill="1" applyBorder="1"/>
    <x:xf numFmtId="200" fontId="9" fillId="9" borderId="0" xfId="0" applyNumberFormat="1" applyFont="1" applyFill="1" applyBorder="1"/>
    <x:xf numFmtId="201" fontId="9" fillId="9" borderId="0" xfId="0" applyNumberFormat="1" applyFont="1" applyFill="1" applyBorder="1"/>
    <x:xf numFmtId="0" fontId="3" fillId="6" borderId="9" xfId="0" applyNumberFormat="1" applyFont="1" applyFill="1" applyBorder="1" applyAlignment="1">
      <x:alignment horizontal="right" vertical="center" wrapText="1"/>
    </x:xf>
    <x:xf numFmtId="0" fontId="3" fillId="6" borderId="10" xfId="0" applyNumberFormat="1" applyFont="1" applyFill="1" applyBorder="1" applyAlignment="1">
      <x:alignment horizontal="right" vertical="center" wrapText="1"/>
    </x:xf>
    <x:xf numFmtId="0" fontId="1" fillId="4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200" fontId="4" fillId="7" borderId="12" xfId="0" applyNumberFormat="1" applyFont="1" applyFill="1" applyBorder="1"/>
    <x:xf numFmtId="0" fontId="6" fillId="0" borderId="11" xfId="0" applyNumberFormat="1" applyFont="1" applyFill="1" applyBorder="1"/>
    <x:xf numFmtId="200" fontId="8" fillId="7" borderId="12" xfId="0" applyNumberFormat="1" applyFont="1" applyFill="1" applyBorder="1"/>
    <x:xf numFmtId="0" fontId="6" fillId="0" borderId="1" xfId="0" applyNumberFormat="1" applyFont="1" applyFill="1" applyBorder="1"/>
    <x:xf numFmtId="200" fontId="9" fillId="9" borderId="3" xfId="0" applyNumberFormat="1" applyFont="1" applyFill="1" applyBorder="1"/>
    <x:xf numFmtId="0" fontId="6" fillId="0" borderId="4" xfId="0" applyNumberFormat="1" applyFont="1" applyFill="1" applyBorder="1"/>
    <x:xf numFmtId="200" fontId="8" fillId="7" borderId="5" xfId="0" applyNumberFormat="1" applyFont="1" applyFill="1" applyBorder="1"/>
    <x:xf numFmtId="200" fontId="8" fillId="7" borderId="6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200" fontId="4" fillId="7" borderId="5" xfId="0" applyNumberFormat="1" applyFont="1" applyFill="1" applyBorder="1"/>
    <x:xf numFmtId="200" fontId="4" fillId="7" borderId="6" xfId="0" applyNumberFormat="1" applyFont="1" applyFill="1" applyBorder="1"/>
    <x:xf numFmtId="200" fontId="9" fillId="9" borderId="12" xfId="0" applyNumberFormat="1" applyFont="1" applyFill="1" applyBorder="1"/>
    <x:xf numFmtId="201" fontId="9" fillId="9" borderId="5" xfId="0" applyNumberFormat="1" applyFont="1" applyFill="1" applyBorder="1"/>
    <x:xf numFmtId="201" fontId="9" fillId="9" borderId="6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0" fontId="4" fillId="7" borderId="0" xfId="0" applyNumberFormat="1" applyFont="1" applyFill="1" applyBorder="1" applyAlignment="1">
      <x:alignment vertical="center"/>
    </x:xf>
    <x:xf numFmtId="200" fontId="4" fillId="7" borderId="12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200" fontId="8" fillId="7" borderId="0" xfId="0" applyNumberFormat="1" applyFont="1" applyFill="1" applyBorder="1" applyAlignment="1">
      <x:alignment vertical="center"/>
    </x:xf>
    <x:xf numFmtId="200" fontId="8" fillId="7" borderId="12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9" fillId="9" borderId="2" xfId="0" applyNumberFormat="1" applyFont="1" applyFill="1" applyBorder="1" applyAlignment="1">
      <x:alignment vertical="center"/>
    </x:xf>
    <x:xf numFmtId="200" fontId="9" fillId="9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0" fontId="8" fillId="7" borderId="5" xfId="0" applyNumberFormat="1" applyFont="1" applyFill="1" applyBorder="1" applyAlignment="1">
      <x:alignment vertical="center"/>
    </x:xf>
    <x:xf numFmtId="200" fontId="8" fillId="7" borderId="6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4" fillId="7" borderId="5" xfId="0" applyNumberFormat="1" applyFont="1" applyFill="1" applyBorder="1" applyAlignment="1">
      <x:alignment vertical="center"/>
    </x:xf>
    <x:xf numFmtId="200" fontId="4" fillId="7" borderId="6" xfId="0" applyNumberFormat="1" applyFont="1" applyFill="1" applyBorder="1" applyAlignment="1">
      <x:alignment vertical="center"/>
    </x:xf>
    <x:xf numFmtId="200" fontId="9" fillId="9" borderId="0" xfId="0" applyNumberFormat="1" applyFont="1" applyFill="1" applyBorder="1" applyAlignment="1">
      <x:alignment vertical="center"/>
    </x:xf>
    <x:xf numFmtId="200" fontId="9" fillId="9" borderId="12" xfId="0" applyNumberFormat="1" applyFont="1" applyFill="1" applyBorder="1" applyAlignment="1">
      <x:alignment vertical="center"/>
    </x:xf>
    <x:xf numFmtId="201" fontId="9" fillId="9" borderId="5" xfId="0" applyNumberFormat="1" applyFont="1" applyFill="1" applyBorder="1" applyAlignment="1">
      <x:alignment vertical="center"/>
    </x:xf>
    <x:xf numFmtId="201" fontId="9" fillId="9" borderId="6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8" borderId="0" xfId="0" applyNumberFormat="1" applyFont="1" applyFill="1" applyBorder="1"/>
    <x:xf numFmtId="202" fontId="4" fillId="8" borderId="0" xfId="0" applyNumberFormat="1" applyFont="1" applyFill="1" applyBorder="1"/>
    <x:xf numFmtId="201" fontId="0" fillId="0" borderId="0" xfId="0" applyNumberFormat="1" applyFont="1" applyFill="1" applyBorder="1"/>
    <x:xf numFmtId="201" fontId="0" fillId="8" borderId="0" xfId="0" applyNumberFormat="1" applyFont="1" applyFill="1" applyBorder="1"/>
    <x:xf numFmtId="201" fontId="4" fillId="8" borderId="0" xfId="0" applyNumberFormat="1" applyFont="1" applyFill="1" applyBorder="1"/>
    <x:xf numFmtId="202" fontId="4" fillId="8" borderId="5" xfId="0" applyNumberFormat="1" applyFont="1" applyFill="1" applyBorder="1"/>
    <x:xf numFmtId="202" fontId="0" fillId="0" borderId="5" xfId="0" applyNumberFormat="1" applyFont="1" applyFill="1" applyBorder="1"/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3" fillId="6" borderId="9" xfId="0" applyNumberFormat="1" applyFont="1" applyFill="1" applyBorder="1" applyAlignment="1">
      <x:alignment horizontal="left" vertical="center" wrapText="1"/>
    </x:xf>
    <x:xf numFmtId="0" fontId="3" fillId="6" borderId="10" xfId="0" applyNumberFormat="1" applyFont="1" applyFill="1" applyBorder="1" applyAlignment="1">
      <x:alignment horizontal="left" vertical="center" wrapText="1"/>
    </x:xf>
    <x:xf numFmtId="202" fontId="4" fillId="8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4" fillId="8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4" fillId="8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/>
    <x:xf numFmtId="200" fontId="5" fillId="9" borderId="0" xfId="0" applyNumberFormat="1" applyFont="1" applyFill="1" applyBorder="1"/>
    <x:xf numFmtId="200" fontId="5" fillId="9" borderId="5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9" fillId="0" borderId="0" xfId="0" applyNumberFormat="1" applyFont="1" applyFill="1" applyBorder="1"/>
    <x:xf numFmtId="203" fontId="9" fillId="0" borderId="0" xfId="0" applyNumberFormat="1" applyFont="1" applyFill="1" applyBorder="1"/>
    <x:xf numFmtId="203" fontId="10" fillId="0" borderId="0" xfId="0" applyNumberFormat="1" applyFont="1" applyFill="1" applyBorder="1"/>
    <x:xf numFmtId="0" fontId="9" fillId="0" borderId="11" xfId="0" applyNumberFormat="1" applyFont="1" applyFill="1" applyBorder="1"/>
    <x:xf numFmtId="203" fontId="5" fillId="0" borderId="5" xfId="0" applyNumberFormat="1" applyFont="1" applyFill="1" applyBorder="1"/>
    <x:xf numFmtId="200" fontId="5" fillId="0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4" fillId="8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202" fontId="5" fillId="10" borderId="0" xfId="0" applyNumberFormat="1" applyFont="1" applyFill="1" applyBorder="1"/>
    <x:xf numFmtId="202" fontId="5" fillId="10" borderId="12" xfId="0" applyNumberFormat="1" applyFont="1" applyFill="1" applyBorder="1"/>
    <x:xf numFmtId="202" fontId="5" fillId="10" borderId="5" xfId="0" applyNumberFormat="1" applyFont="1" applyFill="1" applyBorder="1"/>
    <x:xf numFmtId="202" fontId="5" fillId="10" borderId="6" xfId="0" applyNumberFormat="1" applyFont="1" applyFill="1" applyBorder="1"/>
    <x:xf numFmtId="201" fontId="5" fillId="10" borderId="0" xfId="0" applyNumberFormat="1" applyFont="1" applyFill="1" applyBorder="1"/>
    <x:xf numFmtId="201" fontId="5" fillId="10" borderId="12" xfId="0" applyNumberFormat="1" applyFont="1" applyFill="1" applyBorder="1"/>
    <x:xf numFmtId="201" fontId="5" fillId="10" borderId="5" xfId="0" applyNumberFormat="1" applyFont="1" applyFill="1" applyBorder="1"/>
    <x:xf numFmtId="201" fontId="5" fillId="10" borderId="6" xfId="0" applyNumberFormat="1" applyFont="1" applyFill="1" applyBorder="1"/>
    <x:xf numFmtId="203" fontId="0" fillId="0" borderId="0" xfId="0" applyNumberFormat="1" applyFont="1" applyFill="1" applyBorder="1"/>
    <x:xf numFmtId="201" fontId="0" fillId="10" borderId="0" xfId="0" applyNumberFormat="1" applyFont="1" applyFill="1" applyBorder="1"/>
    <x:xf numFmtId="202" fontId="0" fillId="10" borderId="0" xfId="0" applyNumberFormat="1" applyFont="1" applyFill="1" applyBorder="1"/>
    <x:xf numFmtId="203" fontId="0" fillId="10" borderId="0" xfId="0" applyNumberFormat="1" applyFont="1" applyFill="1" applyBorder="1"/>
    <x:xf numFmtId="203" fontId="5" fillId="10" borderId="0" xfId="0" applyNumberFormat="1" applyFont="1" applyFill="1" applyBorder="1"/>
    <x:xf numFmtId="203" fontId="5" fillId="10" borderId="5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3" xfId="0" applyNumberFormat="1" applyFont="1" applyFill="1" applyBorder="1" applyAlignment="1">
      <x:alignment vertical="top" wrapText="1"/>
    </x:xf>
    <x:xf numFmtId="0" fontId="7" fillId="3" borderId="11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5" fillId="0" borderId="5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4" fillId="8" borderId="11" xfId="0" applyNumberFormat="1" applyFont="1" applyFill="1" applyBorder="1" applyAlignment="1">
      <x:alignment vertical="top" wrapText="1"/>
    </x:xf>
    <x:xf numFmtId="0" fontId="4" fillId="8" borderId="12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4" fillId="8" borderId="12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202" fontId="4" fillId="12" borderId="0" xfId="0" applyNumberFormat="1" applyFont="1" applyFill="1" applyBorder="1" applyAlignment="1">
      <x:alignment vertical="center"/>
    </x:xf>
    <x:xf numFmtId="201" fontId="4" fillId="12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13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11" fillId="0" borderId="0" xfId="0" applyNumberFormat="1" applyFont="1" applyFill="1" applyBorder="1"/>
    <x:xf numFmtId="0" fontId="11" fillId="14" borderId="0" xfId="0" applyNumberFormat="1" applyFont="1" applyFill="1" applyBorder="1"/>
    <x:xf numFmtId="0" fontId="12" fillId="14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/>
    <x:xf numFmtId="0" fontId="13" fillId="15" borderId="0" xfId="0" applyNumberFormat="1" applyFont="1" applyFill="1" applyBorder="1"/>
    <x:xf numFmtId="205" fontId="13" fillId="15" borderId="0" xfId="0" applyNumberFormat="1" applyFont="1" applyFill="1" applyBorder="1"/>
    <x:xf numFmtId="0" fontId="11" fillId="13" borderId="0" xfId="0" applyNumberFormat="1" applyFont="1" applyFill="1" applyBorder="1"/>
    <x:xf numFmtId="204" fontId="11" fillId="13" borderId="0" xfId="0" applyNumberFormat="1" applyFont="1" applyFill="1" applyBorder="1"/>
    <x:xf numFmtId="206" fontId="11" fillId="13" borderId="0" xfId="0" applyNumberFormat="1" applyFont="1" applyFill="1" applyBorder="1"/>
    <x:xf numFmtId="206" fontId="11" fillId="0" borderId="0" xfId="0" applyNumberFormat="1" applyFont="1" applyFill="1" applyBorder="1"/>
    <x:xf numFmtId="204" fontId="11" fillId="0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vertical="top" wrapText="1"/>
    </x:xf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B5E20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1B5E20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3e7cd32754dcd" /><Relationship Type="http://schemas.openxmlformats.org/officeDocument/2006/relationships/theme" Target="/xl/theme/theme1.xml" Id="R957eec22022247da" /><Relationship Type="http://schemas.openxmlformats.org/officeDocument/2006/relationships/sharedStrings" Target="/xl/sharedStrings.xml" Id="R07c0093fd9e54e8a" /><Relationship Type="http://schemas.openxmlformats.org/officeDocument/2006/relationships/worksheet" Target="/xl/worksheets/sheet1.xml" Id="R21b5ceddb101428d" /><Relationship Type="http://schemas.openxmlformats.org/officeDocument/2006/relationships/worksheet" Target="/xl/worksheets/sheet2.xml" Id="Rfaa76ee0da3545dc" /><Relationship Type="http://schemas.openxmlformats.org/officeDocument/2006/relationships/worksheet" Target="/xl/worksheets/sheet3.xml" Id="R5c75078c7551405b" /><Relationship Type="http://schemas.openxmlformats.org/officeDocument/2006/relationships/worksheet" Target="/xl/worksheets/sheet4.xml" Id="R8fee8ed6ebd84027" /><Relationship Type="http://schemas.openxmlformats.org/officeDocument/2006/relationships/worksheet" Target="/xl/worksheets/sheet5.xml" Id="R01b9735ffe2d4dc6" /><Relationship Type="http://schemas.openxmlformats.org/officeDocument/2006/relationships/worksheet" Target="/xl/worksheets/sheet6.xml" Id="Ra86f998e0ae84e67" /><Relationship Type="http://schemas.openxmlformats.org/officeDocument/2006/relationships/worksheet" Target="/xl/worksheets/sheet7.xml" Id="Rde0ee913d44d41f5" /><Relationship Type="http://schemas.openxmlformats.org/officeDocument/2006/relationships/worksheet" Target="/xl/worksheets/sheet8.xml" Id="Rfed5955485f744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" t="str">
        <x:v>BUS311 | Ratio Analysis and Corporate Performance</x:v>
      </x:c>
    </x:row>
    <x:row r="2" ht="46" customHeight="1">
      <x:c r="A2" s="7" t="str">
        <x:v>M04: Class Practice follows the slides. After class, compare two retailers using eight core ratios, DuPont, and one operating test.</x:v>
      </x:c>
    </x:row>
    <x:row r="4" ht="23" customHeight="1">
      <x:c r="A4" s="10" t="str">
        <x:v>Purpose and deliverable</x:v>
      </x:c>
    </x:row>
    <x:row r="5" ht="64" customHeight="1">
      <x:c r="A5" s="14" t="str">
        <x:v>In class: five ratios and a short brief on Class Practice. After class: eight core ratios per firm (16 formulas), an expense test, and a 4–6 sentence recommendation. Optional ratios are reference only.</x:v>
      </x:c>
      <x:c r="B5" s="15"/>
      <x:c r="C5" s="15"/>
      <x:c r="D5" s="15"/>
      <x:c r="E5" s="15"/>
      <x:c r="F5" s="15"/>
      <x:c r="G5" s="15"/>
      <x:c r="H5" s="16"/>
    </x:row>
    <x:row r="6">
      <x:c r="A6" s="17"/>
      <x:c r="B6" s="18"/>
      <x:c r="C6" s="18"/>
      <x:c r="D6" s="18"/>
      <x:c r="E6" s="18"/>
      <x:c r="F6" s="18"/>
      <x:c r="G6" s="18"/>
      <x:c r="H6" s="19"/>
    </x:row>
    <x:row r="8" ht="23" customHeight="1">
      <x:c r="A8" s="10" t="str">
        <x:v>Work in this order</x:v>
      </x:c>
    </x:row>
    <x:row r="9">
      <x:c r="A9" s="28" t="str">
        <x:v>Step</x:v>
      </x:c>
      <x:c r="B9" s="29" t="str">
        <x:v>Action</x:v>
      </x:c>
      <x:c r="C9" s="30" t="str">
        <x:v>Visible checkpoint</x:v>
      </x:c>
    </x:row>
    <x:row r="10" ht="44" customHeight="1">
      <x:c r="A10" s="31" t="n">
        <x:v>1</x:v>
      </x:c>
      <x:c r="B10" s="26" t="str">
        <x:v>Start with Class Practice during slides 7–12.</x:v>
      </x:c>
      <x:c r="C10" s="32" t="str">
        <x:v>Use the same $120,000-revenue example as the deck.</x:v>
      </x:c>
    </x:row>
    <x:row r="11" ht="44" customHeight="1">
      <x:c r="A11" s="31" t="n">
        <x:v>2</x:v>
      </x:c>
      <x:c r="B11" s="26" t="str">
        <x:v>After class, use Company Data and Student Calculations.</x:v>
      </x:c>
      <x:c r="C11" s="32" t="str">
        <x:v>Complete the eight CORE rows for both retailers.</x:v>
      </x:c>
    </x:row>
    <x:row r="12" ht="44" customHeight="1">
      <x:c r="A12" s="31" t="n">
        <x:v>3</x:v>
      </x:c>
      <x:c r="B12" s="26" t="str">
        <x:v>Read DuPont &amp; Driver after entering the core formulas.</x:v>
      </x:c>
      <x:c r="C12" s="32" t="str">
        <x:v>Reconcile ROE and explain the three drivers.</x:v>
      </x:c>
    </x:row>
    <x:row r="13" ht="44" customHeight="1">
      <x:c r="A13" s="31" t="n">
        <x:v>4</x:v>
      </x:c>
      <x:c r="B13" s="26" t="str">
        <x:v>Enter an expense-reduction assumption in DuPont &amp; Driver!B20.</x:v>
      </x:c>
      <x:c r="C13" s="32" t="str">
        <x:v>Interpret the effect in B29; use a plausible percentage.</x:v>
      </x:c>
    </x:row>
    <x:row r="14" ht="44" customHeight="1">
      <x:c r="A14" s="31" t="n">
        <x:v>5</x:v>
      </x:c>
      <x:c r="B14" s="26" t="str">
        <x:v>Read the linked Ratio Dashboard.</x:v>
      </x:c>
      <x:c r="C14" s="32" t="str">
        <x:v>Compare drivers, coverage, and illustrative references.</x:v>
      </x:c>
    </x:row>
    <x:row r="15" ht="44" customHeight="1">
      <x:c r="A15" s="33" t="n">
        <x:v>6</x:v>
      </x:c>
      <x:c r="B15" s="34" t="str">
        <x:v>Review Checks &amp; Recommendation and write your response.</x:v>
      </x:c>
      <x:c r="C15" s="35" t="str">
        <x:v>Complete core work and explain one monitoring trigger.</x:v>
      </x:c>
    </x:row>
    <x:row r="17" ht="23" customHeight="1">
      <x:c r="A17" s="10" t="str">
        <x:v>Analytical safeguards</x:v>
      </x:c>
    </x:row>
    <x:row r="18">
      <x:c r="A18" s="39" t="str">
        <x:v>Period match</x:v>
      </x:c>
      <x:c r="B18" s="40" t="str">
        <x:v>Use average assets, equity, inventory, and receivables when a period-flow numerator is divided by a point-in-time balance.</x:v>
      </x:c>
      <x:c r="C18" s="40"/>
      <x:c r="D18" s="41"/>
    </x:row>
    <x:row r="19">
      <x:c r="A19" s="42" t="str">
        <x:v>Debt definition</x:v>
      </x:c>
      <x:c r="B19" s="26" t="str">
        <x:v>Total debt equals short-term debt plus long-term debt; do not substitute total liabilities.</x:v>
      </x:c>
      <x:c r="C19" s="26"/>
      <x:c r="D19" s="32"/>
    </x:row>
    <x:row r="20">
      <x:c r="A20" s="42" t="str">
        <x:v>DuPont contract</x:v>
      </x:c>
      <x:c r="B20" s="26" t="str">
        <x:v>Net margin × asset turnover × average equity multiplier must reconcile to direct ROE.</x:v>
      </x:c>
      <x:c r="C20" s="26"/>
      <x:c r="D20" s="32"/>
    </x:row>
    <x:row r="21">
      <x:c r="A21" s="43" t="str">
        <x:v>Decision rule</x:v>
      </x:c>
      <x:c r="B21" s="34" t="str">
        <x:v>Move from result → driver → implication; do not treat a benchmark as a universal target.</x:v>
      </x:c>
      <x:c r="C21" s="34"/>
      <x:c r="D21" s="35"/>
    </x:row>
    <x:row r="23" ht="23" customHeight="1">
      <x:c r="A23" s="10" t="str">
        <x:v>Formatting legend</x:v>
      </x:c>
    </x:row>
    <x:row r="24">
      <x:c r="A24" s="51" t="str">
        <x:v>Pale blue + blue text</x:v>
      </x:c>
      <x:c r="B24" s="52" t="str">
        <x:v>Given source inputs</x:v>
      </x:c>
    </x:row>
    <x:row r="25">
      <x:c r="A25" s="53" t="str">
        <x:v>Pale yellow + blue text</x:v>
      </x:c>
      <x:c r="B25" s="54" t="str">
        <x:v>Student formula, assumption, or written response</x:v>
      </x:c>
    </x:row>
    <x:row r="26">
      <x:c r="A26" s="55" t="str">
        <x:v>Green text</x:v>
      </x:c>
      <x:c r="B26" s="54" t="str">
        <x:v>Formula linked to another worksheet</x:v>
      </x:c>
    </x:row>
    <x:row r="27">
      <x:c r="A27" s="56" t="str">
        <x:v>PASS / WAITING / REVIEW</x:v>
      </x:c>
      <x:c r="B27" s="57" t="str">
        <x:v>Control status with a written label; color is supplemental</x:v>
      </x:c>
    </x:row>
    <x:row r="29" ht="23" customHeight="1">
      <x:c r="A29" s="235" t="str">
        <x:v>Lemonade Stand is deferred; it is not part of the M04 submission.</x:v>
      </x:c>
    </x:row>
    <x:row r="30" ht="46" customHeight="1">
      <x:c r="A30" s="60" t="str">
        <x:v>Use supplied fictional case data; no FactSet retrieval is required. Complete core comparison work after class. Optional ratios provide definitions for later practice.</x:v>
      </x:c>
      <x:c r="B30" s="61"/>
      <x:c r="C30" s="61"/>
      <x:c r="D30" s="61"/>
      <x:c r="E30" s="61"/>
      <x:c r="F30" s="61"/>
      <x:c r="G30" s="61"/>
      <x:c r="H30" s="62"/>
    </x:row>
    <x:row r="31">
      <x:c r="A31" s="63"/>
      <x:c r="B31" s="64"/>
      <x:c r="C31" s="64"/>
      <x:c r="D31" s="64"/>
      <x:c r="E31" s="64"/>
      <x:c r="F31" s="64"/>
      <x:c r="G31" s="64"/>
      <x:c r="H31" s="65"/>
    </x:row>
  </x:sheetData>
  <x:mergeCells>
    <x:mergeCell ref="A1:H1"/>
    <x:mergeCell ref="A2:H2"/>
    <x:mergeCell ref="A4:H4"/>
    <x:mergeCell ref="A5:H6"/>
    <x:mergeCell ref="A8:H8"/>
    <x:mergeCell ref="A17:H17"/>
    <x:mergeCell ref="B18:D18"/>
    <x:mergeCell ref="B19:D19"/>
    <x:mergeCell ref="B20:D20"/>
    <x:mergeCell ref="B21:D21"/>
    <x:mergeCell ref="A23:H23"/>
    <x:mergeCell ref="A29:H29"/>
    <x:mergeCell ref="A30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2" hidden="0" customWidth="1"/>
  </x:cols>
  <x:sheetData>
    <x:row r="1" ht="32" customHeight="1">
      <x:c r="A1" s="3" t="str">
        <x:v>Company Data | Two-Firm Comparison</x:v>
      </x:c>
      <x:c r="B1" s="107"/>
      <x:c r="C1" s="107"/>
    </x:row>
    <x:row r="2" ht="46" customHeight="1">
      <x:c r="A2" s="7" t="str">
        <x:v>Fictional retail cases in USD. Supplied current-year income statements and current/prior year-end balances; no FactSet lookup required.</x:v>
      </x:c>
      <x:c r="B2" s="107"/>
      <x:c r="C2" s="107"/>
    </x:row>
    <x:row r="3">
      <x:c r="A3" s="107"/>
      <x:c r="B3" s="107"/>
      <x:c r="C3" s="107"/>
    </x:row>
    <x:row r="4" ht="23" customHeight="1">
      <x:c r="A4" s="10" t="str">
        <x:v>Model conventions</x:v>
      </x:c>
      <x:c r="B4" s="107"/>
      <x:c r="C4" s="107"/>
    </x:row>
    <x:row r="5">
      <x:c r="A5" s="108" t="str">
        <x:v>Units</x:v>
      </x:c>
      <x:c r="B5" s="109" t="str">
        <x:v>USD</x:v>
      </x:c>
      <x:c r="C5" s="110"/>
    </x:row>
    <x:row r="6">
      <x:c r="A6" s="111" t="str">
        <x:v>Period basis</x:v>
      </x:c>
      <x:c r="B6" s="112" t="str">
        <x:v>Current-year income statement; current and prior year-end balance sheets</x:v>
      </x:c>
      <x:c r="C6" s="113"/>
    </x:row>
    <x:row r="7">
      <x:c r="A7" s="111" t="str">
        <x:v>Total debt</x:v>
      </x:c>
      <x:c r="B7" s="112" t="str">
        <x:v>Short-term debt + long-term debt</x:v>
      </x:c>
      <x:c r="C7" s="113"/>
    </x:row>
    <x:row r="8">
      <x:c r="A8" s="114" t="str">
        <x:v>Average denominator</x:v>
      </x:c>
      <x:c r="B8" s="115" t="str">
        <x:v>(Prior year-end + current year-end) ÷ 2</x:v>
      </x:c>
      <x:c r="C8" s="116"/>
    </x:row>
    <x:row r="9">
      <x:c r="A9" s="107"/>
      <x:c r="B9" s="107"/>
      <x:c r="C9" s="107"/>
    </x:row>
    <x:row r="10">
      <x:c r="A10" s="28" t="str">
        <x:v>Account</x:v>
      </x:c>
      <x:c r="B10" s="87" t="str">
        <x:v>TechStyle Retail</x:v>
      </x:c>
      <x:c r="C10" s="88" t="str">
        <x:v>Urban Goods Co.</x:v>
      </x:c>
    </x:row>
    <x:row r="11" ht="23" customHeight="1">
      <x:c r="A11" s="89" t="str">
        <x:v>Balance sheet | Current year-end</x:v>
      </x:c>
      <x:c r="B11" s="107"/>
      <x:c r="C11" s="117"/>
    </x:row>
    <x:row r="12">
      <x:c r="A12" s="118" t="str">
        <x:v>Cash</x:v>
      </x:c>
      <x:c r="B12" s="119" t="n">
        <x:v>2450000</x:v>
      </x:c>
      <x:c r="C12" s="120" t="n">
        <x:v>890000</x:v>
      </x:c>
    </x:row>
    <x:row r="13">
      <x:c r="A13" s="118" t="str">
        <x:v>Accounts Receivable</x:v>
      </x:c>
      <x:c r="B13" s="119" t="n">
        <x:v>3200000</x:v>
      </x:c>
      <x:c r="C13" s="120" t="n">
        <x:v>4100000</x:v>
      </x:c>
    </x:row>
    <x:row r="14">
      <x:c r="A14" s="118" t="str">
        <x:v>Inventory</x:v>
      </x:c>
      <x:c r="B14" s="119" t="n">
        <x:v>5800000</x:v>
      </x:c>
      <x:c r="C14" s="120" t="n">
        <x:v>8200000</x:v>
      </x:c>
    </x:row>
    <x:row r="15">
      <x:c r="A15" s="118" t="str">
        <x:v>Current Assets</x:v>
      </x:c>
      <x:c r="B15" s="119" t="n">
        <x:v>11450000</x:v>
      </x:c>
      <x:c r="C15" s="120" t="n">
        <x:v>13190000</x:v>
      </x:c>
    </x:row>
    <x:row r="16">
      <x:c r="A16" s="118" t="str">
        <x:v>Property, Plant &amp; Equipment</x:v>
      </x:c>
      <x:c r="B16" s="119" t="n">
        <x:v>18500000</x:v>
      </x:c>
      <x:c r="C16" s="120" t="n">
        <x:v>22300000</x:v>
      </x:c>
    </x:row>
    <x:row r="17">
      <x:c r="A17" s="121" t="str">
        <x:v>Total Assets</x:v>
      </x:c>
      <x:c r="B17" s="122" t="n">
        <x:v>29950000</x:v>
      </x:c>
      <x:c r="C17" s="123" t="n">
        <x:v>35490000</x:v>
      </x:c>
    </x:row>
    <x:row r="18">
      <x:c r="A18" s="118" t="str">
        <x:v>Accounts Payable</x:v>
      </x:c>
      <x:c r="B18" s="119" t="n">
        <x:v>2100000</x:v>
      </x:c>
      <x:c r="C18" s="120" t="n">
        <x:v>3800000</x:v>
      </x:c>
    </x:row>
    <x:row r="19">
      <x:c r="A19" s="118" t="str">
        <x:v>Short-term Debt</x:v>
      </x:c>
      <x:c r="B19" s="119" t="n">
        <x:v>1500000</x:v>
      </x:c>
      <x:c r="C19" s="120" t="n">
        <x:v>2900000</x:v>
      </x:c>
    </x:row>
    <x:row r="20">
      <x:c r="A20" s="118" t="str">
        <x:v>Current Liabilities</x:v>
      </x:c>
      <x:c r="B20" s="119" t="n">
        <x:v>3600000</x:v>
      </x:c>
      <x:c r="C20" s="120" t="n">
        <x:v>6700000</x:v>
      </x:c>
    </x:row>
    <x:row r="21">
      <x:c r="A21" s="118" t="str">
        <x:v>Long-term Debt</x:v>
      </x:c>
      <x:c r="B21" s="119" t="n">
        <x:v>8400000</x:v>
      </x:c>
      <x:c r="C21" s="120" t="n">
        <x:v>14200000</x:v>
      </x:c>
    </x:row>
    <x:row r="22">
      <x:c r="A22" s="124" t="str">
        <x:v>Total Debt</x:v>
      </x:c>
      <x:c r="B22" s="125" t="n">
        <x:f>B19+B21</x:f>
        <x:v>9900000</x:v>
      </x:c>
      <x:c r="C22" s="126" t="n">
        <x:f>C19+C21</x:f>
        <x:v>17100000</x:v>
      </x:c>
    </x:row>
    <x:row r="23">
      <x:c r="A23" s="121" t="str">
        <x:v>Total Liabilities</x:v>
      </x:c>
      <x:c r="B23" s="122" t="n">
        <x:v>12000000</x:v>
      </x:c>
      <x:c r="C23" s="123" t="n">
        <x:v>20900000</x:v>
      </x:c>
    </x:row>
    <x:row r="24">
      <x:c r="A24" s="127" t="str">
        <x:v>Total Equity</x:v>
      </x:c>
      <x:c r="B24" s="128" t="n">
        <x:v>17950000</x:v>
      </x:c>
      <x:c r="C24" s="129" t="n">
        <x:v>14590000</x:v>
      </x:c>
    </x:row>
    <x:row r="25">
      <x:c r="A25" s="107"/>
      <x:c r="B25" s="107"/>
      <x:c r="C25" s="107"/>
    </x:row>
    <x:row r="26" ht="23" customHeight="1">
      <x:c r="A26" s="100" t="str">
        <x:v>Balance sheet | Prior year-end</x:v>
      </x:c>
      <x:c r="B26" s="130"/>
      <x:c r="C26" s="131"/>
    </x:row>
    <x:row r="27">
      <x:c r="A27" s="118" t="str">
        <x:v>Inventory - Prior</x:v>
      </x:c>
      <x:c r="B27" s="119" t="n">
        <x:v>5200000</x:v>
      </x:c>
      <x:c r="C27" s="120" t="n">
        <x:v>7500000</x:v>
      </x:c>
    </x:row>
    <x:row r="28">
      <x:c r="A28" s="118" t="str">
        <x:v>Accounts Receivable - Prior</x:v>
      </x:c>
      <x:c r="B28" s="119" t="n">
        <x:v>2900000</x:v>
      </x:c>
      <x:c r="C28" s="120" t="n">
        <x:v>3800000</x:v>
      </x:c>
    </x:row>
    <x:row r="29">
      <x:c r="A29" s="118" t="str">
        <x:v>Total Assets - Prior</x:v>
      </x:c>
      <x:c r="B29" s="119" t="n">
        <x:v>27800000</x:v>
      </x:c>
      <x:c r="C29" s="120" t="n">
        <x:v>32100000</x:v>
      </x:c>
    </x:row>
    <x:row r="30">
      <x:c r="A30" s="132" t="str">
        <x:v>Total Equity - Prior</x:v>
      </x:c>
      <x:c r="B30" s="133" t="n">
        <x:v>16700000</x:v>
      </x:c>
      <x:c r="C30" s="134" t="n">
        <x:v>15050000</x:v>
      </x:c>
    </x:row>
    <x:row r="31">
      <x:c r="A31" s="107"/>
      <x:c r="B31" s="107"/>
      <x:c r="C31" s="107"/>
    </x:row>
    <x:row r="32" ht="23" customHeight="1">
      <x:c r="A32" s="100" t="str">
        <x:v>Income statement | Current year</x:v>
      </x:c>
      <x:c r="B32" s="130"/>
      <x:c r="C32" s="131"/>
    </x:row>
    <x:row r="33">
      <x:c r="A33" s="118" t="str">
        <x:v>Revenue</x:v>
      </x:c>
      <x:c r="B33" s="119" t="n">
        <x:v>48500000</x:v>
      </x:c>
      <x:c r="C33" s="120" t="n">
        <x:v>52300000</x:v>
      </x:c>
    </x:row>
    <x:row r="34">
      <x:c r="A34" s="118" t="str">
        <x:v>Cost of Goods Sold</x:v>
      </x:c>
      <x:c r="B34" s="119" t="n">
        <x:v>33200000</x:v>
      </x:c>
      <x:c r="C34" s="120" t="n">
        <x:v>39800000</x:v>
      </x:c>
    </x:row>
    <x:row r="35">
      <x:c r="A35" s="121" t="str">
        <x:v>Gross Profit</x:v>
      </x:c>
      <x:c r="B35" s="135" t="n">
        <x:f>B33-B34</x:f>
        <x:v>15300000</x:v>
      </x:c>
      <x:c r="C35" s="136" t="n">
        <x:f>C33-C34</x:f>
        <x:v>12500000</x:v>
      </x:c>
    </x:row>
    <x:row r="36">
      <x:c r="A36" s="118" t="str">
        <x:v>Operating Expenses</x:v>
      </x:c>
      <x:c r="B36" s="119" t="n">
        <x:v>10500000</x:v>
      </x:c>
      <x:c r="C36" s="120" t="n">
        <x:v>10800000</x:v>
      </x:c>
    </x:row>
    <x:row r="37">
      <x:c r="A37" s="121" t="str">
        <x:v>EBIT</x:v>
      </x:c>
      <x:c r="B37" s="135" t="n">
        <x:f>B35-B36</x:f>
        <x:v>4800000</x:v>
      </x:c>
      <x:c r="C37" s="136" t="n">
        <x:f>C35-C36</x:f>
        <x:v>1700000</x:v>
      </x:c>
    </x:row>
    <x:row r="38">
      <x:c r="A38" s="118" t="str">
        <x:v>Interest Expense</x:v>
      </x:c>
      <x:c r="B38" s="119" t="n">
        <x:v>550000</x:v>
      </x:c>
      <x:c r="C38" s="120" t="n">
        <x:v>1250000</x:v>
      </x:c>
    </x:row>
    <x:row r="39">
      <x:c r="A39" s="121" t="str">
        <x:v>Pretax Income</x:v>
      </x:c>
      <x:c r="B39" s="135" t="n">
        <x:f>B37-B38</x:f>
        <x:v>4250000</x:v>
      </x:c>
      <x:c r="C39" s="136" t="n">
        <x:f>C37-C38</x:f>
        <x:v>450000</x:v>
      </x:c>
    </x:row>
    <x:row r="40">
      <x:c r="A40" s="121" t="str">
        <x:v>Income Tax Expense</x:v>
      </x:c>
      <x:c r="B40" s="122" t="n">
        <x:v>1062500</x:v>
      </x:c>
      <x:c r="C40" s="123" t="n">
        <x:v>112500</x:v>
      </x:c>
    </x:row>
    <x:row r="41">
      <x:c r="A41" s="121" t="str">
        <x:v>Net Income</x:v>
      </x:c>
      <x:c r="B41" s="135" t="n">
        <x:f>B39-B40</x:f>
        <x:v>3187500</x:v>
      </x:c>
      <x:c r="C41" s="136" t="n">
        <x:f>C39-C40</x:f>
        <x:v>337500</x:v>
      </x:c>
    </x:row>
    <x:row r="42">
      <x:c r="A42" s="127" t="str">
        <x:v>Effective Tax Rate</x:v>
      </x:c>
      <x:c r="B42" s="137" t="n">
        <x:f>B40/B39</x:f>
        <x:v>0.25</x:v>
      </x:c>
      <x:c r="C42" s="138" t="n">
        <x:f>C40/C39</x:f>
        <x:v>0.25</x:v>
      </x:c>
    </x:row>
  </x:sheetData>
  <x:mergeCells>
    <x:mergeCell ref="A1:C1"/>
    <x:mergeCell ref="A2:C2"/>
    <x:mergeCell ref="A4:C4"/>
    <x:mergeCell ref="B5:C5"/>
    <x:mergeCell ref="B6:C6"/>
    <x:mergeCell ref="B7:C7"/>
    <x:mergeCell ref="B8:C8"/>
    <x:mergeCell ref="A11:C11"/>
    <x:mergeCell ref="A26:C26"/>
    <x:mergeCell ref="A32:C3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0" hidden="0" customWidth="1"/>
    <x:col min="3" max="3" width="20" hidden="0" customWidth="1"/>
    <x:col min="4" max="4" width="23" hidden="0" customWidth="1"/>
    <x:col min="5" max="5" width="58" hidden="0" customWidth="1"/>
  </x:cols>
  <x:sheetData>
    <x:row r="1" ht="32" customHeight="1">
      <x:c r="A1" s="3" t="str">
        <x:v>Student Calculations | Ratio Families</x:v>
      </x:c>
    </x:row>
    <x:row r="2" ht="48" customHeight="1">
      <x:c r="A2" s="7" t="str">
        <x:v>After class: enter formulas in yellow CORE rows for both firms. Optional rows may remain blank. All references are illustrative classroom assumptions, not industry targets.</x:v>
      </x:c>
    </x:row>
    <x:row r="4" ht="32" customHeight="1">
      <x:c r="A4" s="28" t="str">
        <x:v>Ratio</x:v>
      </x:c>
      <x:c r="B4" s="87" t="str">
        <x:v>TechStyle Retail</x:v>
      </x:c>
      <x:c r="C4" s="87" t="str">
        <x:v>Urban</x:v>
      </x:c>
      <x:c r="D4" s="150" t="str">
        <x:v>Reference (illustrative)</x:v>
      </x:c>
      <x:c r="E4" s="151" t="str">
        <x:v>Definition / denominator contract</x:v>
      </x:c>
    </x:row>
    <x:row r="5" ht="23" customHeight="1">
      <x:c r="A5" s="89" t="str">
        <x:v>Liquidity</x:v>
      </x:c>
      <x:c r="B5" s="107"/>
      <x:c r="C5" s="107"/>
      <x:c r="D5" s="107"/>
      <x:c r="E5" s="113"/>
    </x:row>
    <x:row r="6">
      <x:c r="A6" s="118" t="str">
        <x:v>CORE · Current Ratio</x:v>
      </x:c>
      <x:c r="B6" s="152"/>
      <x:c r="C6" s="152"/>
      <x:c r="D6" s="153" t="n">
        <x:v>2</x:v>
      </x:c>
      <x:c r="E6" s="113" t="str">
        <x:v>Current Assets / Current Liabilities</x:v>
      </x:c>
    </x:row>
    <x:row r="7">
      <x:c r="A7" s="118" t="str">
        <x:v>Optional · Quick Ratio</x:v>
      </x:c>
      <x:c r="B7" s="236"/>
      <x:c r="C7" s="236"/>
      <x:c r="D7" s="153" t="n">
        <x:v>1</x:v>
      </x:c>
      <x:c r="E7" s="113" t="str">
        <x:v>(Current Assets - Inventory) / Current Liabilities</x:v>
      </x:c>
    </x:row>
    <x:row r="8">
      <x:c r="A8" s="118" t="str">
        <x:v>Optional · Cash Ratio</x:v>
      </x:c>
      <x:c r="B8" s="236"/>
      <x:c r="C8" s="236"/>
      <x:c r="D8" s="153" t="n">
        <x:v>0.5</x:v>
      </x:c>
      <x:c r="E8" s="113" t="str">
        <x:v>Cash / Current Liabilities</x:v>
      </x:c>
    </x:row>
    <x:row r="9" ht="23" customHeight="1">
      <x:c r="A9" s="89" t="str">
        <x:v>Profitability</x:v>
      </x:c>
      <x:c r="B9" s="107"/>
      <x:c r="C9" s="107"/>
      <x:c r="D9" s="107"/>
      <x:c r="E9" s="113"/>
    </x:row>
    <x:row r="10">
      <x:c r="A10" s="118" t="str">
        <x:v>CORE · Gross Margin</x:v>
      </x:c>
      <x:c r="B10" s="154"/>
      <x:c r="C10" s="154"/>
      <x:c r="D10" s="155" t="n">
        <x:v>0.35</x:v>
      </x:c>
      <x:c r="E10" s="113" t="str">
        <x:v>Gross Profit / Revenue</x:v>
      </x:c>
    </x:row>
    <x:row r="11">
      <x:c r="A11" s="118" t="str">
        <x:v>Optional · Operating Margin</x:v>
      </x:c>
      <x:c r="B11" s="237"/>
      <x:c r="C11" s="237"/>
      <x:c r="D11" s="155" t="n">
        <x:v>0.1</x:v>
      </x:c>
      <x:c r="E11" s="113" t="str">
        <x:v>EBIT / Revenue</x:v>
      </x:c>
    </x:row>
    <x:row r="12">
      <x:c r="A12" s="118" t="str">
        <x:v>CORE · Net Profit Margin</x:v>
      </x:c>
      <x:c r="B12" s="154"/>
      <x:c r="C12" s="154"/>
      <x:c r="D12" s="155" t="n">
        <x:v>0.07</x:v>
      </x:c>
      <x:c r="E12" s="113" t="str">
        <x:v>Net Income / Revenue</x:v>
      </x:c>
    </x:row>
    <x:row r="13">
      <x:c r="A13" s="118" t="str">
        <x:v>Optional · Return on Assets (ROA)</x:v>
      </x:c>
      <x:c r="B13" s="237"/>
      <x:c r="C13" s="237"/>
      <x:c r="D13" s="155" t="n">
        <x:v>0.09</x:v>
      </x:c>
      <x:c r="E13" s="113" t="str">
        <x:v>Net Income / Average Total Assets</x:v>
      </x:c>
    </x:row>
    <x:row r="14">
      <x:c r="A14" s="118" t="str">
        <x:v>CORE · Return on Equity (ROE)</x:v>
      </x:c>
      <x:c r="B14" s="154"/>
      <x:c r="C14" s="154"/>
      <x:c r="D14" s="155" t="n">
        <x:v>0.15</x:v>
      </x:c>
      <x:c r="E14" s="113" t="str">
        <x:v>Net Income / Average Total Equity</x:v>
      </x:c>
    </x:row>
    <x:row r="15" ht="23" customHeight="1">
      <x:c r="A15" s="89" t="str">
        <x:v>Leverage</x:v>
      </x:c>
      <x:c r="B15" s="107"/>
      <x:c r="C15" s="107"/>
      <x:c r="D15" s="107"/>
      <x:c r="E15" s="113"/>
    </x:row>
    <x:row r="16">
      <x:c r="A16" s="118" t="str">
        <x:v>Optional · Debt-to-Equity</x:v>
      </x:c>
      <x:c r="B16" s="236"/>
      <x:c r="C16" s="236"/>
      <x:c r="D16" s="153" t="n">
        <x:v>0.8</x:v>
      </x:c>
      <x:c r="E16" s="113" t="str">
        <x:v>Total Debt (ST + LT) / Current Total Equity</x:v>
      </x:c>
    </x:row>
    <x:row r="17">
      <x:c r="A17" s="118" t="str">
        <x:v>CORE · Debt Ratio</x:v>
      </x:c>
      <x:c r="B17" s="154"/>
      <x:c r="C17" s="154"/>
      <x:c r="D17" s="155" t="n">
        <x:v>0.45</x:v>
      </x:c>
      <x:c r="E17" s="113" t="str">
        <x:v>Total Debt (ST + LT) / Current Total Assets</x:v>
      </x:c>
    </x:row>
    <x:row r="18">
      <x:c r="A18" s="118" t="str">
        <x:v>CORE · Average Equity Multiplier</x:v>
      </x:c>
      <x:c r="B18" s="152"/>
      <x:c r="C18" s="152"/>
      <x:c r="D18" s="153" t="n">
        <x:v>2</x:v>
      </x:c>
      <x:c r="E18" s="113" t="str">
        <x:v>Average Total Assets / Average Total Equity</x:v>
      </x:c>
    </x:row>
    <x:row r="19" ht="23" customHeight="1">
      <x:c r="A19" s="89" t="str">
        <x:v>Efficiency</x:v>
      </x:c>
      <x:c r="B19" s="107"/>
      <x:c r="C19" s="107"/>
      <x:c r="D19" s="107"/>
      <x:c r="E19" s="113"/>
    </x:row>
    <x:row r="20">
      <x:c r="A20" s="118" t="str">
        <x:v>Optional · Inventory Turnover</x:v>
      </x:c>
      <x:c r="B20" s="236"/>
      <x:c r="C20" s="236"/>
      <x:c r="D20" s="153" t="n">
        <x:v>6</x:v>
      </x:c>
      <x:c r="E20" s="113" t="str">
        <x:v>COGS / Average Inventory</x:v>
      </x:c>
    </x:row>
    <x:row r="21">
      <x:c r="A21" s="118" t="str">
        <x:v>Optional · Receivables Turnover</x:v>
      </x:c>
      <x:c r="B21" s="236"/>
      <x:c r="C21" s="236"/>
      <x:c r="D21" s="153" t="n">
        <x:v>12</x:v>
      </x:c>
      <x:c r="E21" s="113" t="str">
        <x:v>Revenue / Average Accounts Receivable</x:v>
      </x:c>
    </x:row>
    <x:row r="22">
      <x:c r="A22" s="132" t="str">
        <x:v>CORE · Asset Turnover</x:v>
      </x:c>
      <x:c r="B22" s="156"/>
      <x:c r="C22" s="156"/>
      <x:c r="D22" s="157" t="n">
        <x:v>1.5</x:v>
      </x:c>
      <x:c r="E22" s="116" t="str">
        <x:v>Revenue / Average Total Assets</x:v>
      </x:c>
    </x:row>
    <x:row r="23">
      <x:c r="A23" s="107" t="str">
        <x:v>CORE · Interest coverage</x:v>
      </x:c>
      <x:c r="B23" s="239"/>
      <x:c r="C23" s="239"/>
      <x:c r="D23" s="238" t="n">
        <x:v>1</x:v>
      </x:c>
      <x:c r="E23" s="107" t="str">
        <x:v>EBIT / Interest Expense (same annual period)</x:v>
      </x:c>
    </x:row>
    <x:row r="24" ht="46" customHeight="1">
      <x:c r="A24" s="159" t="str">
        <x:v>Reference values are illustrative, not measured peer averages. Coverage 1.00x is the arithmetic break-even point for EBIT versus interest, not a safe target.</x:v>
      </x:c>
      <x:c r="B24" s="160"/>
      <x:c r="C24" s="160"/>
      <x:c r="D24" s="160"/>
      <x:c r="E24" s="161"/>
    </x:row>
  </x:sheetData>
  <x:mergeCells>
    <x:mergeCell ref="A1:E1"/>
    <x:mergeCell ref="A2:E2"/>
    <x:mergeCell ref="A5:E5"/>
    <x:mergeCell ref="A9:E9"/>
    <x:mergeCell ref="A15:E15"/>
    <x:mergeCell ref="A19:E19"/>
    <x:mergeCell ref="A24:E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0" hidden="0" customWidth="1"/>
    <x:col min="3" max="3" width="20" hidden="0" customWidth="1"/>
    <x:col min="4" max="4" width="52" hidden="0" customWidth="1"/>
  </x:cols>
  <x:sheetData>
    <x:row r="1" ht="32" customHeight="1">
      <x:c r="A1" s="3" t="str">
        <x:v>DuPont &amp; Driver Evidence</x:v>
      </x:c>
    </x:row>
    <x:row r="2" ht="28" customHeight="1">
      <x:c r="A2" s="7" t="str">
        <x:v>Decompose ROE into operating profitability, asset use, and financing intensity; then test one operating change.</x:v>
      </x:c>
    </x:row>
    <x:row r="4" ht="23" customHeight="1">
      <x:c r="A4" s="10" t="str">
        <x:v>Aligned denominator helpers</x:v>
      </x:c>
    </x:row>
    <x:row r="5">
      <x:c r="A5" s="28" t="str">
        <x:v>Helper</x:v>
      </x:c>
      <x:c r="B5" s="29" t="str">
        <x:v>TechStyle Retail</x:v>
      </x:c>
      <x:c r="C5" s="29" t="str">
        <x:v>Urban Goods Co.</x:v>
      </x:c>
      <x:c r="D5" s="30" t="str">
        <x:v>Why it matters</x:v>
      </x:c>
    </x:row>
    <x:row r="6">
      <x:c r="A6" s="91" t="str">
        <x:v>Average Total Assets</x:v>
      </x:c>
      <x:c r="B6" s="163" t="n">
        <x:f>AVERAGE('Company Data'!B29,'Company Data'!B17)</x:f>
        <x:v>28875000</x:v>
      </x:c>
      <x:c r="C6" s="163" t="n">
        <x:f>AVERAGE('Company Data'!C29,'Company Data'!C17)</x:f>
        <x:v>33795000</x:v>
      </x:c>
      <x:c r="D6" s="70" t="str">
        <x:v>Common denominator for ROA and asset turnover</x:v>
      </x:c>
    </x:row>
    <x:row r="7">
      <x:c r="A7" s="101" t="str">
        <x:v>Average Total Equity</x:v>
      </x:c>
      <x:c r="B7" s="164" t="n">
        <x:f>AVERAGE('Company Data'!B30,'Company Data'!B24)</x:f>
        <x:v>17325000</x:v>
      </x:c>
      <x:c r="C7" s="164" t="n">
        <x:f>AVERAGE('Company Data'!C30,'Company Data'!C24)</x:f>
        <x:v>14820000</x:v>
      </x:c>
      <x:c r="D7" s="73" t="str">
        <x:v>Common denominator for direct ROE and equity multiplier</x:v>
      </x:c>
    </x:row>
    <x:row r="8">
      <x:c r="D8" s="25"/>
    </x:row>
    <x:row r="9" ht="23" customHeight="1">
      <x:c r="A9" s="10" t="str">
        <x:v>Three-step DuPont decomposition</x:v>
      </x:c>
      <x:c r="D9" s="25"/>
    </x:row>
    <x:row r="10">
      <x:c r="A10" s="28" t="str">
        <x:v>Component</x:v>
      </x:c>
      <x:c r="B10" s="29" t="str">
        <x:v>TechStyle Retail</x:v>
      </x:c>
      <x:c r="C10" s="29" t="str">
        <x:v>Urban Goods Co.</x:v>
      </x:c>
      <x:c r="D10" s="30" t="str">
        <x:v>Interpretation question</x:v>
      </x:c>
    </x:row>
    <x:row r="11">
      <x:c r="A11" s="91" t="str">
        <x:v>Net Profit Margin</x:v>
      </x:c>
      <x:c r="B11" s="165" t="str">
        <x:f>IF('Student Calculations'!B12="","",'Student Calculations'!B12)</x:f>
      </x:c>
      <x:c r="C11" s="165" t="str">
        <x:f>IF('Student Calculations'!C12="","",'Student Calculations'!C12)</x:f>
      </x:c>
      <x:c r="D11" s="70" t="str">
        <x:v>How much bottom-line profit is generated per sales dollar?</x:v>
      </x:c>
    </x:row>
    <x:row r="12">
      <x:c r="A12" s="91" t="str">
        <x:v>Asset Turnover</x:v>
      </x:c>
      <x:c r="B12" s="166" t="str">
        <x:f>IF('Student Calculations'!B22="","",'Student Calculations'!B22)</x:f>
      </x:c>
      <x:c r="C12" s="166" t="str">
        <x:f>IF('Student Calculations'!C22="","",'Student Calculations'!C22)</x:f>
      </x:c>
      <x:c r="D12" s="70" t="str">
        <x:v>How effectively does the asset base generate revenue?</x:v>
      </x:c>
    </x:row>
    <x:row r="13">
      <x:c r="A13" s="91" t="str">
        <x:v>Average Equity Multiplier</x:v>
      </x:c>
      <x:c r="B13" s="166" t="str">
        <x:f>IF('Student Calculations'!B18="","",'Student Calculations'!B18)</x:f>
      </x:c>
      <x:c r="C13" s="166" t="str">
        <x:f>IF('Student Calculations'!C18="","",'Student Calculations'!C18)</x:f>
      </x:c>
      <x:c r="D13" s="70" t="str">
        <x:v>How much asset capacity is supported per equity dollar?</x:v>
      </x:c>
    </x:row>
    <x:row r="14">
      <x:c r="A14" s="171" t="str">
        <x:v>DuPont ROE</x:v>
      </x:c>
      <x:c r="B14" s="170" t="str">
        <x:f>IF(COUNT(B11:B13)&lt;3,"",B11*B12*B13)</x:f>
      </x:c>
      <x:c r="C14" s="170" t="str">
        <x:f>IF(COUNT(C11:C13)&lt;3,"",C11*C12*C13)</x:f>
      </x:c>
      <x:c r="D14" s="70" t="str">
        <x:v>Margin × asset turnover × equity multiplier</x:v>
      </x:c>
    </x:row>
    <x:row r="15">
      <x:c r="A15" s="171" t="str">
        <x:v>Direct ROE</x:v>
      </x:c>
      <x:c r="B15" s="170" t="str">
        <x:f>IF('Student Calculations'!B14="","",'Student Calculations'!B14)</x:f>
      </x:c>
      <x:c r="C15" s="170" t="str">
        <x:f>IF('Student Calculations'!C14="","",'Student Calculations'!C14)</x:f>
      </x:c>
      <x:c r="D15" s="70" t="str">
        <x:v>Net income / average equity</x:v>
      </x:c>
    </x:row>
    <x:row r="16">
      <x:c r="A16" s="101" t="str">
        <x:v>Reconciliation Difference</x:v>
      </x:c>
      <x:c r="B16" s="172" t="str">
        <x:f>IF(OR(B14="",B15=""),"",B14-B15)</x:f>
      </x:c>
      <x:c r="C16" s="172" t="str">
        <x:f>IF(OR(C14="",C15=""),"",C14-C15)</x:f>
      </x:c>
      <x:c r="D16" s="73" t="str">
        <x:v>Should equal zero when denominators are consistent</x:v>
      </x:c>
    </x:row>
    <x:row r="17">
      <x:c r="D17" s="25"/>
    </x:row>
    <x:row r="18" ht="23" customHeight="1">
      <x:c r="A18" s="10" t="str">
        <x:v>Focused operating driver test</x:v>
      </x:c>
      <x:c r="D18" s="25"/>
    </x:row>
    <x:row r="19">
      <x:c r="A19" s="28" t="str">
        <x:v>Driver / output</x:v>
      </x:c>
      <x:c r="B19" s="29" t="str">
        <x:v>TechStyle Retail</x:v>
      </x:c>
      <x:c r="C19" s="29" t="str">
        <x:v>Urban Goods Co.</x:v>
      </x:c>
      <x:c r="D19" s="30" t="str">
        <x:v>Model logic</x:v>
      </x:c>
    </x:row>
    <x:row r="20" ht="42" customHeight="1">
      <x:c r="A20" s="91" t="str">
        <x:v>Operating expense reduction (% of revenue)</x:v>
      </x:c>
      <x:c r="B20" s="144"/>
      <x:c r="C20" s="78" t="str">
        <x:f>IF(B20="","",B20)</x:f>
      </x:c>
      <x:c r="D20" s="70" t="str">
        <x:v>Enter 1% for a reduction equal to 1% of revenue; this is not a 1% cut to existing operating expenses.</x:v>
      </x:c>
    </x:row>
    <x:row r="21">
      <x:c r="A21" s="91" t="str">
        <x:v>Base EBIT</x:v>
      </x:c>
      <x:c r="B21" s="173" t="n">
        <x:f>'Company Data'!B37</x:f>
        <x:v>4800000</x:v>
      </x:c>
      <x:c r="C21" s="173" t="n">
        <x:f>'Company Data'!C37</x:f>
        <x:v>1700000</x:v>
      </x:c>
      <x:c r="D21" s="70" t="str">
        <x:v>Linked to Company Data</x:v>
      </x:c>
    </x:row>
    <x:row r="22">
      <x:c r="A22" s="91" t="str">
        <x:v>Expense reduction ($)</x:v>
      </x:c>
      <x:c r="B22" s="173" t="str">
        <x:f>IF(B20="","",'Company Data'!B33*B20)</x:f>
      </x:c>
      <x:c r="C22" s="173" t="str">
        <x:f>IF(C20="","",'Company Data'!C33*C20)</x:f>
      </x:c>
      <x:c r="D22" s="70" t="str">
        <x:v>Revenue × expense reduction assumption</x:v>
      </x:c>
    </x:row>
    <x:row r="23">
      <x:c r="A23" s="91" t="str">
        <x:v>Scenario EBIT</x:v>
      </x:c>
      <x:c r="B23" s="173" t="str">
        <x:f>IF(B22="","",B21+B22)</x:f>
      </x:c>
      <x:c r="C23" s="173" t="str">
        <x:f>IF(C22="","",C21+C22)</x:f>
      </x:c>
      <x:c r="D23" s="70" t="str">
        <x:v>Base EBIT + expense reduction</x:v>
      </x:c>
    </x:row>
    <x:row r="24">
      <x:c r="A24" s="91" t="str">
        <x:v>After-tax benefit</x:v>
      </x:c>
      <x:c r="B24" s="173" t="str">
        <x:f>IF(B22="","",B22*(1-'Company Data'!B42))</x:f>
      </x:c>
      <x:c r="C24" s="173" t="str">
        <x:f>IF(C22="","",C22*(1-'Company Data'!C42))</x:f>
      </x:c>
      <x:c r="D24" s="70" t="str">
        <x:v>Expense reduction × (1 - effective tax rate)</x:v>
      </x:c>
    </x:row>
    <x:row r="25">
      <x:c r="A25" s="91" t="str">
        <x:v>Scenario Net Income</x:v>
      </x:c>
      <x:c r="B25" s="173" t="str">
        <x:f>IF(B24="","",'Company Data'!B41+B24)</x:f>
      </x:c>
      <x:c r="C25" s="173" t="str">
        <x:f>IF(C24="","",'Company Data'!C41+C24)</x:f>
      </x:c>
      <x:c r="D25" s="70" t="str">
        <x:v>Base net income + after-tax benefit</x:v>
      </x:c>
    </x:row>
    <x:row r="26">
      <x:c r="A26" s="91" t="str">
        <x:v>Scenario Operating Margin</x:v>
      </x:c>
      <x:c r="B26" s="167" t="str">
        <x:f>IF(B23="","",B23/'Company Data'!B33)</x:f>
      </x:c>
      <x:c r="C26" s="167" t="str">
        <x:f>IF(C23="","",C23/'Company Data'!C33)</x:f>
      </x:c>
      <x:c r="D26" s="70" t="str">
        <x:v>Scenario EBIT / revenue</x:v>
      </x:c>
    </x:row>
    <x:row r="27">
      <x:c r="A27" s="91" t="str">
        <x:v>Scenario ROE</x:v>
      </x:c>
      <x:c r="B27" s="167" t="str">
        <x:f>IF(B25="","",B25/B7)</x:f>
      </x:c>
      <x:c r="C27" s="167" t="str">
        <x:f>IF(C25="","",C25/C7)</x:f>
      </x:c>
      <x:c r="D27" s="70" t="str">
        <x:v>Scenario net income / average equity</x:v>
      </x:c>
    </x:row>
    <x:row r="28">
      <x:c r="A28" s="91" t="str">
        <x:v>ROE Change</x:v>
      </x:c>
      <x:c r="B28" s="167" t="str">
        <x:f>IF(OR(B27="",B15=""),"",B27-B15)</x:f>
      </x:c>
      <x:c r="C28" s="167" t="str">
        <x:f>IF(OR(C27="",C15=""),"",C27-C15)</x:f>
      </x:c>
      <x:c r="D28" s="70" t="str">
        <x:v>Scenario ROE - direct ROE</x:v>
      </x:c>
    </x:row>
    <x:row r="29" ht="72" customHeight="1">
      <x:c r="A29" s="177" t="str">
        <x:v>Driver interpretation</x:v>
      </x:c>
      <x:c r="B29" s="178"/>
      <x:c r="C29" s="178"/>
      <x:c r="D29" s="35" t="str">
        <x:v>Explain direction, magnitude, and whether the conclusion changes</x:v>
      </x:c>
    </x:row>
  </x:sheetData>
  <x:mergeCells>
    <x:mergeCell ref="A1:D1"/>
    <x:mergeCell ref="A2:D2"/>
    <x:mergeCell ref="A4:D4"/>
    <x:mergeCell ref="A9:D9"/>
    <x:mergeCell ref="A18:D18"/>
    <x:mergeCell ref="B29:C29"/>
  </x:mergeCells>
  <x:dataValidations count="1">
    <x:dataValidation type="decimal" operator="between" sqref="B20">
      <x:formula1>0</x:formula1>
      <x:formula2>0.1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30" hidden="0" customWidth="1"/>
    <x:col min="5" max="5" width="3" hidden="0" customWidth="1"/>
    <x:col min="6" max="6" width="27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2" customHeight="1">
      <x:c r="A1" s="3" t="str">
        <x:v>Formula-Linked Ratio Dashboard</x:v>
      </x:c>
    </x:row>
    <x:row r="2" ht="44" customHeight="1">
      <x:c r="A2" s="7" t="str">
        <x:v>Linked outputs: CORE ratios are required. Blank optional ratios are expected. Reference values are illustrative classroom assumptions.</x:v>
      </x:c>
    </x:row>
    <x:row r="4" ht="23" customHeight="1">
      <x:c r="A4" s="10" t="str">
        <x:v>Liquidity</x:v>
      </x:c>
      <x:c r="F4" s="10" t="str">
        <x:v>Profitability</x:v>
      </x:c>
    </x:row>
    <x:row r="5">
      <x:c r="A5" s="28" t="str">
        <x:v>Metric</x:v>
      </x:c>
      <x:c r="B5" s="29" t="str">
        <x:v>TechStyle</x:v>
      </x:c>
      <x:c r="C5" s="29" t="str">
        <x:v>Urban</x:v>
      </x:c>
      <x:c r="D5" s="30" t="str">
        <x:v>Illustrative</x:v>
      </x:c>
      <x:c r="F5" s="28" t="str">
        <x:v>Metric</x:v>
      </x:c>
      <x:c r="G5" s="29" t="str">
        <x:v>TechStyle</x:v>
      </x:c>
      <x:c r="H5" s="29" t="str">
        <x:v>Urban</x:v>
      </x:c>
      <x:c r="I5" s="30" t="str">
        <x:v>Illustrative</x:v>
      </x:c>
    </x:row>
    <x:row r="6">
      <x:c r="A6" s="91" t="str">
        <x:v>Current Ratio</x:v>
      </x:c>
      <x:c r="B6" s="182" t="str">
        <x:f>IF('Student Calculations'!B6="","",'Student Calculations'!B6)</x:f>
      </x:c>
      <x:c r="C6" s="182" t="str">
        <x:f>IF('Student Calculations'!C6="","",'Student Calculations'!C6)</x:f>
      </x:c>
      <x:c r="D6" s="183" t="n">
        <x:f>IF('Student Calculations'!D6="","",'Student Calculations'!D6)</x:f>
        <x:v>2</x:v>
      </x:c>
      <x:c r="F6" s="91" t="str">
        <x:v>Gross Margin</x:v>
      </x:c>
      <x:c r="G6" s="186" t="str">
        <x:f>IF('Student Calculations'!B10="","",'Student Calculations'!B10)</x:f>
      </x:c>
      <x:c r="H6" s="186" t="str">
        <x:f>IF('Student Calculations'!C10="","",'Student Calculations'!C10)</x:f>
      </x:c>
      <x:c r="I6" s="187" t="n">
        <x:f>IF('Student Calculations'!D10="","",'Student Calculations'!D10)</x:f>
        <x:v>0.35</x:v>
      </x:c>
    </x:row>
    <x:row r="7">
      <x:c r="A7" s="91" t="str">
        <x:v>Quick Ratio</x:v>
      </x:c>
      <x:c r="B7" s="182" t="str">
        <x:f>IF('Student Calculations'!B7="","",'Student Calculations'!B7)</x:f>
      </x:c>
      <x:c r="C7" s="182" t="str">
        <x:f>IF('Student Calculations'!C7="","",'Student Calculations'!C7)</x:f>
      </x:c>
      <x:c r="D7" s="183" t="n">
        <x:f>IF('Student Calculations'!D7="","",'Student Calculations'!D7)</x:f>
        <x:v>1</x:v>
      </x:c>
      <x:c r="F7" s="91" t="str">
        <x:v>Operating Margin</x:v>
      </x:c>
      <x:c r="G7" s="186" t="str">
        <x:f>IF('Student Calculations'!B11="","",'Student Calculations'!B11)</x:f>
      </x:c>
      <x:c r="H7" s="186" t="str">
        <x:f>IF('Student Calculations'!C11="","",'Student Calculations'!C11)</x:f>
      </x:c>
      <x:c r="I7" s="187" t="n">
        <x:f>IF('Student Calculations'!D11="","",'Student Calculations'!D11)</x:f>
        <x:v>0.1</x:v>
      </x:c>
    </x:row>
    <x:row r="8">
      <x:c r="A8" s="101" t="str">
        <x:v>Cash Ratio</x:v>
      </x:c>
      <x:c r="B8" s="184" t="str">
        <x:f>IF('Student Calculations'!B8="","",'Student Calculations'!B8)</x:f>
      </x:c>
      <x:c r="C8" s="184" t="str">
        <x:f>IF('Student Calculations'!C8="","",'Student Calculations'!C8)</x:f>
      </x:c>
      <x:c r="D8" s="185" t="n">
        <x:f>IF('Student Calculations'!D8="","",'Student Calculations'!D8)</x:f>
        <x:v>0.5</x:v>
      </x:c>
      <x:c r="F8" s="91" t="str">
        <x:v>Net Profit Margin</x:v>
      </x:c>
      <x:c r="G8" s="186" t="str">
        <x:f>IF('Student Calculations'!B12="","",'Student Calculations'!B12)</x:f>
      </x:c>
      <x:c r="H8" s="186" t="str">
        <x:f>IF('Student Calculations'!C12="","",'Student Calculations'!C12)</x:f>
      </x:c>
      <x:c r="I8" s="187" t="n">
        <x:f>IF('Student Calculations'!D12="","",'Student Calculations'!D12)</x:f>
        <x:v>0.07</x:v>
      </x:c>
    </x:row>
    <x:row r="9">
      <x:c r="F9" s="91" t="str">
        <x:v>Return on Assets (ROA)</x:v>
      </x:c>
      <x:c r="G9" s="186" t="str">
        <x:f>IF('Student Calculations'!B13="","",'Student Calculations'!B13)</x:f>
      </x:c>
      <x:c r="H9" s="186" t="str">
        <x:f>IF('Student Calculations'!C13="","",'Student Calculations'!C13)</x:f>
      </x:c>
      <x:c r="I9" s="187" t="n">
        <x:f>IF('Student Calculations'!D13="","",'Student Calculations'!D13)</x:f>
        <x:v>0.09</x:v>
      </x:c>
    </x:row>
    <x:row r="10">
      <x:c r="F10" s="101" t="str">
        <x:v>Return on Equity (ROE)</x:v>
      </x:c>
      <x:c r="G10" s="188" t="str">
        <x:f>IF('Student Calculations'!B14="","",'Student Calculations'!B14)</x:f>
      </x:c>
      <x:c r="H10" s="188" t="str">
        <x:f>IF('Student Calculations'!C14="","",'Student Calculations'!C14)</x:f>
      </x:c>
      <x:c r="I10" s="189" t="n">
        <x:f>IF('Student Calculations'!D14="","",'Student Calculations'!D14)</x:f>
        <x:v>0.15</x:v>
      </x:c>
    </x:row>
    <x:row r="12" ht="23" customHeight="1">
      <x:c r="A12" s="10" t="str">
        <x:v>Leverage</x:v>
      </x:c>
      <x:c r="F12" s="10" t="str">
        <x:v>Efficiency</x:v>
      </x:c>
    </x:row>
    <x:row r="13">
      <x:c r="A13" s="28" t="str">
        <x:v>Metric</x:v>
      </x:c>
      <x:c r="B13" s="29" t="str">
        <x:v>TechStyle</x:v>
      </x:c>
      <x:c r="C13" s="29" t="str">
        <x:v>Urban</x:v>
      </x:c>
      <x:c r="D13" s="30" t="str">
        <x:v>Illustrative</x:v>
      </x:c>
      <x:c r="F13" s="28" t="str">
        <x:v>Metric</x:v>
      </x:c>
      <x:c r="G13" s="29" t="str">
        <x:v>TechStyle</x:v>
      </x:c>
      <x:c r="H13" s="29" t="str">
        <x:v>Urban</x:v>
      </x:c>
      <x:c r="I13" s="30" t="str">
        <x:v>Illustrative</x:v>
      </x:c>
    </x:row>
    <x:row r="14">
      <x:c r="A14" s="91" t="str">
        <x:v>Debt-to-Equity</x:v>
      </x:c>
      <x:c r="B14" s="182" t="str">
        <x:f>IF('Student Calculations'!B16="","",'Student Calculations'!B16)</x:f>
      </x:c>
      <x:c r="C14" s="182" t="str">
        <x:f>IF('Student Calculations'!C16="","",'Student Calculations'!C16)</x:f>
      </x:c>
      <x:c r="D14" s="183" t="n">
        <x:f>IF('Student Calculations'!D16="","",'Student Calculations'!D16)</x:f>
        <x:v>0.8</x:v>
      </x:c>
      <x:c r="F14" s="91" t="str">
        <x:v>Inventory Turnover</x:v>
      </x:c>
      <x:c r="G14" s="182" t="str">
        <x:f>IF('Student Calculations'!B20="","",'Student Calculations'!B20)</x:f>
      </x:c>
      <x:c r="H14" s="182" t="str">
        <x:f>IF('Student Calculations'!C20="","",'Student Calculations'!C20)</x:f>
      </x:c>
      <x:c r="I14" s="183" t="n">
        <x:f>IF('Student Calculations'!D20="","",'Student Calculations'!D20)</x:f>
        <x:v>6</x:v>
      </x:c>
    </x:row>
    <x:row r="15">
      <x:c r="A15" s="91" t="str">
        <x:v>Debt Ratio</x:v>
      </x:c>
      <x:c r="B15" s="186" t="str">
        <x:f>IF('Student Calculations'!B17="","",'Student Calculations'!B17)</x:f>
      </x:c>
      <x:c r="C15" s="186" t="str">
        <x:f>IF('Student Calculations'!C17="","",'Student Calculations'!C17)</x:f>
      </x:c>
      <x:c r="D15" s="187" t="n">
        <x:f>IF('Student Calculations'!D17="","",'Student Calculations'!D17)</x:f>
        <x:v>0.45</x:v>
      </x:c>
      <x:c r="F15" s="91" t="str">
        <x:v>Receivables Turnover</x:v>
      </x:c>
      <x:c r="G15" s="182" t="str">
        <x:f>IF('Student Calculations'!B21="","",'Student Calculations'!B21)</x:f>
      </x:c>
      <x:c r="H15" s="182" t="str">
        <x:f>IF('Student Calculations'!C21="","",'Student Calculations'!C21)</x:f>
      </x:c>
      <x:c r="I15" s="183" t="n">
        <x:f>IF('Student Calculations'!D21="","",'Student Calculations'!D21)</x:f>
        <x:v>12</x:v>
      </x:c>
    </x:row>
    <x:row r="16">
      <x:c r="A16" s="101" t="str">
        <x:v>Average Equity Multiplier</x:v>
      </x:c>
      <x:c r="B16" s="184" t="str">
        <x:f>IF('Student Calculations'!B18="","",'Student Calculations'!B18)</x:f>
      </x:c>
      <x:c r="C16" s="184" t="str">
        <x:f>IF('Student Calculations'!C18="","",'Student Calculations'!C18)</x:f>
      </x:c>
      <x:c r="D16" s="185" t="n">
        <x:f>IF('Student Calculations'!D18="","",'Student Calculations'!D18)</x:f>
        <x:v>2</x:v>
      </x:c>
      <x:c r="F16" s="101" t="str">
        <x:v>Asset Turnover</x:v>
      </x:c>
      <x:c r="G16" s="184" t="str">
        <x:f>IF('Student Calculations'!B22="","",'Student Calculations'!B22)</x:f>
      </x:c>
      <x:c r="H16" s="184" t="str">
        <x:f>IF('Student Calculations'!C22="","",'Student Calculations'!C22)</x:f>
      </x:c>
      <x:c r="I16" s="185" t="n">
        <x:f>IF('Student Calculations'!D22="","",'Student Calculations'!D22)</x:f>
        <x:v>1.5</x:v>
      </x:c>
    </x:row>
    <x:row r="17">
      <x:c r="A17" t="str">
        <x:v>Interest coverage</x:v>
      </x:c>
      <x:c r="B17" s="240" t="str">
        <x:f>IF('Student Calculations'!B23="","",'Student Calculations'!B23)</x:f>
      </x:c>
      <x:c r="C17" s="240" t="str">
        <x:f>IF('Student Calculations'!C23="","",'Student Calculations'!C23)</x:f>
      </x:c>
      <x:c r="D17" s="240" t="n">
        <x:f>IF('Student Calculations'!D23="","",'Student Calculations'!D23)</x:f>
        <x:v>1</x:v>
      </x:c>
    </x:row>
    <x:row r="20" ht="23" customHeight="1">
      <x:c r="A20" s="10" t="str">
        <x:v>DuPont and driver evidence</x:v>
      </x:c>
    </x:row>
    <x:row r="21">
      <x:c r="A21" s="28" t="str">
        <x:v>Metric</x:v>
      </x:c>
      <x:c r="B21" s="29" t="str">
        <x:v>TechStyle</x:v>
      </x:c>
      <x:c r="C21" s="29" t="str">
        <x:v>Urban</x:v>
      </x:c>
      <x:c r="D21" s="30" t="str">
        <x:v>Decision use</x:v>
      </x:c>
      <x:c r="F21" s="199" t="str">
        <x:v>Dashboard discipline
Compare like with like. A higher liquidity or profitability ratio can be favorable, but leverage ratios require a risk judgment. Use the DuPont block to distinguish operating strength from a thin equity base. Use the driver test to decide whether a plausible operating change is large enough to alter the recommendation.</x:v>
      </x:c>
      <x:c r="G21" s="200"/>
      <x:c r="H21" s="200"/>
      <x:c r="I21" s="201"/>
    </x:row>
    <x:row r="22" ht="34" customHeight="1">
      <x:c r="A22" s="91" t="str">
        <x:v>Net Profit Margin</x:v>
      </x:c>
      <x:c r="B22" s="186" t="str">
        <x:f>IF('DuPont &amp; Driver'!B11="","",'DuPont &amp; Driver'!B11)</x:f>
      </x:c>
      <x:c r="C22" s="186" t="str">
        <x:f>IF('DuPont &amp; Driver'!C11="","",'DuPont &amp; Driver'!C11)</x:f>
      </x:c>
      <x:c r="D22" s="70" t="str">
        <x:v>Operating profitability after all expenses</x:v>
      </x:c>
      <x:c r="F22" s="202"/>
      <x:c r="G22" s="198"/>
      <x:c r="H22" s="198"/>
      <x:c r="I22" s="203"/>
    </x:row>
    <x:row r="23" ht="34" customHeight="1">
      <x:c r="A23" s="91" t="str">
        <x:v>Asset Turnover</x:v>
      </x:c>
      <x:c r="B23" s="182" t="str">
        <x:f>IF('DuPont &amp; Driver'!B12="","",'DuPont &amp; Driver'!B12)</x:f>
      </x:c>
      <x:c r="C23" s="182" t="str">
        <x:f>IF('DuPont &amp; Driver'!C12="","",'DuPont &amp; Driver'!C12)</x:f>
      </x:c>
      <x:c r="D23" s="70" t="str">
        <x:v>Revenue generated per average asset dollar</x:v>
      </x:c>
      <x:c r="F23" s="202"/>
      <x:c r="G23" s="198"/>
      <x:c r="H23" s="198"/>
      <x:c r="I23" s="203"/>
    </x:row>
    <x:row r="24" ht="34" customHeight="1">
      <x:c r="A24" s="91" t="str">
        <x:v>Average Equity Multiplier</x:v>
      </x:c>
      <x:c r="B24" s="182" t="str">
        <x:f>IF('DuPont &amp; Driver'!B13="","",'DuPont &amp; Driver'!B13)</x:f>
      </x:c>
      <x:c r="C24" s="182" t="str">
        <x:f>IF('DuPont &amp; Driver'!C13="","",'DuPont &amp; Driver'!C13)</x:f>
      </x:c>
      <x:c r="D24" s="70" t="str">
        <x:v>Financing intensity</x:v>
      </x:c>
      <x:c r="F24" s="202"/>
      <x:c r="G24" s="198"/>
      <x:c r="H24" s="198"/>
      <x:c r="I24" s="203"/>
    </x:row>
    <x:row r="25" ht="34" customHeight="1">
      <x:c r="A25" s="91" t="str">
        <x:v>DuPont ROE</x:v>
      </x:c>
      <x:c r="B25" s="194" t="str">
        <x:f>IF('DuPont &amp; Driver'!B14="","",'DuPont &amp; Driver'!B14)</x:f>
      </x:c>
      <x:c r="C25" s="194" t="str">
        <x:f>IF('DuPont &amp; Driver'!C14="","",'DuPont &amp; Driver'!C14)</x:f>
      </x:c>
      <x:c r="D25" s="70" t="str">
        <x:v>Combined operating and financing result</x:v>
      </x:c>
      <x:c r="F25" s="202"/>
      <x:c r="G25" s="198"/>
      <x:c r="H25" s="198"/>
      <x:c r="I25" s="203"/>
    </x:row>
    <x:row r="26" ht="34" customHeight="1">
      <x:c r="A26" s="91" t="str">
        <x:v>Scenario ROE</x:v>
      </x:c>
      <x:c r="B26" s="194" t="str">
        <x:f>IF('DuPont &amp; Driver'!B27="","",'DuPont &amp; Driver'!B27)</x:f>
      </x:c>
      <x:c r="C26" s="194" t="str">
        <x:f>IF('DuPont &amp; Driver'!C27="","",'DuPont &amp; Driver'!C27)</x:f>
      </x:c>
      <x:c r="D26" s="70" t="str">
        <x:v>ROE after the selected expense change</x:v>
      </x:c>
      <x:c r="F26" s="202"/>
      <x:c r="G26" s="198"/>
      <x:c r="H26" s="198"/>
      <x:c r="I26" s="203"/>
    </x:row>
    <x:row r="27" ht="34" customHeight="1">
      <x:c r="A27" s="101" t="str">
        <x:v>ROE Change</x:v>
      </x:c>
      <x:c r="B27" s="195" t="str">
        <x:f>IF('DuPont &amp; Driver'!B28="","",'DuPont &amp; Driver'!B28)</x:f>
      </x:c>
      <x:c r="C27" s="195" t="str">
        <x:f>IF('DuPont &amp; Driver'!C28="","",'DuPont &amp; Driver'!C28)</x:f>
      </x:c>
      <x:c r="D27" s="73" t="str">
        <x:v>Sensitivity magnitude in percentage points</x:v>
      </x:c>
      <x:c r="F27" s="204"/>
      <x:c r="G27" s="205"/>
      <x:c r="H27" s="205"/>
      <x:c r="I27" s="206"/>
    </x:row>
    <x:row r="29">
      <x:c r="A29" s="208" t="str">
        <x:v>Source: all displayed outputs are formula-linked to the analytical model; no manual re-entry is required.</x:v>
      </x:c>
      <x:c r="B29" s="208"/>
      <x:c r="C29" s="208"/>
      <x:c r="D29" s="208"/>
      <x:c r="E29" s="208"/>
      <x:c r="F29" s="208"/>
      <x:c r="G29" s="208"/>
      <x:c r="H29" s="208"/>
      <x:c r="I29" s="208"/>
    </x:row>
  </x:sheetData>
  <x:mergeCells>
    <x:mergeCell ref="A1:I1"/>
    <x:mergeCell ref="A2:I2"/>
    <x:mergeCell ref="A4:D4"/>
    <x:mergeCell ref="F4:I4"/>
    <x:mergeCell ref="A12:D12"/>
    <x:mergeCell ref="F12:I12"/>
    <x:mergeCell ref="A20:I20"/>
    <x:mergeCell ref="F21:I27"/>
    <x:mergeCell ref="A29:I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  <x:col min="8" max="8" width="48" hidden="0" customWidth="1"/>
  </x:cols>
  <x:sheetData>
    <x:row r="1" ht="32" customHeight="1">
      <x:c r="A1" s="3" t="str">
        <x:v>Checks &amp; Recommendation</x:v>
      </x:c>
    </x:row>
    <x:row r="2" ht="28" customHeight="1">
      <x:c r="A2" s="7" t="str">
        <x:v>Controls test the data and denominator contract; PASS means internally consistent, not automatically decision-correct.</x:v>
      </x:c>
    </x:row>
    <x:row r="4">
      <x:c r="A4" s="210" t="str">
        <x:v>MODEL STATUS</x:v>
      </x:c>
      <x:c r="B4" s="211" t="str">
        <x:f>IFERROR(IF(COUNTIF(G8:G15,"REVIEW")&gt;0,"REVIEW",IF(OR(COUNT('Student Calculations'!B6:C6,'Student Calculations'!B10:C10,'Student Calculations'!B12:C12,'Student Calculations'!B14:C14,'Student Calculations'!B17:C17,'Student Calculations'!B18:C18,'Student Calculations'!B22:C22,'Student Calculations'!B23:C23)&lt;16,COUNTIF(G8:G15,"WAITING")&gt;0,'DuPont &amp; Driver'!B20="",'DuPont &amp; Driver'!B29="",A19=""),"WAITING","PASS")),"REVIEW")</x:f>
        <x:v>WAITING</x:v>
      </x:c>
      <x:c r="C4" s="211"/>
      <x:c r="D4" s="211"/>
    </x:row>
    <x:row r="6" ht="23" customHeight="1">
      <x:c r="A6" s="10" t="str">
        <x:v>Reasonableness and denominator-consistency checks</x:v>
      </x:c>
    </x:row>
    <x:row r="7">
      <x:c r="A7" s="28" t="str">
        <x:v>Check</x:v>
      </x:c>
      <x:c r="B7" s="29" t="str">
        <x:v>Company</x:v>
      </x:c>
      <x:c r="C7" s="29" t="str">
        <x:v>Actual</x:v>
      </x:c>
      <x:c r="D7" s="29" t="str">
        <x:v>Expected</x:v>
      </x:c>
      <x:c r="E7" s="29" t="str">
        <x:v>Difference</x:v>
      </x:c>
      <x:c r="F7" s="29" t="str">
        <x:v>Tolerance</x:v>
      </x:c>
      <x:c r="G7" s="29" t="str">
        <x:v>Status</x:v>
      </x:c>
      <x:c r="H7" s="30" t="str">
        <x:v>Why it matters</x:v>
      </x:c>
    </x:row>
    <x:row r="8" ht="32" customHeight="1">
      <x:c r="A8" s="91" t="str">
        <x:v>Current assets components tie</x:v>
      </x:c>
      <x:c r="B8" s="90" t="str">
        <x:v>TechStyle</x:v>
      </x:c>
      <x:c r="C8" s="173" t="n">
        <x:f>'Company Data'!B15</x:f>
        <x:v>11450000</x:v>
      </x:c>
      <x:c r="D8" s="173" t="n">
        <x:f>SUM('Company Data'!B12:B14)</x:f>
        <x:v>11450000</x:v>
      </x:c>
      <x:c r="E8" s="173" t="n">
        <x:f>IF(OR(C8="",D8=""),"",C8-D8)</x:f>
        <x:v>0</x:v>
      </x:c>
      <x:c r="F8" s="173" t="n">
        <x:v>0</x:v>
      </x:c>
      <x:c r="G8" s="48" t="str">
        <x:f>IF(COUNT(C8:D8)&lt;2,"WAITING",IF(ABS(E8)&lt;=F8,"PASS","REVIEW"))</x:f>
        <x:v>PASS</x:v>
      </x:c>
      <x:c r="H8" s="70" t="str">
        <x:v>Cash + receivables + inventory should equal current assets.</x:v>
      </x:c>
    </x:row>
    <x:row r="9" ht="32" customHeight="1">
      <x:c r="A9" s="91" t="str">
        <x:v>Current assets components tie</x:v>
      </x:c>
      <x:c r="B9" s="90" t="str">
        <x:v>Urban</x:v>
      </x:c>
      <x:c r="C9" s="173" t="n">
        <x:f>'Company Data'!C15</x:f>
        <x:v>13190000</x:v>
      </x:c>
      <x:c r="D9" s="173" t="n">
        <x:f>SUM('Company Data'!C12:C14)</x:f>
        <x:v>13190000</x:v>
      </x:c>
      <x:c r="E9" s="173" t="n">
        <x:f>IF(OR(C9="",D9=""),"",C9-D9)</x:f>
        <x:v>0</x:v>
      </x:c>
      <x:c r="F9" s="173" t="n">
        <x:v>0</x:v>
      </x:c>
      <x:c r="G9" s="48" t="str">
        <x:f>IF(COUNT(C9:D9)&lt;2,"WAITING",IF(ABS(E9)&lt;=F9,"PASS","REVIEW"))</x:f>
        <x:v>PASS</x:v>
      </x:c>
      <x:c r="H9" s="70" t="str">
        <x:v>Cash + receivables + inventory should equal current assets.</x:v>
      </x:c>
    </x:row>
    <x:row r="10" ht="32" customHeight="1">
      <x:c r="A10" s="91" t="str">
        <x:v>Balance sheet equation</x:v>
      </x:c>
      <x:c r="B10" s="90" t="str">
        <x:v>TechStyle</x:v>
      </x:c>
      <x:c r="C10" s="173" t="n">
        <x:f>'Company Data'!B17</x:f>
        <x:v>29950000</x:v>
      </x:c>
      <x:c r="D10" s="173" t="n">
        <x:f>'Company Data'!B23+'Company Data'!B24</x:f>
        <x:v>29950000</x:v>
      </x:c>
      <x:c r="E10" s="173" t="n">
        <x:f>IF(OR(C10="",D10=""),"",C10-D10)</x:f>
        <x:v>0</x:v>
      </x:c>
      <x:c r="F10" s="173" t="n">
        <x:v>0</x:v>
      </x:c>
      <x:c r="G10" s="48" t="str">
        <x:f>IF(COUNT(C10:D10)&lt;2,"WAITING",IF(ABS(E10)&lt;=F10,"PASS","REVIEW"))</x:f>
        <x:v>PASS</x:v>
      </x:c>
      <x:c r="H10" s="70" t="str">
        <x:v>Assets should equal liabilities + equity.</x:v>
      </x:c>
    </x:row>
    <x:row r="11" ht="32" customHeight="1">
      <x:c r="A11" s="91" t="str">
        <x:v>Balance sheet equation</x:v>
      </x:c>
      <x:c r="B11" s="90" t="str">
        <x:v>Urban</x:v>
      </x:c>
      <x:c r="C11" s="173" t="n">
        <x:f>'Company Data'!C17</x:f>
        <x:v>35490000</x:v>
      </x:c>
      <x:c r="D11" s="173" t="n">
        <x:f>'Company Data'!C23+'Company Data'!C24</x:f>
        <x:v>35490000</x:v>
      </x:c>
      <x:c r="E11" s="173" t="n">
        <x:f>IF(OR(C11="",D11=""),"",C11-D11)</x:f>
        <x:v>0</x:v>
      </x:c>
      <x:c r="F11" s="173" t="n">
        <x:v>0</x:v>
      </x:c>
      <x:c r="G11" s="48" t="str">
        <x:f>IF(COUNT(C11:D11)&lt;2,"WAITING",IF(ABS(E11)&lt;=F11,"PASS","REVIEW"))</x:f>
        <x:v>PASS</x:v>
      </x:c>
      <x:c r="H11" s="70" t="str">
        <x:v>Assets should equal liabilities + equity.</x:v>
      </x:c>
    </x:row>
    <x:row r="12" ht="32" customHeight="1">
      <x:c r="A12" s="91" t="str">
        <x:v>ROA denominator consistency</x:v>
      </x:c>
      <x:c r="B12" s="90" t="str">
        <x:v>TechStyle</x:v>
      </x:c>
      <x:c r="C12" s="167" t="str">
        <x:f>IF('Student Calculations'!B13="","",'Student Calculations'!B13)</x:f>
      </x:c>
      <x:c r="D12" s="167" t="str">
        <x:f>IF(OR('Student Calculations'!B12="",'Student Calculations'!B22=""),"",'Student Calculations'!B12*'Student Calculations'!B22)</x:f>
      </x:c>
      <x:c r="E12" s="167" t="str">
        <x:f>IF(OR(C12="",D12=""),"",C12-D12)</x:f>
      </x:c>
      <x:c r="F12" s="167" t="n">
        <x:v>0.0001</x:v>
      </x:c>
      <x:c r="G12" s="48" t="str">
        <x:f>IF('Student Calculations'!B13="","OPTIONAL",IF(COUNT(C12:D12)&lt;2,"WAITING",IF(ABS(E12)&lt;=F12,"PASS","REVIEW")))</x:f>
        <x:v>OPTIONAL</x:v>
      </x:c>
      <x:c r="H12" s="70" t="str">
        <x:v>ROA should equal net margin × asset turnover when average assets match.</x:v>
      </x:c>
    </x:row>
    <x:row r="13" ht="32" customHeight="1">
      <x:c r="A13" s="91" t="str">
        <x:v>ROA denominator consistency</x:v>
      </x:c>
      <x:c r="B13" s="90" t="str">
        <x:v>Urban</x:v>
      </x:c>
      <x:c r="C13" s="167" t="str">
        <x:f>IF('Student Calculations'!C13="","",'Student Calculations'!C13)</x:f>
      </x:c>
      <x:c r="D13" s="167" t="str">
        <x:f>IF(OR('Student Calculations'!C12="",'Student Calculations'!C22=""),"",'Student Calculations'!C12*'Student Calculations'!C22)</x:f>
      </x:c>
      <x:c r="E13" s="167" t="str">
        <x:f>IF(OR(C13="",D13=""),"",C13-D13)</x:f>
      </x:c>
      <x:c r="F13" s="167" t="n">
        <x:v>0.0001</x:v>
      </x:c>
      <x:c r="G13" s="48" t="str">
        <x:f>IF('Student Calculations'!C13="","OPTIONAL",IF(COUNT(C13:D13)&lt;2,"WAITING",IF(ABS(E13)&lt;=F13,"PASS","REVIEW")))</x:f>
        <x:v>OPTIONAL</x:v>
      </x:c>
      <x:c r="H13" s="70" t="str">
        <x:v>ROA should equal net margin × asset turnover when average assets match.</x:v>
      </x:c>
    </x:row>
    <x:row r="14" ht="32" customHeight="1">
      <x:c r="A14" s="91" t="str">
        <x:v>DuPont ROE reconciliation</x:v>
      </x:c>
      <x:c r="B14" s="90" t="str">
        <x:v>TechStyle</x:v>
      </x:c>
      <x:c r="C14" s="167" t="str">
        <x:f>IF('DuPont &amp; Driver'!B14="","",'DuPont &amp; Driver'!B14)</x:f>
      </x:c>
      <x:c r="D14" s="167" t="str">
        <x:f>IF('DuPont &amp; Driver'!B15="","",'DuPont &amp; Driver'!B15)</x:f>
      </x:c>
      <x:c r="E14" s="167" t="str">
        <x:f>IF(OR(C14="",D14=""),"",C14-D14)</x:f>
      </x:c>
      <x:c r="F14" s="167" t="n">
        <x:v>0.0001</x:v>
      </x:c>
      <x:c r="G14" s="48" t="str">
        <x:f>IF(COUNT(C14:D14)&lt;2,"WAITING",IF(ABS(E14)&lt;=F14,"PASS","REVIEW"))</x:f>
        <x:v>WAITING</x:v>
      </x:c>
      <x:c r="H14" s="70" t="str">
        <x:v>DuPont ROE should equal direct ROE.</x:v>
      </x:c>
    </x:row>
    <x:row r="15" ht="32" customHeight="1">
      <x:c r="A15" s="101" t="str">
        <x:v>DuPont ROE reconciliation</x:v>
      </x:c>
      <x:c r="B15" s="212" t="str">
        <x:v>Urban</x:v>
      </x:c>
      <x:c r="C15" s="172" t="str">
        <x:f>IF('DuPont &amp; Driver'!C14="","",'DuPont &amp; Driver'!C14)</x:f>
      </x:c>
      <x:c r="D15" s="172" t="str">
        <x:f>IF('DuPont &amp; Driver'!C15="","",'DuPont &amp; Driver'!C15)</x:f>
      </x:c>
      <x:c r="E15" s="172" t="str">
        <x:f>IF(OR(C15="",D15=""),"",C15-D15)</x:f>
      </x:c>
      <x:c r="F15" s="172" t="n">
        <x:v>0.0001</x:v>
      </x:c>
      <x:c r="G15" s="213" t="str">
        <x:f>IF(COUNT(C15:D15)&lt;2,"WAITING",IF(ABS(E15)&lt;=F15,"PASS","REVIEW"))</x:f>
        <x:v>WAITING</x:v>
      </x:c>
      <x:c r="H15" s="73" t="str">
        <x:v>DuPont ROE should equal direct ROE.</x:v>
      </x:c>
    </x:row>
    <x:row r="17" ht="23" customHeight="1">
      <x:c r="A17" s="10" t="str">
        <x:v>Concise driver-based recommendation</x:v>
      </x:c>
    </x:row>
    <x:row r="18" ht="48" customHeight="1">
      <x:c r="A18" s="215" t="str">
        <x:v>After class: write 4–6 sentences in A19. Compare the retailers using a profitability/DuPont driver, liquidity or leverage, interest coverage, the expense test, and a monitoring trigger.</x:v>
      </x:c>
      <x:c r="B18" s="216"/>
      <x:c r="C18" s="216"/>
      <x:c r="D18" s="216"/>
      <x:c r="E18" s="216"/>
      <x:c r="F18" s="216"/>
      <x:c r="G18" s="216"/>
      <x:c r="H18" s="217"/>
    </x:row>
    <x:row r="19">
      <x:c r="A19" s="218"/>
      <x:c r="B19" s="175"/>
      <x:c r="C19" s="175"/>
      <x:c r="D19" s="175"/>
      <x:c r="E19" s="175"/>
      <x:c r="F19" s="175"/>
      <x:c r="G19" s="175"/>
      <x:c r="H19" s="219"/>
    </x:row>
    <x:row r="20">
      <x:c r="A20" s="218"/>
      <x:c r="B20" s="175"/>
      <x:c r="C20" s="175"/>
      <x:c r="D20" s="175"/>
      <x:c r="E20" s="175"/>
      <x:c r="F20" s="175"/>
      <x:c r="G20" s="175"/>
      <x:c r="H20" s="219"/>
    </x:row>
    <x:row r="21">
      <x:c r="A21" s="218"/>
      <x:c r="B21" s="175"/>
      <x:c r="C21" s="175"/>
      <x:c r="D21" s="175"/>
      <x:c r="E21" s="175"/>
      <x:c r="F21" s="175"/>
      <x:c r="G21" s="175"/>
      <x:c r="H21" s="219"/>
    </x:row>
    <x:row r="22">
      <x:c r="A22" s="218"/>
      <x:c r="B22" s="175"/>
      <x:c r="C22" s="175"/>
      <x:c r="D22" s="175"/>
      <x:c r="E22" s="175"/>
      <x:c r="F22" s="175"/>
      <x:c r="G22" s="175"/>
      <x:c r="H22" s="219"/>
    </x:row>
    <x:row r="23">
      <x:c r="A23" s="220"/>
      <x:c r="B23" s="178"/>
      <x:c r="C23" s="178"/>
      <x:c r="D23" s="178"/>
      <x:c r="E23" s="178"/>
      <x:c r="F23" s="178"/>
      <x:c r="G23" s="178"/>
      <x:c r="H23" s="221"/>
    </x:row>
    <x:row r="25">
      <x:c r="A25" s="223" t="str">
        <x:v>PASS checks core completion and internal consistency, not the quality of the recommendation. Optional ratios may remain blank; illustrative references are not universal targets.</x:v>
      </x:c>
      <x:c r="B25" s="224"/>
      <x:c r="C25" s="224"/>
      <x:c r="D25" s="224"/>
      <x:c r="E25" s="224"/>
      <x:c r="F25" s="224"/>
      <x:c r="G25" s="224"/>
      <x:c r="H25" s="225"/>
    </x:row>
    <x:row r="26">
      <x:c r="A26" s="226"/>
      <x:c r="B26" s="227"/>
      <x:c r="C26" s="227"/>
      <x:c r="D26" s="227"/>
      <x:c r="E26" s="227"/>
      <x:c r="F26" s="227"/>
      <x:c r="G26" s="227"/>
      <x:c r="H26" s="228"/>
    </x:row>
  </x:sheetData>
  <x:mergeCells>
    <x:mergeCell ref="A1:H1"/>
    <x:mergeCell ref="A2:H2"/>
    <x:mergeCell ref="B4:D4"/>
    <x:mergeCell ref="A6:H6"/>
    <x:mergeCell ref="A17:H17"/>
    <x:mergeCell ref="A18:H18"/>
    <x:mergeCell ref="A19:H23"/>
    <x:mergeCell ref="A25:H26"/>
  </x:mergeCells>
  <x:conditionalFormatting sqref="B4:D4">
    <x:cfRule type="containsText" dxfId="0" priority="1" operator="containsText" text="PASS"/>
    <x:cfRule type="containsText" dxfId="1" priority="2" operator="containsText" text="WAITING"/>
    <x:cfRule type="containsText" dxfId="2" priority="3" operator="containsText" text="REVIEW"/>
  </x:conditionalFormatting>
  <x:conditionalFormatting sqref="G8:G15">
    <x:cfRule type="containsText" dxfId="3" priority="4" operator="containsText" text="PASS"/>
    <x:cfRule type="containsText" dxfId="4" priority="5" operator="containsText" text="WAITING"/>
    <x:cfRule type="containsText" dxfId="5" priority="6" operator="containsText" text="REVIEW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28" hidden="0" customWidth="1"/>
    <x:col min="4" max="4" width="48" hidden="0" customWidth="1"/>
  </x:cols>
  <x:sheetData>
    <x:row r="1" ht="32" customHeight="1">
      <x:c r="A1" s="3" t="str">
        <x:v>Ratio Analysis and Corporate Performance</x:v>
      </x:c>
    </x:row>
    <x:row r="2" ht="28" customHeight="1">
      <x:c r="A2" s="7" t="str">
        <x:v>BUS311 · intro-m04-l01 · supplied-data practice</x:v>
      </x:c>
    </x:row>
    <x:row r="4" ht="23" customHeight="1">
      <x:c r="A4" s="10" t="str">
        <x:v>Required workflow</x:v>
      </x:c>
    </x:row>
    <x:row r="5">
      <x:c r="A5" s="28" t="str">
        <x:v>Step</x:v>
      </x:c>
      <x:c r="B5" s="30" t="str">
        <x:v>Required action</x:v>
      </x:c>
    </x:row>
    <x:row r="6" ht="30" customHeight="1">
      <x:c r="A6" s="230" t="n">
        <x:v>1</x:v>
      </x:c>
      <x:c r="B6" s="70" t="str">
        <x:v>In class: complete Class Practice alongside slides 7–12.</x:v>
      </x:c>
    </x:row>
    <x:row r="7" ht="30" customHeight="1">
      <x:c r="A7" s="230" t="n">
        <x:v>2</x:v>
      </x:c>
      <x:c r="B7" s="70" t="str">
        <x:v>After class: compare the two fictional retailers using supplied Company Data.</x:v>
      </x:c>
    </x:row>
    <x:row r="8" ht="30" customHeight="1">
      <x:c r="A8" s="230" t="n">
        <x:v>3</x:v>
      </x:c>
      <x:c r="B8" s="70" t="str">
        <x:v>Complete the eight CORE ratio rows for both firms; remaining rows are optional.</x:v>
      </x:c>
    </x:row>
    <x:row r="9" ht="30" customHeight="1">
      <x:c r="A9" s="230" t="n">
        <x:v>4</x:v>
      </x:c>
      <x:c r="B9" s="70" t="str">
        <x:v>Use DuPont and the operating-expense test to identify the performance driver.</x:v>
      </x:c>
    </x:row>
    <x:row r="10" ht="30" customHeight="1">
      <x:c r="A10" s="231" t="n">
        <x:v>5</x:v>
      </x:c>
      <x:c r="B10" s="73" t="str">
        <x:v>Use the linked dashboard and checks to defend the recommendation.</x:v>
      </x:c>
    </x:row>
    <x:row r="12" ht="23" customHeight="1">
      <x:c r="A12" s="10" t="str">
        <x:v>Supplied case data / reference documentation</x:v>
      </x:c>
    </x:row>
    <x:row r="13">
      <x:c r="A13" s="28" t="str">
        <x:v>Input</x:v>
      </x:c>
      <x:c r="B13" s="29" t="str">
        <x:v>Field / definition</x:v>
      </x:c>
      <x:c r="C13" s="29" t="str">
        <x:v>Period / units</x:v>
      </x:c>
      <x:c r="D13" s="30" t="str">
        <x:v>Source note</x:v>
      </x:c>
    </x:row>
    <x:row r="14" ht="40" customHeight="1">
      <x:c r="A14" s="91" t="str">
        <x:v>Company identifiers</x:v>
      </x:c>
      <x:c r="B14" s="174" t="str">
        <x:v>TechStyle Retail and Urban Goods: fictional classroom cases</x:v>
      </x:c>
      <x:c r="C14" s="174"/>
      <x:c r="D14" s="232"/>
    </x:row>
    <x:row r="15" ht="40" customHeight="1">
      <x:c r="A15" s="91" t="str">
        <x:v>Balance-sheet values</x:v>
      </x:c>
      <x:c r="B15" s="174" t="str">
        <x:v>Company Data: supplied year-end balances</x:v>
      </x:c>
      <x:c r="C15" s="174"/>
      <x:c r="D15" s="232"/>
    </x:row>
    <x:row r="16" ht="40" customHeight="1">
      <x:c r="A16" s="91" t="str">
        <x:v>Income-statement values</x:v>
      </x:c>
      <x:c r="B16" s="174" t="str">
        <x:v>Company Data: supplied annual income statements</x:v>
      </x:c>
      <x:c r="C16" s="174"/>
      <x:c r="D16" s="232"/>
    </x:row>
    <x:row r="17" ht="40" customHeight="1">
      <x:c r="A17" s="91" t="str">
        <x:v>Debt definition</x:v>
      </x:c>
      <x:c r="B17" s="174" t="str">
        <x:v>Short-term debt + long-term debt</x:v>
      </x:c>
      <x:c r="C17" s="174"/>
      <x:c r="D17" s="232"/>
    </x:row>
    <x:row r="18" ht="40" customHeight="1">
      <x:c r="A18" s="101" t="str">
        <x:v>Comparison benchmark</x:v>
      </x:c>
      <x:c r="B18" s="233" t="str">
        <x:v>Illustrative classroom references; not observed industry averages</x:v>
      </x:c>
      <x:c r="C18" s="233"/>
      <x:c r="D18" s="234"/>
    </x:row>
    <x:row r="20" ht="23" customHeight="1">
      <x:c r="A20" s="10" t="str">
        <x:v>Decision evidence checklist</x:v>
      </x:c>
    </x:row>
    <x:row r="21">
      <x:c r="A21" s="28" t="str">
        <x:v>Evidence</x:v>
      </x:c>
      <x:c r="B21" s="29" t="str">
        <x:v>Required response</x:v>
      </x:c>
      <x:c r="C21" s="29"/>
      <x:c r="D21" s="30"/>
    </x:row>
    <x:row r="22">
      <x:c r="A22" s="91" t="str">
        <x:v>Profitability / DuPont driver</x:v>
      </x:c>
      <x:c r="B22" s="174"/>
      <x:c r="C22" s="174"/>
      <x:c r="D22" s="232"/>
    </x:row>
    <x:row r="23">
      <x:c r="A23" s="91" t="str">
        <x:v>Liquidity or leverage trade-off</x:v>
      </x:c>
      <x:c r="B23" s="174"/>
      <x:c r="C23" s="174"/>
      <x:c r="D23" s="232"/>
    </x:row>
    <x:row r="24">
      <x:c r="A24" s="91" t="str">
        <x:v>Operating-driver test</x:v>
      </x:c>
      <x:c r="B24" s="174"/>
      <x:c r="C24" s="174"/>
      <x:c r="D24" s="232"/>
    </x:row>
    <x:row r="25">
      <x:c r="A25" s="101" t="str">
        <x:v>Risk and monitoring trigger</x:v>
      </x:c>
      <x:c r="B25" s="233"/>
      <x:c r="C25" s="233"/>
      <x:c r="D25" s="234"/>
    </x:row>
    <x:row r="27">
      <x:c r="A27" s="223" t="str">
        <x:v>No FactSet retrieval is required for M04. A later real-company extension would require company, field, period, currency, units, and retrieval date. Lemonade is reserved for later use.</x:v>
      </x:c>
      <x:c r="B27" s="224"/>
      <x:c r="C27" s="224"/>
      <x:c r="D27" s="225"/>
    </x:row>
    <x:row r="28">
      <x:c r="A28" s="226"/>
      <x:c r="B28" s="227"/>
      <x:c r="C28" s="227"/>
      <x:c r="D28" s="228"/>
    </x:row>
  </x:sheetData>
  <x:mergeCells>
    <x:mergeCell ref="A1:D1"/>
    <x:mergeCell ref="A2:D2"/>
    <x:mergeCell ref="A4:D4"/>
    <x:mergeCell ref="A12:D12"/>
    <x:mergeCell ref="A20:D20"/>
    <x:mergeCell ref="B22:D22"/>
    <x:mergeCell ref="B23:D23"/>
    <x:mergeCell ref="B24:D24"/>
    <x:mergeCell ref="B25:D25"/>
    <x:mergeCell ref="A27:D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9" hidden="0" customWidth="1"/>
    <x:col min="3" max="3" width="3" hidden="0" customWidth="1"/>
    <x:col min="4" max="4" width="27" hidden="0" customWidth="1"/>
    <x:col min="5" max="5" width="18" hidden="0" customWidth="1"/>
    <x:col min="6" max="6" width="42" hidden="0" customWidth="1"/>
  </x:cols>
  <x:sheetData>
    <x:row r="1" ht="32" customHeight="1">
      <x:c r="A1" s="243" t="str">
        <x:v>M04 | Class Practice — same example as the slides</x:v>
      </x:c>
      <x:c r="B1" s="243"/>
      <x:c r="C1" s="243"/>
      <x:c r="D1" s="243"/>
      <x:c r="E1" s="243"/>
      <x:c r="F1" s="243"/>
    </x:row>
    <x:row r="2" ht="36" customHeight="1">
      <x:c r="A2" s="244" t="str">
        <x:v>Slides 7–12: enter five formulas in E5:E9, then explain the DuPont drivers. Return here for the in-class brief.</x:v>
      </x:c>
      <x:c r="B2" s="241"/>
      <x:c r="C2" s="241"/>
      <x:c r="D2" s="241"/>
      <x:c r="E2" s="241"/>
      <x:c r="F2" s="241"/>
    </x:row>
    <x:row r="3">
      <x:c r="A3" s="241"/>
      <x:c r="B3" s="241"/>
      <x:c r="C3" s="241"/>
      <x:c r="D3" s="241"/>
      <x:c r="E3" s="241"/>
      <x:c r="F3" s="241"/>
    </x:row>
    <x:row r="4" ht="28" customHeight="1">
      <x:c r="A4" s="255" t="str">
        <x:v>Given inputs (USD)</x:v>
      </x:c>
      <x:c r="B4" s="255" t="str">
        <x:v>Amount</x:v>
      </x:c>
      <x:c r="C4" s="241"/>
      <x:c r="D4" s="255" t="str">
        <x:v>Five core signals</x:v>
      </x:c>
      <x:c r="E4" s="255" t="str">
        <x:v>Your formula</x:v>
      </x:c>
      <x:c r="F4" s="255" t="str">
        <x:v>Definition</x:v>
      </x:c>
    </x:row>
    <x:row r="5" ht="30" customHeight="1">
      <x:c r="A5" s="241" t="str">
        <x:v>Revenue</x:v>
      </x:c>
      <x:c r="B5" s="247" t="n">
        <x:v>120000</x:v>
      </x:c>
      <x:c r="C5" s="241"/>
      <x:c r="D5" s="241" t="str">
        <x:v>Current ratio</x:v>
      </x:c>
      <x:c r="E5" s="249"/>
      <x:c r="F5" s="244" t="str">
        <x:v>Current assets / current liabilities</x:v>
      </x:c>
    </x:row>
    <x:row r="6" ht="30" customHeight="1">
      <x:c r="A6" s="241" t="str">
        <x:v>Cost of goods sold</x:v>
      </x:c>
      <x:c r="B6" s="247" t="n">
        <x:v>48000</x:v>
      </x:c>
      <x:c r="C6" s="241"/>
      <x:c r="D6" s="241" t="str">
        <x:v>Gross margin</x:v>
      </x:c>
      <x:c r="E6" s="250"/>
      <x:c r="F6" s="244" t="str">
        <x:v>(Revenue - COGS) / revenue</x:v>
      </x:c>
    </x:row>
    <x:row r="7" ht="30" customHeight="1">
      <x:c r="A7" s="241" t="str">
        <x:v>Net income</x:v>
      </x:c>
      <x:c r="B7" s="247" t="n">
        <x:v>12000</x:v>
      </x:c>
      <x:c r="C7" s="241"/>
      <x:c r="D7" s="241" t="str">
        <x:v>Asset turnover</x:v>
      </x:c>
      <x:c r="E7" s="249"/>
      <x:c r="F7" s="244" t="str">
        <x:v>Revenue / average assets</x:v>
      </x:c>
    </x:row>
    <x:row r="8" ht="30" customHeight="1">
      <x:c r="A8" s="241" t="str">
        <x:v>Average assets</x:v>
      </x:c>
      <x:c r="B8" s="247" t="n">
        <x:v>80000</x:v>
      </x:c>
      <x:c r="C8" s="241"/>
      <x:c r="D8" s="241" t="str">
        <x:v>Debt ratio</x:v>
      </x:c>
      <x:c r="E8" s="250"/>
      <x:c r="F8" s="244" t="str">
        <x:v>Total debt / ending assets</x:v>
      </x:c>
    </x:row>
    <x:row r="9" ht="30" customHeight="1">
      <x:c r="A9" s="241" t="str">
        <x:v>Current assets</x:v>
      </x:c>
      <x:c r="B9" s="247" t="n">
        <x:v>36000</x:v>
      </x:c>
      <x:c r="C9" s="241"/>
      <x:c r="D9" s="241" t="str">
        <x:v>ROE</x:v>
      </x:c>
      <x:c r="E9" s="250"/>
      <x:c r="F9" s="244" t="str">
        <x:v>Net income / average equity</x:v>
      </x:c>
    </x:row>
    <x:row r="10" ht="30" customHeight="1">
      <x:c r="A10" s="241" t="str">
        <x:v>Current liabilities</x:v>
      </x:c>
      <x:c r="B10" s="247" t="n">
        <x:v>18000</x:v>
      </x:c>
      <x:c r="C10" s="241"/>
      <x:c r="D10" s="241"/>
      <x:c r="E10" s="241"/>
      <x:c r="F10" s="244"/>
    </x:row>
    <x:row r="11" ht="30" customHeight="1">
      <x:c r="A11" s="241" t="str">
        <x:v>Total debt</x:v>
      </x:c>
      <x:c r="B11" s="247" t="n">
        <x:v>44000</x:v>
      </x:c>
      <x:c r="C11" s="241"/>
      <x:c r="D11" s="241"/>
      <x:c r="E11" s="241"/>
      <x:c r="F11" s="244"/>
    </x:row>
    <x:row r="12" ht="30" customHeight="1">
      <x:c r="A12" s="241" t="str">
        <x:v>Ending assets</x:v>
      </x:c>
      <x:c r="B12" s="247" t="n">
        <x:v>88000</x:v>
      </x:c>
      <x:c r="C12" s="241"/>
      <x:c r="D12" s="255" t="str">
        <x:v>DuPont bridge</x:v>
      </x:c>
      <x:c r="E12" s="255" t="str">
        <x:v>Linked result</x:v>
      </x:c>
      <x:c r="F12" s="256" t="str">
        <x:v>Meaning</x:v>
      </x:c>
    </x:row>
    <x:row r="13" ht="30" customHeight="1">
      <x:c r="A13" s="241" t="str">
        <x:v>Beginning equity</x:v>
      </x:c>
      <x:c r="B13" s="247" t="n">
        <x:v>28000</x:v>
      </x:c>
      <x:c r="C13" s="241"/>
      <x:c r="D13" s="241" t="str">
        <x:v>Net margin</x:v>
      </x:c>
      <x:c r="E13" s="251" t="n">
        <x:f>B7/B5</x:f>
        <x:v>0.1</x:v>
      </x:c>
      <x:c r="F13" s="244" t="str">
        <x:v>After all expenses; compare with gross margin</x:v>
      </x:c>
    </x:row>
    <x:row r="14" ht="30" customHeight="1">
      <x:c r="A14" s="241" t="str">
        <x:v>Ending equity</x:v>
      </x:c>
      <x:c r="B14" s="247" t="n">
        <x:v>32000</x:v>
      </x:c>
      <x:c r="C14" s="241"/>
      <x:c r="D14" s="241" t="str">
        <x:v>Asset turnover</x:v>
      </x:c>
      <x:c r="E14" s="252" t="str">
        <x:f>IF(E7="","",E7)</x:f>
      </x:c>
      <x:c r="F14" s="244" t="str">
        <x:v>Same ratio as E7</x:v>
      </x:c>
    </x:row>
    <x:row r="15" ht="30" customHeight="1">
      <x:c r="A15" s="241"/>
      <x:c r="B15" s="241"/>
      <x:c r="C15" s="241"/>
      <x:c r="D15" s="241" t="str">
        <x:v>Equity multiplier</x:v>
      </x:c>
      <x:c r="E15" s="252" t="n">
        <x:f>B8/AVERAGE(B13:B14)</x:f>
        <x:v>2.6666666666666665</x:v>
      </x:c>
      <x:c r="F15" s="244" t="str">
        <x:v>Use the full value; display rounds to 2.67x</x:v>
      </x:c>
    </x:row>
    <x:row r="16" ht="30" customHeight="1">
      <x:c r="A16" s="241"/>
      <x:c r="B16" s="241"/>
      <x:c r="C16" s="241"/>
      <x:c r="D16" s="241" t="str">
        <x:v>DuPont ROE</x:v>
      </x:c>
      <x:c r="E16" s="251" t="str">
        <x:f>IF(E14="","",E13*E14*E15)</x:f>
      </x:c>
      <x:c r="F16" s="244" t="str">
        <x:v>Net margin x turnover x equity multiplier</x:v>
      </x:c>
    </x:row>
    <x:row r="17" ht="30" customHeight="1">
      <x:c r="A17" s="241"/>
      <x:c r="B17" s="241"/>
      <x:c r="C17" s="241"/>
      <x:c r="D17" s="241" t="str">
        <x:v>Reconciliation difference</x:v>
      </x:c>
      <x:c r="E17" s="251" t="str">
        <x:f>IF(OR(E9="",E16=""),"",E16-E9)</x:f>
      </x:c>
      <x:c r="F17" s="244" t="str">
        <x:v>Should be zero when ROE is consistent</x:v>
      </x:c>
    </x:row>
    <x:row r="18">
      <x:c r="A18" s="241"/>
      <x:c r="B18" s="241"/>
      <x:c r="C18" s="241"/>
      <x:c r="D18" s="241"/>
      <x:c r="E18" s="241"/>
      <x:c r="F18" s="241"/>
    </x:row>
    <x:row r="19">
      <x:c r="A19" s="241"/>
      <x:c r="B19" s="241"/>
      <x:c r="C19" s="241"/>
      <x:c r="D19" s="241"/>
      <x:c r="E19" s="241"/>
      <x:c r="F19" s="241"/>
    </x:row>
    <x:row r="20" ht="32" customHeight="1">
      <x:c r="A20" s="241" t="str">
        <x:v>In-class brief: two sentences using two ratios, a driver, a risk, and a follow-up data request.</x:v>
      </x:c>
      <x:c r="B20" s="241"/>
      <x:c r="C20" s="241"/>
      <x:c r="D20" s="241"/>
      <x:c r="E20" s="241"/>
      <x:c r="F20" s="241"/>
    </x:row>
    <x:row r="21">
      <x:c r="A21" s="254"/>
      <x:c r="B21" s="254"/>
      <x:c r="C21" s="254"/>
      <x:c r="D21" s="254"/>
      <x:c r="E21" s="254"/>
      <x:c r="F21" s="254"/>
    </x:row>
    <x:row r="22">
      <x:c r="A22" s="254"/>
      <x:c r="B22" s="254"/>
      <x:c r="C22" s="254"/>
      <x:c r="D22" s="254"/>
      <x:c r="E22" s="254"/>
      <x:c r="F22" s="254"/>
    </x:row>
    <x:row r="23">
      <x:c r="A23" s="254"/>
      <x:c r="B23" s="254"/>
      <x:c r="C23" s="254"/>
      <x:c r="D23" s="254"/>
      <x:c r="E23" s="254"/>
      <x:c r="F23" s="254"/>
    </x:row>
    <x:row r="24">
      <x:c r="A24" s="254"/>
      <x:c r="B24" s="254"/>
      <x:c r="C24" s="254"/>
      <x:c r="D24" s="254"/>
      <x:c r="E24" s="254"/>
      <x:c r="F24" s="254"/>
    </x:row>
    <x:row r="25">
      <x:c r="A25" s="241"/>
      <x:c r="B25" s="241"/>
      <x:c r="C25" s="241"/>
      <x:c r="D25" s="241"/>
      <x:c r="E25" s="241"/>
      <x:c r="F25" s="241"/>
    </x:row>
    <x:row r="26">
      <x:c r="A26" s="241"/>
      <x:c r="B26" s="241"/>
      <x:c r="C26" s="241"/>
      <x:c r="D26" s="241"/>
      <x:c r="E26" s="241"/>
      <x:c r="F26" s="241"/>
    </x:row>
    <x:row r="27">
      <x:c r="A27" s="244" t="str">
        <x:v>After class: move to Company Data and Student Calculations. The two-retailer case uses different data deliberately. Complete CORE rows 6, 10, 12, 14, 17, 18, 22, and 23; optional rows may stay blank.</x:v>
      </x:c>
      <x:c r="B27" s="241"/>
      <x:c r="C27" s="241"/>
      <x:c r="D27" s="241"/>
      <x:c r="E27" s="241"/>
      <x:c r="F27" s="241"/>
    </x:row>
    <x:row r="28">
      <x:c r="A28" s="241"/>
      <x:c r="B28" s="241"/>
      <x:c r="C28" s="241"/>
      <x:c r="D28" s="241"/>
      <x:c r="E28" s="241"/>
      <x:c r="F28" s="241"/>
    </x:row>
    <x:row r="29">
      <x:c r="A29" s="241"/>
      <x:c r="B29" s="241"/>
      <x:c r="C29" s="241"/>
      <x:c r="D29" s="241"/>
      <x:c r="E29" s="241"/>
      <x:c r="F29" s="241"/>
    </x:row>
    <x:row r="30">
      <x:c r="A30" s="244" t="str">
        <x:v>Source: instructor-created classroom example matching the M04 slides. No external retrieval required.</x:v>
      </x:c>
      <x:c r="B30" s="241"/>
      <x:c r="C30" s="241"/>
      <x:c r="D30" s="241"/>
      <x:c r="E30" s="241"/>
      <x:c r="F30" s="241"/>
    </x:row>
    <x:row r="31">
      <x:c r="A31" s="241"/>
      <x:c r="B31" s="241"/>
      <x:c r="C31" s="241"/>
      <x:c r="D31" s="241"/>
      <x:c r="E31" s="241"/>
      <x:c r="F31" s="241"/>
    </x:row>
    <x:row r="32">
      <x:c r="A32" s="241"/>
      <x:c r="B32" s="241"/>
      <x:c r="C32" s="241"/>
      <x:c r="D32" s="241"/>
      <x:c r="E32" s="241"/>
      <x:c r="F32" s="241"/>
    </x:row>
    <x:row r="33">
      <x:c r="A33" s="241"/>
      <x:c r="B33" s="241"/>
      <x:c r="C33" s="241"/>
      <x:c r="D33" s="241"/>
      <x:c r="E33" s="241"/>
      <x:c r="F33" s="241"/>
    </x:row>
    <x:row r="34">
      <x:c r="A34" s="241"/>
      <x:c r="B34" s="241"/>
      <x:c r="C34" s="241"/>
      <x:c r="D34" s="241"/>
      <x:c r="E34" s="241"/>
      <x:c r="F34" s="241"/>
    </x:row>
  </x:sheetData>
  <x:mergeCells>
    <x:mergeCell ref="A1:F1"/>
    <x:mergeCell ref="A2:F2"/>
    <x:mergeCell ref="A20:F20"/>
    <x:mergeCell ref="A21:F24"/>
    <x:mergeCell ref="A27:F28"/>
    <x:mergeCell ref="A30:F31"/>
  </x:mergeCells>
  <x:pageMargins left="0.7" right="0.7" top="0.75" bottom="0.75" header="0.3" footer="0.3"/>
</x:worksheet>
</file>