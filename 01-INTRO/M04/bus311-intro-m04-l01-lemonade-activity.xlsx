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dd72192ea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79b84f9fae24dec"/>
    <x:sheet xmlns:r="http://schemas.openxmlformats.org/officeDocument/2006/relationships" name="Assumptions" sheetId="2" r:id="Rf4fc8e752ba941e8"/>
    <x:sheet xmlns:r="http://schemas.openxmlformats.org/officeDocument/2006/relationships" name="Day 1 - Funding" sheetId="3" r:id="Rcf9d865a538e4b2c"/>
    <x:sheet xmlns:r="http://schemas.openxmlformats.org/officeDocument/2006/relationships" name="Day 2 - Investment" sheetId="4" r:id="Rb1a5824f01f94366"/>
    <x:sheet xmlns:r="http://schemas.openxmlformats.org/officeDocument/2006/relationships" name="Year 1 - Operations" sheetId="5" r:id="R721a3b39328a443b"/>
    <x:sheet xmlns:r="http://schemas.openxmlformats.org/officeDocument/2006/relationships" name="Five-Year Forecast" sheetId="6" r:id="R99b9e7e689994fa5"/>
    <x:sheet xmlns:r="http://schemas.openxmlformats.org/officeDocument/2006/relationships" name="Year 5 - Balance Sheet" sheetId="7" r:id="Rdc5b81f777fd4354"/>
    <x:sheet xmlns:r="http://schemas.openxmlformats.org/officeDocument/2006/relationships" name="Evaluation &amp; Valuation" sheetId="8" r:id="Rb1978e99b796472c"/>
    <x:sheet xmlns:r="http://schemas.openxmlformats.org/officeDocument/2006/relationships" name="Model Checks" sheetId="9" r:id="Rafd5f6a3a784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;[Red]($#,##0);-"/>
    <x:numFmt numFmtId="201" formatCode="#,##0;[Red](#,##0);-"/>
    <x:numFmt numFmtId="202" formatCode="0.0%;[Red](0.0%);-"/>
    <x:numFmt numFmtId="203" formatCode="$0.00;[Red]($0.00);-"/>
    <x:numFmt numFmtId="204" formatCode="0.0x;[Red](0.0x);-"/>
    <x:numFmt numFmtId="205" formatCode="#,##0.0;[Red](#,##0.0);-"/>
    <x:numFmt numFmtId="206" formatCode="$#,##0.00"/>
  </x:numFmts>
  <x:fonts count="12">
    <x:font>
      <x:sz val="11"/>
      <x:name val="Carlito"/>
    </x:font>
    <x:font>
      <x:sz val="10"/>
      <x:color rgb="FF111827"/>
      <x:name val="Aptos"/>
    </x:font>
    <x:font>
      <x:b/>
      <x:sz val="18"/>
      <x:color rgb="FFFFFFFF"/>
      <x:name val="Aptos"/>
    </x:font>
    <x:font>
      <x:i/>
      <x:sz val="10"/>
      <x:color rgb="FF667085"/>
      <x:name val="Aptos"/>
    </x:font>
    <x:font>
      <x:b/>
      <x:sz val="10"/>
      <x:color rgb="FF14213D"/>
      <x:name val="Aptos"/>
    </x:font>
    <x:font>
      <x:b/>
      <x:sz val="13"/>
      <x:color rgb="FF008000"/>
      <x:name val="Aptos"/>
    </x:font>
    <x:font>
      <x:b/>
      <x:sz val="11"/>
      <x:color rgb="FFFFFFFF"/>
      <x:name val="Aptos"/>
    </x:font>
    <x:font>
      <x:sz val="10"/>
      <x:color rgb="FF0000FF"/>
      <x:name val="Aptos"/>
    </x:font>
    <x:font>
      <x:sz val="10"/>
      <x:color rgb="FF008000"/>
      <x:name val="Aptos"/>
    </x:font>
    <x:font>
      <x:sz val="10"/>
      <x:color rgb="FF0563C1"/>
      <x:name val="Aptos"/>
    </x:font>
    <x:font>
      <x:b/>
      <x:sz val="10"/>
      <x:color rgb="FF111827"/>
      <x:name val="Aptos"/>
    </x:font>
    <x:font>
      <x:b/>
      <x:sz val="10"/>
      <x:color rgb="FF00800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7F2EA"/>
      </x:patternFill>
    </x:fill>
    <x:fill>
      <x:patternFill patternType="solid">
        <x:fgColor rgb="FFD8A34B"/>
      </x:patternFill>
    </x:fill>
    <x:fill>
      <x:patternFill patternType="solid">
        <x:fgColor rgb="FF9C4A2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FF9EF"/>
      </x:patternFill>
    </x:fill>
  </x:fills>
  <x:borders count="18">
    <x:border/>
    <x:border>
      <x:left style="thin">
        <x:color rgb="FFD8A34B"/>
      </x:left>
      <x:top style="thin">
        <x:color rgb="FFD8A34B"/>
      </x:top>
    </x:border>
    <x:border>
      <x:top style="thin">
        <x:color rgb="FFD8A34B"/>
      </x:top>
    </x:border>
    <x:border>
      <x:right style="thin">
        <x:color rgb="FFD8A34B"/>
      </x:right>
      <x:top style="thin">
        <x:color rgb="FFD8A34B"/>
      </x:top>
    </x:border>
    <x:border>
      <x:left style="thin">
        <x:color rgb="FFD8A34B"/>
      </x:left>
      <x:bottom style="thin">
        <x:color rgb="FFD8A34B"/>
      </x:bottom>
    </x:border>
    <x:border>
      <x:bottom style="thin">
        <x:color rgb="FFD8A34B"/>
      </x:bottom>
    </x:border>
    <x:border>
      <x:right style="thin">
        <x:color rgb="FFD8A34B"/>
      </x:right>
      <x:bottom style="thin">
        <x:color rgb="FFD8A34B"/>
      </x:bottom>
    </x:border>
    <x:border>
      <x:bottom style="thin">
        <x:color rgb="FF14213D"/>
      </x:bottom>
    </x:border>
    <x:border>
      <x:left style="thin">
        <x:color rgb="FFD8A34B"/>
      </x:left>
      <x:right style="thin">
        <x:color rgb="FFD8A34B"/>
      </x:right>
      <x:top style="thin">
        <x:color rgb="FFD8A34B"/>
      </x:top>
      <x:bottom style="thin">
        <x:color rgb="FFD8A34B"/>
      </x:bottom>
    </x:border>
    <x:border>
      <x:left style="thin">
        <x:color rgb="FFD8A34B"/>
      </x:left>
    </x:border>
    <x:border>
      <x:right style="thin">
        <x:color rgb="FFD8A34B"/>
      </x:right>
    </x:border>
    <x:border>
      <x:left style="thin">
        <x:color rgb="FFD8A34B"/>
      </x:left>
      <x:right style="thin">
        <x:color rgb="FFD8A34B"/>
      </x:right>
      <x:top style="thin">
        <x:color rgb="FFD8A34B"/>
      </x:top>
    </x:border>
    <x:border>
      <x:left style="thin">
        <x:color rgb="FFD8A34B"/>
      </x:left>
      <x:right style="thin">
        <x:color rgb="FFD8A34B"/>
      </x:right>
    </x:border>
    <x:border>
      <x:left style="thin">
        <x:color rgb="FFD8A34B"/>
      </x:left>
      <x:right style="thin">
        <x:color rgb="FFD8A34B"/>
      </x:right>
      <x:bottom style="thin">
        <x:color rgb="FFD8A34B"/>
      </x:bottom>
    </x:border>
    <x:border>
      <x:left style="thin">
        <x:color rgb="FFD8A34B"/>
      </x:left>
      <x:top style="thin">
        <x:color rgb="FFD8A34B"/>
      </x:top>
      <x:bottom style="thin">
        <x:color rgb="FFD8A34B"/>
      </x:bottom>
    </x:border>
    <x:border>
      <x:top style="thin">
        <x:color rgb="FFD8A34B"/>
      </x:top>
      <x:bottom style="thin">
        <x:color rgb="FFD8A34B"/>
      </x:bottom>
    </x:border>
    <x:border>
      <x:right style="thin">
        <x:color rgb="FFD8A34B"/>
      </x:right>
      <x:top style="thin">
        <x:color rgb="FFD8A34B"/>
      </x:top>
      <x:bottom style="thin">
        <x:color rgb="FFD8A34B"/>
      </x:bottom>
    </x:border>
    <x:border>
      <x:top style="thin">
        <x:color rgb="FF14213D"/>
      </x:top>
      <x:bottom style="double">
        <x:color rgb="FF14213D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8" xfId="0" applyNumberFormat="1" applyFont="1" applyFill="1" applyBorder="1"/>
    <x:xf numFmtId="0" fontId="8" fillId="0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9" xfId="0" applyNumberFormat="1" applyFont="1" applyFill="1" applyBorder="1"/>
    <x:xf numFmtId="0" fontId="1" fillId="8" borderId="10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2" xfId="0" applyNumberFormat="1" applyFont="1" applyFill="1" applyBorder="1" applyAlignment="1">
      <x:alignment wrapText="1"/>
    </x:xf>
    <x:xf numFmtId="0" fontId="1" fillId="8" borderId="3" xfId="0" applyNumberFormat="1" applyFont="1" applyFill="1" applyBorder="1" applyAlignment="1">
      <x:alignment wrapText="1"/>
    </x:xf>
    <x:xf numFmtId="0" fontId="1" fillId="8" borderId="9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10" xfId="0" applyNumberFormat="1" applyFont="1" applyFill="1" applyBorder="1" applyAlignment="1">
      <x:alignment wrapText="1"/>
    </x:xf>
    <x:xf numFmtId="0" fontId="1" fillId="8" borderId="4" xfId="0" applyNumberFormat="1" applyFont="1" applyFill="1" applyBorder="1" applyAlignment="1">
      <x:alignment wrapText="1"/>
    </x:xf>
    <x:xf numFmtId="0" fontId="1" fillId="8" borderId="5" xfId="0" applyNumberFormat="1" applyFont="1" applyFill="1" applyBorder="1" applyAlignment="1">
      <x:alignment wrapText="1"/>
    </x:xf>
    <x:xf numFmtId="0" fontId="1" fillId="8" borderId="6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2" xfId="0" applyNumberFormat="1" applyFont="1" applyFill="1" applyBorder="1" applyAlignment="1">
      <x:alignment vertical="top" wrapText="1"/>
    </x:xf>
    <x:xf numFmtId="0" fontId="1" fillId="8" borderId="3" xfId="0" applyNumberFormat="1" applyFont="1" applyFill="1" applyBorder="1" applyAlignment="1">
      <x:alignment vertical="top" wrapText="1"/>
    </x:xf>
    <x:xf numFmtId="0" fontId="1" fillId="8" borderId="9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vertical="top" wrapText="1"/>
    </x:xf>
    <x:xf numFmtId="0" fontId="1" fillId="8" borderId="4" xfId="0" applyNumberFormat="1" applyFont="1" applyFill="1" applyBorder="1" applyAlignment="1">
      <x:alignment vertical="top" wrapText="1"/>
    </x:xf>
    <x:xf numFmtId="0" fontId="1" fillId="8" borderId="5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/>
    <x:xf numFmtId="0" fontId="7" fillId="7" borderId="12" xfId="0" applyNumberFormat="1" applyFont="1" applyFill="1" applyBorder="1"/>
    <x:xf numFmtId="0" fontId="7" fillId="7" borderId="13" xfId="0" applyNumberFormat="1" applyFont="1" applyFill="1" applyBorder="1"/>
    <x:xf numFmtId="200" fontId="7" fillId="7" borderId="11" xfId="0" applyNumberFormat="1" applyFont="1" applyFill="1" applyBorder="1"/>
    <x:xf numFmtId="200" fontId="7" fillId="7" borderId="12" xfId="0" applyNumberFormat="1" applyFont="1" applyFill="1" applyBorder="1"/>
    <x:xf numFmtId="201" fontId="7" fillId="7" borderId="11" xfId="0" applyNumberFormat="1" applyFont="1" applyFill="1" applyBorder="1"/>
    <x:xf numFmtId="201" fontId="7" fillId="7" borderId="12" xfId="0" applyNumberFormat="1" applyFont="1" applyFill="1" applyBorder="1"/>
    <x:xf numFmtId="202" fontId="7" fillId="7" borderId="12" xfId="0" applyNumberFormat="1" applyFont="1" applyFill="1" applyBorder="1"/>
    <x:xf numFmtId="200" fontId="7" fillId="7" borderId="13" xfId="0" applyNumberFormat="1" applyFont="1" applyFill="1" applyBorder="1"/>
    <x:xf numFmtId="203" fontId="7" fillId="7" borderId="12" xfId="0" applyNumberFormat="1" applyFont="1" applyFill="1" applyBorder="1"/>
    <x:xf numFmtId="204" fontId="7" fillId="7" borderId="12" xfId="0" applyNumberFormat="1" applyFont="1" applyFill="1" applyBorder="1"/>
    <x:xf numFmtId="201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201" fontId="7" fillId="7" borderId="14" xfId="0" applyNumberFormat="1" applyFont="1" applyFill="1" applyBorder="1"/>
    <x:xf numFmtId="201" fontId="7" fillId="7" borderId="15" xfId="0" applyNumberFormat="1" applyFont="1" applyFill="1" applyBorder="1"/>
    <x:xf numFmtId="201" fontId="7" fillId="7" borderId="16" xfId="0" applyNumberFormat="1" applyFont="1" applyFill="1" applyBorder="1"/>
    <x:xf numFmtId="0" fontId="1" fillId="8" borderId="14" xfId="0" applyNumberFormat="1" applyFont="1" applyFill="1" applyBorder="1"/>
    <x:xf numFmtId="0" fontId="1" fillId="8" borderId="15" xfId="0" applyNumberFormat="1" applyFont="1" applyFill="1" applyBorder="1"/>
    <x:xf numFmtId="0" fontId="1" fillId="8" borderId="16" xfId="0" applyNumberFormat="1" applyFont="1" applyFill="1" applyBorder="1"/>
    <x:xf numFmtId="0" fontId="1" fillId="8" borderId="14" xfId="0" applyNumberFormat="1" applyFont="1" applyFill="1" applyBorder="1" applyAlignment="1">
      <x:alignment wrapText="1"/>
    </x:xf>
    <x:xf numFmtId="0" fontId="1" fillId="8" borderId="15" xfId="0" applyNumberFormat="1" applyFont="1" applyFill="1" applyBorder="1" applyAlignment="1">
      <x:alignment wrapText="1"/>
    </x:xf>
    <x:xf numFmtId="0" fontId="1" fillId="8" borderId="16" xfId="0" applyNumberFormat="1" applyFont="1" applyFill="1" applyBorder="1" applyAlignment="1">
      <x:alignment wrapText="1"/>
    </x:xf>
    <x:xf numFmtId="0" fontId="1" fillId="8" borderId="14" xfId="0" applyNumberFormat="1" applyFont="1" applyFill="1" applyBorder="1" applyAlignment="1">
      <x:alignment vertical="top" wrapText="1"/>
    </x:xf>
    <x:xf numFmtId="0" fontId="1" fillId="8" borderId="15" xfId="0" applyNumberFormat="1" applyFont="1" applyFill="1" applyBorder="1" applyAlignment="1">
      <x:alignment vertical="top" wrapText="1"/>
    </x:xf>
    <x:xf numFmtId="0" fontId="1" fillId="8" borderId="16" xfId="0" applyNumberFormat="1" applyFont="1" applyFill="1" applyBorder="1" applyAlignment="1">
      <x:alignment vertical="top" wrapText="1"/>
    </x:xf>
    <x:xf numFmtId="202" fontId="7" fillId="7" borderId="8" xfId="0" applyNumberFormat="1" applyFont="1" applyFill="1" applyBorder="1"/>
    <x:xf numFmtId="0" fontId="9" fillId="0" borderId="0" xfId="0" applyNumberFormat="1" applyFont="1" applyFill="1" applyBorder="1"/>
    <x:xf numFmtId="200" fontId="1" fillId="0" borderId="0" xfId="0" applyNumberFormat="1" applyFont="1" applyFill="1" applyBorder="1"/>
    <x:xf numFmtId="200" fontId="8" fillId="0" borderId="0" xfId="0" applyNumberFormat="1" applyFont="1" applyFill="1" applyBorder="1"/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0" fillId="0" borderId="17" xfId="0" applyNumberFormat="1" applyFont="1" applyFill="1" applyBorder="1"/>
    <x:xf numFmtId="200" fontId="10" fillId="0" borderId="17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8" fillId="0" borderId="0" xfId="0" applyNumberFormat="1" applyFont="1" applyFill="1" applyBorder="1"/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201" fontId="10" fillId="0" borderId="17" xfId="0" applyNumberFormat="1" applyFont="1" applyFill="1" applyBorder="1"/>
    <x:xf numFmtId="202" fontId="10" fillId="0" borderId="17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9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/>
    <x:xf numFmtId="203" fontId="8" fillId="0" borderId="0" xfId="0" applyNumberFormat="1" applyFont="1" applyFill="1" applyBorder="1"/>
    <x:xf numFmtId="205" fontId="1" fillId="0" borderId="0" xfId="0" applyNumberFormat="1" applyFont="1" applyFill="1" applyBorder="1"/>
    <x:xf numFmtId="205" fontId="8" fillId="0" borderId="0" xfId="0" applyNumberFormat="1" applyFont="1" applyFill="1" applyBorder="1"/>
    <x:xf numFmtId="200" fontId="11" fillId="0" borderId="0" xfId="0" applyNumberFormat="1" applyFont="1" applyFill="1" applyBorder="1"/>
    <x:xf numFmtId="200" fontId="11" fillId="0" borderId="17" xfId="0" applyNumberFormat="1" applyFont="1" applyFill="1" applyBorder="1"/>
    <x:xf numFmtId="204" fontId="1" fillId="0" borderId="0" xfId="0" applyNumberFormat="1" applyFont="1" applyFill="1" applyBorder="1"/>
    <x:xf numFmtId="202" fontId="8" fillId="0" borderId="0" xfId="0" applyNumberFormat="1" applyFont="1" applyFill="1" applyBorder="1"/>
    <x:xf numFmtId="204" fontId="8" fillId="0" borderId="0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5" xfId="0" applyNumberFormat="1" applyFont="1" applyFill="1" applyBorder="1" applyAlignment="1">
      <x:alignment vertical="top" wrapText="1"/>
    </x:xf>
    <x:xf numFmtId="0" fontId="7" fillId="7" borderId="6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6"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1F6B3A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060de3cf64dd3" /><Relationship Type="http://schemas.openxmlformats.org/officeDocument/2006/relationships/theme" Target="/xl/theme/theme1.xml" Id="R145d52c72aad4b41" /><Relationship Type="http://schemas.openxmlformats.org/officeDocument/2006/relationships/sharedStrings" Target="/xl/sharedStrings.xml" Id="Rb11dd8402b7f4a9a" /><Relationship Type="http://schemas.openxmlformats.org/officeDocument/2006/relationships/worksheet" Target="/xl/worksheets/sheet1.xml" Id="R179b84f9fae24dec" /><Relationship Type="http://schemas.openxmlformats.org/officeDocument/2006/relationships/worksheet" Target="/xl/worksheets/sheet2.xml" Id="Rf4fc8e752ba941e8" /><Relationship Type="http://schemas.openxmlformats.org/officeDocument/2006/relationships/worksheet" Target="/xl/worksheets/sheet3.xml" Id="Rcf9d865a538e4b2c" /><Relationship Type="http://schemas.openxmlformats.org/officeDocument/2006/relationships/worksheet" Target="/xl/worksheets/sheet4.xml" Id="Rb1a5824f01f94366" /><Relationship Type="http://schemas.openxmlformats.org/officeDocument/2006/relationships/worksheet" Target="/xl/worksheets/sheet5.xml" Id="R721a3b39328a443b" /><Relationship Type="http://schemas.openxmlformats.org/officeDocument/2006/relationships/worksheet" Target="/xl/worksheets/sheet6.xml" Id="R99b9e7e689994fa5" /><Relationship Type="http://schemas.openxmlformats.org/officeDocument/2006/relationships/worksheet" Target="/xl/worksheets/sheet7.xml" Id="Rdc5b81f777fd4354" /><Relationship Type="http://schemas.openxmlformats.org/officeDocument/2006/relationships/worksheet" Target="/xl/worksheets/sheet8.xml" Id="Rb1978e99b796472c" /><Relationship Type="http://schemas.openxmlformats.org/officeDocument/2006/relationships/worksheet" Target="/xl/worksheets/sheet9.xml" Id="Rafd5f6a3a7844a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5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5" t="str">
        <x:v>BUS311 | The Lemonade Stand Finance Model</x:v>
      </x:c>
      <x:c r="B1" s="5"/>
      <x:c r="C1" s="5"/>
      <x:c r="D1" s="5"/>
      <x:c r="E1" s="5"/>
      <x:c r="F1" s="5"/>
      <x:c r="G1" s="5"/>
      <x:c r="H1" s="5"/>
    </x:row>
    <x:row r="2" ht="44" customHeight="1">
      <x:c r="A2" s="9" t="str">
        <x:v>Reserved for later use — not assigned in M04. Trace an existing model of financing, operations, cash flow, and value.</x:v>
      </x:c>
      <x:c r="B2" s="9"/>
      <x:c r="C2" s="9"/>
      <x:c r="D2" s="9"/>
      <x:c r="E2" s="9"/>
      <x:c r="F2" s="9"/>
      <x:c r="G2" s="9"/>
      <x:c r="H2" s="9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2" t="str">
        <x:v>MODEL STATUS</x:v>
      </x:c>
      <x:c r="B4" s="12"/>
      <x:c r="C4" s="12"/>
      <x:c r="D4" s="12"/>
      <x:c r="E4" s="12"/>
      <x:c r="F4" s="12"/>
      <x:c r="G4" s="12"/>
      <x:c r="H4" s="12"/>
    </x:row>
    <x:row r="5">
      <x:c r="A5" s="14" t="str">
        <x:f>'Assumptions'!B3</x:f>
        <x:v>ENTER VIDEO INPUTS</x:v>
      </x:c>
      <x:c r="B5" s="14"/>
      <x:c r="C5" s="14"/>
      <x:c r="D5" s="14"/>
      <x:c r="E5" s="14"/>
      <x:c r="F5" s="14"/>
      <x:c r="G5" s="14"/>
      <x:c r="H5" s="14"/>
    </x:row>
    <x:row r="6">
      <x:c r="A6" s="1"/>
      <x:c r="B6" s="1"/>
      <x:c r="C6" s="1"/>
      <x:c r="D6" s="1"/>
      <x:c r="E6" s="1"/>
      <x:c r="F6" s="1"/>
      <x:c r="G6" s="1"/>
      <x:c r="H6" s="1"/>
    </x:row>
    <x:row r="7" ht="22" customHeight="1">
      <x:c r="A7" s="17" t="str">
        <x:v>Purpose and deliverable</x:v>
      </x:c>
      <x:c r="B7" s="17"/>
      <x:c r="C7" s="17"/>
      <x:c r="D7" s="17"/>
      <x:c r="E7" s="17"/>
      <x:c r="F7" s="17"/>
      <x:c r="G7" s="17"/>
      <x:c r="H7" s="17"/>
    </x:row>
    <x:row r="8" ht="56" customHeight="1">
      <x:c r="A8" s="30" t="str">
        <x:v>When assigned: enter the case assumptions, trace the supplied formulas, and explain profit versus cash and financing risk. Valuation and dilution are a later stage after those topics are taught.</x:v>
      </x:c>
      <x:c r="B8" s="31"/>
      <x:c r="C8" s="31"/>
      <x:c r="D8" s="31"/>
      <x:c r="E8" s="31"/>
      <x:c r="F8" s="31"/>
      <x:c r="G8" s="31"/>
      <x:c r="H8" s="32"/>
    </x:row>
    <x:row r="9">
      <x:c r="A9" s="33"/>
      <x:c r="B9" s="34"/>
      <x:c r="C9" s="34"/>
      <x:c r="D9" s="34"/>
      <x:c r="E9" s="34"/>
      <x:c r="F9" s="34"/>
      <x:c r="G9" s="34"/>
      <x:c r="H9" s="35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7" t="str">
        <x:v>Staged application — schedule to be confirmed</x:v>
      </x:c>
      <x:c r="B11" s="17"/>
      <x:c r="C11" s="17"/>
      <x:c r="D11" s="17"/>
      <x:c r="E11" s="17"/>
      <x:c r="F11" s="17"/>
      <x:c r="G11" s="17"/>
      <x:c r="H11" s="17"/>
    </x:row>
    <x:row r="12">
      <x:c r="A12" s="38" t="str">
        <x:v>Stage</x:v>
      </x:c>
      <x:c r="B12" s="38" t="str">
        <x:v>What you will do</x:v>
      </x:c>
      <x:c r="C12" s="38" t="str">
        <x:v>Visible checkpoint</x:v>
      </x:c>
      <x:c r="D12" s="38"/>
      <x:c r="E12" s="38"/>
      <x:c r="F12" s="38"/>
      <x:c r="G12" s="38"/>
      <x:c r="H12" s="38"/>
    </x:row>
    <x:row r="13" ht="38" customHeight="1">
      <x:c r="A13" s="39" t="str">
        <x:v>Before session</x:v>
      </x:c>
      <x:c r="B13" s="39" t="str">
        <x:v>Watch the video and capture base assumptions.</x:v>
      </x:c>
      <x:c r="C13" s="39" t="str">
        <x:v>Know the tab sequence and input legend.</x:v>
      </x:c>
      <x:c r="D13" s="39"/>
      <x:c r="E13" s="39"/>
      <x:c r="F13" s="39"/>
      <x:c r="G13" s="39"/>
      <x:c r="H13" s="39"/>
    </x:row>
    <x:row r="14" ht="38" customHeight="1">
      <x:c r="A14" s="39" t="str">
        <x:v>Stage A</x:v>
      </x:c>
      <x:c r="B14" s="39" t="str">
        <x:v>Trace funding, investment, operations, and cash.</x:v>
      </x:c>
      <x:c r="C14" s="39" t="str">
        <x:v>Assumptions status changes to READY.</x:v>
      </x:c>
      <x:c r="D14" s="39"/>
      <x:c r="E14" s="39"/>
      <x:c r="F14" s="39"/>
      <x:c r="G14" s="39"/>
      <x:c r="H14" s="39"/>
    </x:row>
    <x:row r="15" ht="38" customHeight="1">
      <x:c r="A15" s="39" t="str">
        <x:v>Stage A</x:v>
      </x:c>
      <x:c r="B15" s="39" t="str">
        <x:v>Explain gross versus net profit and cash.</x:v>
      </x:c>
      <x:c r="C15" s="39" t="str">
        <x:v>All three statement checks show PASS.</x:v>
      </x:c>
      <x:c r="D15" s="39"/>
      <x:c r="E15" s="39"/>
      <x:c r="F15" s="39"/>
      <x:c r="G15" s="39"/>
      <x:c r="H15" s="39"/>
    </x:row>
    <x:row r="16" ht="38" customHeight="1">
      <x:c r="A16" s="39" t="str">
        <x:v>Stage B</x:v>
      </x:c>
      <x:c r="B16" s="39" t="str">
        <x:v>Test lower unit growth at fixed expansion.</x:v>
      </x:c>
      <x:c r="C16" s="39" t="str">
        <x:v>Year-5 cash, balance sheet, and valuation connect.</x:v>
      </x:c>
      <x:c r="D16" s="39"/>
      <x:c r="E16" s="39"/>
      <x:c r="F16" s="39"/>
      <x:c r="G16" s="39"/>
      <x:c r="H16" s="39"/>
    </x:row>
    <x:row r="17" ht="38" customHeight="1">
      <x:c r="A17" s="39" t="str">
        <x:v>Later valuation</x:v>
      </x:c>
      <x:c r="B17" s="39" t="str">
        <x:v>Interpret share price and primary versus secondary transactions.</x:v>
      </x:c>
      <x:c r="C17" s="39" t="str">
        <x:v>Submit one finished workbook.</x:v>
      </x:c>
      <x:c r="D17" s="39"/>
      <x:c r="E17" s="39"/>
      <x:c r="F17" s="39"/>
      <x:c r="G17" s="39"/>
      <x:c r="H17" s="39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7" t="str">
        <x:v>Work in this order</x:v>
      </x:c>
      <x:c r="B19" s="17"/>
      <x:c r="C19" s="17"/>
      <x:c r="D19" s="17"/>
      <x:c r="E19" s="17"/>
      <x:c r="F19" s="17"/>
      <x:c r="G19" s="17"/>
      <x:c r="H19" s="17"/>
    </x:row>
    <x:row r="20">
      <x:c r="A20" s="40" t="str">
        <x:v>Tab</x:v>
      </x:c>
      <x:c r="B20" s="40" t="str">
        <x:v>Action</x:v>
      </x:c>
      <x:c r="C20" s="40" t="str">
        <x:v>Do not move on until...</x:v>
      </x:c>
      <x:c r="D20" s="39"/>
      <x:c r="E20" s="39"/>
      <x:c r="F20" s="39"/>
      <x:c r="G20" s="39"/>
      <x:c r="H20" s="39"/>
    </x:row>
    <x:row r="21" ht="24" customHeight="1">
      <x:c r="A21" s="39" t="str">
        <x:v>Assumptions</x:v>
      </x:c>
      <x:c r="B21" s="39" t="str">
        <x:v>Enter base video inputs in yellow cells; enter downside growth when Stage B is assigned.</x:v>
      </x:c>
      <x:c r="C21" s="39" t="str">
        <x:v>The status reads READY.</x:v>
      </x:c>
      <x:c r="D21" s="39"/>
      <x:c r="E21" s="39"/>
      <x:c r="F21" s="39"/>
      <x:c r="G21" s="39"/>
      <x:c r="H21" s="39"/>
    </x:row>
    <x:row r="22" ht="24" customHeight="1">
      <x:c r="A22" s="39" t="str">
        <x:v>Day 1 - Funding</x:v>
      </x:c>
      <x:c r="B22" s="39" t="str">
        <x:v>Explain the sources of cash and ownership.</x:v>
      </x:c>
      <x:c r="C22" s="39" t="str">
        <x:v>Assets equal liabilities plus equity.</x:v>
      </x:c>
      <x:c r="D22" s="39"/>
      <x:c r="E22" s="39"/>
      <x:c r="F22" s="39"/>
      <x:c r="G22" s="39"/>
      <x:c r="H22" s="39"/>
    </x:row>
    <x:row r="23" ht="24" customHeight="1">
      <x:c r="A23" s="39" t="str">
        <x:v>Day 2 - Investment</x:v>
      </x:c>
      <x:c r="B23" s="39" t="str">
        <x:v>Trace cash into a stand and inventory.</x:v>
      </x:c>
      <x:c r="C23" s="39" t="str">
        <x:v>The second balance sheet balances.</x:v>
      </x:c>
      <x:c r="D23" s="39"/>
      <x:c r="E23" s="39"/>
      <x:c r="F23" s="39"/>
      <x:c r="G23" s="39"/>
      <x:c r="H23" s="39"/>
    </x:row>
    <x:row r="24" ht="24" customHeight="1">
      <x:c r="A24" s="39" t="str">
        <x:v>Year 1 - Operations</x:v>
      </x:c>
      <x:c r="B24" s="39" t="str">
        <x:v>Compare the two tax treatments.</x:v>
      </x:c>
      <x:c r="C24" s="39" t="str">
        <x:v>You can explain $500 versus $495 ending cash.</x:v>
      </x:c>
      <x:c r="D24" s="39"/>
      <x:c r="E24" s="39"/>
      <x:c r="F24" s="39"/>
      <x:c r="G24" s="39"/>
      <x:c r="H24" s="39"/>
    </x:row>
    <x:row r="25" ht="24" customHeight="1">
      <x:c r="A25" s="39" t="str">
        <x:v>Five-Year Forecast</x:v>
      </x:c>
      <x:c r="B25" s="39" t="str">
        <x:v>Follow price, volume, stands, profit, and cash.</x:v>
      </x:c>
      <x:c r="C25" s="39" t="str">
        <x:v>The Year-5 balance check is zero.</x:v>
      </x:c>
      <x:c r="D25" s="39"/>
      <x:c r="E25" s="39"/>
      <x:c r="F25" s="39"/>
      <x:c r="G25" s="39"/>
      <x:c r="H25" s="39"/>
    </x:row>
    <x:row r="26" ht="24" customHeight="1">
      <x:c r="A26" s="39" t="str">
        <x:v>Evaluation &amp; Valuation</x:v>
      </x:c>
      <x:c r="B26" s="39" t="str">
        <x:v>Interpret performance, value, and dilution.</x:v>
      </x:c>
      <x:c r="C26" s="39" t="str">
        <x:v>Stage A: prompts 1, 3, 4. Stage B: prompt 2. Later valuation: prompt 5.</x:v>
      </x:c>
      <x:c r="D26" s="39"/>
      <x:c r="E26" s="39"/>
      <x:c r="F26" s="39"/>
      <x:c r="G26" s="39"/>
      <x:c r="H26" s="39"/>
    </x:row>
    <x:row r="27" ht="24" customHeight="1">
      <x:c r="A27" s="39" t="str">
        <x:v>Model Checks</x:v>
      </x:c>
      <x:c r="B27" s="39" t="str">
        <x:v>Review the audit controls.</x:v>
      </x:c>
      <x:c r="C27" s="39" t="str">
        <x:v>MODEL STATUS is PASS.</x:v>
      </x:c>
      <x:c r="D27" s="39"/>
      <x:c r="E27" s="39"/>
      <x:c r="F27" s="39"/>
      <x:c r="G27" s="39"/>
      <x:c r="H27" s="39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7" t="str">
        <x:v>Formatting legend</x:v>
      </x:c>
      <x:c r="B29" s="17"/>
      <x:c r="C29" s="17"/>
      <x:c r="D29" s="17"/>
      <x:c r="E29" s="17"/>
      <x:c r="F29" s="17"/>
      <x:c r="G29" s="17"/>
      <x:c r="H29" s="17"/>
    </x:row>
    <x:row r="30">
      <x:c r="A30" s="43" t="str">
        <x:v>Yellow fill + blue text</x:v>
      </x:c>
      <x:c r="B30" s="1" t="str">
        <x:v>Student input or written response</x:v>
      </x:c>
      <x:c r="C30" s="1"/>
      <x:c r="D30" s="1"/>
      <x:c r="E30" s="1"/>
      <x:c r="F30" s="1"/>
      <x:c r="G30" s="1"/>
      <x:c r="H30" s="1"/>
    </x:row>
    <x:row r="31">
      <x:c r="A31" s="1" t="str">
        <x:v>Black text</x:v>
      </x:c>
      <x:c r="B31" s="1" t="str">
        <x:v>Formula calculated on the same sheet</x:v>
      </x:c>
      <x:c r="C31" s="1"/>
      <x:c r="D31" s="1"/>
      <x:c r="E31" s="1"/>
      <x:c r="F31" s="1"/>
      <x:c r="G31" s="1"/>
      <x:c r="H31" s="1"/>
    </x:row>
    <x:row r="32">
      <x:c r="A32" s="44" t="str">
        <x:v>Green text</x:v>
      </x:c>
      <x:c r="B32" s="1" t="str">
        <x:v>Formula linked to another worksheet</x:v>
      </x:c>
      <x:c r="C32" s="1"/>
      <x:c r="D32" s="1"/>
      <x:c r="E32" s="1"/>
      <x:c r="F32" s="1"/>
      <x:c r="G32" s="1"/>
      <x:c r="H32" s="1"/>
    </x:row>
    <x:row r="33">
      <x:c r="A33" s="1" t="str">
        <x:v>Green / red / yellow status</x:v>
      </x:c>
      <x:c r="B33" s="1" t="str">
        <x:v>PASS / FAIL / WAITING model control</x:v>
      </x:c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7" t="str">
        <x:v>Video and source note</x:v>
      </x:c>
      <x:c r="B35" s="17"/>
      <x:c r="C35" s="17"/>
      <x:c r="D35" s="17"/>
      <x:c r="E35" s="17"/>
      <x:c r="F35" s="17"/>
      <x:c r="G35" s="17"/>
      <x:c r="H35" s="17"/>
    </x:row>
    <x:row r="36">
      <x:c r="A36" s="46" t="str">
        <x:v>https://www.youtube.com/watch?v=WEDIj9JBTC8</x:v>
      </x:c>
      <x:c r="B36" s="46"/>
      <x:c r="C36" s="46"/>
      <x:c r="D36" s="46"/>
      <x:c r="E36" s="46"/>
      <x:c r="F36" s="46"/>
      <x:c r="G36" s="46"/>
      <x:c r="H36" s="46"/>
    </x:row>
    <x:row r="37">
      <x:c r="A37" s="65" t="str">
        <x:v>The workbook reproduces Ackman's simplified teaching case, then flags two accounting judgments: the Year-1 tax benefit and the internally generated 'goodwill' convention. Those caveats are part of the learning objective, not errors to hide.</x:v>
      </x:c>
      <x:c r="B37" s="66"/>
      <x:c r="C37" s="66"/>
      <x:c r="D37" s="66"/>
      <x:c r="E37" s="66"/>
      <x:c r="F37" s="66"/>
      <x:c r="G37" s="66"/>
      <x:c r="H37" s="67"/>
    </x:row>
    <x:row r="38">
      <x:c r="A38" s="68"/>
      <x:c r="B38" s="69"/>
      <x:c r="C38" s="69"/>
      <x:c r="D38" s="69"/>
      <x:c r="E38" s="69"/>
      <x:c r="F38" s="69"/>
      <x:c r="G38" s="69"/>
      <x:c r="H38" s="70"/>
    </x:row>
    <x:row r="39">
      <x:c r="A39" s="71"/>
      <x:c r="B39" s="72"/>
      <x:c r="C39" s="72"/>
      <x:c r="D39" s="72"/>
      <x:c r="E39" s="72"/>
      <x:c r="F39" s="72"/>
      <x:c r="G39" s="72"/>
      <x:c r="H39" s="73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</x:sheetData>
  <x:mergeCells>
    <x:mergeCell ref="A1:H1"/>
    <x:mergeCell ref="A2:H2"/>
    <x:mergeCell ref="A4:H4"/>
    <x:mergeCell ref="A5:H5"/>
    <x:mergeCell ref="A7:H7"/>
    <x:mergeCell ref="A8:H9"/>
    <x:mergeCell ref="A11:H11"/>
    <x:mergeCell ref="B13:H13"/>
    <x:mergeCell ref="B14:H14"/>
    <x:mergeCell ref="B15:H15"/>
    <x:mergeCell ref="B16:H16"/>
    <x:mergeCell ref="B17:H17"/>
    <x:mergeCell ref="A19:H19"/>
    <x:mergeCell ref="C21:H21"/>
    <x:mergeCell ref="C22:H22"/>
    <x:mergeCell ref="C23:H23"/>
    <x:mergeCell ref="C24:H24"/>
    <x:mergeCell ref="C25:H25"/>
    <x:mergeCell ref="C26:H26"/>
    <x:mergeCell ref="C27:H27"/>
    <x:mergeCell ref="A29:H29"/>
    <x:mergeCell ref="A35:H35"/>
    <x:mergeCell ref="A36:H36"/>
    <x:mergeCell ref="A37:H39"/>
  </x:mergeCells>
  <x:conditionalFormatting sqref="A5:H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WAITING"/>
    <x:cfRule type="containsText" dxfId="3" priority="4" operator="containsText" text="READY"/>
  </x:conditionalFormatting>
  <x:conditionalFormatting sqref="A33:B33">
    <x:cfRule type="containsText" dxfId="4" priority="5" operator="containsText" text="PASS"/>
    <x:cfRule type="containsText" dxfId="5" priority="6" operator="containsText" text="FAIL"/>
    <x:cfRule type="containsText" dxfId="6" priority="7" operator="containsText" text="WAITING"/>
    <x:cfRule type="containsText" dxfId="7" priority="8" operator="containsText" text="READY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4" hidden="0" customWidth="1"/>
    <x:col min="4" max="4" width="29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Assumptions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9" t="str">
        <x:v>Enter the video facts in yellow cells. Do not type into calculation sheets.</x:v>
      </x:c>
      <x:c r="B2" s="9"/>
      <x:c r="C2" s="9"/>
      <x:c r="D2" s="9"/>
      <x:c r="E2" s="9"/>
      <x:c r="F2" s="9"/>
      <x:c r="G2" s="9"/>
      <x:c r="H2" s="9"/>
    </x:row>
    <x:row r="3">
      <x:c r="A3" s="11" t="str">
        <x:v>MODEL STATUS</x:v>
      </x:c>
      <x:c r="B3" s="11" t="str">
        <x:f>IF(COUNT(B7:B12)+COUNT(B15:B26)+COUNT(B29:F29)&lt;23,"ENTER VIDEO INPUTS","READY")</x:f>
        <x:v>ENTER VIDEO INPUTS</x:v>
      </x:c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7" t="str">
        <x:v>Funding and ownership</x:v>
      </x:c>
      <x:c r="B5" s="17"/>
      <x:c r="C5" s="17"/>
      <x:c r="D5" s="17"/>
      <x:c r="E5" s="17"/>
      <x:c r="F5" s="17"/>
      <x:c r="G5" s="17"/>
      <x:c r="H5" s="17"/>
    </x:row>
    <x:row r="6">
      <x:c r="A6" s="38" t="str">
        <x:v>Assumption</x:v>
      </x:c>
      <x:c r="B6" s="38" t="str">
        <x:v>Input</x:v>
      </x:c>
      <x:c r="C6" s="38" t="str">
        <x:v>Units</x:v>
      </x:c>
      <x:c r="D6" s="38" t="str">
        <x:v>Why it matters</x:v>
      </x:c>
      <x:c r="E6" s="38" t="str">
        <x:v>Source</x:v>
      </x:c>
      <x:c r="F6" s="1"/>
      <x:c r="G6" s="1"/>
      <x:c r="H6" s="1"/>
    </x:row>
    <x:row r="7">
      <x:c r="A7" s="1" t="str">
        <x:v>Founder shares</x:v>
      </x:c>
      <x:c r="B7" s="79"/>
      <x:c r="C7" s="1" t="str">
        <x:v>shares</x:v>
      </x:c>
      <x:c r="D7" s="1" t="str">
        <x:v>Founder ownership before any later transaction.</x:v>
      </x:c>
      <x:c r="E7" s="1" t="str">
        <x:v>Video</x:v>
      </x:c>
      <x:c r="F7" s="1"/>
      <x:c r="G7" s="1"/>
      <x:c r="H7" s="1"/>
    </x:row>
    <x:row r="8">
      <x:c r="A8" s="1" t="str">
        <x:v>Investor shares</x:v>
      </x:c>
      <x:c r="B8" s="80"/>
      <x:c r="C8" s="1" t="str">
        <x:v>shares</x:v>
      </x:c>
      <x:c r="D8" s="1" t="str">
        <x:v>Shares sold for the initial cash investment.</x:v>
      </x:c>
      <x:c r="E8" s="1" t="str">
        <x:v>Video</x:v>
      </x:c>
      <x:c r="F8" s="1"/>
      <x:c r="G8" s="1"/>
      <x:c r="H8" s="1"/>
    </x:row>
    <x:row r="9">
      <x:c r="A9" s="1" t="str">
        <x:v>Investor price per share</x:v>
      </x:c>
      <x:c r="B9" s="78"/>
      <x:c r="C9" s="1" t="str">
        <x:v>$/share</x:v>
      </x:c>
      <x:c r="D9" s="1" t="str">
        <x:v>Converts investor shares into cash raised.</x:v>
      </x:c>
      <x:c r="E9" s="1" t="str">
        <x:v>Video</x:v>
      </x:c>
      <x:c r="F9" s="1"/>
      <x:c r="G9" s="1"/>
      <x:c r="H9" s="1"/>
    </x:row>
    <x:row r="10">
      <x:c r="A10" s="1" t="str">
        <x:v>Debt borrowed</x:v>
      </x:c>
      <x:c r="B10" s="78"/>
      <x:c r="C10" s="1" t="str">
        <x:v>$</x:v>
      </x:c>
      <x:c r="D10" s="1" t="str">
        <x:v>Adds cash and a fixed repayment claim.</x:v>
      </x:c>
      <x:c r="E10" s="1" t="str">
        <x:v>Video</x:v>
      </x:c>
      <x:c r="F10" s="1"/>
      <x:c r="G10" s="1"/>
      <x:c r="H10" s="1"/>
    </x:row>
    <x:row r="11">
      <x:c r="A11" s="1" t="str">
        <x:v>Annual interest rate</x:v>
      </x:c>
      <x:c r="B11" s="81"/>
      <x:c r="C11" s="1" t="str">
        <x:v>%</x:v>
      </x:c>
      <x:c r="D11" s="1" t="str">
        <x:v>Determines annual interest expense.</x:v>
      </x:c>
      <x:c r="E11" s="1" t="str">
        <x:v>Video</x:v>
      </x:c>
      <x:c r="F11" s="1"/>
      <x:c r="G11" s="1"/>
      <x:c r="H11" s="1"/>
    </x:row>
    <x:row r="12">
      <x:c r="A12" s="1" t="str">
        <x:v>Founder idea / illustrative intangible</x:v>
      </x:c>
      <x:c r="B12" s="82"/>
      <x:c r="C12" s="1" t="str">
        <x:v>$</x:v>
      </x:c>
      <x:c r="D12" s="1" t="str">
        <x:v>Video convention used to illustrate the balance-sheet equation.</x:v>
      </x:c>
      <x:c r="E12" s="1" t="str">
        <x:v>Video + caveat</x:v>
      </x:c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7" t="str">
        <x:v>Operating, tax, and valuation drivers</x:v>
      </x:c>
      <x:c r="B14" s="17"/>
      <x:c r="C14" s="17"/>
      <x:c r="D14" s="17"/>
      <x:c r="E14" s="17"/>
      <x:c r="F14" s="17"/>
      <x:c r="G14" s="17"/>
      <x:c r="H14" s="17"/>
    </x:row>
    <x:row r="15">
      <x:c r="A15" s="1" t="str">
        <x:v>Stand cost</x:v>
      </x:c>
      <x:c r="B15" s="77"/>
      <x:c r="C15" s="1" t="str">
        <x:v>$</x:v>
      </x:c>
      <x:c r="D15" s="1" t="str">
        <x:v>Cash required for each new stand.</x:v>
      </x:c>
      <x:c r="E15" s="1" t="str">
        <x:v>Video</x:v>
      </x:c>
      <x:c r="F15" s="1"/>
      <x:c r="G15" s="1"/>
      <x:c r="H15" s="1"/>
    </x:row>
    <x:row r="16">
      <x:c r="A16" s="1" t="str">
        <x:v>Initial inventory purchase</x:v>
      </x:c>
      <x:c r="B16" s="78"/>
      <x:c r="C16" s="1" t="str">
        <x:v>$</x:v>
      </x:c>
      <x:c r="D16" s="1" t="str">
        <x:v>Inventory purchased before Year-1 sales.</x:v>
      </x:c>
      <x:c r="E16" s="1" t="str">
        <x:v>Video</x:v>
      </x:c>
      <x:c r="F16" s="1"/>
      <x:c r="G16" s="1"/>
      <x:c r="H16" s="1"/>
    </x:row>
    <x:row r="17">
      <x:c r="A17" s="1" t="str">
        <x:v>Year-1 cups per stand</x:v>
      </x:c>
      <x:c r="B17" s="80"/>
      <x:c r="C17" s="1" t="str">
        <x:v>cups</x:v>
      </x:c>
      <x:c r="D17" s="1" t="str">
        <x:v>Starting annual unit volume.</x:v>
      </x:c>
      <x:c r="E17" s="1" t="str">
        <x:v>Video</x:v>
      </x:c>
      <x:c r="F17" s="1"/>
      <x:c r="G17" s="1"/>
      <x:c r="H17" s="1"/>
    </x:row>
    <x:row r="18">
      <x:c r="A18" s="1" t="str">
        <x:v>Starting price per cup</x:v>
      </x:c>
      <x:c r="B18" s="83"/>
      <x:c r="C18" s="1" t="str">
        <x:v>$/cup</x:v>
      </x:c>
      <x:c r="D18" s="1" t="str">
        <x:v>Year-1 selling price.</x:v>
      </x:c>
      <x:c r="E18" s="1" t="str">
        <x:v>Video</x:v>
      </x:c>
      <x:c r="F18" s="1"/>
      <x:c r="G18" s="1"/>
      <x:c r="H18" s="1"/>
    </x:row>
    <x:row r="19">
      <x:c r="A19" s="1" t="str">
        <x:v>Annual labor cost per stand</x:v>
      </x:c>
      <x:c r="B19" s="83"/>
      <x:c r="C19" s="1" t="str">
        <x:v>$</x:v>
      </x:c>
      <x:c r="D19" s="1" t="str">
        <x:v>Operating expense per active stand.</x:v>
      </x:c>
      <x:c r="E19" s="1" t="str">
        <x:v>Video</x:v>
      </x:c>
      <x:c r="F19" s="1"/>
      <x:c r="G19" s="1"/>
      <x:c r="H19" s="1"/>
    </x:row>
    <x:row r="20">
      <x:c r="A20" s="1" t="str">
        <x:v>COGS per cup</x:v>
      </x:c>
      <x:c r="B20" s="83"/>
      <x:c r="C20" s="1" t="str">
        <x:v>$/cup</x:v>
      </x:c>
      <x:c r="D20" s="1" t="str">
        <x:v>Variable product cost.</x:v>
      </x:c>
      <x:c r="E20" s="1" t="str">
        <x:v>Video</x:v>
      </x:c>
      <x:c r="F20" s="1"/>
      <x:c r="G20" s="1"/>
      <x:c r="H20" s="1"/>
    </x:row>
    <x:row r="21">
      <x:c r="A21" s="1" t="str">
        <x:v>Stand useful life</x:v>
      </x:c>
      <x:c r="B21" s="80"/>
      <x:c r="C21" s="1" t="str">
        <x:v>years</x:v>
      </x:c>
      <x:c r="D21" s="1" t="str">
        <x:v>Straight-line depreciation period.</x:v>
      </x:c>
      <x:c r="E21" s="1" t="str">
        <x:v>Video</x:v>
      </x:c>
      <x:c r="F21" s="1"/>
      <x:c r="G21" s="1"/>
      <x:c r="H21" s="1"/>
    </x:row>
    <x:row r="22">
      <x:c r="A22" s="1" t="str">
        <x:v>Annual unit-volume growth</x:v>
      </x:c>
      <x:c r="B22" s="81"/>
      <x:c r="C22" s="1" t="str">
        <x:v>%</x:v>
      </x:c>
      <x:c r="D22" s="1" t="str">
        <x:v>Growth in cups sold per stand.</x:v>
      </x:c>
      <x:c r="E22" s="1" t="str">
        <x:v>Video</x:v>
      </x:c>
      <x:c r="F22" s="1"/>
      <x:c r="G22" s="1"/>
      <x:c r="H22" s="1"/>
    </x:row>
    <x:row r="23">
      <x:c r="A23" s="1" t="str">
        <x:v>Annual price increase</x:v>
      </x:c>
      <x:c r="B23" s="83"/>
      <x:c r="C23" s="1" t="str">
        <x:v>$/cup</x:v>
      </x:c>
      <x:c r="D23" s="1" t="str">
        <x:v>Absolute price increase each year.</x:v>
      </x:c>
      <x:c r="E23" s="1" t="str">
        <x:v>Video</x:v>
      </x:c>
      <x:c r="F23" s="1"/>
      <x:c r="G23" s="1"/>
      <x:c r="H23" s="1"/>
    </x:row>
    <x:row r="24">
      <x:c r="A24" s="1" t="str">
        <x:v>Tax rate</x:v>
      </x:c>
      <x:c r="B24" s="81"/>
      <x:c r="C24" s="1" t="str">
        <x:v>%</x:v>
      </x:c>
      <x:c r="D24" s="1" t="str">
        <x:v>Applied to positive pretax income and the illustrative Year-1 benefit.</x:v>
      </x:c>
      <x:c r="E24" s="1" t="str">
        <x:v>Video</x:v>
      </x:c>
      <x:c r="F24" s="1"/>
      <x:c r="G24" s="1"/>
      <x:c r="H24" s="1"/>
    </x:row>
    <x:row r="25">
      <x:c r="A25" s="1" t="str">
        <x:v>P/E multiple</x:v>
      </x:c>
      <x:c r="B25" s="84"/>
      <x:c r="C25" s="1" t="str">
        <x:v>x</x:v>
      </x:c>
      <x:c r="D25" s="1" t="str">
        <x:v>Converts EPS into an illustrative share price.</x:v>
      </x:c>
      <x:c r="E25" s="1" t="str">
        <x:v>Video</x:v>
      </x:c>
      <x:c r="F25" s="1"/>
      <x:c r="G25" s="1"/>
      <x:c r="H25" s="1"/>
    </x:row>
    <x:row r="26">
      <x:c r="A26" s="1" t="str">
        <x:v>Shares in financing / sale example</x:v>
      </x:c>
      <x:c r="B26" s="85"/>
      <x:c r="C26" s="1" t="str">
        <x:v>shares</x:v>
      </x:c>
      <x:c r="D26" s="1" t="str">
        <x:v>Used to distinguish a new issue from a founder sale.</x:v>
      </x:c>
      <x:c r="E26" s="1" t="str">
        <x:v>Video extension</x:v>
      </x:c>
      <x:c r="F26" s="1"/>
      <x:c r="G26" s="1"/>
      <x:c r="H26" s="1"/>
    </x:row>
    <x:row r="27">
      <x:c r="A27" s="1"/>
      <x:c r="B27" s="38" t="str">
        <x:v>Year 1</x:v>
      </x:c>
      <x:c r="C27" s="38" t="str">
        <x:v>Year 2</x:v>
      </x:c>
      <x:c r="D27" s="38" t="str">
        <x:v>Year 3</x:v>
      </x:c>
      <x:c r="E27" s="38" t="str">
        <x:v>Year 4</x:v>
      </x:c>
      <x:c r="F27" s="38" t="str">
        <x:v>Year 5</x:v>
      </x:c>
      <x:c r="G27" s="1"/>
      <x:c r="H27" s="1"/>
    </x:row>
    <x:row r="28" ht="22" customHeight="1">
      <x:c r="A28" s="17" t="str">
        <x:v>Expansion schedule</x:v>
      </x:c>
      <x:c r="B28" s="17"/>
      <x:c r="C28" s="17"/>
      <x:c r="D28" s="17"/>
      <x:c r="E28" s="17"/>
      <x:c r="F28" s="17"/>
      <x:c r="G28" s="17"/>
      <x:c r="H28" s="17"/>
    </x:row>
    <x:row r="29">
      <x:c r="A29" s="1" t="str">
        <x:v>Active stands</x:v>
      </x:c>
      <x:c r="B29" s="89"/>
      <x:c r="C29" s="90"/>
      <x:c r="D29" s="90"/>
      <x:c r="E29" s="90"/>
      <x:c r="F29" s="91"/>
      <x:c r="G29" s="1"/>
      <x:c r="H29" s="1"/>
    </x:row>
    <x:row r="30">
      <x:c r="A30" s="98" t="str">
        <x:v>The workbook follows the video's fixed 1, 2, 3, 4, 7 stand schedule. It does not automatically open a stand whenever cash reaches a threshold.</x:v>
      </x:c>
      <x:c r="B30" s="99"/>
      <x:c r="C30" s="99"/>
      <x:c r="D30" s="99"/>
      <x:c r="E30" s="99"/>
      <x:c r="F30" s="99"/>
      <x:c r="G30" s="99"/>
      <x:c r="H30" s="100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7" t="str">
        <x:v>Sensitivity input</x:v>
      </x:c>
      <x:c r="B32" s="17"/>
      <x:c r="C32" s="17"/>
      <x:c r="D32" s="17"/>
      <x:c r="E32" s="17"/>
      <x:c r="F32" s="17"/>
      <x:c r="G32" s="17"/>
      <x:c r="H32" s="17"/>
    </x:row>
    <x:row r="33">
      <x:c r="A33" s="1" t="str">
        <x:v>Downside annual unit-volume growth</x:v>
      </x:c>
      <x:c r="B33" s="101"/>
      <x:c r="C33" s="1" t="str">
        <x:v>%</x:v>
      </x:c>
      <x:c r="D33" s="1" t="str">
        <x:v>Use a lower growth rate to test Year-5 operating leverage.</x:v>
      </x:c>
      <x:c r="E33" s="1" t="str">
        <x:v>Instructor-selected scenario</x:v>
      </x:c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 ht="22" customHeight="1">
      <x:c r="A35" s="17" t="str">
        <x:v>Accounting judgments to keep visible</x:v>
      </x:c>
      <x:c r="B35" s="17"/>
      <x:c r="C35" s="17"/>
      <x:c r="D35" s="17"/>
      <x:c r="E35" s="17"/>
      <x:c r="F35" s="17"/>
      <x:c r="G35" s="17"/>
      <x:c r="H35" s="17"/>
    </x:row>
    <x:row r="36">
      <x:c r="A36" s="65" t="str">
        <x:v>Tax: the video-replication case treats the rounded $5 Year-1 tax benefit as available cash. A more conservative case recognizes no immediate benefit because the business has not yet demonstrated taxable income.</x:v>
      </x:c>
      <x:c r="B36" s="66"/>
      <x:c r="C36" s="66"/>
      <x:c r="D36" s="66"/>
      <x:c r="E36" s="66"/>
      <x:c r="F36" s="66"/>
      <x:c r="G36" s="66"/>
      <x:c r="H36" s="67"/>
    </x:row>
    <x:row r="37">
      <x:c r="A37" s="71"/>
      <x:c r="B37" s="72"/>
      <x:c r="C37" s="72"/>
      <x:c r="D37" s="72"/>
      <x:c r="E37" s="72"/>
      <x:c r="F37" s="72"/>
      <x:c r="G37" s="72"/>
      <x:c r="H37" s="73"/>
    </x:row>
    <x:row r="38">
      <x:c r="A38" s="65" t="str">
        <x:v>Illustrative intangible: the video calls the founder's idea 'goodwill.' Internally generated goodwill ordinarily is not recorded this way under standard reporting; here it is an explicit teaching convention, not a GAAP conclusion.</x:v>
      </x:c>
      <x:c r="B38" s="66"/>
      <x:c r="C38" s="66"/>
      <x:c r="D38" s="66"/>
      <x:c r="E38" s="66"/>
      <x:c r="F38" s="66"/>
      <x:c r="G38" s="66"/>
      <x:c r="H38" s="67"/>
    </x:row>
    <x:row r="39">
      <x:c r="A39" s="71"/>
      <x:c r="B39" s="72"/>
      <x:c r="C39" s="72"/>
      <x:c r="D39" s="72"/>
      <x:c r="E39" s="72"/>
      <x:c r="F39" s="72"/>
      <x:c r="G39" s="72"/>
      <x:c r="H39" s="73"/>
    </x:row>
    <x:row r="40">
      <x:c r="A40" s="1" t="str">
        <x:v>Source URL</x:v>
      </x:c>
      <x:c r="B40" s="102" t="str">
        <x:v>https://www.youtube.com/watch?v=WEDIj9JBTC8</x:v>
      </x:c>
      <x:c r="C40" s="102"/>
      <x:c r="D40" s="102"/>
      <x:c r="E40" s="102"/>
      <x:c r="F40" s="102"/>
      <x:c r="G40" s="102"/>
      <x:c r="H40" s="102"/>
    </x:row>
  </x:sheetData>
  <x:mergeCells>
    <x:mergeCell ref="A1:H1"/>
    <x:mergeCell ref="A2:H2"/>
    <x:mergeCell ref="A5:H5"/>
    <x:mergeCell ref="A14:H14"/>
    <x:mergeCell ref="A28:H28"/>
    <x:mergeCell ref="A30:H30"/>
    <x:mergeCell ref="A32:H32"/>
    <x:mergeCell ref="A35:H35"/>
    <x:mergeCell ref="A36:H37"/>
    <x:mergeCell ref="A38:H39"/>
    <x:mergeCell ref="B40:H40"/>
  </x:mergeCells>
  <x:conditionalFormatting sqref="B3:B3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WAITING"/>
    <x:cfRule type="containsText" dxfId="11" priority="4" operator="containsText" text="READY"/>
  </x:conditionalFormatting>
  <x:dataValidations count="1">
    <x:dataValidation type="decimal" operator="between" sqref="B33">
      <x:formula1>0</x:formula1>
      <x:formula2>B22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4" hidden="0" customWidth="1"/>
    <x:col min="4" max="4" width="26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" t="str">
        <x:v>Day 1 - Funding</x:v>
      </x:c>
      <x:c r="B1" s="5"/>
      <x:c r="C1" s="5"/>
      <x:c r="D1" s="5"/>
      <x:c r="E1" s="5"/>
      <x:c r="F1" s="5"/>
      <x:c r="G1" s="5"/>
      <x:c r="H1" s="5"/>
    </x:row>
    <x:row r="2" ht="28" customHeight="1">
      <x:c r="A2" s="9" t="str">
        <x:v>Translate shares and debt into cash, ownership, and the opening balance sheet.</x:v>
      </x:c>
      <x:c r="B2" s="9"/>
      <x:c r="C2" s="9"/>
      <x:c r="D2" s="9"/>
      <x:c r="E2" s="9"/>
      <x:c r="F2" s="9"/>
      <x:c r="G2" s="9"/>
      <x:c r="H2" s="9"/>
    </x:row>
    <x:row r="3">
      <x:c r="A3" s="1" t="str">
        <x:v>Status</x:v>
      </x:c>
      <x:c r="B3" s="44" t="str">
        <x:f>'Assumptions'!B3</x:f>
        <x:v>ENTER VIDEO INPUTS</x:v>
      </x:c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7" t="str">
        <x:v>Cash raised</x:v>
      </x:c>
      <x:c r="B5" s="17"/>
      <x:c r="C5" s="17"/>
      <x:c r="D5" s="17"/>
      <x:c r="E5" s="17"/>
      <x:c r="F5" s="17"/>
      <x:c r="G5" s="17"/>
      <x:c r="H5" s="17"/>
    </x:row>
    <x:row r="6">
      <x:c r="A6" s="38" t="str">
        <x:v>Source</x:v>
      </x:c>
      <x:c r="B6" s="38" t="str">
        <x:v>Amount</x:v>
      </x:c>
      <x:c r="C6" s="38" t="str">
        <x:v>Formula logic</x:v>
      </x:c>
      <x:c r="D6" s="1"/>
      <x:c r="E6" s="1"/>
      <x:c r="F6" s="1"/>
      <x:c r="G6" s="1"/>
      <x:c r="H6" s="1"/>
    </x:row>
    <x:row r="7">
      <x:c r="A7" s="1" t="str">
        <x:v>Investor cash</x:v>
      </x:c>
      <x:c r="B7" s="104" t="str">
        <x:f>IF('Assumptions'!$B$3&lt;&gt;"READY","",'Assumptions'!$B$8*'Assumptions'!$B$9)</x:f>
      </x:c>
      <x:c r="C7" s="1" t="str">
        <x:v>Investor shares x price per share</x:v>
      </x:c>
      <x:c r="D7" s="1"/>
      <x:c r="E7" s="1"/>
      <x:c r="F7" s="1"/>
      <x:c r="G7" s="1"/>
      <x:c r="H7" s="1"/>
    </x:row>
    <x:row r="8">
      <x:c r="A8" s="1" t="str">
        <x:v>Debt proceeds</x:v>
      </x:c>
      <x:c r="B8" s="104" t="str">
        <x:f>IF('Assumptions'!$B$3&lt;&gt;"READY","",'Assumptions'!$B$10)</x:f>
      </x:c>
      <x:c r="C8" s="1" t="str">
        <x:v>Debt borrowed</x:v>
      </x:c>
      <x:c r="D8" s="1"/>
      <x:c r="E8" s="1"/>
      <x:c r="F8" s="1"/>
      <x:c r="G8" s="1"/>
      <x:c r="H8" s="1"/>
    </x:row>
    <x:row r="9">
      <x:c r="A9" s="107" t="str">
        <x:v>Total cash</x:v>
      </x:c>
      <x:c r="B9" s="108" t="str">
        <x:f>IF(B7="","",SUM(B7:B8))</x:f>
      </x:c>
      <x:c r="C9" s="1" t="str">
        <x:v>Investor cash + debt</x:v>
      </x:c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 ht="22" customHeight="1">
      <x:c r="A11" s="17" t="str">
        <x:v>Opening balance sheet</x:v>
      </x:c>
      <x:c r="B11" s="17"/>
      <x:c r="C11" s="17"/>
      <x:c r="D11" s="17"/>
      <x:c r="E11" s="17"/>
      <x:c r="F11" s="17"/>
      <x:c r="G11" s="17"/>
      <x:c r="H11" s="17"/>
    </x:row>
    <x:row r="12">
      <x:c r="A12" s="38" t="str">
        <x:v>Assets</x:v>
      </x:c>
      <x:c r="B12" s="38" t="str">
        <x:v>Amount</x:v>
      </x:c>
      <x:c r="C12" s="38"/>
      <x:c r="D12" s="38" t="str">
        <x:v>Liabilities and equity</x:v>
      </x:c>
      <x:c r="E12" s="38" t="str">
        <x:v>Amount</x:v>
      </x:c>
      <x:c r="F12" s="1"/>
      <x:c r="G12" s="1"/>
      <x:c r="H12" s="1"/>
    </x:row>
    <x:row r="13">
      <x:c r="A13" s="1" t="str">
        <x:v>Cash</x:v>
      </x:c>
      <x:c r="B13" s="104" t="str">
        <x:f>IF('Assumptions'!$B$3&lt;&gt;"READY","",B9)</x:f>
      </x:c>
      <x:c r="C13" s="1"/>
      <x:c r="D13" s="1" t="str">
        <x:v>Debt</x:v>
      </x:c>
      <x:c r="E13" s="104" t="str">
        <x:f>IF('Assumptions'!$B$3&lt;&gt;"READY","",'Assumptions'!$B$10)</x:f>
      </x:c>
      <x:c r="F13" s="1"/>
      <x:c r="G13" s="1"/>
      <x:c r="H13" s="1"/>
    </x:row>
    <x:row r="14">
      <x:c r="A14" s="1" t="str">
        <x:v>Founder idea / illustrative intangible</x:v>
      </x:c>
      <x:c r="B14" s="104" t="str">
        <x:f>IF('Assumptions'!$B$3&lt;&gt;"READY","",'Assumptions'!$B$12)</x:f>
      </x:c>
      <x:c r="C14" s="1"/>
      <x:c r="D14" s="1" t="str">
        <x:v>Founder contributed equity</x:v>
      </x:c>
      <x:c r="E14" s="104" t="str">
        <x:f>IF('Assumptions'!$B$3&lt;&gt;"READY","",'Assumptions'!$B$12)</x:f>
      </x:c>
      <x:c r="F14" s="1"/>
      <x:c r="G14" s="1"/>
      <x:c r="H14" s="1"/>
    </x:row>
    <x:row r="15">
      <x:c r="A15" s="1" t="str"/>
      <x:c r="B15" s="103"/>
      <x:c r="C15" s="1"/>
      <x:c r="D15" s="1" t="str">
        <x:v>Investor contributed equity</x:v>
      </x:c>
      <x:c r="E15" s="104" t="str">
        <x:f>IF('Assumptions'!$B$3&lt;&gt;"READY","",B7)</x:f>
      </x:c>
      <x:c r="F15" s="1"/>
      <x:c r="G15" s="1"/>
      <x:c r="H15" s="1"/>
    </x:row>
    <x:row r="16">
      <x:c r="A16" s="107" t="str">
        <x:v>Total assets</x:v>
      </x:c>
      <x:c r="B16" s="108" t="str">
        <x:f>IF(B13="","",SUM(B13:B14))</x:f>
      </x:c>
      <x:c r="C16" s="1"/>
      <x:c r="D16" s="107" t="str">
        <x:v>Total liabilities + equity</x:v>
      </x:c>
      <x:c r="E16" s="108" t="str">
        <x:f>IF(E13="","",SUM(E13:E15))</x:f>
      </x:c>
      <x:c r="F16" s="1"/>
      <x:c r="G16" s="1"/>
      <x:c r="H16" s="1"/>
    </x:row>
    <x:row r="17">
      <x:c r="A17" s="1" t="str">
        <x:v>Balance check</x:v>
      </x:c>
      <x:c r="B17" s="103" t="str">
        <x:f>IF(B16="","",B16-E16)</x:f>
      </x:c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 ht="22" customHeight="1">
      <x:c r="A19" s="17" t="str">
        <x:v>Ownership before any later transaction</x:v>
      </x:c>
      <x:c r="B19" s="17"/>
      <x:c r="C19" s="17"/>
      <x:c r="D19" s="17"/>
      <x:c r="E19" s="17"/>
      <x:c r="F19" s="17"/>
      <x:c r="G19" s="17"/>
      <x:c r="H19" s="17"/>
    </x:row>
    <x:row r="20">
      <x:c r="A20" s="38" t="str">
        <x:v>Holder</x:v>
      </x:c>
      <x:c r="B20" s="38" t="str">
        <x:v>Shares</x:v>
      </x:c>
      <x:c r="C20" s="38" t="str">
        <x:v>Ownership</x:v>
      </x:c>
      <x:c r="D20" s="1"/>
      <x:c r="E20" s="1"/>
      <x:c r="F20" s="1"/>
      <x:c r="G20" s="1"/>
      <x:c r="H20" s="1"/>
    </x:row>
    <x:row r="21">
      <x:c r="A21" s="1" t="str">
        <x:v>Founder</x:v>
      </x:c>
      <x:c r="B21" s="111" t="str">
        <x:f>IF('Assumptions'!$B$3&lt;&gt;"READY","",'Assumptions'!$B$7)</x:f>
      </x:c>
      <x:c r="C21" s="110" t="str">
        <x:f>IF(B23=0,"",B21/B23)</x:f>
      </x:c>
      <x:c r="D21" s="1"/>
      <x:c r="E21" s="1"/>
      <x:c r="F21" s="1"/>
      <x:c r="G21" s="1"/>
      <x:c r="H21" s="1"/>
    </x:row>
    <x:row r="22">
      <x:c r="A22" s="1" t="str">
        <x:v>Initial investor</x:v>
      </x:c>
      <x:c r="B22" s="111" t="str">
        <x:f>IF('Assumptions'!$B$3&lt;&gt;"READY","",'Assumptions'!$B$8)</x:f>
      </x:c>
      <x:c r="C22" s="110" t="str">
        <x:f>IF(B23=0,"",B22/B23)</x:f>
      </x:c>
      <x:c r="D22" s="1"/>
      <x:c r="E22" s="1"/>
      <x:c r="F22" s="1"/>
      <x:c r="G22" s="1"/>
      <x:c r="H22" s="1"/>
    </x:row>
    <x:row r="23">
      <x:c r="A23" s="107" t="str">
        <x:v>Total</x:v>
      </x:c>
      <x:c r="B23" s="114" t="str">
        <x:f>IF(B21="","",SUM(B21:B22))</x:f>
      </x:c>
      <x:c r="C23" s="115" t="str">
        <x:f>IF(B23=0,"",SUM(C21:C22))</x:f>
      </x:c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65" t="str">
        <x:v>Judgment checkpoint: the $1,000 founder idea is included only to reproduce the video's illustrative opening equation. It is not a conclusion that internally generated goodwill would qualify for recognition under standard reporting.</x:v>
      </x:c>
      <x:c r="B25" s="66"/>
      <x:c r="C25" s="66"/>
      <x:c r="D25" s="66"/>
      <x:c r="E25" s="66"/>
      <x:c r="F25" s="66"/>
      <x:c r="G25" s="66"/>
      <x:c r="H25" s="67"/>
    </x:row>
    <x:row r="26">
      <x:c r="A26" s="68"/>
      <x:c r="B26" s="69"/>
      <x:c r="C26" s="69"/>
      <x:c r="D26" s="69"/>
      <x:c r="E26" s="69"/>
      <x:c r="F26" s="69"/>
      <x:c r="G26" s="69"/>
      <x:c r="H26" s="70"/>
    </x:row>
    <x:row r="27">
      <x:c r="A27" s="71"/>
      <x:c r="B27" s="72"/>
      <x:c r="C27" s="72"/>
      <x:c r="D27" s="72"/>
      <x:c r="E27" s="72"/>
      <x:c r="F27" s="72"/>
      <x:c r="G27" s="72"/>
      <x:c r="H27" s="73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</x:sheetData>
  <x:mergeCells>
    <x:mergeCell ref="A1:H1"/>
    <x:mergeCell ref="A2:H2"/>
    <x:mergeCell ref="A5:H5"/>
    <x:mergeCell ref="A11:H11"/>
    <x:mergeCell ref="A19:H19"/>
    <x:mergeCell ref="A25:H27"/>
  </x:mergeCells>
  <x:conditionalFormatting sqref="B3:B3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WAITING"/>
    <x:cfRule type="containsText" dxfId="15" priority="4" operator="containsText" text="READY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4" hidden="0" customWidth="1"/>
    <x:col min="4" max="4" width="2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5" t="str">
        <x:v>Day 2 - Investment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9" t="str">
        <x:v>Transform cash into operating assets without changing total assets.</x:v>
      </x:c>
      <x:c r="B2" s="9"/>
      <x:c r="C2" s="9"/>
      <x:c r="D2" s="9"/>
      <x:c r="E2" s="9"/>
      <x:c r="F2" s="9"/>
      <x:c r="G2" s="9"/>
      <x:c r="H2" s="9"/>
    </x:row>
    <x:row r="3">
      <x:c r="A3" s="1" t="str">
        <x:v>Status</x:v>
      </x:c>
      <x:c r="B3" s="44" t="str">
        <x:f>'Assumptions'!B3</x:f>
        <x:v>ENTER VIDEO INPUTS</x:v>
      </x:c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7" t="str">
        <x:v>Cash investment bridge</x:v>
      </x:c>
      <x:c r="B5" s="17"/>
      <x:c r="C5" s="17"/>
      <x:c r="D5" s="17"/>
      <x:c r="E5" s="17"/>
      <x:c r="F5" s="17"/>
      <x:c r="G5" s="17"/>
      <x:c r="H5" s="17"/>
    </x:row>
    <x:row r="6">
      <x:c r="A6" s="38" t="str">
        <x:v>Cash movement</x:v>
      </x:c>
      <x:c r="B6" s="38" t="str">
        <x:v>Amount</x:v>
      </x:c>
      <x:c r="C6" s="1"/>
      <x:c r="D6" s="1"/>
      <x:c r="E6" s="1"/>
      <x:c r="F6" s="1"/>
      <x:c r="G6" s="1"/>
      <x:c r="H6" s="1"/>
    </x:row>
    <x:row r="7">
      <x:c r="A7" s="1" t="str">
        <x:v>Beginning cash</x:v>
      </x:c>
      <x:c r="B7" s="104" t="str">
        <x:f>IF('Assumptions'!$B$3&lt;&gt;"READY","",'Day 1 - Funding'!B9)</x:f>
      </x:c>
      <x:c r="C7" s="1"/>
      <x:c r="D7" s="1"/>
      <x:c r="E7" s="1"/>
      <x:c r="F7" s="1"/>
      <x:c r="G7" s="1"/>
      <x:c r="H7" s="1"/>
    </x:row>
    <x:row r="8">
      <x:c r="A8" s="1" t="str">
        <x:v>Stand purchase</x:v>
      </x:c>
      <x:c r="B8" s="104" t="str">
        <x:f>IF(B7="","",-'Assumptions'!B15)</x:f>
      </x:c>
      <x:c r="C8" s="1"/>
      <x:c r="D8" s="1"/>
      <x:c r="E8" s="1"/>
      <x:c r="F8" s="1"/>
      <x:c r="G8" s="1"/>
      <x:c r="H8" s="1"/>
    </x:row>
    <x:row r="9">
      <x:c r="A9" s="1" t="str">
        <x:v>Initial inventory purchase</x:v>
      </x:c>
      <x:c r="B9" s="104" t="str">
        <x:f>IF(B7="","",-'Assumptions'!B16)</x:f>
      </x:c>
      <x:c r="C9" s="1"/>
      <x:c r="D9" s="1"/>
      <x:c r="E9" s="1"/>
      <x:c r="F9" s="1"/>
      <x:c r="G9" s="1"/>
      <x:c r="H9" s="1"/>
    </x:row>
    <x:row r="10">
      <x:c r="A10" s="107" t="str">
        <x:v>Ending cash</x:v>
      </x:c>
      <x:c r="B10" s="108" t="str">
        <x:f>IF(B7="","",SUM(B7:B9))</x:f>
      </x:c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 ht="22" customHeight="1">
      <x:c r="A12" s="17" t="str">
        <x:v>Balance sheet after investment</x:v>
      </x:c>
      <x:c r="B12" s="17"/>
      <x:c r="C12" s="17"/>
      <x:c r="D12" s="17"/>
      <x:c r="E12" s="17"/>
      <x:c r="F12" s="17"/>
      <x:c r="G12" s="17"/>
      <x:c r="H12" s="17"/>
    </x:row>
    <x:row r="13">
      <x:c r="A13" s="38" t="str">
        <x:v>Assets</x:v>
      </x:c>
      <x:c r="B13" s="38" t="str">
        <x:v>Amount</x:v>
      </x:c>
      <x:c r="C13" s="38"/>
      <x:c r="D13" s="38" t="str">
        <x:v>Liabilities and equity</x:v>
      </x:c>
      <x:c r="E13" s="38" t="str">
        <x:v>Amount</x:v>
      </x:c>
      <x:c r="F13" s="1"/>
      <x:c r="G13" s="1"/>
      <x:c r="H13" s="1"/>
    </x:row>
    <x:row r="14">
      <x:c r="A14" s="1" t="str">
        <x:v>Cash</x:v>
      </x:c>
      <x:c r="B14" s="103" t="str">
        <x:f>IF(B10="","",B10)</x:f>
      </x:c>
      <x:c r="C14" s="1"/>
      <x:c r="D14" s="1" t="str">
        <x:v>Debt</x:v>
      </x:c>
      <x:c r="E14" s="104" t="str">
        <x:f>IF('Assumptions'!$B$3&lt;&gt;"READY","",'Assumptions'!B10)</x:f>
      </x:c>
      <x:c r="F14" s="1"/>
      <x:c r="G14" s="1"/>
      <x:c r="H14" s="1"/>
    </x:row>
    <x:row r="15">
      <x:c r="A15" s="1" t="str">
        <x:v>Inventory</x:v>
      </x:c>
      <x:c r="B15" s="104" t="str">
        <x:f>IF('Assumptions'!$B$3&lt;&gt;"READY","",'Assumptions'!B16)</x:f>
      </x:c>
      <x:c r="C15" s="1"/>
      <x:c r="D15" s="1" t="str">
        <x:v>Founder contributed equity</x:v>
      </x:c>
      <x:c r="E15" s="104" t="str">
        <x:f>IF('Assumptions'!$B$3&lt;&gt;"READY","",'Assumptions'!B12)</x:f>
      </x:c>
      <x:c r="F15" s="1"/>
      <x:c r="G15" s="1"/>
      <x:c r="H15" s="1"/>
    </x:row>
    <x:row r="16">
      <x:c r="A16" s="1" t="str">
        <x:v>Gross fixed assets</x:v>
      </x:c>
      <x:c r="B16" s="104" t="str">
        <x:f>IF('Assumptions'!$B$3&lt;&gt;"READY","",'Assumptions'!B15)</x:f>
      </x:c>
      <x:c r="C16" s="1"/>
      <x:c r="D16" s="1" t="str">
        <x:v>Investor contributed equity</x:v>
      </x:c>
      <x:c r="E16" s="104" t="str">
        <x:f>IF('Assumptions'!$B$3&lt;&gt;"READY","",'Assumptions'!B8*'Assumptions'!B9)</x:f>
      </x:c>
      <x:c r="F16" s="1"/>
      <x:c r="G16" s="1"/>
      <x:c r="H16" s="1"/>
    </x:row>
    <x:row r="17">
      <x:c r="A17" s="1" t="str">
        <x:v>Founder idea / illustrative intangible</x:v>
      </x:c>
      <x:c r="B17" s="104" t="str">
        <x:f>IF('Assumptions'!$B$3&lt;&gt;"READY","",'Assumptions'!B12)</x:f>
      </x:c>
      <x:c r="C17" s="1"/>
      <x:c r="D17" s="1"/>
      <x:c r="E17" s="103"/>
      <x:c r="F17" s="1"/>
      <x:c r="G17" s="1"/>
      <x:c r="H17" s="1"/>
    </x:row>
    <x:row r="18">
      <x:c r="A18" s="107" t="str">
        <x:v>Total assets</x:v>
      </x:c>
      <x:c r="B18" s="108" t="str">
        <x:f>IF(B14="","",SUM(B14:B17))</x:f>
      </x:c>
      <x:c r="C18" s="1"/>
      <x:c r="D18" s="107" t="str">
        <x:v>Total liabilities + equity</x:v>
      </x:c>
      <x:c r="E18" s="108" t="str">
        <x:f>IF(E14="","",SUM(E14:E16))</x:f>
      </x:c>
      <x:c r="F18" s="1"/>
      <x:c r="G18" s="1"/>
      <x:c r="H18" s="1"/>
    </x:row>
    <x:row r="19">
      <x:c r="A19" s="1" t="str">
        <x:v>Balance check</x:v>
      </x:c>
      <x:c r="B19" s="103" t="str">
        <x:f>IF(B18="","",B18-E18)</x:f>
      </x:c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30" t="str">
        <x:v>Interpretation: total assets do not change when cash is exchanged for a stand and inventory. The asset mix changes. The initial inventory will be consumed in Year 1, creating a working-capital release in the cash-flow bridge.</x:v>
      </x:c>
      <x:c r="B21" s="31"/>
      <x:c r="C21" s="31"/>
      <x:c r="D21" s="31"/>
      <x:c r="E21" s="31"/>
      <x:c r="F21" s="31"/>
      <x:c r="G21" s="31"/>
      <x:c r="H21" s="32"/>
    </x:row>
    <x:row r="22">
      <x:c r="A22" s="121"/>
      <x:c r="B22" s="122"/>
      <x:c r="C22" s="122"/>
      <x:c r="D22" s="122"/>
      <x:c r="E22" s="122"/>
      <x:c r="F22" s="122"/>
      <x:c r="G22" s="122"/>
      <x:c r="H22" s="123"/>
    </x:row>
    <x:row r="23">
      <x:c r="A23" s="121"/>
      <x:c r="B23" s="122"/>
      <x:c r="C23" s="122"/>
      <x:c r="D23" s="122"/>
      <x:c r="E23" s="122"/>
      <x:c r="F23" s="122"/>
      <x:c r="G23" s="122"/>
      <x:c r="H23" s="123"/>
    </x:row>
    <x:row r="24">
      <x:c r="A24" s="33"/>
      <x:c r="B24" s="34"/>
      <x:c r="C24" s="34"/>
      <x:c r="D24" s="34"/>
      <x:c r="E24" s="34"/>
      <x:c r="F24" s="34"/>
      <x:c r="G24" s="34"/>
      <x:c r="H24" s="35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</x:sheetData>
  <x:mergeCells>
    <x:mergeCell ref="A1:H1"/>
    <x:mergeCell ref="A2:H2"/>
    <x:mergeCell ref="A5:H5"/>
    <x:mergeCell ref="A12:H12"/>
    <x:mergeCell ref="A21:H24"/>
  </x:mergeCells>
  <x:conditionalFormatting sqref="B3:B3">
    <x:cfRule type="containsText" dxfId="16" priority="1" operator="containsText" text="PASS"/>
    <x:cfRule type="containsText" dxfId="17" priority="2" operator="containsText" text="FAIL"/>
    <x:cfRule type="containsText" dxfId="18" priority="3" operator="containsText" text="WAITING"/>
    <x:cfRule type="containsText" dxfId="19" priority="4" operator="containsText" text="READY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5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Year 1 - Operations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9" t="str">
        <x:v>Separate gross profit, operating profit, financing cost, tax judgment, and cash flow.</x:v>
      </x:c>
      <x:c r="B2" s="9"/>
      <x:c r="C2" s="9"/>
      <x:c r="D2" s="9"/>
      <x:c r="E2" s="9"/>
      <x:c r="F2" s="9"/>
      <x:c r="G2" s="9"/>
      <x:c r="H2" s="9"/>
    </x:row>
    <x:row r="3">
      <x:c r="A3" s="1" t="str">
        <x:v>Status</x:v>
      </x:c>
      <x:c r="B3" s="44" t="str">
        <x:f>'Assumptions'!B3</x:f>
        <x:v>ENTER VIDEO INPUTS</x:v>
      </x:c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7" t="str">
        <x:v>Income statement - video replication</x:v>
      </x:c>
      <x:c r="B5" s="17"/>
      <x:c r="C5" s="17"/>
      <x:c r="D5" s="1"/>
      <x:c r="E5" s="17" t="str">
        <x:v>Tax judgment and cash reconciliation</x:v>
      </x:c>
      <x:c r="F5" s="17"/>
      <x:c r="G5" s="17"/>
      <x:c r="H5" s="17"/>
    </x:row>
    <x:row r="6">
      <x:c r="A6" s="38" t="str">
        <x:v>Line item</x:v>
      </x:c>
      <x:c r="B6" s="38" t="str">
        <x:v>Amount</x:v>
      </x:c>
      <x:c r="C6" s="38" t="str">
        <x:v>Calculation</x:v>
      </x:c>
      <x:c r="D6" s="1"/>
      <x:c r="E6" s="38" t="str">
        <x:v>Line item</x:v>
      </x:c>
      <x:c r="F6" s="38" t="str">
        <x:v>Video replication</x:v>
      </x:c>
      <x:c r="G6" s="38" t="str">
        <x:v>No immediate tax benefit</x:v>
      </x:c>
      <x:c r="H6" s="38" t="str">
        <x:v>Why</x:v>
      </x:c>
    </x:row>
    <x:row r="7" ht="38" customHeight="1">
      <x:c r="A7" s="1" t="str">
        <x:v>Cups sold</x:v>
      </x:c>
      <x:c r="B7" s="111" t="str">
        <x:f>IF('Assumptions'!$B$3&lt;&gt;"READY","",'Assumptions'!B17*'Assumptions'!B29)</x:f>
      </x:c>
      <x:c r="C7" s="39" t="str">
        <x:v>Cups per stand x active stands</x:v>
      </x:c>
      <x:c r="D7" s="1"/>
      <x:c r="E7" s="1" t="str">
        <x:v>EBT</x:v>
      </x:c>
      <x:c r="F7" s="103" t="str">
        <x:f>IF($B$17="","",$B$17)</x:f>
      </x:c>
      <x:c r="G7" s="103" t="str">
        <x:f>IF($B$17="","",$B$17)</x:f>
      </x:c>
      <x:c r="H7" s="39" t="str">
        <x:v>Same operating and financing result</x:v>
      </x:c>
    </x:row>
    <x:row r="8" ht="38" customHeight="1">
      <x:c r="A8" s="1" t="str">
        <x:v>Price per cup</x:v>
      </x:c>
      <x:c r="B8" s="125" t="str">
        <x:f>IF('Assumptions'!$B$3&lt;&gt;"READY","",'Assumptions'!B18)</x:f>
      </x:c>
      <x:c r="C8" s="39" t="str">
        <x:v>Starting price</x:v>
      </x:c>
      <x:c r="D8" s="1"/>
      <x:c r="E8" s="1" t="str">
        <x:v>Tax expense / (benefit)</x:v>
      </x:c>
      <x:c r="F8" s="103" t="str">
        <x:f>IF($B$18="","",$B$18)</x:f>
      </x:c>
      <x:c r="G8" s="103" t="str">
        <x:f>IF($B$17="","",0)</x:f>
      </x:c>
      <x:c r="H8" s="39" t="str">
        <x:v>Video rounds 35% of a $15 loss to a $5 benefit</x:v>
      </x:c>
    </x:row>
    <x:row r="9" ht="38" customHeight="1">
      <x:c r="A9" s="1" t="str">
        <x:v>Revenue</x:v>
      </x:c>
      <x:c r="B9" s="103" t="str">
        <x:f>IF(B7="","",B7*B8)</x:f>
      </x:c>
      <x:c r="C9" s="39" t="str">
        <x:v>Cups sold x price</x:v>
      </x:c>
      <x:c r="D9" s="1"/>
      <x:c r="E9" s="1" t="str">
        <x:v>Net income</x:v>
      </x:c>
      <x:c r="F9" s="103" t="str">
        <x:f>IF(F7="","",F7-F8)</x:f>
      </x:c>
      <x:c r="G9" s="103" t="str">
        <x:f>IF(G7="","",G7-G8)</x:f>
      </x:c>
      <x:c r="H9" s="39" t="str">
        <x:v>Different tax recognition assumption</x:v>
      </x:c>
    </x:row>
    <x:row r="10" ht="38" customHeight="1">
      <x:c r="A10" s="1" t="str">
        <x:v>Cost of goods sold</x:v>
      </x:c>
      <x:c r="B10" s="104" t="str">
        <x:f>IF(B7="","",B7*'Assumptions'!B20)</x:f>
      </x:c>
      <x:c r="C10" s="39" t="str">
        <x:v>Cups sold x COGS per cup</x:v>
      </x:c>
      <x:c r="D10" s="1"/>
      <x:c r="E10" s="1" t="str">
        <x:v>Depreciation add-back</x:v>
      </x:c>
      <x:c r="F10" s="103" t="str">
        <x:f>IF($B$14="","",$B$14)</x:f>
      </x:c>
      <x:c r="G10" s="103" t="str">
        <x:f>IF($B$14="","",$B$14)</x:f>
      </x:c>
      <x:c r="H10" s="39" t="str">
        <x:v>Noncash expense</x:v>
      </x:c>
    </x:row>
    <x:row r="11" ht="38" customHeight="1">
      <x:c r="A11" s="107" t="str">
        <x:v>Gross profit</x:v>
      </x:c>
      <x:c r="B11" s="108" t="str">
        <x:f>IF(B9="","",B9-B10)</x:f>
      </x:c>
      <x:c r="C11" s="39" t="str">
        <x:v>Revenue - COGS</x:v>
      </x:c>
      <x:c r="D11" s="1"/>
      <x:c r="E11" s="1" t="str">
        <x:v>Decrease in inventory</x:v>
      </x:c>
      <x:c r="F11" s="104" t="str">
        <x:f>IF('Assumptions'!$B$3&lt;&gt;"READY","",'Assumptions'!B16)</x:f>
      </x:c>
      <x:c r="G11" s="104" t="str">
        <x:f>IF('Assumptions'!$B$3&lt;&gt;"READY","",'Assumptions'!B16)</x:f>
      </x:c>
      <x:c r="H11" s="39" t="str">
        <x:v>Initial inventory is sold and not replenished in this simplified case</x:v>
      </x:c>
    </x:row>
    <x:row r="12" ht="38" customHeight="1">
      <x:c r="A12" s="1" t="str">
        <x:v>Labor</x:v>
      </x:c>
      <x:c r="B12" s="104" t="str">
        <x:f>IF(B9="","",'Assumptions'!B19*'Assumptions'!B29)</x:f>
      </x:c>
      <x:c r="C12" s="39" t="str">
        <x:v>Labor per stand x active stands</x:v>
      </x:c>
      <x:c r="D12" s="1"/>
      <x:c r="E12" s="107" t="str">
        <x:v>Simplified operating cash flow</x:v>
      </x:c>
      <x:c r="F12" s="108" t="str">
        <x:f>IF(F9="","",SUM(F9:F11))</x:f>
      </x:c>
      <x:c r="G12" s="108" t="str">
        <x:f>IF(G9="","",SUM(G9:G11))</x:f>
      </x:c>
      <x:c r="H12" s="39" t="str">
        <x:v>Net income + depreciation + inventory release</x:v>
      </x:c>
    </x:row>
    <x:row r="13" ht="38" customHeight="1">
      <x:c r="A13" s="1" t="str">
        <x:v>Operating profit before depreciation</x:v>
      </x:c>
      <x:c r="B13" s="103" t="str">
        <x:f>IF(B11="","",B11-B12)</x:f>
      </x:c>
      <x:c r="C13" s="39" t="str">
        <x:v>Gross profit - labor</x:v>
      </x:c>
      <x:c r="D13" s="1"/>
      <x:c r="E13" s="1" t="str">
        <x:v>Beginning cash</x:v>
      </x:c>
      <x:c r="F13" s="104" t="str">
        <x:f>IF('Day 2 - Investment'!B10="","",'Day 2 - Investment'!B10)</x:f>
      </x:c>
      <x:c r="G13" s="104" t="str">
        <x:f>IF('Day 2 - Investment'!B10="","",'Day 2 - Investment'!B10)</x:f>
      </x:c>
      <x:c r="H13" s="39" t="str">
        <x:v>Cash after the Day-2 asset purchases</x:v>
      </x:c>
    </x:row>
    <x:row r="14" ht="38" customHeight="1">
      <x:c r="A14" s="1" t="str">
        <x:v>Depreciation</x:v>
      </x:c>
      <x:c r="B14" s="104" t="str">
        <x:f>IF(B13="","",('Assumptions'!B15/'Assumptions'!B21)*'Assumptions'!B29)</x:f>
      </x:c>
      <x:c r="C14" s="39" t="str">
        <x:v>Stand cost / useful life x active stands</x:v>
      </x:c>
      <x:c r="D14" s="1"/>
      <x:c r="E14" s="107" t="str">
        <x:v>Ending cash</x:v>
      </x:c>
      <x:c r="F14" s="108" t="str">
        <x:f>IF(F13="","",F13+F12)</x:f>
      </x:c>
      <x:c r="G14" s="108" t="str">
        <x:f>IF(G13="","",G13+G12)</x:f>
      </x:c>
      <x:c r="H14" s="39" t="str">
        <x:v>Video replication assumes the tax benefit is available as cash</x:v>
      </x:c>
    </x:row>
    <x:row r="15" ht="34" customHeight="1">
      <x:c r="A15" s="107" t="str">
        <x:v>EBIT</x:v>
      </x:c>
      <x:c r="B15" s="108" t="str">
        <x:f>IF(B13="","",B13-B14)</x:f>
      </x:c>
      <x:c r="C15" s="39" t="str">
        <x:v>Operating profit before depreciation - depreciation</x:v>
      </x:c>
      <x:c r="D15" s="1"/>
      <x:c r="E15" s="1"/>
      <x:c r="F15" s="1"/>
      <x:c r="G15" s="1"/>
      <x:c r="H15" s="1"/>
    </x:row>
    <x:row r="16" ht="34" customHeight="1">
      <x:c r="A16" s="1" t="str">
        <x:v>Interest expense</x:v>
      </x:c>
      <x:c r="B16" s="104" t="str">
        <x:f>IF(B15="","",'Assumptions'!B10*'Assumptions'!B11)</x:f>
      </x:c>
      <x:c r="C16" s="39" t="str">
        <x:v>Debt x interest rate</x:v>
      </x:c>
      <x:c r="D16" s="1"/>
      <x:c r="E16" s="65" t="str">
        <x:v>Why $500 versus $495? Both cases begin with $250 cash after the stand and inventory purchases. Selling the initial inventory releases $200 of working capital. The remaining $5 difference is whether the rounded tax benefit is assumed to be immediately realizable in cash.</x:v>
      </x:c>
      <x:c r="F16" s="66"/>
      <x:c r="G16" s="66"/>
      <x:c r="H16" s="67"/>
    </x:row>
    <x:row r="17" ht="34" customHeight="1">
      <x:c r="A17" s="107" t="str">
        <x:v>EBT</x:v>
      </x:c>
      <x:c r="B17" s="108" t="str">
        <x:f>IF(B15="","",B15-B16)</x:f>
      </x:c>
      <x:c r="C17" s="39" t="str">
        <x:v>EBIT - interest</x:v>
      </x:c>
      <x:c r="D17" s="1"/>
      <x:c r="E17" s="68"/>
      <x:c r="F17" s="69"/>
      <x:c r="G17" s="69"/>
      <x:c r="H17" s="70"/>
    </x:row>
    <x:row r="18" ht="34" customHeight="1">
      <x:c r="A18" s="1" t="str">
        <x:v>Tax expense / (benefit)</x:v>
      </x:c>
      <x:c r="B18" s="104" t="str">
        <x:f>IF(B17="","",IF(B17&lt;0,ROUND(B17*'Assumptions'!B24,0),B17*'Assumptions'!B24))</x:f>
      </x:c>
      <x:c r="C18" s="39" t="str">
        <x:v>Rounded illustrative benefit when EBT is negative</x:v>
      </x:c>
      <x:c r="D18" s="1"/>
      <x:c r="E18" s="68"/>
      <x:c r="F18" s="69"/>
      <x:c r="G18" s="69"/>
      <x:c r="H18" s="70"/>
    </x:row>
    <x:row r="19" ht="34" customHeight="1">
      <x:c r="A19" s="107" t="str">
        <x:v>Net income - video replication</x:v>
      </x:c>
      <x:c r="B19" s="108" t="str">
        <x:f>IF(B17="","",B17-B18)</x:f>
      </x:c>
      <x:c r="C19" s="39" t="str">
        <x:v>EBT - tax expense / (benefit)</x:v>
      </x:c>
      <x:c r="D19" s="1"/>
      <x:c r="E19" s="68"/>
      <x:c r="F19" s="69"/>
      <x:c r="G19" s="69"/>
      <x:c r="H19" s="70"/>
    </x:row>
    <x:row r="20">
      <x:c r="A20" s="1"/>
      <x:c r="B20" s="1"/>
      <x:c r="C20" s="1"/>
      <x:c r="D20" s="1"/>
      <x:c r="E20" s="71"/>
      <x:c r="F20" s="72"/>
      <x:c r="G20" s="72"/>
      <x:c r="H20" s="73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7" t="str">
        <x:v>Student checkpoint</x:v>
      </x:c>
      <x:c r="B22" s="17"/>
      <x:c r="C22" s="17"/>
      <x:c r="D22" s="17"/>
      <x:c r="E22" s="17"/>
      <x:c r="F22" s="17"/>
      <x:c r="G22" s="17"/>
      <x:c r="H22" s="17"/>
    </x:row>
    <x:row r="23">
      <x:c r="A23" s="30" t="str">
        <x:v>Before continuing, explain in one sentence why gross profit is $600 while operating profit before depreciation is $70. Your explanation should identify labor as an operating expense rather than cost of goods sold in this simplified model.</x:v>
      </x:c>
      <x:c r="B23" s="31"/>
      <x:c r="C23" s="31"/>
      <x:c r="D23" s="31"/>
      <x:c r="E23" s="31"/>
      <x:c r="F23" s="31"/>
      <x:c r="G23" s="31"/>
      <x:c r="H23" s="32"/>
    </x:row>
    <x:row r="24">
      <x:c r="A24" s="121"/>
      <x:c r="B24" s="122"/>
      <x:c r="C24" s="122"/>
      <x:c r="D24" s="122"/>
      <x:c r="E24" s="122"/>
      <x:c r="F24" s="122"/>
      <x:c r="G24" s="122"/>
      <x:c r="H24" s="123"/>
    </x:row>
    <x:row r="25">
      <x:c r="A25" s="121"/>
      <x:c r="B25" s="122"/>
      <x:c r="C25" s="122"/>
      <x:c r="D25" s="122"/>
      <x:c r="E25" s="122"/>
      <x:c r="F25" s="122"/>
      <x:c r="G25" s="122"/>
      <x:c r="H25" s="123"/>
    </x:row>
    <x:row r="26">
      <x:c r="A26" s="33"/>
      <x:c r="B26" s="34"/>
      <x:c r="C26" s="34"/>
      <x:c r="D26" s="34"/>
      <x:c r="E26" s="34"/>
      <x:c r="F26" s="34"/>
      <x:c r="G26" s="34"/>
      <x:c r="H26" s="35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</x:sheetData>
  <x:mergeCells>
    <x:mergeCell ref="A1:H1"/>
    <x:mergeCell ref="A2:H2"/>
    <x:mergeCell ref="A5:C5"/>
    <x:mergeCell ref="E5:H5"/>
    <x:mergeCell ref="E16:H20"/>
    <x:mergeCell ref="A22:H22"/>
    <x:mergeCell ref="A23:H26"/>
  </x:mergeCells>
  <x:conditionalFormatting sqref="B3:B3">
    <x:cfRule type="containsText" dxfId="20" priority="1" operator="containsText" text="PASS"/>
    <x:cfRule type="containsText" dxfId="21" priority="2" operator="containsText" text="FAIL"/>
    <x:cfRule type="containsText" dxfId="22" priority="3" operator="containsText" text="WAITING"/>
    <x:cfRule type="containsText" dxfId="23" priority="4" operator="containsText" text="READY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5" hidden="0" customWidth="1"/>
  </x:cols>
  <x:sheetData>
    <x:row r="1" ht="32" customHeight="1">
      <x:c r="A1" s="5" t="str">
        <x:v>Five-Year Forecast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9" t="str">
        <x:v>One auditable timeline for operating performance, cash, fixed assets, and equity.</x:v>
      </x:c>
      <x:c r="B2" s="9"/>
      <x:c r="C2" s="9"/>
      <x:c r="D2" s="9"/>
      <x:c r="E2" s="9"/>
      <x:c r="F2" s="9"/>
      <x:c r="G2" s="9"/>
      <x:c r="H2" s="9"/>
    </x:row>
    <x:row r="3">
      <x:c r="A3" s="1" t="str">
        <x:v>Status</x:v>
      </x:c>
      <x:c r="B3" s="1"/>
      <x:c r="C3" s="44" t="str">
        <x:f>'Assumptions'!B3</x:f>
        <x:v>ENTER VIDEO INPUTS</x:v>
      </x:c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38"/>
      <x:c r="B5" s="38"/>
      <x:c r="C5" s="38" t="str">
        <x:v>Year 1</x:v>
      </x:c>
      <x:c r="D5" s="38" t="str">
        <x:v>Year 2</x:v>
      </x:c>
      <x:c r="E5" s="38" t="str">
        <x:v>Year 3</x:v>
      </x:c>
      <x:c r="F5" s="38" t="str">
        <x:v>Year 4</x:v>
      </x:c>
      <x:c r="G5" s="38" t="str">
        <x:v>Year 5</x:v>
      </x:c>
      <x:c r="H5" s="1"/>
    </x:row>
    <x:row r="6" ht="22" customHeight="1">
      <x:c r="A6" s="17" t="str">
        <x:v>Operating forecast</x:v>
      </x:c>
      <x:c r="B6" s="17"/>
      <x:c r="C6" s="17"/>
      <x:c r="D6" s="17"/>
      <x:c r="E6" s="17"/>
      <x:c r="F6" s="17"/>
      <x:c r="G6" s="17"/>
      <x:c r="H6" s="1"/>
    </x:row>
    <x:row r="7">
      <x:c r="A7" s="1" t="str">
        <x:v>Active stands</x:v>
      </x:c>
      <x:c r="B7" s="1"/>
      <x:c r="C7" s="127" t="str">
        <x:f>IF('Assumptions'!$B$3&lt;&gt;"READY","",'Assumptions'!B29)</x:f>
      </x:c>
      <x:c r="D7" s="127" t="str">
        <x:f>IF('Assumptions'!$B$3&lt;&gt;"READY","",'Assumptions'!C29)</x:f>
      </x:c>
      <x:c r="E7" s="127" t="str">
        <x:f>IF('Assumptions'!$B$3&lt;&gt;"READY","",'Assumptions'!D29)</x:f>
      </x:c>
      <x:c r="F7" s="127" t="str">
        <x:f>IF('Assumptions'!$B$3&lt;&gt;"READY","",'Assumptions'!E29)</x:f>
      </x:c>
      <x:c r="G7" s="127" t="str">
        <x:f>IF('Assumptions'!$B$3&lt;&gt;"READY","",'Assumptions'!F29)</x:f>
      </x:c>
      <x:c r="H7" s="1"/>
    </x:row>
    <x:row r="8">
      <x:c r="A8" s="1" t="str">
        <x:v>New stands purchased</x:v>
      </x:c>
      <x:c r="B8" s="1"/>
      <x:c r="C8" s="126" t="str">
        <x:f>IF(C7="","",0)</x:f>
      </x:c>
      <x:c r="D8" s="126" t="str">
        <x:f>IF(D7="","",MAX(D7-C7,0))</x:f>
      </x:c>
      <x:c r="E8" s="126" t="str">
        <x:f>IF(E7="","",MAX(E7-D7,0))</x:f>
      </x:c>
      <x:c r="F8" s="126" t="str">
        <x:f>IF(F7="","",MAX(F7-E7,0))</x:f>
      </x:c>
      <x:c r="G8" s="126" t="str">
        <x:f>IF(G7="","",MAX(G7-F7,0))</x:f>
      </x:c>
      <x:c r="H8" s="1"/>
    </x:row>
    <x:row r="9">
      <x:c r="A9" s="1" t="str">
        <x:v>Cups per stand</x:v>
      </x:c>
      <x:c r="B9" s="1"/>
      <x:c r="C9" s="127" t="str">
        <x:f>IF(C7="","",'Assumptions'!$B$17*(1+'Assumptions'!$B$22)^0)</x:f>
      </x:c>
      <x:c r="D9" s="127" t="str">
        <x:f>IF(D7="","",'Assumptions'!$B$17*(1+'Assumptions'!$B$22)^1)</x:f>
      </x:c>
      <x:c r="E9" s="127" t="str">
        <x:f>IF(E7="","",'Assumptions'!$B$17*(1+'Assumptions'!$B$22)^2)</x:f>
      </x:c>
      <x:c r="F9" s="127" t="str">
        <x:f>IF(F7="","",'Assumptions'!$B$17*(1+'Assumptions'!$B$22)^3)</x:f>
      </x:c>
      <x:c r="G9" s="127" t="str">
        <x:f>IF(G7="","",'Assumptions'!$B$17*(1+'Assumptions'!$B$22)^4)</x:f>
      </x:c>
      <x:c r="H9" s="1"/>
    </x:row>
    <x:row r="10">
      <x:c r="A10" s="1" t="str">
        <x:v>Total cups sold</x:v>
      </x:c>
      <x:c r="B10" s="1"/>
      <x:c r="C10" s="126" t="str">
        <x:f>IF(C9="","",C7*C9)</x:f>
      </x:c>
      <x:c r="D10" s="126" t="str">
        <x:f>IF(D9="","",D7*D9)</x:f>
      </x:c>
      <x:c r="E10" s="126" t="str">
        <x:f>IF(E9="","",E7*E9)</x:f>
      </x:c>
      <x:c r="F10" s="126" t="str">
        <x:f>IF(F9="","",F7*F9)</x:f>
      </x:c>
      <x:c r="G10" s="126" t="str">
        <x:f>IF(G9="","",G7*G9)</x:f>
      </x:c>
      <x:c r="H10" s="1"/>
    </x:row>
    <x:row r="11">
      <x:c r="A11" s="1" t="str">
        <x:v>Price per cup</x:v>
      </x:c>
      <x:c r="B11" s="1"/>
      <x:c r="C11" s="104" t="str">
        <x:f>IF(C10="","",'Assumptions'!$B$18+'Assumptions'!$B$23*0)</x:f>
      </x:c>
      <x:c r="D11" s="104" t="str">
        <x:f>IF(D10="","",'Assumptions'!$B$18+'Assumptions'!$B$23*1)</x:f>
      </x:c>
      <x:c r="E11" s="104" t="str">
        <x:f>IF(E10="","",'Assumptions'!$B$18+'Assumptions'!$B$23*2)</x:f>
      </x:c>
      <x:c r="F11" s="104" t="str">
        <x:f>IF(F10="","",'Assumptions'!$B$18+'Assumptions'!$B$23*3)</x:f>
      </x:c>
      <x:c r="G11" s="104" t="str">
        <x:f>IF(G10="","",'Assumptions'!$B$18+'Assumptions'!$B$23*4)</x:f>
      </x:c>
      <x:c r="H11" s="1"/>
    </x:row>
    <x:row r="12">
      <x:c r="A12" s="1" t="str">
        <x:v>Revenue</x:v>
      </x:c>
      <x:c r="B12" s="1"/>
      <x:c r="C12" s="103" t="str">
        <x:f>IF(C10="","",C10*C11)</x:f>
      </x:c>
      <x:c r="D12" s="103" t="str">
        <x:f>IF(D10="","",D10*D11)</x:f>
      </x:c>
      <x:c r="E12" s="103" t="str">
        <x:f>IF(E10="","",E10*E11)</x:f>
      </x:c>
      <x:c r="F12" s="103" t="str">
        <x:f>IF(F10="","",F10*F11)</x:f>
      </x:c>
      <x:c r="G12" s="103" t="str">
        <x:f>IF(G10="","",G10*G11)</x:f>
      </x:c>
      <x:c r="H12" s="1"/>
    </x:row>
    <x:row r="13">
      <x:c r="A13" s="1" t="str">
        <x:v>Cost of goods sold</x:v>
      </x:c>
      <x:c r="B13" s="1"/>
      <x:c r="C13" s="104" t="str">
        <x:f>IF(C10="","",C10*'Assumptions'!$B$20)</x:f>
      </x:c>
      <x:c r="D13" s="104" t="str">
        <x:f>IF(D10="","",D10*'Assumptions'!$B$20)</x:f>
      </x:c>
      <x:c r="E13" s="104" t="str">
        <x:f>IF(E10="","",E10*'Assumptions'!$B$20)</x:f>
      </x:c>
      <x:c r="F13" s="104" t="str">
        <x:f>IF(F10="","",F10*'Assumptions'!$B$20)</x:f>
      </x:c>
      <x:c r="G13" s="104" t="str">
        <x:f>IF(G10="","",G10*'Assumptions'!$B$20)</x:f>
      </x:c>
      <x:c r="H13" s="1"/>
    </x:row>
    <x:row r="14">
      <x:c r="A14" s="107" t="str">
        <x:v>Gross profit</x:v>
      </x:c>
      <x:c r="B14" s="107"/>
      <x:c r="C14" s="108" t="str">
        <x:f>IF(C12="","",C12-C13)</x:f>
      </x:c>
      <x:c r="D14" s="108" t="str">
        <x:f>IF(D12="","",D12-D13)</x:f>
      </x:c>
      <x:c r="E14" s="108" t="str">
        <x:f>IF(E12="","",E12-E13)</x:f>
      </x:c>
      <x:c r="F14" s="108" t="str">
        <x:f>IF(F12="","",F12-F13)</x:f>
      </x:c>
      <x:c r="G14" s="108" t="str">
        <x:f>IF(G12="","",G12-G13)</x:f>
      </x:c>
      <x:c r="H14" s="1"/>
    </x:row>
    <x:row r="15">
      <x:c r="A15" s="1" t="str">
        <x:v>Labor</x:v>
      </x:c>
      <x:c r="B15" s="1"/>
      <x:c r="C15" s="104" t="str">
        <x:f>IF(C7="","",C7*'Assumptions'!$B$19)</x:f>
      </x:c>
      <x:c r="D15" s="104" t="str">
        <x:f>IF(D7="","",D7*'Assumptions'!$B$19)</x:f>
      </x:c>
      <x:c r="E15" s="104" t="str">
        <x:f>IF(E7="","",E7*'Assumptions'!$B$19)</x:f>
      </x:c>
      <x:c r="F15" s="104" t="str">
        <x:f>IF(F7="","",F7*'Assumptions'!$B$19)</x:f>
      </x:c>
      <x:c r="G15" s="104" t="str">
        <x:f>IF(G7="","",G7*'Assumptions'!$B$19)</x:f>
      </x:c>
      <x:c r="H15" s="1"/>
    </x:row>
    <x:row r="16">
      <x:c r="A16" s="1" t="str">
        <x:v>Depreciation</x:v>
      </x:c>
      <x:c r="B16" s="1"/>
      <x:c r="C16" s="104" t="str">
        <x:f>IF(C7="","",C7*('Assumptions'!$B$15/'Assumptions'!$B$21))</x:f>
      </x:c>
      <x:c r="D16" s="104" t="str">
        <x:f>IF(D7="","",D7*('Assumptions'!$B$15/'Assumptions'!$B$21))</x:f>
      </x:c>
      <x:c r="E16" s="104" t="str">
        <x:f>IF(E7="","",E7*('Assumptions'!$B$15/'Assumptions'!$B$21))</x:f>
      </x:c>
      <x:c r="F16" s="104" t="str">
        <x:f>IF(F7="","",F7*('Assumptions'!$B$15/'Assumptions'!$B$21))</x:f>
      </x:c>
      <x:c r="G16" s="104" t="str">
        <x:f>IF(G7="","",G7*('Assumptions'!$B$15/'Assumptions'!$B$21))</x:f>
      </x:c>
      <x:c r="H16" s="1"/>
    </x:row>
    <x:row r="17">
      <x:c r="A17" s="107" t="str">
        <x:v>EBIT</x:v>
      </x:c>
      <x:c r="B17" s="107"/>
      <x:c r="C17" s="108" t="str">
        <x:f>IF(C14="","",C14-C15-C16)</x:f>
      </x:c>
      <x:c r="D17" s="108" t="str">
        <x:f>IF(D14="","",D14-D15-D16)</x:f>
      </x:c>
      <x:c r="E17" s="108" t="str">
        <x:f>IF(E14="","",E14-E15-E16)</x:f>
      </x:c>
      <x:c r="F17" s="108" t="str">
        <x:f>IF(F14="","",F14-F15-F16)</x:f>
      </x:c>
      <x:c r="G17" s="108" t="str">
        <x:f>IF(G14="","",G14-G15-G16)</x:f>
      </x:c>
      <x:c r="H17" s="1"/>
    </x:row>
    <x:row r="18">
      <x:c r="A18" s="1" t="str">
        <x:v>Operating margin</x:v>
      </x:c>
      <x:c r="B18" s="1"/>
      <x:c r="C18" s="110" t="str">
        <x:f>IF(C12=0,"",C17/C12)</x:f>
      </x:c>
      <x:c r="D18" s="110" t="str">
        <x:f>IF(D12=0,"",D17/D12)</x:f>
      </x:c>
      <x:c r="E18" s="110" t="str">
        <x:f>IF(E12=0,"",E17/E12)</x:f>
      </x:c>
      <x:c r="F18" s="110" t="str">
        <x:f>IF(F12=0,"",F17/F12)</x:f>
      </x:c>
      <x:c r="G18" s="110" t="str">
        <x:f>IF(G12=0,"",G17/G12)</x:f>
      </x:c>
      <x:c r="H18" s="1"/>
    </x:row>
    <x:row r="19">
      <x:c r="A19" s="1" t="str">
        <x:v>Interest expense</x:v>
      </x:c>
      <x:c r="B19" s="1"/>
      <x:c r="C19" s="104" t="str">
        <x:f>IF(C17="","",'Assumptions'!$B$10*'Assumptions'!$B$11)</x:f>
      </x:c>
      <x:c r="D19" s="104" t="str">
        <x:f>IF(D17="","",'Assumptions'!$B$10*'Assumptions'!$B$11)</x:f>
      </x:c>
      <x:c r="E19" s="104" t="str">
        <x:f>IF(E17="","",'Assumptions'!$B$10*'Assumptions'!$B$11)</x:f>
      </x:c>
      <x:c r="F19" s="104" t="str">
        <x:f>IF(F17="","",'Assumptions'!$B$10*'Assumptions'!$B$11)</x:f>
      </x:c>
      <x:c r="G19" s="104" t="str">
        <x:f>IF(G17="","",'Assumptions'!$B$10*'Assumptions'!$B$11)</x:f>
      </x:c>
      <x:c r="H19" s="1"/>
    </x:row>
    <x:row r="20">
      <x:c r="A20" s="107" t="str">
        <x:v>EBT</x:v>
      </x:c>
      <x:c r="B20" s="107"/>
      <x:c r="C20" s="129" t="str">
        <x:f>IF(C17="","",C17-C19)</x:f>
      </x:c>
      <x:c r="D20" s="129" t="str">
        <x:f>IF(D17="","",D17-D19)</x:f>
      </x:c>
      <x:c r="E20" s="129" t="str">
        <x:f>IF(E17="","",E17-E19)</x:f>
      </x:c>
      <x:c r="F20" s="129" t="str">
        <x:f>IF(F17="","",F17-F19)</x:f>
      </x:c>
      <x:c r="G20" s="129" t="str">
        <x:f>IF(G17="","",G17-G19)</x:f>
      </x:c>
      <x:c r="H20" s="1"/>
    </x:row>
    <x:row r="21">
      <x:c r="A21" s="1" t="str">
        <x:v>Tax expense / (benefit)</x:v>
      </x:c>
      <x:c r="B21" s="1"/>
      <x:c r="C21" s="104" t="str">
        <x:f>IF(C20="","",IF(C20&lt;0,ROUND(C20*'Assumptions'!$B$24,0),C20*'Assumptions'!$B$24))</x:f>
      </x:c>
      <x:c r="D21" s="104" t="str">
        <x:f>IF(D20="","",IF(D20&gt;0,D20*'Assumptions'!$B$24,0))</x:f>
      </x:c>
      <x:c r="E21" s="104" t="str">
        <x:f>IF(E20="","",IF(E20&gt;0,E20*'Assumptions'!$B$24,0))</x:f>
      </x:c>
      <x:c r="F21" s="104" t="str">
        <x:f>IF(F20="","",IF(F20&gt;0,F20*'Assumptions'!$B$24,0))</x:f>
      </x:c>
      <x:c r="G21" s="104" t="str">
        <x:f>IF(G20="","",IF(G20&gt;0,G20*'Assumptions'!$B$24,0))</x:f>
      </x:c>
      <x:c r="H21" s="1"/>
    </x:row>
    <x:row r="22">
      <x:c r="A22" s="107" t="str">
        <x:v>Net income</x:v>
      </x:c>
      <x:c r="B22" s="107"/>
      <x:c r="C22" s="108" t="str">
        <x:f>IF(C20="","",C20-C21)</x:f>
      </x:c>
      <x:c r="D22" s="108" t="str">
        <x:f>IF(D20="","",D20-D21)</x:f>
      </x:c>
      <x:c r="E22" s="108" t="str">
        <x:f>IF(E20="","",E20-E21)</x:f>
      </x:c>
      <x:c r="F22" s="108" t="str">
        <x:f>IF(F20="","",F20-F21)</x:f>
      </x:c>
      <x:c r="G22" s="108" t="str">
        <x:f>IF(G20="","",G20-G21)</x:f>
      </x:c>
      <x:c r="H22" s="1"/>
    </x:row>
    <x:row r="23">
      <x:c r="A23" s="1" t="str">
        <x:v>Net margin</x:v>
      </x:c>
      <x:c r="B23" s="1"/>
      <x:c r="C23" s="110" t="str">
        <x:f>IF(C12=0,"",C22/C12)</x:f>
      </x:c>
      <x:c r="D23" s="110" t="str">
        <x:f>IF(D12=0,"",D22/D12)</x:f>
      </x:c>
      <x:c r="E23" s="110" t="str">
        <x:f>IF(E12=0,"",E22/E12)</x:f>
      </x:c>
      <x:c r="F23" s="110" t="str">
        <x:f>IF(F12=0,"",F22/F12)</x:f>
      </x:c>
      <x:c r="G23" s="110" t="str">
        <x:f>IF(G12=0,"",G22/G12)</x:f>
      </x:c>
      <x:c r="H23" s="1"/>
    </x:row>
    <x:row r="24">
      <x:c r="A24" s="1" t="str">
        <x:v>EPS</x:v>
      </x:c>
      <x:c r="B24" s="1"/>
      <x:c r="C24" s="125" t="str">
        <x:f>IF(C22="","",C22/('Assumptions'!$B$7+'Assumptions'!$B$8))</x:f>
      </x:c>
      <x:c r="D24" s="125" t="str">
        <x:f>IF(D22="","",D22/('Assumptions'!$B$7+'Assumptions'!$B$8))</x:f>
      </x:c>
      <x:c r="E24" s="125" t="str">
        <x:f>IF(E22="","",E22/('Assumptions'!$B$7+'Assumptions'!$B$8))</x:f>
      </x:c>
      <x:c r="F24" s="125" t="str">
        <x:f>IF(F22="","",F22/('Assumptions'!$B$7+'Assumptions'!$B$8))</x:f>
      </x:c>
      <x:c r="G24" s="125" t="str">
        <x:f>IF(G22="","",G22/('Assumptions'!$B$7+'Assumptions'!$B$8))</x:f>
      </x:c>
      <x:c r="H24" s="1"/>
    </x:row>
    <x:row r="25">
      <x:c r="A25" s="1" t="str">
        <x:v>Earnings growth</x:v>
      </x:c>
      <x:c r="B25" s="1"/>
      <x:c r="C25" s="1" t="str">
        <x:f>IF(C22="","","N/M")</x:f>
      </x:c>
      <x:c r="D25" s="110" t="str">
        <x:f>IF(C22&lt;=0,"N/M",D22/C22-1)</x:f>
        <x:v>N/M</x:v>
      </x:c>
      <x:c r="E25" s="110" t="str">
        <x:f>IF(D22&lt;=0,"N/M",E22/D22-1)</x:f>
        <x:v>N/M</x:v>
      </x:c>
      <x:c r="F25" s="110" t="str">
        <x:f>IF(E22&lt;=0,"N/M",F22/E22-1)</x:f>
        <x:v>N/M</x:v>
      </x:c>
      <x:c r="G25" s="110" t="str">
        <x:f>IF(F22&lt;=0,"N/M",G22/F22-1)</x:f>
        <x:v>N/M</x:v>
      </x:c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7" t="str">
        <x:v>Cash and balance-sheet roll-forward</x:v>
      </x:c>
      <x:c r="B27" s="17"/>
      <x:c r="C27" s="17"/>
      <x:c r="D27" s="17"/>
      <x:c r="E27" s="17"/>
      <x:c r="F27" s="17"/>
      <x:c r="G27" s="17"/>
      <x:c r="H27" s="1"/>
    </x:row>
    <x:row r="28">
      <x:c r="A28" s="1" t="str">
        <x:v>Beginning cash</x:v>
      </x:c>
      <x:c r="B28" s="1"/>
      <x:c r="C28" s="104" t="str">
        <x:f>IF('Day 2 - Investment'!B10="","",'Day 2 - Investment'!B10)</x:f>
      </x:c>
      <x:c r="D28" s="103" t="str">
        <x:f>IF(C33="","",C33)</x:f>
      </x:c>
      <x:c r="E28" s="103" t="str">
        <x:f>IF(D33="","",D33)</x:f>
      </x:c>
      <x:c r="F28" s="103" t="str">
        <x:f>IF(E33="","",E33)</x:f>
      </x:c>
      <x:c r="G28" s="103" t="str">
        <x:f>IF(F33="","",F33)</x:f>
      </x:c>
      <x:c r="H28" s="1"/>
    </x:row>
    <x:row r="29">
      <x:c r="A29" s="1" t="str">
        <x:v>Net income</x:v>
      </x:c>
      <x:c r="B29" s="1"/>
      <x:c r="C29" s="103" t="str">
        <x:f>IF(C22="","",C22)</x:f>
      </x:c>
      <x:c r="D29" s="103" t="str">
        <x:f>IF(D22="","",D22)</x:f>
      </x:c>
      <x:c r="E29" s="103" t="str">
        <x:f>IF(E22="","",E22)</x:f>
      </x:c>
      <x:c r="F29" s="103" t="str">
        <x:f>IF(F22="","",F22)</x:f>
      </x:c>
      <x:c r="G29" s="103" t="str">
        <x:f>IF(G22="","",G22)</x:f>
      </x:c>
      <x:c r="H29" s="1"/>
    </x:row>
    <x:row r="30">
      <x:c r="A30" s="1" t="str">
        <x:v>Depreciation add-back</x:v>
      </x:c>
      <x:c r="B30" s="1"/>
      <x:c r="C30" s="103" t="str">
        <x:f>IF(C16="","",C16)</x:f>
      </x:c>
      <x:c r="D30" s="103" t="str">
        <x:f>IF(D16="","",D16)</x:f>
      </x:c>
      <x:c r="E30" s="103" t="str">
        <x:f>IF(E16="","",E16)</x:f>
      </x:c>
      <x:c r="F30" s="103" t="str">
        <x:f>IF(F16="","",F16)</x:f>
      </x:c>
      <x:c r="G30" s="103" t="str">
        <x:f>IF(G16="","",G16)</x:f>
      </x:c>
      <x:c r="H30" s="1"/>
    </x:row>
    <x:row r="31">
      <x:c r="A31" s="1" t="str">
        <x:v>Decrease in inventory</x:v>
      </x:c>
      <x:c r="B31" s="1"/>
      <x:c r="C31" s="104" t="str">
        <x:f>IF(C29="","",'Assumptions'!$B$16)</x:f>
      </x:c>
      <x:c r="D31" s="103" t="str">
        <x:f>IF(D29="","",0)</x:f>
      </x:c>
      <x:c r="E31" s="103" t="str">
        <x:f>IF(E29="","",0)</x:f>
      </x:c>
      <x:c r="F31" s="103" t="str">
        <x:f>IF(F29="","",0)</x:f>
      </x:c>
      <x:c r="G31" s="103" t="str">
        <x:f>IF(G29="","",0)</x:f>
      </x:c>
      <x:c r="H31" s="1"/>
    </x:row>
    <x:row r="32">
      <x:c r="A32" s="107" t="str">
        <x:v>Simplified operating cash flow</x:v>
      </x:c>
      <x:c r="B32" s="107"/>
      <x:c r="C32" s="108" t="str">
        <x:f>IF(C29="","",SUM(C29:C31))</x:f>
      </x:c>
      <x:c r="D32" s="108" t="str">
        <x:f>IF(D29="","",SUM(D29:D31))</x:f>
      </x:c>
      <x:c r="E32" s="108" t="str">
        <x:f>IF(E29="","",SUM(E29:E31))</x:f>
      </x:c>
      <x:c r="F32" s="108" t="str">
        <x:f>IF(F29="","",SUM(F29:F31))</x:f>
      </x:c>
      <x:c r="G32" s="108" t="str">
        <x:f>IF(G29="","",SUM(G29:G31))</x:f>
      </x:c>
      <x:c r="H32" s="1"/>
    </x:row>
    <x:row r="33">
      <x:c r="A33" s="107" t="str">
        <x:v>Ending cash</x:v>
      </x:c>
      <x:c r="B33" s="107"/>
      <x:c r="C33" s="129" t="str">
        <x:f>IF(C32="","",C28+C32-C8*'Assumptions'!$B$15)</x:f>
      </x:c>
      <x:c r="D33" s="129" t="str">
        <x:f>IF(D32="","",D28+D32-D8*'Assumptions'!$B$15)</x:f>
      </x:c>
      <x:c r="E33" s="129" t="str">
        <x:f>IF(E32="","",E28+E32-E8*'Assumptions'!$B$15)</x:f>
      </x:c>
      <x:c r="F33" s="129" t="str">
        <x:f>IF(F32="","",F28+F32-F8*'Assumptions'!$B$15)</x:f>
      </x:c>
      <x:c r="G33" s="129" t="str">
        <x:f>IF(G32="","",G28+G32-G8*'Assumptions'!$B$15)</x:f>
      </x:c>
      <x:c r="H33" s="1"/>
    </x:row>
    <x:row r="34">
      <x:c r="A34" s="1" t="str">
        <x:v>Gross fixed assets</x:v>
      </x:c>
      <x:c r="B34" s="1"/>
      <x:c r="C34" s="104" t="str">
        <x:f>IF(C7="","",C7*'Assumptions'!$B$15)</x:f>
      </x:c>
      <x:c r="D34" s="104" t="str">
        <x:f>IF(D7="","",D7*'Assumptions'!$B$15)</x:f>
      </x:c>
      <x:c r="E34" s="104" t="str">
        <x:f>IF(E7="","",E7*'Assumptions'!$B$15)</x:f>
      </x:c>
      <x:c r="F34" s="104" t="str">
        <x:f>IF(F7="","",F7*'Assumptions'!$B$15)</x:f>
      </x:c>
      <x:c r="G34" s="104" t="str">
        <x:f>IF(G7="","",G7*'Assumptions'!$B$15)</x:f>
      </x:c>
      <x:c r="H34" s="1"/>
    </x:row>
    <x:row r="35">
      <x:c r="A35" s="1" t="str">
        <x:v>Accumulated depreciation</x:v>
      </x:c>
      <x:c r="B35" s="1"/>
      <x:c r="C35" s="103" t="str">
        <x:f>IF(C30="","",C30)</x:f>
      </x:c>
      <x:c r="D35" s="103" t="str">
        <x:f>IF(D30="","",C35+D30)</x:f>
      </x:c>
      <x:c r="E35" s="103" t="str">
        <x:f>IF(E30="","",D35+E30)</x:f>
      </x:c>
      <x:c r="F35" s="103" t="str">
        <x:f>IF(F30="","",E35+F30)</x:f>
      </x:c>
      <x:c r="G35" s="103" t="str">
        <x:f>IF(G30="","",F35+G30)</x:f>
      </x:c>
      <x:c r="H35" s="1"/>
    </x:row>
    <x:row r="36">
      <x:c r="A36" s="107" t="str">
        <x:v>Net fixed assets</x:v>
      </x:c>
      <x:c r="B36" s="107"/>
      <x:c r="C36" s="108" t="str">
        <x:f>IF(C34="","",C34-C35)</x:f>
      </x:c>
      <x:c r="D36" s="108" t="str">
        <x:f>IF(D34="","",D34-D35)</x:f>
      </x:c>
      <x:c r="E36" s="108" t="str">
        <x:f>IF(E34="","",E34-E35)</x:f>
      </x:c>
      <x:c r="F36" s="108" t="str">
        <x:f>IF(F34="","",F34-F35)</x:f>
      </x:c>
      <x:c r="G36" s="108" t="str">
        <x:f>IF(G34="","",G34-G35)</x:f>
      </x:c>
      <x:c r="H36" s="1"/>
    </x:row>
    <x:row r="37">
      <x:c r="A37" s="1" t="str">
        <x:v>Founder idea / illustrative intangible</x:v>
      </x:c>
      <x:c r="B37" s="1"/>
      <x:c r="C37" s="104" t="str">
        <x:f>IF(C34="","",'Assumptions'!$B$12)</x:f>
      </x:c>
      <x:c r="D37" s="104" t="str">
        <x:f>IF(D34="","",'Assumptions'!$B$12)</x:f>
      </x:c>
      <x:c r="E37" s="104" t="str">
        <x:f>IF(E34="","",'Assumptions'!$B$12)</x:f>
      </x:c>
      <x:c r="F37" s="104" t="str">
        <x:f>IF(F34="","",'Assumptions'!$B$12)</x:f>
      </x:c>
      <x:c r="G37" s="104" t="str">
        <x:f>IF(G34="","",'Assumptions'!$B$12)</x:f>
      </x:c>
      <x:c r="H37" s="1"/>
    </x:row>
    <x:row r="38">
      <x:c r="A38" s="107" t="str">
        <x:v>Total assets</x:v>
      </x:c>
      <x:c r="B38" s="107"/>
      <x:c r="C38" s="129" t="str">
        <x:f>IF(C33="","",C33+C36+C37)</x:f>
      </x:c>
      <x:c r="D38" s="129" t="str">
        <x:f>IF(D33="","",D33+D36+D37)</x:f>
      </x:c>
      <x:c r="E38" s="129" t="str">
        <x:f>IF(E33="","",E33+E36+E37)</x:f>
      </x:c>
      <x:c r="F38" s="129" t="str">
        <x:f>IF(F33="","",F33+F36+F37)</x:f>
      </x:c>
      <x:c r="G38" s="129" t="str">
        <x:f>IF(G33="","",G33+G36+G37)</x:f>
      </x:c>
      <x:c r="H38" s="1"/>
    </x:row>
    <x:row r="39">
      <x:c r="A39" s="1" t="str">
        <x:v>Debt</x:v>
      </x:c>
      <x:c r="B39" s="1"/>
      <x:c r="C39" s="104" t="str">
        <x:f>IF(C38="","",'Assumptions'!$B$10)</x:f>
      </x:c>
      <x:c r="D39" s="104" t="str">
        <x:f>IF(D38="","",'Assumptions'!$B$10)</x:f>
      </x:c>
      <x:c r="E39" s="104" t="str">
        <x:f>IF(E38="","",'Assumptions'!$B$10)</x:f>
      </x:c>
      <x:c r="F39" s="104" t="str">
        <x:f>IF(F38="","",'Assumptions'!$B$10)</x:f>
      </x:c>
      <x:c r="G39" s="104" t="str">
        <x:f>IF(G38="","",'Assumptions'!$B$10)</x:f>
      </x:c>
      <x:c r="H39" s="1"/>
    </x:row>
    <x:row r="40">
      <x:c r="A40" s="1" t="str">
        <x:v>Contributed capital</x:v>
      </x:c>
      <x:c r="B40" s="1"/>
      <x:c r="C40" s="104" t="str">
        <x:f>IF(C38="","",'Assumptions'!$B$12+'Assumptions'!$B$8*'Assumptions'!$B$9)</x:f>
      </x:c>
      <x:c r="D40" s="104" t="str">
        <x:f>IF(D38="","",'Assumptions'!$B$12+'Assumptions'!$B$8*'Assumptions'!$B$9)</x:f>
      </x:c>
      <x:c r="E40" s="104" t="str">
        <x:f>IF(E38="","",'Assumptions'!$B$12+'Assumptions'!$B$8*'Assumptions'!$B$9)</x:f>
      </x:c>
      <x:c r="F40" s="104" t="str">
        <x:f>IF(F38="","",'Assumptions'!$B$12+'Assumptions'!$B$8*'Assumptions'!$B$9)</x:f>
      </x:c>
      <x:c r="G40" s="104" t="str">
        <x:f>IF(G38="","",'Assumptions'!$B$12+'Assumptions'!$B$8*'Assumptions'!$B$9)</x:f>
      </x:c>
      <x:c r="H40" s="1"/>
    </x:row>
    <x:row r="41">
      <x:c r="A41" s="1" t="str">
        <x:v>Retained earnings</x:v>
      </x:c>
      <x:c r="B41" s="1"/>
      <x:c r="C41" s="103" t="str">
        <x:f>IF(C29="","",C29)</x:f>
      </x:c>
      <x:c r="D41" s="103" t="str">
        <x:f>IF(D29="","",C41+D29)</x:f>
      </x:c>
      <x:c r="E41" s="103" t="str">
        <x:f>IF(E29="","",D41+E29)</x:f>
      </x:c>
      <x:c r="F41" s="103" t="str">
        <x:f>IF(F29="","",E41+F29)</x:f>
      </x:c>
      <x:c r="G41" s="103" t="str">
        <x:f>IF(G29="","",F41+G29)</x:f>
      </x:c>
      <x:c r="H41" s="1"/>
    </x:row>
    <x:row r="42">
      <x:c r="A42" s="107" t="str">
        <x:v>Total equity</x:v>
      </x:c>
      <x:c r="B42" s="107"/>
      <x:c r="C42" s="108" t="str">
        <x:f>IF(C40="","",C40+C41)</x:f>
      </x:c>
      <x:c r="D42" s="108" t="str">
        <x:f>IF(D40="","",D40+D41)</x:f>
      </x:c>
      <x:c r="E42" s="108" t="str">
        <x:f>IF(E40="","",E40+E41)</x:f>
      </x:c>
      <x:c r="F42" s="108" t="str">
        <x:f>IF(F40="","",F40+F41)</x:f>
      </x:c>
      <x:c r="G42" s="108" t="str">
        <x:f>IF(G40="","",G40+G41)</x:f>
      </x:c>
      <x:c r="H42" s="1"/>
    </x:row>
    <x:row r="43">
      <x:c r="A43" s="107" t="str">
        <x:v>Total liabilities + equity</x:v>
      </x:c>
      <x:c r="B43" s="107"/>
      <x:c r="C43" s="108" t="str">
        <x:f>IF(C39="","",C39+C42)</x:f>
      </x:c>
      <x:c r="D43" s="108" t="str">
        <x:f>IF(D39="","",D39+D42)</x:f>
      </x:c>
      <x:c r="E43" s="108" t="str">
        <x:f>IF(E39="","",E39+E42)</x:f>
      </x:c>
      <x:c r="F43" s="108" t="str">
        <x:f>IF(F39="","",F39+F42)</x:f>
      </x:c>
      <x:c r="G43" s="108" t="str">
        <x:f>IF(G39="","",G39+G42)</x:f>
      </x:c>
      <x:c r="H43" s="1"/>
    </x:row>
    <x:row r="44">
      <x:c r="A44" s="1" t="str">
        <x:v>Balance check</x:v>
      </x:c>
      <x:c r="B44" s="1"/>
      <x:c r="C44" s="103" t="str">
        <x:f>IF(C38="","",C38-C43)</x:f>
      </x:c>
      <x:c r="D44" s="103" t="str">
        <x:f>IF(D38="","",D38-D43)</x:f>
      </x:c>
      <x:c r="E44" s="103" t="str">
        <x:f>IF(E38="","",E38-E43)</x:f>
      </x:c>
      <x:c r="F44" s="103" t="str">
        <x:f>IF(F38="","",F38-F43)</x:f>
      </x:c>
      <x:c r="G44" s="103" t="str">
        <x:f>IF(G38="","",G38-G43)</x:f>
      </x:c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 ht="28" customHeight="1">
      <x:c r="A46" s="1" t="str">
        <x:v>Expansion capex (cash outflow)</x:v>
      </x:c>
      <x:c r="B46" s="1"/>
      <x:c r="C46" s="167" t="str">
        <x:f>IF(C7="","",C8*'Assumptions'!$B$15)</x:f>
      </x:c>
      <x:c r="D46" s="167" t="str">
        <x:f>IF(D7="","",D8*'Assumptions'!$B$15)</x:f>
      </x:c>
      <x:c r="E46" s="167" t="str">
        <x:f>IF(E7="","",E8*'Assumptions'!$B$15)</x:f>
      </x:c>
      <x:c r="F46" s="167" t="str">
        <x:f>IF(F7="","",F8*'Assumptions'!$B$15)</x:f>
      </x:c>
      <x:c r="G46" s="167" t="str">
        <x:f>IF(G7="","",G8*'Assumptions'!$B$15)</x:f>
      </x:c>
      <x:c r="H46" s="1"/>
    </x:row>
    <x:row r="47">
      <x:c r="A47" s="65" t="str">
        <x:v>Cash rolls forward from operations less expansion capex (row 46). Year-1 stand purchase is on Day 2. Expansion is fixed, not cash-triggered. Inventory release is a simplified assumption; ongoing working capital is not forecast.</x:v>
      </x:c>
      <x:c r="B47" s="66"/>
      <x:c r="C47" s="66"/>
      <x:c r="D47" s="66"/>
      <x:c r="E47" s="66"/>
      <x:c r="F47" s="66"/>
      <x:c r="G47" s="66"/>
      <x:c r="H47" s="67"/>
    </x:row>
    <x:row r="48">
      <x:c r="A48" s="68"/>
      <x:c r="B48" s="69"/>
      <x:c r="C48" s="69"/>
      <x:c r="D48" s="69"/>
      <x:c r="E48" s="69"/>
      <x:c r="F48" s="69"/>
      <x:c r="G48" s="69"/>
      <x:c r="H48" s="70"/>
    </x:row>
    <x:row r="49">
      <x:c r="A49" s="68"/>
      <x:c r="B49" s="69"/>
      <x:c r="C49" s="69"/>
      <x:c r="D49" s="69"/>
      <x:c r="E49" s="69"/>
      <x:c r="F49" s="69"/>
      <x:c r="G49" s="69"/>
      <x:c r="H49" s="70"/>
    </x:row>
    <x:row r="50">
      <x:c r="A50" s="71"/>
      <x:c r="B50" s="72"/>
      <x:c r="C50" s="72"/>
      <x:c r="D50" s="72"/>
      <x:c r="E50" s="72"/>
      <x:c r="F50" s="72"/>
      <x:c r="G50" s="72"/>
      <x:c r="H50" s="73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</x:sheetData>
  <x:mergeCells>
    <x:mergeCell ref="A1:H1"/>
    <x:mergeCell ref="A2:H2"/>
    <x:mergeCell ref="A6:G6"/>
    <x:mergeCell ref="A27:G27"/>
    <x:mergeCell ref="A47:H50"/>
  </x:mergeCells>
  <x:conditionalFormatting sqref="C3:C3">
    <x:cfRule type="containsText" dxfId="24" priority="1" operator="containsText" text="PASS"/>
    <x:cfRule type="containsText" dxfId="25" priority="2" operator="containsText" text="FAIL"/>
    <x:cfRule type="containsText" dxfId="26" priority="3" operator="containsText" text="WAITING"/>
    <x:cfRule type="containsText" dxfId="27" priority="4" operator="containsText" text="READY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8" hidden="0" customWidth="1"/>
    <x:col min="4" max="4" width="3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5" t="str">
        <x:v>Year 5 - Balance Sheet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9" t="str">
        <x:v>Confirm that operating results, cash, fixed assets, debt, and retained earnings tie together.</x:v>
      </x:c>
      <x:c r="B2" s="9"/>
      <x:c r="C2" s="9"/>
      <x:c r="D2" s="9"/>
      <x:c r="E2" s="9"/>
      <x:c r="F2" s="9"/>
      <x:c r="G2" s="9"/>
      <x:c r="H2" s="9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7" t="str">
        <x:v>Year-5 position</x:v>
      </x:c>
      <x:c r="B5" s="17"/>
      <x:c r="C5" s="17"/>
      <x:c r="D5" s="17"/>
      <x:c r="E5" s="17"/>
      <x:c r="F5" s="17"/>
      <x:c r="G5" s="17"/>
      <x:c r="H5" s="17"/>
    </x:row>
    <x:row r="6">
      <x:c r="A6" s="38" t="str">
        <x:v>Assets</x:v>
      </x:c>
      <x:c r="B6" s="38" t="str">
        <x:v>Amount</x:v>
      </x:c>
      <x:c r="C6" s="38"/>
      <x:c r="D6" s="38" t="str">
        <x:v>Liabilities and equity</x:v>
      </x:c>
      <x:c r="E6" s="38" t="str">
        <x:v>Amount</x:v>
      </x:c>
      <x:c r="F6" s="1"/>
      <x:c r="G6" s="1"/>
      <x:c r="H6" s="1"/>
    </x:row>
    <x:row r="7">
      <x:c r="A7" s="1" t="str">
        <x:v>Cash</x:v>
      </x:c>
      <x:c r="B7" s="104" t="n">
        <x:f>'Five-Year Forecast'!G33</x:f>
        <x:v>0</x:v>
      </x:c>
      <x:c r="C7" s="1"/>
      <x:c r="D7" s="1" t="str">
        <x:v>Debt</x:v>
      </x:c>
      <x:c r="E7" s="104" t="n">
        <x:f>'Five-Year Forecast'!G39</x:f>
        <x:v>0</x:v>
      </x:c>
      <x:c r="F7" s="1"/>
      <x:c r="G7" s="1"/>
      <x:c r="H7" s="1"/>
    </x:row>
    <x:row r="8">
      <x:c r="A8" s="1" t="str">
        <x:v>Gross fixed assets</x:v>
      </x:c>
      <x:c r="B8" s="104" t="n">
        <x:f>'Five-Year Forecast'!G34</x:f>
        <x:v>0</x:v>
      </x:c>
      <x:c r="C8" s="1"/>
      <x:c r="D8" s="1" t="str">
        <x:v>Contributed capital</x:v>
      </x:c>
      <x:c r="E8" s="104" t="n">
        <x:f>'Five-Year Forecast'!G40</x:f>
        <x:v>0</x:v>
      </x:c>
      <x:c r="F8" s="1"/>
      <x:c r="G8" s="1"/>
      <x:c r="H8" s="1"/>
    </x:row>
    <x:row r="9">
      <x:c r="A9" s="1" t="str">
        <x:v>Accumulated depreciation</x:v>
      </x:c>
      <x:c r="B9" s="104" t="n">
        <x:f>-'Five-Year Forecast'!G35</x:f>
        <x:v>0</x:v>
      </x:c>
      <x:c r="C9" s="1"/>
      <x:c r="D9" s="1" t="str">
        <x:v>Retained earnings</x:v>
      </x:c>
      <x:c r="E9" s="104" t="n">
        <x:f>'Five-Year Forecast'!G41</x:f>
        <x:v>0</x:v>
      </x:c>
      <x:c r="F9" s="1"/>
      <x:c r="G9" s="1"/>
      <x:c r="H9" s="1"/>
    </x:row>
    <x:row r="10">
      <x:c r="A10" s="1" t="str">
        <x:v>Net fixed assets</x:v>
      </x:c>
      <x:c r="B10" s="104" t="n">
        <x:f>'Five-Year Forecast'!G36</x:f>
        <x:v>0</x:v>
      </x:c>
      <x:c r="C10" s="1"/>
      <x:c r="D10" s="107" t="str">
        <x:v>Total equity</x:v>
      </x:c>
      <x:c r="E10" s="129" t="n">
        <x:f>'Five-Year Forecast'!G42</x:f>
        <x:v>0</x:v>
      </x:c>
      <x:c r="F10" s="1"/>
      <x:c r="G10" s="1"/>
      <x:c r="H10" s="1"/>
    </x:row>
    <x:row r="11">
      <x:c r="A11" s="1" t="str">
        <x:v>Founder idea / illustrative intangible</x:v>
      </x:c>
      <x:c r="B11" s="104" t="n">
        <x:f>'Five-Year Forecast'!G37</x:f>
        <x:v>0</x:v>
      </x:c>
      <x:c r="C11" s="1"/>
      <x:c r="D11" s="107" t="str">
        <x:v>Total liabilities + equity</x:v>
      </x:c>
      <x:c r="E11" s="129" t="n">
        <x:f>'Five-Year Forecast'!G43</x:f>
        <x:v>0</x:v>
      </x:c>
      <x:c r="F11" s="1"/>
      <x:c r="G11" s="1"/>
      <x:c r="H11" s="1"/>
    </x:row>
    <x:row r="12">
      <x:c r="A12" s="107" t="str">
        <x:v>Total assets</x:v>
      </x:c>
      <x:c r="B12" s="108" t="n">
        <x:f>SUM(B7,B10:B11)</x:f>
        <x:v>0</x:v>
      </x:c>
      <x:c r="C12" s="1"/>
      <x:c r="D12" s="1"/>
      <x:c r="E12" s="1"/>
      <x:c r="F12" s="1"/>
      <x:c r="G12" s="1"/>
      <x:c r="H12" s="1"/>
    </x:row>
    <x:row r="13">
      <x:c r="A13" s="1" t="str">
        <x:v>Balance check</x:v>
      </x:c>
      <x:c r="B13" s="103" t="n">
        <x:f>B12-E11</x:f>
        <x:v>0</x:v>
      </x:c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30" t="str">
        <x:v>Analyst check: cash is not a balancing plug. It comes from the cash-flow roll-forward. Equity is not a plug either; contributed capital plus cumulative net income produces retained earnings and total equity.</x:v>
      </x:c>
      <x:c r="B16" s="31"/>
      <x:c r="C16" s="31"/>
      <x:c r="D16" s="31"/>
      <x:c r="E16" s="31"/>
      <x:c r="F16" s="31"/>
      <x:c r="G16" s="31"/>
      <x:c r="H16" s="32"/>
    </x:row>
    <x:row r="17">
      <x:c r="A17" s="121"/>
      <x:c r="B17" s="122"/>
      <x:c r="C17" s="122"/>
      <x:c r="D17" s="122"/>
      <x:c r="E17" s="122"/>
      <x:c r="F17" s="122"/>
      <x:c r="G17" s="122"/>
      <x:c r="H17" s="123"/>
    </x:row>
    <x:row r="18">
      <x:c r="A18" s="121"/>
      <x:c r="B18" s="122"/>
      <x:c r="C18" s="122"/>
      <x:c r="D18" s="122"/>
      <x:c r="E18" s="122"/>
      <x:c r="F18" s="122"/>
      <x:c r="G18" s="122"/>
      <x:c r="H18" s="123"/>
    </x:row>
    <x:row r="19">
      <x:c r="A19" s="33"/>
      <x:c r="B19" s="34"/>
      <x:c r="C19" s="34"/>
      <x:c r="D19" s="34"/>
      <x:c r="E19" s="34"/>
      <x:c r="F19" s="34"/>
      <x:c r="G19" s="34"/>
      <x:c r="H19" s="35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</x:sheetData>
  <x:mergeCells>
    <x:mergeCell ref="A1:H1"/>
    <x:mergeCell ref="A2:H2"/>
    <x:mergeCell ref="A5:H5"/>
    <x:mergeCell ref="A16:H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31" hidden="0" customWidth="1"/>
    <x:col min="7" max="7" width="22" hidden="0" customWidth="1"/>
    <x:col min="8" max="8" width="22" hidden="0" customWidth="1"/>
  </x:cols>
  <x:sheetData>
    <x:row r="1" ht="32" customHeight="1">
      <x:c r="A1" s="5" t="str">
        <x:v>Evaluation &amp; Valuation</x:v>
      </x:c>
      <x:c r="B1" s="5"/>
      <x:c r="C1" s="5"/>
      <x:c r="D1" s="5"/>
      <x:c r="E1" s="5"/>
      <x:c r="F1" s="5"/>
      <x:c r="G1" s="5"/>
      <x:c r="H1" s="5"/>
    </x:row>
    <x:row r="2" ht="28" customHeight="1">
      <x:c r="A2" s="9" t="str">
        <x:v>Stage A: prompts 1, 3, 4. Stage B sensitivity: prompt 2. Later valuation: prompt 5 after instruction.</x:v>
      </x:c>
      <x:c r="B2" s="9"/>
      <x:c r="C2" s="9"/>
      <x:c r="D2" s="9"/>
      <x:c r="E2" s="9"/>
      <x:c r="F2" s="9"/>
      <x:c r="G2" s="9"/>
      <x:c r="H2" s="9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22" customHeight="1">
      <x:c r="A5" s="17" t="str">
        <x:v>Year-5 performance and value</x:v>
      </x:c>
      <x:c r="B5" s="17"/>
      <x:c r="C5" s="17"/>
      <x:c r="D5" s="17"/>
      <x:c r="E5" s="1"/>
      <x:c r="F5" s="17" t="str">
        <x:v>200-share transaction: two different economic events</x:v>
      </x:c>
      <x:c r="G5" s="17"/>
      <x:c r="H5" s="17"/>
    </x:row>
    <x:row r="6">
      <x:c r="A6" s="38" t="str">
        <x:v>Metric</x:v>
      </x:c>
      <x:c r="B6" s="38" t="str">
        <x:v>Result</x:v>
      </x:c>
      <x:c r="C6" s="38" t="str">
        <x:v>Definition</x:v>
      </x:c>
      <x:c r="D6" s="38" t="str">
        <x:v>Interpretation</x:v>
      </x:c>
      <x:c r="E6" s="1"/>
      <x:c r="F6" s="38" t="str">
        <x:v>Metric</x:v>
      </x:c>
      <x:c r="G6" s="38" t="str">
        <x:v>New company issuance</x:v>
      </x:c>
      <x:c r="H6" s="38" t="str">
        <x:v>Founder secondary sale</x:v>
      </x:c>
    </x:row>
    <x:row r="7" ht="28" customHeight="1">
      <x:c r="A7" s="1" t="str">
        <x:v>Revenue</x:v>
      </x:c>
      <x:c r="B7" s="104" t="n">
        <x:f>'Five-Year Forecast'!G12</x:f>
        <x:v>0</x:v>
      </x:c>
      <x:c r="C7" s="39" t="str">
        <x:v>Year-5 sales</x:v>
      </x:c>
      <x:c r="D7" s="39" t="str">
        <x:v>Scale</x:v>
      </x:c>
      <x:c r="E7" s="1"/>
      <x:c r="F7" s="39" t="str">
        <x:v>Company shares after transaction</x:v>
      </x:c>
      <x:c r="G7" s="136" t="str">
        <x:f>IF('Assumptions'!B3&lt;&gt;"READY","",('Assumptions'!B7+'Assumptions'!B8)+'Assumptions'!B26)</x:f>
      </x:c>
      <x:c r="H7" s="136" t="str">
        <x:f>IF('Assumptions'!B3&lt;&gt;"READY","",'Assumptions'!B7+'Assumptions'!B8)</x:f>
      </x:c>
    </x:row>
    <x:row r="8" ht="28" customHeight="1">
      <x:c r="A8" s="107" t="str">
        <x:v>EBIT</x:v>
      </x:c>
      <x:c r="B8" s="129" t="n">
        <x:f>'Five-Year Forecast'!G17</x:f>
        <x:v>0</x:v>
      </x:c>
      <x:c r="C8" s="39" t="str">
        <x:v>Operating profit after depreciation</x:v>
      </x:c>
      <x:c r="D8" s="39" t="str">
        <x:v>Operating performance</x:v>
      </x:c>
      <x:c r="E8" s="1"/>
      <x:c r="F8" s="39" t="str">
        <x:v>Cash received by company</x:v>
      </x:c>
      <x:c r="G8" s="137" t="str">
        <x:f>IF('Assumptions'!B3&lt;&gt;"READY","",'Assumptions'!B26*$B$17)</x:f>
      </x:c>
      <x:c r="H8" s="137" t="str">
        <x:f>IF('Assumptions'!B3&lt;&gt;"READY","",0)</x:f>
      </x:c>
    </x:row>
    <x:row r="9" ht="28" customHeight="1">
      <x:c r="A9" s="1" t="str">
        <x:v>EBT</x:v>
      </x:c>
      <x:c r="B9" s="104" t="n">
        <x:f>'Five-Year Forecast'!G20</x:f>
        <x:v>0</x:v>
      </x:c>
      <x:c r="C9" s="39" t="str">
        <x:v>EBIT - interest</x:v>
      </x:c>
      <x:c r="D9" s="39" t="str">
        <x:v>After financing cost</x:v>
      </x:c>
      <x:c r="E9" s="1"/>
      <x:c r="F9" s="39" t="str">
        <x:v>Founder shares after transaction</x:v>
      </x:c>
      <x:c r="G9" s="136" t="str">
        <x:f>IF('Assumptions'!B3&lt;&gt;"READY","",'Assumptions'!B7)</x:f>
      </x:c>
      <x:c r="H9" s="136" t="str">
        <x:f>IF('Assumptions'!B3&lt;&gt;"READY","",'Assumptions'!B7-'Assumptions'!B26)</x:f>
      </x:c>
    </x:row>
    <x:row r="10" ht="28" customHeight="1">
      <x:c r="A10" s="107" t="str">
        <x:v>Net income</x:v>
      </x:c>
      <x:c r="B10" s="129" t="n">
        <x:f>'Five-Year Forecast'!G22</x:f>
        <x:v>0</x:v>
      </x:c>
      <x:c r="C10" s="39" t="str">
        <x:v>EBT - taxes</x:v>
      </x:c>
      <x:c r="D10" s="39" t="str">
        <x:v>Earnings to common equity</x:v>
      </x:c>
      <x:c r="E10" s="1"/>
      <x:c r="F10" s="39" t="str">
        <x:v>Founder ownership after transaction</x:v>
      </x:c>
      <x:c r="G10" s="138" t="str">
        <x:f>IF(G7=0,"",G9/G7)</x:f>
      </x:c>
      <x:c r="H10" s="138" t="str">
        <x:f>IF(H7=0,"",H9/H7)</x:f>
      </x:c>
    </x:row>
    <x:row r="11" ht="28" customHeight="1">
      <x:c r="A11" s="1" t="str">
        <x:v>EPS</x:v>
      </x:c>
      <x:c r="B11" s="125" t="n">
        <x:f>'Five-Year Forecast'!G24</x:f>
        <x:v>0</x:v>
      </x:c>
      <x:c r="C11" s="39" t="str">
        <x:v>Net income / shares</x:v>
      </x:c>
      <x:c r="D11" s="39" t="str">
        <x:v>Per-share earnings</x:v>
      </x:c>
      <x:c r="E11" s="1"/>
      <x:c r="F11" s="39" t="str">
        <x:v>What changes?</x:v>
      </x:c>
      <x:c r="G11" s="39" t="str">
        <x:v>Company cash and share count</x:v>
      </x:c>
      <x:c r="H11" s="39" t="str">
        <x:v>Ownership changes; company cash does not</x:v>
      </x:c>
    </x:row>
    <x:row r="12" ht="28" customHeight="1">
      <x:c r="A12" s="1" t="str">
        <x:v>Operating margin</x:v>
      </x:c>
      <x:c r="B12" s="131" t="n">
        <x:f>'Five-Year Forecast'!G18</x:f>
        <x:v>0</x:v>
      </x:c>
      <x:c r="C12" s="39" t="str">
        <x:v>EBIT / revenue</x:v>
      </x:c>
      <x:c r="D12" s="39" t="str">
        <x:v>Operating efficiency</x:v>
      </x:c>
      <x:c r="E12" s="1"/>
      <x:c r="F12" s="1"/>
      <x:c r="G12" s="1"/>
      <x:c r="H12" s="1"/>
    </x:row>
    <x:row r="13" ht="28" customHeight="1">
      <x:c r="A13" s="1" t="str">
        <x:v>Net margin</x:v>
      </x:c>
      <x:c r="B13" s="131" t="n">
        <x:f>'Five-Year Forecast'!G23</x:f>
        <x:v>0</x:v>
      </x:c>
      <x:c r="C13" s="39" t="str">
        <x:v>Net income / revenue</x:v>
      </x:c>
      <x:c r="D13" s="39" t="str">
        <x:v>Bottom-line efficiency</x:v>
      </x:c>
      <x:c r="E13" s="1"/>
      <x:c r="F13" s="65" t="str">
        <x:v>Accuracy correction: issuing 200 new shares reduces founder ownership from 66.7% to 58.8% and raises cash for the company. A founder sale reduces the founder to 53.3%, but the cash goes to the founder, not the company.</x:v>
      </x:c>
      <x:c r="G13" s="66"/>
      <x:c r="H13" s="67"/>
    </x:row>
    <x:row r="14" ht="28" customHeight="1">
      <x:c r="A14" s="1" t="str">
        <x:v>Gross stand cost</x:v>
      </x:c>
      <x:c r="B14" s="104" t="n">
        <x:f>'Five-Year Forecast'!G34</x:f>
        <x:v>0</x:v>
      </x:c>
      <x:c r="C14" s="39" t="str">
        <x:v>Active stands x stand cost</x:v>
      </x:c>
      <x:c r="D14" s="39" t="str">
        <x:v>Cumulative purchase cost</x:v>
      </x:c>
      <x:c r="E14" s="1"/>
      <x:c r="F14" s="68"/>
      <x:c r="G14" s="69"/>
      <x:c r="H14" s="70"/>
    </x:row>
    <x:row r="15" ht="28" customHeight="1">
      <x:c r="A15" s="1" t="str">
        <x:v>Video-style return on gross stand cost</x:v>
      </x:c>
      <x:c r="B15" s="110" t="str">
        <x:f>IF(B14=0,"",B8/B14)</x:f>
      </x:c>
      <x:c r="C15" s="39" t="str">
        <x:v>EBIT / gross stand cost</x:v>
      </x:c>
      <x:c r="D15" s="39" t="str">
        <x:v>Simplified teaching metric, not full ROIC</x:v>
      </x:c>
      <x:c r="E15" s="1"/>
      <x:c r="F15" s="68"/>
      <x:c r="G15" s="69"/>
      <x:c r="H15" s="70"/>
    </x:row>
    <x:row r="16" ht="28" customHeight="1">
      <x:c r="A16" s="1" t="str">
        <x:v>P/E multiple</x:v>
      </x:c>
      <x:c r="B16" s="132" t="n">
        <x:f>'Assumptions'!B25</x:f>
        <x:v>0</x:v>
      </x:c>
      <x:c r="C16" s="39" t="str">
        <x:v>Assumption</x:v>
      </x:c>
      <x:c r="D16" s="39" t="str">
        <x:v>Valuation multiple</x:v>
      </x:c>
      <x:c r="E16" s="1"/>
      <x:c r="F16" s="68"/>
      <x:c r="G16" s="69"/>
      <x:c r="H16" s="70"/>
    </x:row>
    <x:row r="17" ht="28" customHeight="1">
      <x:c r="A17" s="1" t="str">
        <x:v>Implied share price</x:v>
      </x:c>
      <x:c r="B17" s="124" t="str">
        <x:f>IF(B11="","",B11*B16)</x:f>
      </x:c>
      <x:c r="C17" s="39" t="str">
        <x:v>EPS x P/E</x:v>
      </x:c>
      <x:c r="D17" s="39" t="str">
        <x:v>Illustrative price</x:v>
      </x:c>
      <x:c r="E17" s="1"/>
      <x:c r="F17" s="71"/>
      <x:c r="G17" s="72"/>
      <x:c r="H17" s="73"/>
    </x:row>
    <x:row r="18" ht="28" customHeight="1">
      <x:c r="A18" s="107" t="str">
        <x:v>Total equity value</x:v>
      </x:c>
      <x:c r="B18" s="129" t="str">
        <x:f>IF(B17="","",B17*('Assumptions'!B7+'Assumptions'!B8))</x:f>
      </x:c>
      <x:c r="C18" s="39" t="str">
        <x:v>Share price x current shares</x:v>
      </x:c>
      <x:c r="D18" s="39" t="str">
        <x:v>Illustrative market capitalization</x:v>
      </x:c>
      <x:c r="E18" s="1"/>
      <x:c r="F18" s="1"/>
      <x:c r="G18" s="1"/>
      <x:c r="H18" s="1"/>
    </x:row>
    <x:row r="19" ht="28" customHeight="1">
      <x:c r="A19" s="1" t="str">
        <x:v>Earnings yield</x:v>
      </x:c>
      <x:c r="B19" s="110" t="str">
        <x:f>IF(B17=0,"",B11/B17)</x:f>
      </x:c>
      <x:c r="C19" s="39" t="str">
        <x:v>EPS / share price</x:v>
      </x:c>
      <x:c r="D19" s="39" t="str">
        <x:v>Inverse of P/E</x:v>
      </x:c>
      <x:c r="E19" s="1"/>
      <x:c r="F19" s="1"/>
      <x:c r="G19" s="1"/>
      <x:c r="H19" s="1"/>
    </x:row>
    <x:row r="20" ht="28" customHeight="1">
      <x:c r="A20" s="1" t="str">
        <x:v>Founder earnings attributable</x:v>
      </x:c>
      <x:c r="B20" s="104" t="str">
        <x:f>IF(B11="","",'Assumptions'!B7*B11)</x:f>
      </x:c>
      <x:c r="C20" s="39" t="str">
        <x:v>Founder shares x EPS</x:v>
      </x:c>
      <x:c r="D20" s="39" t="str">
        <x:v>Earnings attribution, not cash received</x:v>
      </x:c>
      <x:c r="E20" s="1"/>
      <x:c r="F20" s="1"/>
      <x:c r="G20" s="1"/>
      <x:c r="H20" s="1"/>
    </x:row>
    <x:row r="21" ht="28" customHeight="1">
      <x:c r="A21" s="1" t="str">
        <x:v>Investor earnings attributable</x:v>
      </x:c>
      <x:c r="B21" s="104" t="str">
        <x:f>IF(B11="","",'Assumptions'!B8*B11)</x:f>
      </x:c>
      <x:c r="C21" s="39" t="str">
        <x:v>Investor shares x EPS</x:v>
      </x:c>
      <x:c r="D21" s="39" t="str">
        <x:v>Earnings attribution, not cash received</x:v>
      </x:c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 ht="46" customHeight="1">
      <x:c r="A24" s="168" t="str">
        <x:v>Sensitivity: lower unit growth; fixed stand expansion (not a funding-feasibility test)</x:v>
      </x:c>
      <x:c r="B24" s="17"/>
      <x:c r="C24" s="17"/>
      <x:c r="D24" s="17"/>
      <x:c r="E24" s="1"/>
      <x:c r="F24" s="1"/>
      <x:c r="G24" s="1"/>
      <x:c r="H24" s="1"/>
    </x:row>
    <x:row r="25">
      <x:c r="A25" s="38" t="str">
        <x:v>Metric</x:v>
      </x:c>
      <x:c r="B25" s="38" t="str">
        <x:v>Base case</x:v>
      </x:c>
      <x:c r="C25" s="38" t="str">
        <x:v>Downside case</x:v>
      </x:c>
      <x:c r="D25" s="38" t="str">
        <x:v>Change</x:v>
      </x:c>
      <x:c r="E25" s="1"/>
      <x:c r="F25" s="1"/>
      <x:c r="G25" s="1"/>
      <x:c r="H25" s="1"/>
    </x:row>
    <x:row r="26">
      <x:c r="A26" s="1" t="str">
        <x:v>Annual unit-volume growth</x:v>
      </x:c>
      <x:c r="B26" s="131" t="str">
        <x:f>IF('Assumptions'!B3&lt;&gt;"READY","",'Assumptions'!B22)</x:f>
      </x:c>
      <x:c r="C26" s="131" t="str">
        <x:f>IF(OR('Assumptions'!B3&lt;&gt;"READY",NOT(ISNUMBER('Assumptions'!B33))),"",'Assumptions'!B33)</x:f>
      </x:c>
      <x:c r="D26" s="110" t="str">
        <x:f>IF(COUNT(B26:C26)&lt;2,"",C26-B26)</x:f>
      </x:c>
      <x:c r="E26" s="1"/>
      <x:c r="F26" s="1"/>
      <x:c r="G26" s="1"/>
      <x:c r="H26" s="1"/>
    </x:row>
    <x:row r="27">
      <x:c r="A27" s="1" t="str">
        <x:v>Year-5 revenue</x:v>
      </x:c>
      <x:c r="B27" s="103" t="str">
        <x:f>IF($B$7="","",$B$7)</x:f>
      </x:c>
      <x:c r="C27" s="104" t="str">
        <x:f>IF(OR('Assumptions'!B3&lt;&gt;"READY",NOT(ISNUMBER('Assumptions'!B33))),"",'Assumptions'!F29*('Assumptions'!B17*(1+'Assumptions'!B33)^4)*('Assumptions'!B18+'Assumptions'!B23*4))</x:f>
      </x:c>
      <x:c r="D27" s="103" t="str">
        <x:f>IF(COUNT(B27:C27)&lt;2,"",C27-B27)</x:f>
      </x:c>
      <x:c r="E27" s="1"/>
      <x:c r="F27" s="1"/>
      <x:c r="G27" s="1"/>
      <x:c r="H27" s="1"/>
    </x:row>
    <x:row r="28">
      <x:c r="A28" s="1" t="str">
        <x:v>Year-5 EBIT</x:v>
      </x:c>
      <x:c r="B28" s="103" t="str">
        <x:f>IF($B$8="","",$B$8)</x:f>
      </x:c>
      <x:c r="C28" s="104" t="str">
        <x:f>IF(OR('Assumptions'!B3&lt;&gt;"READY",NOT(ISNUMBER('Assumptions'!B33))),"",C27-('Assumptions'!F29*('Assumptions'!B17*(1+'Assumptions'!B33)^4)*'Assumptions'!B20)-('Assumptions'!F29*'Assumptions'!B19)-('Assumptions'!F29*('Assumptions'!B15/'Assumptions'!B21)))</x:f>
      </x:c>
      <x:c r="D28" s="103" t="str">
        <x:f>IF(COUNT(B28:C28)&lt;2,"",C28-B28)</x:f>
      </x:c>
      <x:c r="E28" s="1"/>
      <x:c r="F28" s="1"/>
      <x:c r="G28" s="1"/>
      <x:c r="H28" s="1"/>
    </x:row>
    <x:row r="29">
      <x:c r="A29" s="1" t="str">
        <x:v>Year-5 net income</x:v>
      </x:c>
      <x:c r="B29" s="103" t="str">
        <x:f>IF($B$10="","",$B$10)</x:f>
      </x:c>
      <x:c r="C29" s="104" t="str">
        <x:f>IF(OR('Assumptions'!B3&lt;&gt;"READY",NOT(ISNUMBER('Assumptions'!B33))),"",(C28-'Assumptions'!B10*'Assumptions'!B11)-MAX(C28-'Assumptions'!B10*'Assumptions'!B11,0)*'Assumptions'!B24)</x:f>
      </x:c>
      <x:c r="D29" s="103" t="str">
        <x:f>IF(COUNT(B29:C29)&lt;2,"",C29-B29)</x:f>
      </x:c>
      <x:c r="E29" s="1"/>
      <x:c r="F29" s="1"/>
      <x:c r="G29" s="1"/>
      <x:c r="H29" s="1"/>
    </x:row>
    <x:row r="30">
      <x:c r="A30" s="1" t="str">
        <x:v>Implied equity value</x:v>
      </x:c>
      <x:c r="B30" s="103" t="str">
        <x:f>IF($B$18="","",$B$18)</x:f>
      </x:c>
      <x:c r="C30" s="104" t="str">
        <x:f>IF(OR('Assumptions'!B3&lt;&gt;"READY",NOT(ISNUMBER('Assumptions'!B33))),"",(C29/('Assumptions'!B7+'Assumptions'!B8))*'Assumptions'!B25*('Assumptions'!B7+'Assumptions'!B8))</x:f>
      </x:c>
      <x:c r="D30" s="103" t="str">
        <x:f>IF(COUNT(B30:C30)&lt;2,"",C30-B30)</x:f>
      </x:c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 ht="22" customHeight="1">
      <x:c r="A33" s="17" t="str">
        <x:v>Interpretation prompts — complete the assigned stage</x:v>
      </x:c>
      <x:c r="B33" s="17"/>
      <x:c r="C33" s="17"/>
      <x:c r="D33" s="17"/>
      <x:c r="E33" s="17"/>
      <x:c r="F33" s="17"/>
      <x:c r="G33" s="17"/>
      <x:c r="H33" s="17"/>
    </x:row>
    <x:row r="34">
      <x:c r="A34" s="139" t="str">
        <x:v>1. Why can operating cash flow be positive when Year-1 net income is negative?</x:v>
      </x:c>
      <x:c r="B34" s="139"/>
      <x:c r="C34" s="139"/>
      <x:c r="D34" s="139"/>
      <x:c r="E34" s="139"/>
      <x:c r="F34" s="139"/>
      <x:c r="G34" s="139"/>
      <x:c r="H34" s="139"/>
    </x:row>
    <x:row r="35">
      <x:c r="A35" s="157"/>
      <x:c r="B35" s="158"/>
      <x:c r="C35" s="158"/>
      <x:c r="D35" s="158"/>
      <x:c r="E35" s="158"/>
      <x:c r="F35" s="158"/>
      <x:c r="G35" s="158"/>
      <x:c r="H35" s="159"/>
    </x:row>
    <x:row r="36">
      <x:c r="A36" s="160"/>
      <x:c r="B36" s="161"/>
      <x:c r="C36" s="161"/>
      <x:c r="D36" s="161"/>
      <x:c r="E36" s="161"/>
      <x:c r="F36" s="161"/>
      <x:c r="G36" s="161"/>
      <x:c r="H36" s="162"/>
    </x:row>
    <x:row r="37">
      <x:c r="A37" s="163"/>
      <x:c r="B37" s="164"/>
      <x:c r="C37" s="164"/>
      <x:c r="D37" s="164"/>
      <x:c r="E37" s="164"/>
      <x:c r="F37" s="164"/>
      <x:c r="G37" s="164"/>
      <x:c r="H37" s="165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 ht="52" customHeight="1">
      <x:c r="A39" s="139" t="str">
        <x:v>2. With the stand schedule fixed, how does lower unit-volume growth change Year-5 EBIT? Explain the cost behavior; do not claim this ranks every growth driver.</x:v>
      </x:c>
      <x:c r="B39" s="139"/>
      <x:c r="C39" s="139"/>
      <x:c r="D39" s="139"/>
      <x:c r="E39" s="139"/>
      <x:c r="F39" s="139"/>
      <x:c r="G39" s="139"/>
      <x:c r="H39" s="139"/>
    </x:row>
    <x:row r="40">
      <x:c r="A40" s="157"/>
      <x:c r="B40" s="158"/>
      <x:c r="C40" s="158"/>
      <x:c r="D40" s="158"/>
      <x:c r="E40" s="158"/>
      <x:c r="F40" s="158"/>
      <x:c r="G40" s="158"/>
      <x:c r="H40" s="159"/>
    </x:row>
    <x:row r="41">
      <x:c r="A41" s="160"/>
      <x:c r="B41" s="161"/>
      <x:c r="C41" s="161"/>
      <x:c r="D41" s="161"/>
      <x:c r="E41" s="161"/>
      <x:c r="F41" s="161"/>
      <x:c r="G41" s="161"/>
      <x:c r="H41" s="162"/>
    </x:row>
    <x:row r="42">
      <x:c r="A42" s="163"/>
      <x:c r="B42" s="164"/>
      <x:c r="C42" s="164"/>
      <x:c r="D42" s="164"/>
      <x:c r="E42" s="164"/>
      <x:c r="F42" s="164"/>
      <x:c r="G42" s="164"/>
      <x:c r="H42" s="165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39" t="str">
        <x:v>3. What judgment is embedded in the Year-1 tax benefit?</x:v>
      </x:c>
      <x:c r="B44" s="139"/>
      <x:c r="C44" s="139"/>
      <x:c r="D44" s="139"/>
      <x:c r="E44" s="139"/>
      <x:c r="F44" s="139"/>
      <x:c r="G44" s="139"/>
      <x:c r="H44" s="139"/>
    </x:row>
    <x:row r="45">
      <x:c r="A45" s="157"/>
      <x:c r="B45" s="158"/>
      <x:c r="C45" s="158"/>
      <x:c r="D45" s="158"/>
      <x:c r="E45" s="158"/>
      <x:c r="F45" s="158"/>
      <x:c r="G45" s="158"/>
      <x:c r="H45" s="159"/>
    </x:row>
    <x:row r="46">
      <x:c r="A46" s="160"/>
      <x:c r="B46" s="161"/>
      <x:c r="C46" s="161"/>
      <x:c r="D46" s="161"/>
      <x:c r="E46" s="161"/>
      <x:c r="F46" s="161"/>
      <x:c r="G46" s="161"/>
      <x:c r="H46" s="162"/>
    </x:row>
    <x:row r="47">
      <x:c r="A47" s="163"/>
      <x:c r="B47" s="164"/>
      <x:c r="C47" s="164"/>
      <x:c r="D47" s="164"/>
      <x:c r="E47" s="164"/>
      <x:c r="F47" s="164"/>
      <x:c r="G47" s="164"/>
      <x:c r="H47" s="165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39" t="str">
        <x:v>4. How does debt change both the expected equity result and the risk borne by shareholders?</x:v>
      </x:c>
      <x:c r="B49" s="139"/>
      <x:c r="C49" s="139"/>
      <x:c r="D49" s="139"/>
      <x:c r="E49" s="139"/>
      <x:c r="F49" s="139"/>
      <x:c r="G49" s="139"/>
      <x:c r="H49" s="139"/>
    </x:row>
    <x:row r="50">
      <x:c r="A50" s="157"/>
      <x:c r="B50" s="158"/>
      <x:c r="C50" s="158"/>
      <x:c r="D50" s="158"/>
      <x:c r="E50" s="158"/>
      <x:c r="F50" s="158"/>
      <x:c r="G50" s="158"/>
      <x:c r="H50" s="159"/>
    </x:row>
    <x:row r="51">
      <x:c r="A51" s="160"/>
      <x:c r="B51" s="161"/>
      <x:c r="C51" s="161"/>
      <x:c r="D51" s="161"/>
      <x:c r="E51" s="161"/>
      <x:c r="F51" s="161"/>
      <x:c r="G51" s="161"/>
      <x:c r="H51" s="162"/>
    </x:row>
    <x:row r="52">
      <x:c r="A52" s="163"/>
      <x:c r="B52" s="164"/>
      <x:c r="C52" s="164"/>
      <x:c r="D52" s="164"/>
      <x:c r="E52" s="164"/>
      <x:c r="F52" s="164"/>
      <x:c r="G52" s="164"/>
      <x:c r="H52" s="165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39" t="str">
        <x:v>5. Compare a new company share issuance with a founder secondary sale. Who receives cash, and how does founder ownership change?</x:v>
      </x:c>
      <x:c r="B54" s="139"/>
      <x:c r="C54" s="139"/>
      <x:c r="D54" s="139"/>
      <x:c r="E54" s="139"/>
      <x:c r="F54" s="139"/>
      <x:c r="G54" s="139"/>
      <x:c r="H54" s="139"/>
    </x:row>
    <x:row r="55">
      <x:c r="A55" s="157"/>
      <x:c r="B55" s="158"/>
      <x:c r="C55" s="158"/>
      <x:c r="D55" s="158"/>
      <x:c r="E55" s="158"/>
      <x:c r="F55" s="158"/>
      <x:c r="G55" s="158"/>
      <x:c r="H55" s="159"/>
    </x:row>
    <x:row r="56">
      <x:c r="A56" s="160"/>
      <x:c r="B56" s="161"/>
      <x:c r="C56" s="161"/>
      <x:c r="D56" s="161"/>
      <x:c r="E56" s="161"/>
      <x:c r="F56" s="161"/>
      <x:c r="G56" s="161"/>
      <x:c r="H56" s="162"/>
    </x:row>
    <x:row r="57">
      <x:c r="A57" s="163"/>
      <x:c r="B57" s="164"/>
      <x:c r="C57" s="164"/>
      <x:c r="D57" s="164"/>
      <x:c r="E57" s="164"/>
      <x:c r="F57" s="164"/>
      <x:c r="G57" s="164"/>
      <x:c r="H57" s="165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</x:sheetData>
  <x:mergeCells>
    <x:mergeCell ref="A1:H1"/>
    <x:mergeCell ref="A2:H2"/>
    <x:mergeCell ref="A5:D5"/>
    <x:mergeCell ref="F5:H5"/>
    <x:mergeCell ref="F13:H17"/>
    <x:mergeCell ref="A24:D24"/>
    <x:mergeCell ref="A33:H33"/>
    <x:mergeCell ref="A34:H34"/>
    <x:mergeCell ref="A35:H37"/>
    <x:mergeCell ref="A39:H39"/>
    <x:mergeCell ref="A40:H42"/>
    <x:mergeCell ref="A44:H44"/>
    <x:mergeCell ref="A45:H47"/>
    <x:mergeCell ref="A49:H49"/>
    <x:mergeCell ref="A50:H52"/>
    <x:mergeCell ref="A54:H54"/>
    <x:mergeCell ref="A55:H5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  <x:col min="5" max="5" width="13" hidden="0" customWidth="1"/>
    <x:col min="6" max="6" width="16" hidden="0" customWidth="1"/>
    <x:col min="7" max="7" width="26" hidden="0" customWidth="1"/>
    <x:col min="8" max="8" width="31" hidden="0" customWidth="1"/>
  </x:cols>
  <x:sheetData>
    <x:row r="1" ht="32" customHeight="1">
      <x:c r="A1" s="5" t="str">
        <x:v>Model Checks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9" t="str">
        <x:v>Controls test internal consistency without revealing the activity's benchmark answers.</x:v>
      </x:c>
      <x:c r="B2" s="9"/>
      <x:c r="C2" s="9"/>
      <x:c r="D2" s="9"/>
      <x:c r="E2" s="9"/>
      <x:c r="F2" s="9"/>
      <x:c r="G2" s="9"/>
      <x:c r="H2" s="9"/>
    </x:row>
    <x:row r="3">
      <x:c r="A3" s="11" t="str">
        <x:v>MODEL STATUS</x:v>
      </x:c>
      <x:c r="B3" s="11" t="str">
        <x:f>IF('Assumptions'!B3&lt;&gt;"READY","WAITING",IF(COUNTIF(F7:F16,"FAIL")&gt;0,"FAIL","PASS"))</x:f>
        <x:v>WAITING</x:v>
      </x:c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38" t="str">
        <x:v>Check</x:v>
      </x:c>
      <x:c r="B6" s="38" t="str">
        <x:v>Actual</x:v>
      </x:c>
      <x:c r="C6" s="38" t="str">
        <x:v>Expected</x:v>
      </x:c>
      <x:c r="D6" s="38" t="str">
        <x:v>Difference</x:v>
      </x:c>
      <x:c r="E6" s="38" t="str">
        <x:v>Tolerance</x:v>
      </x:c>
      <x:c r="F6" s="38" t="str">
        <x:v>Status</x:v>
      </x:c>
      <x:c r="G6" s="38" t="str">
        <x:v>Where to fix</x:v>
      </x:c>
      <x:c r="H6" s="38" t="str">
        <x:v>Why it matters</x:v>
      </x:c>
    </x:row>
    <x:row r="7">
      <x:c r="A7" s="39" t="str">
        <x:v>Base inputs populated</x:v>
      </x:c>
      <x:c r="B7" s="166" t="n">
        <x:f>COUNT('Assumptions'!B7:B12)+COUNT('Assumptions'!B15:B26)+COUNT('Assumptions'!B29:F29)</x:f>
        <x:v>0</x:v>
      </x:c>
      <x:c r="C7" s="166" t="n">
        <x:v>23</x:v>
      </x:c>
      <x:c r="D7" s="166" t="str">
        <x:f>IF('Assumptions'!$B$3&lt;&gt;"READY","",B7-C7)</x:f>
      </x:c>
      <x:c r="E7" s="166" t="n">
        <x:v>0</x:v>
      </x:c>
      <x:c r="F7" s="39" t="str">
        <x:f>IF('Assumptions'!$B$3&lt;&gt;"READY","WAITING",IF(ABS(D7)&lt;=E7,"PASS","FAIL"))</x:f>
        <x:v>WAITING</x:v>
      </x:c>
      <x:c r="G7" s="39" t="str">
        <x:v>Assumptions</x:v>
      </x:c>
      <x:c r="H7" s="39" t="str">
        <x:v>All video inputs are present.</x:v>
      </x:c>
    </x:row>
    <x:row r="8">
      <x:c r="A8" s="39" t="str">
        <x:v>Day-1 balance sheet</x:v>
      </x:c>
      <x:c r="B8" s="134" t="n">
        <x:f>'Day 1 - Funding'!B17</x:f>
        <x:v>0</x:v>
      </x:c>
      <x:c r="C8" s="134" t="n">
        <x:v>0</x:v>
      </x:c>
      <x:c r="D8" s="134" t="str">
        <x:f>IF('Assumptions'!$B$3&lt;&gt;"READY","",B8-C8)</x:f>
      </x:c>
      <x:c r="E8" s="134" t="n">
        <x:v>0.01</x:v>
      </x:c>
      <x:c r="F8" s="39" t="str">
        <x:f>IF('Assumptions'!$B$3&lt;&gt;"READY","WAITING",IF(ABS(D8)&lt;=E8,"PASS","FAIL"))</x:f>
        <x:v>WAITING</x:v>
      </x:c>
      <x:c r="G8" s="39" t="str">
        <x:v>Day 1 - Funding</x:v>
      </x:c>
      <x:c r="H8" s="39" t="str">
        <x:v>Assets must equal liabilities plus equity.</x:v>
      </x:c>
    </x:row>
    <x:row r="9">
      <x:c r="A9" s="39" t="str">
        <x:v>Day-2 balance sheet</x:v>
      </x:c>
      <x:c r="B9" s="134" t="n">
        <x:f>'Day 2 - Investment'!B19</x:f>
        <x:v>0</x:v>
      </x:c>
      <x:c r="C9" s="134" t="n">
        <x:v>0</x:v>
      </x:c>
      <x:c r="D9" s="134" t="str">
        <x:f>IF('Assumptions'!$B$3&lt;&gt;"READY","",B9-C9)</x:f>
      </x:c>
      <x:c r="E9" s="134" t="n">
        <x:v>0.01</x:v>
      </x:c>
      <x:c r="F9" s="39" t="str">
        <x:f>IF('Assumptions'!$B$3&lt;&gt;"READY","WAITING",IF(ABS(D9)&lt;=E9,"PASS","FAIL"))</x:f>
        <x:v>WAITING</x:v>
      </x:c>
      <x:c r="G9" s="39" t="str">
        <x:v>Day 2 - Investment</x:v>
      </x:c>
      <x:c r="H9" s="39" t="str">
        <x:v>Asset transformation cannot break the equation.</x:v>
      </x:c>
    </x:row>
    <x:row r="10">
      <x:c r="A10" s="39" t="str">
        <x:v>Year-1 forecast balance</x:v>
      </x:c>
      <x:c r="B10" s="134" t="n">
        <x:f>'Five-Year Forecast'!C44</x:f>
        <x:v>0</x:v>
      </x:c>
      <x:c r="C10" s="134" t="n">
        <x:v>0</x:v>
      </x:c>
      <x:c r="D10" s="134" t="str">
        <x:f>IF('Assumptions'!$B$3&lt;&gt;"READY","",B10-C10)</x:f>
      </x:c>
      <x:c r="E10" s="134" t="n">
        <x:v>0.01</x:v>
      </x:c>
      <x:c r="F10" s="39" t="str">
        <x:f>IF('Assumptions'!$B$3&lt;&gt;"READY","WAITING",IF(ABS(D10)&lt;=E10,"PASS","FAIL"))</x:f>
        <x:v>WAITING</x:v>
      </x:c>
      <x:c r="G10" s="39" t="str">
        <x:v>Five-Year Forecast</x:v>
      </x:c>
      <x:c r="H10" s="39" t="str">
        <x:v>Statements must connect in Year 1.</x:v>
      </x:c>
    </x:row>
    <x:row r="11">
      <x:c r="A11" s="39" t="str">
        <x:v>Year-5 forecast balance</x:v>
      </x:c>
      <x:c r="B11" s="134" t="n">
        <x:f>'Five-Year Forecast'!G44</x:f>
        <x:v>0</x:v>
      </x:c>
      <x:c r="C11" s="134" t="n">
        <x:v>0</x:v>
      </x:c>
      <x:c r="D11" s="134" t="str">
        <x:f>IF('Assumptions'!$B$3&lt;&gt;"READY","",B11-C11)</x:f>
      </x:c>
      <x:c r="E11" s="134" t="n">
        <x:v>0.01</x:v>
      </x:c>
      <x:c r="F11" s="39" t="str">
        <x:f>IF('Assumptions'!$B$3&lt;&gt;"READY","WAITING",IF(ABS(D11)&lt;=E11,"PASS","FAIL"))</x:f>
        <x:v>WAITING</x:v>
      </x:c>
      <x:c r="G11" s="39" t="str">
        <x:v>Five-Year Forecast</x:v>
      </x:c>
      <x:c r="H11" s="39" t="str">
        <x:v>Statements must connect in Year 5.</x:v>
      </x:c>
    </x:row>
    <x:row r="12">
      <x:c r="A12" s="39" t="str">
        <x:v>Year-5 balance-sheet presentation</x:v>
      </x:c>
      <x:c r="B12" s="134" t="n">
        <x:f>'Year 5 - Balance Sheet'!B13</x:f>
        <x:v>0</x:v>
      </x:c>
      <x:c r="C12" s="134" t="n">
        <x:v>0</x:v>
      </x:c>
      <x:c r="D12" s="134" t="str">
        <x:f>IF('Assumptions'!$B$3&lt;&gt;"READY","",B12-C12)</x:f>
      </x:c>
      <x:c r="E12" s="134" t="n">
        <x:v>0.01</x:v>
      </x:c>
      <x:c r="F12" s="39" t="str">
        <x:f>IF('Assumptions'!$B$3&lt;&gt;"READY","WAITING",IF(ABS(D12)&lt;=E12,"PASS","FAIL"))</x:f>
        <x:v>WAITING</x:v>
      </x:c>
      <x:c r="G12" s="39" t="str">
        <x:v>Year 5 - Balance Sheet</x:v>
      </x:c>
      <x:c r="H12" s="39" t="str">
        <x:v>The presentation sheet must tie to the forecast.</x:v>
      </x:c>
    </x:row>
    <x:row r="13">
      <x:c r="A13" s="39" t="str">
        <x:v>Year-5 cash tie</x:v>
      </x:c>
      <x:c r="B13" s="134" t="n">
        <x:f>'Year 5 - Balance Sheet'!B7-'Five-Year Forecast'!G33</x:f>
        <x:v>0</x:v>
      </x:c>
      <x:c r="C13" s="134" t="n">
        <x:v>0</x:v>
      </x:c>
      <x:c r="D13" s="134" t="str">
        <x:f>IF('Assumptions'!$B$3&lt;&gt;"READY","",B13-C13)</x:f>
      </x:c>
      <x:c r="E13" s="134" t="n">
        <x:v>0.01</x:v>
      </x:c>
      <x:c r="F13" s="39" t="str">
        <x:f>IF('Assumptions'!$B$3&lt;&gt;"READY","WAITING",IF(ABS(D13)&lt;=E13,"PASS","FAIL"))</x:f>
        <x:v>WAITING</x:v>
      </x:c>
      <x:c r="G13" s="39" t="str">
        <x:v>Five-Year Forecast</x:v>
      </x:c>
      <x:c r="H13" s="39" t="str">
        <x:v>Cash cannot be a plug.</x:v>
      </x:c>
    </x:row>
    <x:row r="14">
      <x:c r="A14" s="39" t="str">
        <x:v>Gross PPE schedule tie</x:v>
      </x:c>
      <x:c r="B14" s="134" t="n">
        <x:f>'Five-Year Forecast'!G34-('Assumptions'!F29*'Assumptions'!B15)</x:f>
        <x:v>0</x:v>
      </x:c>
      <x:c r="C14" s="134" t="n">
        <x:v>0</x:v>
      </x:c>
      <x:c r="D14" s="134" t="str">
        <x:f>IF('Assumptions'!$B$3&lt;&gt;"READY","",B14-C14)</x:f>
      </x:c>
      <x:c r="E14" s="134" t="n">
        <x:v>0.01</x:v>
      </x:c>
      <x:c r="F14" s="39" t="str">
        <x:f>IF('Assumptions'!$B$3&lt;&gt;"READY","WAITING",IF(ABS(D14)&lt;=E14,"PASS","FAIL"))</x:f>
        <x:v>WAITING</x:v>
      </x:c>
      <x:c r="G14" s="39" t="str">
        <x:v>Five-Year Forecast</x:v>
      </x:c>
      <x:c r="H14" s="39" t="str">
        <x:v>Stand purchases must roll into fixed assets.</x:v>
      </x:c>
    </x:row>
    <x:row r="15">
      <x:c r="A15" s="39" t="str">
        <x:v>Initial ownership totals 100%</x:v>
      </x:c>
      <x:c r="B15" s="135" t="n">
        <x:f>'Day 1 - Funding'!C23</x:f>
        <x:v>0</x:v>
      </x:c>
      <x:c r="C15" s="135" t="n">
        <x:v>1</x:v>
      </x:c>
      <x:c r="D15" s="135" t="str">
        <x:f>IF('Assumptions'!$B$3&lt;&gt;"READY","",B15-C15)</x:f>
      </x:c>
      <x:c r="E15" s="135" t="n">
        <x:v>0.0001</x:v>
      </x:c>
      <x:c r="F15" s="39" t="str">
        <x:f>IF('Assumptions'!$B$3&lt;&gt;"READY","WAITING",IF(ABS(D15)&lt;=E15,"PASS","FAIL"))</x:f>
        <x:v>WAITING</x:v>
      </x:c>
      <x:c r="G15" s="39" t="str">
        <x:v>Day 1 - Funding</x:v>
      </x:c>
      <x:c r="H15" s="39" t="str">
        <x:v>Ownership percentages must reconcile.</x:v>
      </x:c>
    </x:row>
    <x:row r="16">
      <x:c r="A16" s="39" t="str">
        <x:v>Issued share count tie</x:v>
      </x:c>
      <x:c r="B16" s="166" t="n">
        <x:f>'Evaluation &amp; Valuation'!G7-(('Assumptions'!B7+'Assumptions'!B8)+'Assumptions'!B26)</x:f>
        <x:v>0</x:v>
      </x:c>
      <x:c r="C16" s="166" t="n">
        <x:v>0</x:v>
      </x:c>
      <x:c r="D16" s="166" t="str">
        <x:f>IF('Assumptions'!$B$3&lt;&gt;"READY","",B16-C16)</x:f>
      </x:c>
      <x:c r="E16" s="166" t="n">
        <x:v>0.01</x:v>
      </x:c>
      <x:c r="F16" s="39" t="str">
        <x:f>IF('Assumptions'!$B$3&lt;&gt;"READY","WAITING",IF(ABS(D16)&lt;=E16,"PASS","FAIL"))</x:f>
        <x:v>WAITING</x:v>
      </x:c>
      <x:c r="G16" s="39" t="str">
        <x:v>Evaluation &amp; Valuation</x:v>
      </x:c>
      <x:c r="H16" s="39" t="str">
        <x:v>New issuance must increase company shares.</x:v>
      </x:c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30" t="str">
        <x:v>PASS tests base-input completeness and internal consistency, not interpretation responses, financing feasibility, or accounting-policy validity. Complete the later sensitivity and prompts when assigned.</x:v>
      </x:c>
      <x:c r="B19" s="31"/>
      <x:c r="C19" s="31"/>
      <x:c r="D19" s="31"/>
      <x:c r="E19" s="31"/>
      <x:c r="F19" s="31"/>
      <x:c r="G19" s="31"/>
      <x:c r="H19" s="32"/>
    </x:row>
    <x:row r="20">
      <x:c r="A20" s="121"/>
      <x:c r="B20" s="122"/>
      <x:c r="C20" s="122"/>
      <x:c r="D20" s="122"/>
      <x:c r="E20" s="122"/>
      <x:c r="F20" s="122"/>
      <x:c r="G20" s="122"/>
      <x:c r="H20" s="123"/>
    </x:row>
    <x:row r="21">
      <x:c r="A21" s="121"/>
      <x:c r="B21" s="122"/>
      <x:c r="C21" s="122"/>
      <x:c r="D21" s="122"/>
      <x:c r="E21" s="122"/>
      <x:c r="F21" s="122"/>
      <x:c r="G21" s="122"/>
      <x:c r="H21" s="123"/>
    </x:row>
    <x:row r="22">
      <x:c r="A22" s="33"/>
      <x:c r="B22" s="34"/>
      <x:c r="C22" s="34"/>
      <x:c r="D22" s="34"/>
      <x:c r="E22" s="34"/>
      <x:c r="F22" s="34"/>
      <x:c r="G22" s="34"/>
      <x:c r="H22" s="35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</x:sheetData>
  <x:mergeCells>
    <x:mergeCell ref="A1:H1"/>
    <x:mergeCell ref="A2:H2"/>
    <x:mergeCell ref="A19:H22"/>
  </x:mergeCells>
  <x:conditionalFormatting sqref="B3:B3">
    <x:cfRule type="containsText" dxfId="28" priority="1" operator="containsText" text="PASS"/>
    <x:cfRule type="containsText" dxfId="29" priority="2" operator="containsText" text="FAIL"/>
    <x:cfRule type="containsText" dxfId="30" priority="3" operator="containsText" text="WAITING"/>
    <x:cfRule type="containsText" dxfId="31" priority="4" operator="containsText" text="READY"/>
  </x:conditionalFormatting>
  <x:conditionalFormatting sqref="F7:F16">
    <x:cfRule type="containsText" dxfId="32" priority="5" operator="containsText" text="PASS"/>
    <x:cfRule type="containsText" dxfId="33" priority="6" operator="containsText" text="FAIL"/>
    <x:cfRule type="containsText" dxfId="34" priority="7" operator="containsText" text="WAITING"/>
    <x:cfRule type="containsText" dxfId="35" priority="8" operator="containsText" text="READY"/>
  </x:conditionalFormatting>
  <x:pageMargins left="0.7" right="0.7" top="0.75" bottom="0.75" header="0.3" footer="0.3"/>
</x:worksheet>
</file>