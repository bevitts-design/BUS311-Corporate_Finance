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"/>
    </mc:Choice>
  </mc:AlternateContent>
  <xr:revisionPtr revIDLastSave="20" documentId="8_{FB8B115B-9354-419D-A9E7-EDC95148C73C}" xr6:coauthVersionLast="47" xr6:coauthVersionMax="47" xr10:uidLastSave="{87ACBAFA-EABE-4524-B490-E0DDE691262D}"/>
  <bookViews>
    <workbookView xWindow="5550" yWindow="0" windowWidth="26940" windowHeight="15600" activeTab="6" xr2:uid="{B0AEFF15-8E97-2D4A-8AF0-ABF008B8D4DB}"/>
  </bookViews>
  <sheets>
    <sheet name="INTRO" sheetId="9" r:id="rId1"/>
    <sheet name="START" sheetId="1" r:id="rId2"/>
    <sheet name="BS, Y1 DAY 1" sheetId="2" r:id="rId3"/>
    <sheet name="BS, Y! DAY 2" sheetId="3" r:id="rId4"/>
    <sheet name="IS, end Y1" sheetId="4" r:id="rId5"/>
    <sheet name="IS, Y5" sheetId="5" r:id="rId6"/>
    <sheet name="CF, Y5" sheetId="6" r:id="rId7"/>
    <sheet name="BS, Y5" sheetId="7" r:id="rId8"/>
    <sheet name="EVALUATION" sheetId="8" r:id="rId9"/>
  </sheets>
  <definedNames>
    <definedName name="_xlnm.Print_Area" localSheetId="8">EVALUATION!$A$1:$J$47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6" l="1"/>
  <c r="K12" i="6" s="1"/>
  <c r="M66" i="5"/>
  <c r="M27" i="5" s="1"/>
  <c r="R66" i="5"/>
  <c r="R27" i="5" s="1"/>
  <c r="W66" i="5"/>
  <c r="W27" i="5" s="1"/>
  <c r="H66" i="5"/>
  <c r="H27" i="5" s="1"/>
  <c r="C66" i="5"/>
  <c r="C27" i="5" s="1"/>
  <c r="C44" i="8"/>
  <c r="C36" i="8"/>
  <c r="C23" i="8"/>
  <c r="C7" i="8"/>
  <c r="C56" i="5"/>
  <c r="X65" i="5"/>
  <c r="X64" i="5"/>
  <c r="X63" i="5"/>
  <c r="S62" i="5"/>
  <c r="V62" i="5" s="1"/>
  <c r="X62" i="5" s="1"/>
  <c r="N61" i="5"/>
  <c r="Q61" i="5" s="1"/>
  <c r="S61" i="5" s="1"/>
  <c r="V61" i="5" s="1"/>
  <c r="X61" i="5" s="1"/>
  <c r="I60" i="5"/>
  <c r="L60" i="5" s="1"/>
  <c r="N60" i="5" s="1"/>
  <c r="Q60" i="5" s="1"/>
  <c r="S60" i="5" s="1"/>
  <c r="V60" i="5" s="1"/>
  <c r="X60" i="5" s="1"/>
  <c r="E59" i="5"/>
  <c r="G59" i="5" s="1"/>
  <c r="I59" i="5" s="1"/>
  <c r="E16" i="6"/>
  <c r="E51" i="5"/>
  <c r="E50" i="5"/>
  <c r="I37" i="5"/>
  <c r="N37" i="5" s="1"/>
  <c r="S37" i="5" s="1"/>
  <c r="X37" i="5" s="1"/>
  <c r="W26" i="5"/>
  <c r="R26" i="5"/>
  <c r="M26" i="5"/>
  <c r="W28" i="5"/>
  <c r="R28" i="5"/>
  <c r="M28" i="5"/>
  <c r="H28" i="5"/>
  <c r="C28" i="5"/>
  <c r="H26" i="5"/>
  <c r="C23" i="5"/>
  <c r="C20" i="5"/>
  <c r="W19" i="5"/>
  <c r="R19" i="5"/>
  <c r="M19" i="5"/>
  <c r="C19" i="5"/>
  <c r="H19" i="5"/>
  <c r="I8" i="5"/>
  <c r="H23" i="5" s="1"/>
  <c r="C9" i="5"/>
  <c r="H8" i="5"/>
  <c r="M8" i="5" s="1"/>
  <c r="M20" i="5" s="1"/>
  <c r="D33" i="5"/>
  <c r="I33" i="5" s="1"/>
  <c r="N33" i="5" s="1"/>
  <c r="S33" i="5" s="1"/>
  <c r="X33" i="5" s="1"/>
  <c r="C33" i="5"/>
  <c r="H33" i="5" s="1"/>
  <c r="M33" i="5" s="1"/>
  <c r="R33" i="5" s="1"/>
  <c r="W33" i="5" s="1"/>
  <c r="C26" i="5"/>
  <c r="C14" i="5" s="1"/>
  <c r="E8" i="5"/>
  <c r="E9" i="5" s="1"/>
  <c r="D21" i="1"/>
  <c r="D30" i="4"/>
  <c r="C30" i="4"/>
  <c r="C24" i="4"/>
  <c r="C23" i="4"/>
  <c r="C6" i="7" s="1"/>
  <c r="C22" i="4"/>
  <c r="C19" i="4"/>
  <c r="C17" i="4"/>
  <c r="E6" i="4"/>
  <c r="C22" i="3"/>
  <c r="C21" i="3"/>
  <c r="E11" i="6" s="1"/>
  <c r="C20" i="3"/>
  <c r="C14" i="3"/>
  <c r="C11" i="3"/>
  <c r="C13" i="2"/>
  <c r="C14" i="2" s="1"/>
  <c r="E15" i="6" s="1"/>
  <c r="B27" i="1"/>
  <c r="B26" i="1"/>
  <c r="B16" i="1"/>
  <c r="C17" i="2" s="1"/>
  <c r="C31" i="3" s="1"/>
  <c r="F36" i="3" s="1"/>
  <c r="C7" i="2"/>
  <c r="C8" i="7" s="1"/>
  <c r="B8" i="1"/>
  <c r="C7" i="1" s="1"/>
  <c r="C51" i="5" s="1"/>
  <c r="C20" i="4" l="1"/>
  <c r="M11" i="6"/>
  <c r="E12" i="6"/>
  <c r="M12" i="6"/>
  <c r="G11" i="6"/>
  <c r="E17" i="6"/>
  <c r="I12" i="6"/>
  <c r="F23" i="2"/>
  <c r="C38" i="4"/>
  <c r="C14" i="7"/>
  <c r="C15" i="7" s="1"/>
  <c r="C23" i="3"/>
  <c r="C24" i="3" s="1"/>
  <c r="C35" i="3" s="1"/>
  <c r="C37" i="3" s="1"/>
  <c r="K7" i="6"/>
  <c r="J8" i="7"/>
  <c r="H8" i="7"/>
  <c r="F8" i="7"/>
  <c r="L8" i="7"/>
  <c r="F22" i="2"/>
  <c r="C28" i="3"/>
  <c r="C29" i="3" s="1"/>
  <c r="F35" i="3" s="1"/>
  <c r="F37" i="3" s="1"/>
  <c r="C25" i="4"/>
  <c r="C31" i="4" s="1"/>
  <c r="C34" i="4" s="1"/>
  <c r="J59" i="5"/>
  <c r="F6" i="7" s="1"/>
  <c r="L59" i="5"/>
  <c r="N59" i="5" s="1"/>
  <c r="Q59" i="5" s="1"/>
  <c r="S59" i="5" s="1"/>
  <c r="E7" i="6"/>
  <c r="N8" i="5"/>
  <c r="O8" i="5" s="1"/>
  <c r="G7" i="6"/>
  <c r="M7" i="6"/>
  <c r="H20" i="5"/>
  <c r="H21" i="5" s="1"/>
  <c r="H24" i="5" s="1"/>
  <c r="I7" i="6"/>
  <c r="M21" i="5"/>
  <c r="C21" i="5"/>
  <c r="C24" i="5" s="1"/>
  <c r="C29" i="5" s="1"/>
  <c r="M9" i="5"/>
  <c r="R8" i="5"/>
  <c r="R20" i="5" s="1"/>
  <c r="R21" i="5" s="1"/>
  <c r="I9" i="5"/>
  <c r="J8" i="5"/>
  <c r="H9" i="5"/>
  <c r="B28" i="1"/>
  <c r="C4" i="2" s="1"/>
  <c r="C6" i="1"/>
  <c r="C50" i="5" s="1"/>
  <c r="I11" i="6" l="1"/>
  <c r="G12" i="6"/>
  <c r="L14" i="7"/>
  <c r="L15" i="7" s="1"/>
  <c r="H14" i="7"/>
  <c r="H15" i="7" s="1"/>
  <c r="J14" i="7"/>
  <c r="J15" i="7" s="1"/>
  <c r="F24" i="2"/>
  <c r="H22" i="2" s="1"/>
  <c r="H23" i="2"/>
  <c r="F14" i="7"/>
  <c r="F15" i="7" s="1"/>
  <c r="C28" i="4"/>
  <c r="C8" i="2"/>
  <c r="C22" i="2" s="1"/>
  <c r="C24" i="2" s="1"/>
  <c r="C5" i="3"/>
  <c r="H29" i="5"/>
  <c r="H34" i="5" s="1"/>
  <c r="H37" i="5" s="1"/>
  <c r="H38" i="5" s="1"/>
  <c r="O59" i="5"/>
  <c r="H6" i="7" s="1"/>
  <c r="T59" i="5"/>
  <c r="J6" i="7" s="1"/>
  <c r="V59" i="5"/>
  <c r="X59" i="5" s="1"/>
  <c r="Y59" i="5" s="1"/>
  <c r="L6" i="7" s="1"/>
  <c r="M23" i="5"/>
  <c r="M24" i="5" s="1"/>
  <c r="M29" i="5" s="1"/>
  <c r="S8" i="5"/>
  <c r="C34" i="5"/>
  <c r="C31" i="5"/>
  <c r="C27" i="8" s="1"/>
  <c r="J9" i="5"/>
  <c r="R9" i="5"/>
  <c r="W8" i="5"/>
  <c r="N9" i="5"/>
  <c r="O9" i="5" s="1"/>
  <c r="H31" i="5" l="1"/>
  <c r="H41" i="5"/>
  <c r="C22" i="8" s="1"/>
  <c r="G6" i="6"/>
  <c r="G8" i="6" s="1"/>
  <c r="G20" i="6" s="1"/>
  <c r="X8" i="5"/>
  <c r="W23" i="5" s="1"/>
  <c r="R23" i="5"/>
  <c r="R24" i="5" s="1"/>
  <c r="R29" i="5" s="1"/>
  <c r="W9" i="5"/>
  <c r="W20" i="5"/>
  <c r="W21" i="5" s="1"/>
  <c r="C37" i="5"/>
  <c r="C38" i="5" s="1"/>
  <c r="C18" i="7" s="1"/>
  <c r="M34" i="5"/>
  <c r="M31" i="5"/>
  <c r="T8" i="5"/>
  <c r="S9" i="5"/>
  <c r="T9" i="5" s="1"/>
  <c r="C19" i="7" l="1"/>
  <c r="F18" i="7"/>
  <c r="C41" i="5"/>
  <c r="E6" i="6"/>
  <c r="E8" i="6" s="1"/>
  <c r="E20" i="6" s="1"/>
  <c r="E21" i="6" s="1"/>
  <c r="M37" i="5"/>
  <c r="M38" i="5" s="1"/>
  <c r="R31" i="5"/>
  <c r="R34" i="5"/>
  <c r="X9" i="5"/>
  <c r="Y9" i="5" s="1"/>
  <c r="Y8" i="5"/>
  <c r="W24" i="5"/>
  <c r="W29" i="5" s="1"/>
  <c r="C16" i="8" s="1"/>
  <c r="C17" i="8" s="1"/>
  <c r="F19" i="7" l="1"/>
  <c r="F20" i="7"/>
  <c r="M41" i="5"/>
  <c r="M42" i="5"/>
  <c r="I6" i="6"/>
  <c r="I8" i="6" s="1"/>
  <c r="I20" i="6" s="1"/>
  <c r="C5" i="7"/>
  <c r="C9" i="7" s="1"/>
  <c r="G19" i="6"/>
  <c r="G21" i="6" s="1"/>
  <c r="R37" i="5"/>
  <c r="R38" i="5" s="1"/>
  <c r="W34" i="5"/>
  <c r="W31" i="5"/>
  <c r="D27" i="8" s="1"/>
  <c r="H18" i="7" l="1"/>
  <c r="R41" i="5"/>
  <c r="K6" i="6"/>
  <c r="K8" i="6" s="1"/>
  <c r="K20" i="6" s="1"/>
  <c r="R42" i="5"/>
  <c r="I19" i="6"/>
  <c r="I21" i="6" s="1"/>
  <c r="F5" i="7"/>
  <c r="F9" i="7" s="1"/>
  <c r="W37" i="5"/>
  <c r="W38" i="5" s="1"/>
  <c r="C10" i="8" s="1"/>
  <c r="C11" i="8" s="1"/>
  <c r="J18" i="7" l="1"/>
  <c r="H19" i="7"/>
  <c r="H20" i="7"/>
  <c r="W41" i="5"/>
  <c r="D22" i="8" s="1"/>
  <c r="W42" i="5"/>
  <c r="M6" i="6"/>
  <c r="M8" i="6" s="1"/>
  <c r="M20" i="6" s="1"/>
  <c r="K19" i="6"/>
  <c r="K21" i="6" s="1"/>
  <c r="H5" i="7"/>
  <c r="H9" i="7" s="1"/>
  <c r="J19" i="7" l="1"/>
  <c r="J20" i="7"/>
  <c r="L18" i="7"/>
  <c r="H51" i="5"/>
  <c r="H50" i="5"/>
  <c r="M19" i="6"/>
  <c r="M21" i="6" s="1"/>
  <c r="L5" i="7" s="1"/>
  <c r="L9" i="7" s="1"/>
  <c r="J5" i="7"/>
  <c r="J9" i="7" s="1"/>
  <c r="L19" i="7" l="1"/>
  <c r="L20" i="7"/>
</calcChain>
</file>

<file path=xl/sharedStrings.xml><?xml version="1.0" encoding="utf-8"?>
<sst xmlns="http://schemas.openxmlformats.org/spreadsheetml/2006/main" count="448" uniqueCount="201">
  <si>
    <t>Nr of Shares</t>
  </si>
  <si>
    <t xml:space="preserve">TOT </t>
  </si>
  <si>
    <t>Owner</t>
  </si>
  <si>
    <t>Investor</t>
  </si>
  <si>
    <t>Allocation of Shares</t>
  </si>
  <si>
    <t>Raised money</t>
  </si>
  <si>
    <t>1$/share</t>
  </si>
  <si>
    <t>Annual Interest Rate</t>
  </si>
  <si>
    <t>ASSETS</t>
  </si>
  <si>
    <t>Cash</t>
  </si>
  <si>
    <t>Fixed assets</t>
  </si>
  <si>
    <t>Inventory</t>
  </si>
  <si>
    <t>Goodwill</t>
  </si>
  <si>
    <t>Total Assets</t>
  </si>
  <si>
    <t>LIABILITIES</t>
  </si>
  <si>
    <t>Debt</t>
  </si>
  <si>
    <t>Shareholders Equity</t>
  </si>
  <si>
    <t>Per Share</t>
  </si>
  <si>
    <t>Total Liability</t>
  </si>
  <si>
    <t>amount</t>
  </si>
  <si>
    <t>Lender</t>
  </si>
  <si>
    <t>TOT</t>
  </si>
  <si>
    <t>INPUT cells</t>
  </si>
  <si>
    <t>Share value</t>
  </si>
  <si>
    <t>Notes</t>
  </si>
  <si>
    <t>A</t>
  </si>
  <si>
    <t>L</t>
  </si>
  <si>
    <t>E</t>
  </si>
  <si>
    <t>TOT A</t>
  </si>
  <si>
    <t>TOT L+E</t>
  </si>
  <si>
    <t>SUMMARY</t>
  </si>
  <si>
    <t>Amount</t>
  </si>
  <si>
    <t>Buy Lemonade stand</t>
  </si>
  <si>
    <t>Gallons</t>
  </si>
  <si>
    <t>Equal to Nr cups</t>
  </si>
  <si>
    <t>Sugar, water, lemon, cups, etc.</t>
  </si>
  <si>
    <t>Cups</t>
  </si>
  <si>
    <t>CASH Spent</t>
  </si>
  <si>
    <t>Purchase of Fixed Asset &amp; Inventory</t>
  </si>
  <si>
    <t>A)</t>
  </si>
  <si>
    <t>B)</t>
  </si>
  <si>
    <t>C)</t>
  </si>
  <si>
    <t>D)</t>
  </si>
  <si>
    <t>&lt;----</t>
  </si>
  <si>
    <t>used money to but assets &amp; inventory</t>
  </si>
  <si>
    <t>Target Annual production of lemonade</t>
  </si>
  <si>
    <t>cups</t>
  </si>
  <si>
    <t>Nr</t>
  </si>
  <si>
    <t>Price</t>
  </si>
  <si>
    <t>SALES</t>
  </si>
  <si>
    <t>COSTS</t>
  </si>
  <si>
    <t>Staff</t>
  </si>
  <si>
    <t>Revenues</t>
  </si>
  <si>
    <t>Nr. Lemonade Stands</t>
  </si>
  <si>
    <t>Cups sold</t>
  </si>
  <si>
    <t>Cups sold (per stand)</t>
  </si>
  <si>
    <t>Price per cup</t>
  </si>
  <si>
    <t>Less</t>
  </si>
  <si>
    <t>Cost of Goods Sold (COGS)</t>
  </si>
  <si>
    <t>Inventory (V.C.)</t>
  </si>
  <si>
    <t>Depreciation</t>
  </si>
  <si>
    <t>5 years depreciation plan (divide 300 $ of Asset value by 5 years)</t>
  </si>
  <si>
    <t>Labor (staff costs)</t>
  </si>
  <si>
    <t>EBIT</t>
  </si>
  <si>
    <t>KPI</t>
  </si>
  <si>
    <t>EBIT/Revenues</t>
  </si>
  <si>
    <t>Profit Margin</t>
  </si>
  <si>
    <t>Interests</t>
  </si>
  <si>
    <t>Interest on our debt (10% of $250)</t>
  </si>
  <si>
    <t>Annual Interest</t>
  </si>
  <si>
    <t>Pretax Earnings</t>
  </si>
  <si>
    <t>Taxes</t>
  </si>
  <si>
    <t>35% of EBT in US</t>
  </si>
  <si>
    <t>Net Income</t>
  </si>
  <si>
    <t>Income per Share</t>
  </si>
  <si>
    <t>Net Income / TOT 1,500 shares</t>
  </si>
  <si>
    <t>YEAR 1</t>
  </si>
  <si>
    <t>YEAR 2</t>
  </si>
  <si>
    <t>Growth assumptions</t>
  </si>
  <si>
    <t>Sales</t>
  </si>
  <si>
    <t>Cups per stand</t>
  </si>
  <si>
    <t>Tot Cups sold</t>
  </si>
  <si>
    <t>YEAR 3</t>
  </si>
  <si>
    <t>YEAR 4</t>
  </si>
  <si>
    <t>YEAR 5</t>
  </si>
  <si>
    <t>Price Increase</t>
  </si>
  <si>
    <t>ASSUPTIONS / PROJECTIONS (Annual)</t>
  </si>
  <si>
    <t>COGS</t>
  </si>
  <si>
    <t>Y1</t>
  </si>
  <si>
    <t>Y2</t>
  </si>
  <si>
    <t>Y3</t>
  </si>
  <si>
    <t>Y4</t>
  </si>
  <si>
    <t>Y5</t>
  </si>
  <si>
    <t>EBT (Pretax Earnings)</t>
  </si>
  <si>
    <t>Net Income (Profit)</t>
  </si>
  <si>
    <t>Growth</t>
  </si>
  <si>
    <t>na</t>
  </si>
  <si>
    <t>NEW ASSETS BREAKDOWN</t>
  </si>
  <si>
    <t>Original cash availability</t>
  </si>
  <si>
    <t>(Profit) Growth</t>
  </si>
  <si>
    <t>PROFITS PER SHARE ANALYSIS</t>
  </si>
  <si>
    <t>Original value</t>
  </si>
  <si>
    <t>New Value</t>
  </si>
  <si>
    <t>After 5 years</t>
  </si>
  <si>
    <t>$1 of profit per share</t>
  </si>
  <si>
    <t>CASH FLOW STATEMENT</t>
  </si>
  <si>
    <t>CF | OPERATIONS</t>
  </si>
  <si>
    <t>CF | INVESTING</t>
  </si>
  <si>
    <t>CF | FINANCING</t>
  </si>
  <si>
    <t>NET INCOME</t>
  </si>
  <si>
    <t>(PLUS) DEPRECIATION</t>
  </si>
  <si>
    <t>DEBT ISSUED</t>
  </si>
  <si>
    <t>EQUITY ISSUED</t>
  </si>
  <si>
    <t>Equity Issued, 1$/share</t>
  </si>
  <si>
    <t>BEGINNING CASH</t>
  </si>
  <si>
    <t>CHANGE IN CASH</t>
  </si>
  <si>
    <t>ENDING CASH</t>
  </si>
  <si>
    <t>Lemonade stand price minus depreciation (Y1)</t>
  </si>
  <si>
    <t>Shares allocation</t>
  </si>
  <si>
    <t>All goods sold</t>
  </si>
  <si>
    <t>no changes</t>
  </si>
  <si>
    <t>DEPRECIATION PLAN</t>
  </si>
  <si>
    <t>Stand</t>
  </si>
  <si>
    <t xml:space="preserve">B) </t>
  </si>
  <si>
    <t>EVALUATE THE BUSINESS</t>
  </si>
  <si>
    <t>Initial Value</t>
  </si>
  <si>
    <t>Owner's equity (goodwill)</t>
  </si>
  <si>
    <t>Y0</t>
  </si>
  <si>
    <t>EARNINGS YIELD</t>
  </si>
  <si>
    <t>RETURN ON CAPITAL</t>
  </si>
  <si>
    <t>Spent for fixed assets (7 lemonade stand of $300)</t>
  </si>
  <si>
    <t>Earned (EBIT) at Y5</t>
  </si>
  <si>
    <t>YIELD</t>
  </si>
  <si>
    <t xml:space="preserve">C) </t>
  </si>
  <si>
    <t>EARNING GROWTH</t>
  </si>
  <si>
    <t>Earnings per share growth</t>
  </si>
  <si>
    <t>PROFITABILITY</t>
  </si>
  <si>
    <t xml:space="preserve">Margins increased from </t>
  </si>
  <si>
    <t>LENDER POINT OF VIEW</t>
  </si>
  <si>
    <t>Annual return</t>
  </si>
  <si>
    <t>$250</t>
  </si>
  <si>
    <t>Annual interest rate</t>
  </si>
  <si>
    <t>ROI</t>
  </si>
  <si>
    <t>EQUITY INVESTOR POINT OF VIEW</t>
  </si>
  <si>
    <t>Money put up</t>
  </si>
  <si>
    <t>Low</t>
  </si>
  <si>
    <t xml:space="preserve">Risk </t>
  </si>
  <si>
    <t>High</t>
  </si>
  <si>
    <t>Equity investing</t>
  </si>
  <si>
    <t>Return on Capital:</t>
  </si>
  <si>
    <t>CAGR (IRR) (Y2-Y5):</t>
  </si>
  <si>
    <t>Risk:</t>
  </si>
  <si>
    <t>($1/share)</t>
  </si>
  <si>
    <t>The lender lended:</t>
  </si>
  <si>
    <t>$25</t>
  </si>
  <si>
    <t>Tot Equity minus Y1 losses</t>
  </si>
  <si>
    <t>CF, end of Y1</t>
  </si>
  <si>
    <t>&lt;--- Small annual increase</t>
  </si>
  <si>
    <t>&lt;-- depreciaton of $60 per stand every year</t>
  </si>
  <si>
    <t>Lemonade Stand (Tot)</t>
  </si>
  <si>
    <t>INCOME STATEMENT</t>
  </si>
  <si>
    <t>Lemonade Stand full price</t>
  </si>
  <si>
    <t>ANNUAL DEPRECIATION</t>
  </si>
  <si>
    <t>10% annual interests</t>
  </si>
  <si>
    <t>Borrowed Money</t>
  </si>
  <si>
    <t>Total Cash</t>
  </si>
  <si>
    <t>Low Debt over Equity</t>
  </si>
  <si>
    <t>Low Debt over Total Assets</t>
  </si>
  <si>
    <t xml:space="preserve">Goodwill is an intangible asset of a Company. </t>
  </si>
  <si>
    <t>It comes under different forms: brand, reputation, intellectual property, etc.</t>
  </si>
  <si>
    <t>It is challenging to value Goodwill. It this case, it is a "given."</t>
  </si>
  <si>
    <t>Note:Cost of new Lemonade Stands purchased</t>
  </si>
  <si>
    <r>
      <t>CFO</t>
    </r>
    <r>
      <rPr>
        <sz val="12"/>
        <color theme="1"/>
        <rFont val="Calibri"/>
        <family val="2"/>
        <scheme val="minor"/>
      </rPr>
      <t xml:space="preserve"> (Cash Flow of Operation)</t>
    </r>
  </si>
  <si>
    <r>
      <t xml:space="preserve">CFI </t>
    </r>
    <r>
      <rPr>
        <sz val="12"/>
        <color theme="1"/>
        <rFont val="Calibri"/>
        <family val="2"/>
        <scheme val="minor"/>
      </rPr>
      <t>(Cash Flow of Investing)</t>
    </r>
  </si>
  <si>
    <r>
      <t xml:space="preserve">CFF </t>
    </r>
    <r>
      <rPr>
        <sz val="12"/>
        <color theme="1"/>
        <rFont val="Calibri"/>
        <family val="2"/>
        <scheme val="minor"/>
      </rPr>
      <t>(Cash Flow of Financing)</t>
    </r>
  </si>
  <si>
    <t>CAPEX (Lemonade stands purchase costs)</t>
  </si>
  <si>
    <t>Business Worth (Equity)</t>
  </si>
  <si>
    <t>Idea-Goodwill, 1$/share</t>
  </si>
  <si>
    <t>COMPANY SET-UP |  Day 1, YEAR 1</t>
  </si>
  <si>
    <t>BALANCE SHEET | Day 1, YEAR 1</t>
  </si>
  <si>
    <t>PROCUREMENTS | DAY 2, YEAR 1</t>
  </si>
  <si>
    <t>BALANCE SHEET | DAY 2, YEAR 1</t>
  </si>
  <si>
    <t>For the name &amp; idea</t>
  </si>
  <si>
    <t>&lt;--- NOW the business is worth</t>
  </si>
  <si>
    <t>Bill need more money. He decides to borrow it</t>
  </si>
  <si>
    <t>Bill needs money:</t>
  </si>
  <si>
    <t>he sells 1/3 of the company (500 shares) to raise money</t>
  </si>
  <si>
    <t>The lender provides $250 at 10% interest rate</t>
  </si>
  <si>
    <t>Bill decides to borrow instead of selling other shares, to control the business and keep future profits (in case the business in succesful)</t>
  </si>
  <si>
    <t>Net Worth - Shareholder equity</t>
  </si>
  <si>
    <t>$750 = $500 from selling 1/3 of the business (500 shares) +$250 of debt</t>
  </si>
  <si>
    <t>---&gt;</t>
  </si>
  <si>
    <t>OPERATIONS (assumpions)</t>
  </si>
  <si>
    <t>Years</t>
  </si>
  <si>
    <t>BALANCE SHEET (updated, Y1-Y5)</t>
  </si>
  <si>
    <t>After 5 years, the business earned $1,502.
 A Yield of 100%</t>
  </si>
  <si>
    <t>CAGR Formula: IRR (3 years period, present value, future value)</t>
  </si>
  <si>
    <t xml:space="preserve">The difference is returns (betweeen Debt and equity) is due to the different risk. </t>
  </si>
  <si>
    <r>
      <t xml:space="preserve">The Lender has a priority return over equity (senior claim). 
</t>
    </r>
    <r>
      <rPr>
        <u/>
        <sz val="12"/>
        <color theme="1"/>
        <rFont val="Calibri (Body)"/>
      </rPr>
      <t>Equity</t>
    </r>
    <r>
      <rPr>
        <sz val="12"/>
        <color theme="1"/>
        <rFont val="Calibri"/>
        <family val="2"/>
        <scheme val="minor"/>
      </rPr>
      <t xml:space="preserve"> owner has the "Residual Claim".</t>
    </r>
  </si>
  <si>
    <t>Earning before interest and taxes (Pre-Tax Profit)</t>
  </si>
  <si>
    <t># Lemonade Stands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</si>
</sst>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_);_(* \(#,##0\);_(* &quot;-&quot;??_);_(@_)"/>
    <numFmt numFmtId="165" formatCode="[$$-2809]#,##0"/>
    <numFmt numFmtId="166" formatCode="[$$-1009]#,##0.000"/>
    <numFmt numFmtId="167" formatCode="[$$-1009]#,##0.00"/>
    <numFmt numFmtId="168" formatCode="[$$-1009]#,##0"/>
    <numFmt numFmtId="169" formatCode="[$$-409]#,##0"/>
    <numFmt numFmtId="170" formatCode="0.0%"/>
    <numFmt numFmtId="171" formatCode="[$$-380A]\ #,##0;\-[$$-380A]\ #,##0"/>
    <numFmt numFmtId="172" formatCode="[$$-C09]#,##0"/>
    <numFmt numFmtId="173" formatCode="[$$-C09]#,##0.0"/>
    <numFmt numFmtId="174" formatCode="[$$-1009]#,##0.0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22"/>
      <color rgb="FF4472C4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u/>
      <sz val="12"/>
      <color theme="1"/>
      <name val="Calibri (Body)"/>
    </font>
    <font>
      <sz val="3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168" fontId="0" fillId="2" borderId="0" xfId="0" applyNumberFormat="1" applyFill="1"/>
    <xf numFmtId="168" fontId="4" fillId="2" borderId="0" xfId="0" applyNumberFormat="1" applyFont="1" applyFill="1"/>
    <xf numFmtId="168" fontId="0" fillId="2" borderId="3" xfId="0" applyNumberFormat="1" applyFill="1" applyBorder="1"/>
    <xf numFmtId="0" fontId="0" fillId="5" borderId="0" xfId="0" applyFill="1"/>
    <xf numFmtId="0" fontId="4" fillId="5" borderId="0" xfId="0" applyFont="1" applyFill="1"/>
    <xf numFmtId="164" fontId="0" fillId="5" borderId="1" xfId="1" applyNumberFormat="1" applyFont="1" applyFill="1" applyBorder="1"/>
    <xf numFmtId="9" fontId="0" fillId="5" borderId="1" xfId="2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4" fillId="5" borderId="0" xfId="0" applyNumberFormat="1" applyFont="1" applyFill="1"/>
    <xf numFmtId="165" fontId="0" fillId="5" borderId="1" xfId="0" applyNumberFormat="1" applyFill="1" applyBorder="1"/>
    <xf numFmtId="0" fontId="0" fillId="5" borderId="1" xfId="0" applyFill="1" applyBorder="1"/>
    <xf numFmtId="165" fontId="4" fillId="5" borderId="0" xfId="0" applyNumberFormat="1" applyFont="1" applyFill="1"/>
    <xf numFmtId="164" fontId="0" fillId="6" borderId="1" xfId="1" applyNumberFormat="1" applyFont="1" applyFill="1" applyBorder="1"/>
    <xf numFmtId="165" fontId="0" fillId="6" borderId="1" xfId="0" applyNumberFormat="1" applyFill="1" applyBorder="1"/>
    <xf numFmtId="0" fontId="5" fillId="6" borderId="0" xfId="0" applyFont="1" applyFill="1" applyAlignment="1">
      <alignment horizontal="center"/>
    </xf>
    <xf numFmtId="168" fontId="0" fillId="4" borderId="3" xfId="0" applyNumberFormat="1" applyFill="1" applyBorder="1"/>
    <xf numFmtId="168" fontId="0" fillId="3" borderId="0" xfId="0" applyNumberForma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6" fillId="5" borderId="0" xfId="0" applyFont="1" applyFill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168" fontId="4" fillId="4" borderId="0" xfId="0" applyNumberFormat="1" applyFont="1" applyFill="1"/>
    <xf numFmtId="168" fontId="4" fillId="3" borderId="0" xfId="0" applyNumberFormat="1" applyFont="1" applyFill="1"/>
    <xf numFmtId="0" fontId="4" fillId="0" borderId="10" xfId="0" applyFont="1" applyBorder="1"/>
    <xf numFmtId="0" fontId="4" fillId="3" borderId="10" xfId="0" applyFont="1" applyFill="1" applyBorder="1"/>
    <xf numFmtId="168" fontId="0" fillId="3" borderId="11" xfId="0" applyNumberFormat="1" applyFill="1" applyBorder="1"/>
    <xf numFmtId="0" fontId="4" fillId="7" borderId="10" xfId="0" applyFont="1" applyFill="1" applyBorder="1"/>
    <xf numFmtId="168" fontId="0" fillId="7" borderId="11" xfId="0" applyNumberFormat="1" applyFill="1" applyBorder="1"/>
    <xf numFmtId="0" fontId="4" fillId="2" borderId="4" xfId="0" applyFont="1" applyFill="1" applyBorder="1"/>
    <xf numFmtId="168" fontId="0" fillId="2" borderId="6" xfId="0" applyNumberFormat="1" applyFill="1" applyBorder="1"/>
    <xf numFmtId="0" fontId="0" fillId="2" borderId="7" xfId="0" applyFill="1" applyBorder="1"/>
    <xf numFmtId="0" fontId="0" fillId="2" borderId="9" xfId="0" applyFill="1" applyBorder="1"/>
    <xf numFmtId="168" fontId="0" fillId="0" borderId="0" xfId="0" applyNumberFormat="1"/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8" fontId="0" fillId="5" borderId="0" xfId="0" applyNumberFormat="1" applyFill="1"/>
    <xf numFmtId="168" fontId="4" fillId="5" borderId="0" xfId="0" applyNumberFormat="1" applyFont="1" applyFill="1"/>
    <xf numFmtId="0" fontId="0" fillId="5" borderId="3" xfId="0" applyFill="1" applyBorder="1"/>
    <xf numFmtId="168" fontId="0" fillId="5" borderId="3" xfId="0" applyNumberFormat="1" applyFill="1" applyBorder="1"/>
    <xf numFmtId="9" fontId="0" fillId="5" borderId="0" xfId="2" applyFont="1" applyFill="1"/>
    <xf numFmtId="169" fontId="0" fillId="5" borderId="3" xfId="0" applyNumberFormat="1" applyFill="1" applyBorder="1"/>
    <xf numFmtId="167" fontId="0" fillId="5" borderId="3" xfId="0" applyNumberFormat="1" applyFill="1" applyBorder="1"/>
    <xf numFmtId="167" fontId="4" fillId="5" borderId="0" xfId="0" applyNumberFormat="1" applyFont="1" applyFill="1"/>
    <xf numFmtId="167" fontId="0" fillId="5" borderId="0" xfId="0" applyNumberFormat="1" applyFill="1"/>
    <xf numFmtId="9" fontId="0" fillId="3" borderId="0" xfId="0" applyNumberFormat="1" applyFill="1"/>
    <xf numFmtId="9" fontId="4" fillId="3" borderId="0" xfId="0" applyNumberFormat="1" applyFont="1" applyFill="1" applyAlignment="1">
      <alignment horizontal="center"/>
    </xf>
    <xf numFmtId="167" fontId="4" fillId="3" borderId="0" xfId="0" applyNumberFormat="1" applyFont="1" applyFill="1"/>
    <xf numFmtId="164" fontId="4" fillId="5" borderId="0" xfId="1" applyNumberFormat="1" applyFont="1" applyFill="1"/>
    <xf numFmtId="164" fontId="0" fillId="5" borderId="3" xfId="1" applyNumberFormat="1" applyFont="1" applyFill="1" applyBorder="1"/>
    <xf numFmtId="164" fontId="0" fillId="5" borderId="0" xfId="1" applyNumberFormat="1" applyFont="1" applyFill="1"/>
    <xf numFmtId="170" fontId="4" fillId="5" borderId="0" xfId="2" applyNumberFormat="1" applyFont="1" applyFill="1"/>
    <xf numFmtId="9" fontId="0" fillId="0" borderId="0" xfId="0" applyNumberFormat="1"/>
    <xf numFmtId="167" fontId="0" fillId="5" borderId="1" xfId="0" applyNumberFormat="1" applyFill="1" applyBorder="1"/>
    <xf numFmtId="169" fontId="0" fillId="5" borderId="1" xfId="0" applyNumberFormat="1" applyFill="1" applyBorder="1"/>
    <xf numFmtId="171" fontId="0" fillId="5" borderId="0" xfId="1" applyNumberFormat="1" applyFont="1" applyFill="1"/>
    <xf numFmtId="0" fontId="0" fillId="5" borderId="2" xfId="0" applyFill="1" applyBorder="1"/>
    <xf numFmtId="171" fontId="4" fillId="5" borderId="0" xfId="1" applyNumberFormat="1" applyFont="1" applyFill="1"/>
    <xf numFmtId="171" fontId="4" fillId="5" borderId="0" xfId="0" applyNumberFormat="1" applyFont="1" applyFill="1"/>
    <xf numFmtId="171" fontId="0" fillId="5" borderId="2" xfId="0" applyNumberFormat="1" applyFill="1" applyBorder="1"/>
    <xf numFmtId="171" fontId="0" fillId="5" borderId="0" xfId="0" applyNumberFormat="1" applyFill="1"/>
    <xf numFmtId="0" fontId="0" fillId="5" borderId="0" xfId="0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quotePrefix="1" applyFill="1" applyAlignment="1">
      <alignment horizontal="center"/>
    </xf>
    <xf numFmtId="0" fontId="2" fillId="8" borderId="0" xfId="0" applyFont="1" applyFill="1"/>
    <xf numFmtId="0" fontId="0" fillId="3" borderId="0" xfId="0" applyFill="1" applyAlignment="1">
      <alignment horizontal="right"/>
    </xf>
    <xf numFmtId="169" fontId="0" fillId="5" borderId="0" xfId="0" applyNumberFormat="1" applyFill="1"/>
    <xf numFmtId="168" fontId="4" fillId="5" borderId="2" xfId="0" applyNumberFormat="1" applyFont="1" applyFill="1" applyBorder="1"/>
    <xf numFmtId="168" fontId="0" fillId="5" borderId="2" xfId="0" applyNumberFormat="1" applyFill="1" applyBorder="1"/>
    <xf numFmtId="166" fontId="0" fillId="5" borderId="0" xfId="0" applyNumberFormat="1" applyFill="1"/>
    <xf numFmtId="164" fontId="4" fillId="5" borderId="0" xfId="1" applyNumberFormat="1" applyFont="1" applyFill="1" applyAlignment="1">
      <alignment horizontal="right"/>
    </xf>
    <xf numFmtId="0" fontId="2" fillId="9" borderId="1" xfId="0" applyFont="1" applyFill="1" applyBorder="1" applyAlignment="1">
      <alignment horizontal="center"/>
    </xf>
    <xf numFmtId="170" fontId="0" fillId="5" borderId="1" xfId="2" applyNumberFormat="1" applyFont="1" applyFill="1" applyBorder="1"/>
    <xf numFmtId="0" fontId="8" fillId="5" borderId="0" xfId="0" applyFont="1" applyFill="1"/>
    <xf numFmtId="0" fontId="0" fillId="5" borderId="5" xfId="0" applyFill="1" applyBorder="1"/>
    <xf numFmtId="0" fontId="0" fillId="5" borderId="8" xfId="0" applyFill="1" applyBorder="1"/>
    <xf numFmtId="0" fontId="0" fillId="5" borderId="9" xfId="0" applyFill="1" applyBorder="1"/>
    <xf numFmtId="0" fontId="9" fillId="5" borderId="0" xfId="0" applyFont="1" applyFill="1"/>
    <xf numFmtId="9" fontId="0" fillId="5" borderId="0" xfId="0" applyNumberFormat="1" applyFill="1"/>
    <xf numFmtId="0" fontId="10" fillId="5" borderId="0" xfId="0" applyFont="1" applyFill="1"/>
    <xf numFmtId="172" fontId="0" fillId="5" borderId="1" xfId="1" applyNumberFormat="1" applyFont="1" applyFill="1" applyBorder="1" applyAlignment="1">
      <alignment horizontal="right"/>
    </xf>
    <xf numFmtId="172" fontId="4" fillId="5" borderId="1" xfId="1" applyNumberFormat="1" applyFont="1" applyFill="1" applyBorder="1" applyAlignment="1">
      <alignment horizontal="right"/>
    </xf>
    <xf numFmtId="9" fontId="4" fillId="0" borderId="1" xfId="2" applyFont="1" applyFill="1" applyBorder="1" applyAlignment="1">
      <alignment horizontal="right"/>
    </xf>
    <xf numFmtId="173" fontId="0" fillId="5" borderId="1" xfId="0" applyNumberFormat="1" applyFill="1" applyBorder="1"/>
    <xf numFmtId="172" fontId="0" fillId="5" borderId="1" xfId="0" applyNumberFormat="1" applyFill="1" applyBorder="1" applyAlignment="1">
      <alignment horizontal="right"/>
    </xf>
    <xf numFmtId="9" fontId="4" fillId="5" borderId="1" xfId="2" applyFont="1" applyFill="1" applyBorder="1" applyAlignment="1">
      <alignment horizontal="right"/>
    </xf>
    <xf numFmtId="173" fontId="0" fillId="5" borderId="1" xfId="0" applyNumberFormat="1" applyFill="1" applyBorder="1" applyAlignment="1">
      <alignment horizontal="right"/>
    </xf>
    <xf numFmtId="9" fontId="4" fillId="5" borderId="0" xfId="2" applyFont="1" applyFill="1" applyAlignment="1">
      <alignment horizontal="right"/>
    </xf>
    <xf numFmtId="170" fontId="0" fillId="5" borderId="1" xfId="2" applyNumberFormat="1" applyFont="1" applyFill="1" applyBorder="1" applyAlignment="1">
      <alignment horizontal="right"/>
    </xf>
    <xf numFmtId="9" fontId="0" fillId="5" borderId="0" xfId="0" applyNumberFormat="1" applyFill="1" applyAlignment="1">
      <alignment horizontal="right"/>
    </xf>
    <xf numFmtId="0" fontId="6" fillId="10" borderId="0" xfId="0" applyFont="1" applyFill="1" applyAlignment="1">
      <alignment horizontal="center"/>
    </xf>
    <xf numFmtId="0" fontId="0" fillId="10" borderId="0" xfId="0" quotePrefix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68" fontId="4" fillId="10" borderId="0" xfId="0" applyNumberFormat="1" applyFont="1" applyFill="1"/>
    <xf numFmtId="0" fontId="0" fillId="5" borderId="1" xfId="0" applyFill="1" applyBorder="1" applyAlignment="1">
      <alignment horizontal="left"/>
    </xf>
    <xf numFmtId="168" fontId="0" fillId="5" borderId="1" xfId="0" applyNumberFormat="1" applyFill="1" applyBorder="1"/>
    <xf numFmtId="168" fontId="4" fillId="5" borderId="1" xfId="0" applyNumberFormat="1" applyFont="1" applyFill="1" applyBorder="1"/>
    <xf numFmtId="164" fontId="4" fillId="5" borderId="1" xfId="1" applyNumberFormat="1" applyFont="1" applyFill="1" applyBorder="1"/>
    <xf numFmtId="168" fontId="4" fillId="5" borderId="1" xfId="0" applyNumberFormat="1" applyFont="1" applyFill="1" applyBorder="1" applyAlignment="1">
      <alignment horizontal="right"/>
    </xf>
    <xf numFmtId="1" fontId="0" fillId="5" borderId="1" xfId="0" applyNumberForma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9" fillId="5" borderId="0" xfId="0" applyFont="1" applyFill="1" applyAlignment="1">
      <alignment horizontal="center"/>
    </xf>
    <xf numFmtId="168" fontId="4" fillId="0" borderId="0" xfId="0" applyNumberFormat="1" applyFont="1"/>
    <xf numFmtId="174" fontId="0" fillId="5" borderId="3" xfId="0" applyNumberFormat="1" applyFill="1" applyBorder="1"/>
    <xf numFmtId="9" fontId="3" fillId="3" borderId="0" xfId="0" applyNumberFormat="1" applyFont="1" applyFill="1"/>
    <xf numFmtId="0" fontId="4" fillId="5" borderId="1" xfId="0" applyFont="1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168" fontId="0" fillId="3" borderId="1" xfId="0" applyNumberFormat="1" applyFill="1" applyBorder="1"/>
    <xf numFmtId="168" fontId="0" fillId="5" borderId="0" xfId="0" applyNumberForma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left"/>
    </xf>
    <xf numFmtId="165" fontId="4" fillId="5" borderId="1" xfId="0" applyNumberFormat="1" applyFont="1" applyFill="1" applyBorder="1"/>
    <xf numFmtId="165" fontId="0" fillId="0" borderId="0" xfId="0" applyNumberFormat="1" applyAlignment="1">
      <alignment horizontal="center"/>
    </xf>
    <xf numFmtId="0" fontId="4" fillId="2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5" borderId="10" xfId="0" applyFont="1" applyFill="1" applyBorder="1"/>
    <xf numFmtId="168" fontId="4" fillId="5" borderId="11" xfId="0" applyNumberFormat="1" applyFont="1" applyFill="1" applyBorder="1"/>
    <xf numFmtId="9" fontId="0" fillId="11" borderId="0" xfId="2" applyFont="1" applyFill="1"/>
    <xf numFmtId="0" fontId="4" fillId="2" borderId="10" xfId="0" applyFont="1" applyFill="1" applyBorder="1"/>
    <xf numFmtId="168" fontId="4" fillId="2" borderId="11" xfId="0" applyNumberFormat="1" applyFont="1" applyFill="1" applyBorder="1"/>
    <xf numFmtId="0" fontId="11" fillId="12" borderId="0" xfId="0" applyFont="1" applyFill="1"/>
    <xf numFmtId="0" fontId="4" fillId="7" borderId="12" xfId="0" applyFont="1" applyFill="1" applyBorder="1"/>
    <xf numFmtId="0" fontId="4" fillId="3" borderId="12" xfId="0" applyFont="1" applyFill="1" applyBorder="1"/>
    <xf numFmtId="0" fontId="4" fillId="0" borderId="12" xfId="0" applyFont="1" applyBorder="1"/>
    <xf numFmtId="168" fontId="0" fillId="5" borderId="14" xfId="0" applyNumberFormat="1" applyFill="1" applyBorder="1"/>
    <xf numFmtId="168" fontId="0" fillId="5" borderId="13" xfId="0" applyNumberFormat="1" applyFill="1" applyBorder="1"/>
    <xf numFmtId="168" fontId="0" fillId="5" borderId="6" xfId="0" applyNumberFormat="1" applyFill="1" applyBorder="1"/>
    <xf numFmtId="168" fontId="4" fillId="5" borderId="12" xfId="0" applyNumberFormat="1" applyFont="1" applyFill="1" applyBorder="1"/>
    <xf numFmtId="0" fontId="4" fillId="2" borderId="13" xfId="0" applyFont="1" applyFill="1" applyBorder="1"/>
    <xf numFmtId="0" fontId="0" fillId="2" borderId="15" xfId="0" applyFill="1" applyBorder="1"/>
    <xf numFmtId="168" fontId="5" fillId="6" borderId="0" xfId="0" applyNumberFormat="1" applyFont="1" applyFill="1"/>
    <xf numFmtId="0" fontId="2" fillId="9" borderId="0" xfId="0" applyFont="1" applyFill="1" applyAlignment="1">
      <alignment horizontal="right"/>
    </xf>
    <xf numFmtId="0" fontId="0" fillId="8" borderId="0" xfId="0" applyFill="1"/>
    <xf numFmtId="0" fontId="7" fillId="8" borderId="0" xfId="0" applyFont="1" applyFill="1"/>
    <xf numFmtId="0" fontId="12" fillId="8" borderId="0" xfId="0" applyFont="1" applyFill="1"/>
    <xf numFmtId="0" fontId="13" fillId="8" borderId="0" xfId="0" applyFont="1" applyFill="1"/>
    <xf numFmtId="0" fontId="14" fillId="8" borderId="0" xfId="0" applyFont="1" applyFill="1"/>
    <xf numFmtId="0" fontId="15" fillId="8" borderId="0" xfId="0" applyFont="1" applyFill="1"/>
    <xf numFmtId="0" fontId="4" fillId="5" borderId="0" xfId="0" quotePrefix="1" applyFont="1" applyFill="1" applyAlignment="1">
      <alignment horizontal="center"/>
    </xf>
    <xf numFmtId="0" fontId="5" fillId="5" borderId="0" xfId="0" applyFont="1" applyFill="1" applyAlignment="1">
      <alignment horizontal="right"/>
    </xf>
    <xf numFmtId="170" fontId="0" fillId="5" borderId="0" xfId="2" applyNumberFormat="1" applyFont="1" applyFill="1"/>
    <xf numFmtId="0" fontId="17" fillId="8" borderId="0" xfId="0" applyFont="1" applyFill="1"/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0" fillId="11" borderId="0" xfId="0" applyFill="1" applyAlignment="1">
      <alignment horizont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hyperlink" Target="https://sweatyourassets.biz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0</xdr:colOff>
      <xdr:row>16</xdr:row>
      <xdr:rowOff>88900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4F08F-B762-A042-B6C5-ADB30DE89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03200"/>
          <a:ext cx="6604000" cy="3136900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18</xdr:row>
      <xdr:rowOff>101600</xdr:rowOff>
    </xdr:from>
    <xdr:to>
      <xdr:col>10</xdr:col>
      <xdr:colOff>330200</xdr:colOff>
      <xdr:row>37</xdr:row>
      <xdr:rowOff>269875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2D4341-8C93-CF4F-9AF9-6876D95C2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3759200"/>
          <a:ext cx="7772400" cy="437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217714</xdr:colOff>
      <xdr:row>1</xdr:row>
      <xdr:rowOff>190499</xdr:rowOff>
    </xdr:from>
    <xdr:to>
      <xdr:col>11</xdr:col>
      <xdr:colOff>52614</xdr:colOff>
      <xdr:row>15</xdr:row>
      <xdr:rowOff>181427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F76824-EB7C-F141-8575-E0D07A824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14" y="988785"/>
          <a:ext cx="3136900" cy="33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3534-B6E7-4E43-8308-0C15C10BA0BC}">
  <dimension ref="B21:R39"/>
  <sheetViews>
    <sheetView topLeftCell="A10" zoomScaleNormal="100" workbookViewId="0">
      <selection activeCell="Q25" sqref="Q25"/>
    </sheetView>
  </sheetViews>
  <sheetFormatPr defaultColWidth="10.875" defaultRowHeight="15.75"/>
  <cols>
    <col min="1" max="16384" width="10.875" style="155"/>
  </cols>
  <sheetData>
    <row r="21" spans="2:18" ht="23.25">
      <c r="B21" s="159"/>
      <c r="C21" s="157"/>
      <c r="D21" s="157"/>
      <c r="E21" s="157"/>
      <c r="F21" s="157"/>
      <c r="G21" s="157"/>
      <c r="H21" s="157"/>
      <c r="M21" s="159"/>
      <c r="N21" s="157"/>
      <c r="O21" s="157"/>
      <c r="P21" s="157"/>
      <c r="Q21" s="157"/>
      <c r="R21" s="157"/>
    </row>
    <row r="22" spans="2:18" ht="27" customHeight="1">
      <c r="B22" s="160"/>
      <c r="C22" s="156"/>
      <c r="D22" s="156"/>
      <c r="E22" s="156"/>
      <c r="M22" s="160"/>
      <c r="N22" s="156"/>
      <c r="O22" s="156"/>
      <c r="P22" s="156"/>
    </row>
    <row r="37" spans="3:10" ht="23.25">
      <c r="C37" s="159"/>
      <c r="D37" s="157"/>
    </row>
    <row r="38" spans="3:10" ht="46.5">
      <c r="C38" s="158"/>
      <c r="D38" s="158"/>
      <c r="E38" s="164"/>
      <c r="F38" s="164"/>
      <c r="G38" s="164"/>
      <c r="H38" s="164"/>
      <c r="I38" s="164"/>
      <c r="J38" s="164"/>
    </row>
    <row r="39" spans="3:10" ht="46.5">
      <c r="C39" s="164"/>
      <c r="D39" s="164"/>
      <c r="E39" s="164"/>
      <c r="F39" s="164"/>
      <c r="G39" s="164"/>
      <c r="H39" s="164"/>
      <c r="I39" s="164"/>
      <c r="J39" s="164"/>
    </row>
  </sheetData>
  <sheetProtection algorithmName="SHA-512" hashValue="Z4bragadl9JAWWL9lSV6iDabe8kf+68WBDDQM9nF3A3pHVu8UvB1gPQbtnK7qNOClt0aaxXiuoYRThL5PU9wuA==" saltValue="OusybQUn/lqTL0h6qvT9gg==" spinCount="100000" sheet="1" objects="1" scenarios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66EB-DE15-9545-A8F0-F785D3070FC7}">
  <dimension ref="A1:AR85"/>
  <sheetViews>
    <sheetView topLeftCell="A13" zoomScale="140" zoomScaleNormal="140" workbookViewId="0">
      <selection activeCell="B26" sqref="B26"/>
    </sheetView>
  </sheetViews>
  <sheetFormatPr defaultColWidth="11" defaultRowHeight="15.75" outlineLevelCol="1"/>
  <cols>
    <col min="1" max="1" width="4.375" customWidth="1"/>
    <col min="2" max="2" width="16.375" bestFit="1" customWidth="1"/>
    <col min="3" max="3" width="18.625" bestFit="1" customWidth="1"/>
    <col min="4" max="4" width="13.875" bestFit="1" customWidth="1"/>
    <col min="5" max="5" width="4.5" customWidth="1"/>
    <col min="6" max="6" width="48.375" bestFit="1" customWidth="1" outlineLevel="1"/>
    <col min="7" max="7" width="5" customWidth="1"/>
    <col min="15" max="44" width="10.875" style="16"/>
  </cols>
  <sheetData>
    <row r="1" spans="1:44"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>
      <c r="A2" s="16"/>
      <c r="B2" s="28" t="s">
        <v>22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44" ht="28.5">
      <c r="A3" s="16"/>
      <c r="B3" s="95" t="s">
        <v>178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4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44">
      <c r="A5" s="16"/>
      <c r="B5" s="31" t="s">
        <v>0</v>
      </c>
      <c r="C5" s="17" t="s">
        <v>4</v>
      </c>
      <c r="D5" s="16"/>
      <c r="E5" s="16"/>
      <c r="F5" s="106" t="s">
        <v>24</v>
      </c>
      <c r="G5" s="16"/>
      <c r="H5" s="16"/>
      <c r="I5" s="16"/>
      <c r="J5" s="16"/>
      <c r="K5" s="16"/>
      <c r="L5" s="16"/>
      <c r="M5" s="16"/>
      <c r="N5" s="16"/>
    </row>
    <row r="6" spans="1:44">
      <c r="A6" s="16"/>
      <c r="B6" s="26">
        <v>1000</v>
      </c>
      <c r="C6" s="19">
        <f>B6/B8</f>
        <v>0.66666666666666663</v>
      </c>
      <c r="D6" s="20" t="s">
        <v>2</v>
      </c>
      <c r="E6" s="21"/>
      <c r="F6" s="108" t="s">
        <v>182</v>
      </c>
      <c r="G6" s="16"/>
      <c r="H6" s="16"/>
      <c r="I6" s="16"/>
      <c r="J6" s="16"/>
      <c r="K6" s="16"/>
      <c r="L6" s="16"/>
      <c r="M6" s="16"/>
      <c r="N6" s="16"/>
    </row>
    <row r="7" spans="1:44">
      <c r="A7" s="16"/>
      <c r="B7" s="26">
        <v>500</v>
      </c>
      <c r="C7" s="19">
        <f>B7/B8</f>
        <v>0.33333333333333331</v>
      </c>
      <c r="D7" s="20" t="s">
        <v>3</v>
      </c>
      <c r="E7" s="21"/>
      <c r="F7" s="108" t="s">
        <v>185</v>
      </c>
      <c r="G7" s="16"/>
      <c r="H7" s="16"/>
      <c r="I7" s="16"/>
      <c r="J7" s="16"/>
      <c r="K7" s="16"/>
      <c r="L7" s="16"/>
      <c r="M7" s="16"/>
      <c r="N7" s="16"/>
    </row>
    <row r="8" spans="1:44">
      <c r="B8" s="22">
        <f>SUM(B6:B7)</f>
        <v>1500</v>
      </c>
      <c r="C8" s="17" t="s">
        <v>1</v>
      </c>
      <c r="D8" s="16"/>
      <c r="E8" s="16"/>
      <c r="F8" s="108" t="s">
        <v>186</v>
      </c>
      <c r="G8" s="16"/>
      <c r="H8" s="16"/>
      <c r="I8" s="16"/>
      <c r="J8" s="16"/>
      <c r="K8" s="16"/>
      <c r="L8" s="16"/>
      <c r="M8" s="16"/>
      <c r="N8" s="16"/>
    </row>
    <row r="9" spans="1:44">
      <c r="A9" s="16"/>
      <c r="B9" s="16"/>
      <c r="C9" s="16"/>
      <c r="D9" s="16"/>
      <c r="E9" s="16"/>
      <c r="F9" s="109"/>
      <c r="G9" s="16"/>
      <c r="H9" s="16"/>
      <c r="I9" s="16"/>
      <c r="J9" s="16"/>
      <c r="K9" s="16"/>
      <c r="L9" s="16"/>
      <c r="M9" s="16"/>
      <c r="N9" s="16"/>
    </row>
    <row r="10" spans="1:44" ht="28.5">
      <c r="A10" s="16"/>
      <c r="B10" s="132" t="s">
        <v>23</v>
      </c>
      <c r="C10" s="31"/>
      <c r="D10" s="16"/>
      <c r="E10" s="16"/>
      <c r="F10" s="109"/>
      <c r="G10" s="16"/>
      <c r="H10" s="16"/>
      <c r="I10" s="16"/>
      <c r="J10" s="16"/>
      <c r="K10" s="16"/>
      <c r="L10" s="16"/>
      <c r="M10" s="16"/>
      <c r="N10" s="16"/>
    </row>
    <row r="11" spans="1:44">
      <c r="A11" s="16"/>
      <c r="B11" s="24" t="s">
        <v>17</v>
      </c>
      <c r="C11" s="34">
        <v>1</v>
      </c>
      <c r="D11" s="16"/>
      <c r="E11" s="16"/>
      <c r="F11" s="109"/>
      <c r="G11" s="16"/>
      <c r="H11" s="16"/>
      <c r="I11" s="16"/>
      <c r="J11" s="16"/>
      <c r="K11" s="16"/>
      <c r="L11" s="16"/>
      <c r="M11" s="16"/>
      <c r="N11" s="16"/>
    </row>
    <row r="12" spans="1:44">
      <c r="A12" s="16"/>
      <c r="B12" s="16"/>
      <c r="C12" s="16"/>
      <c r="D12" s="16"/>
      <c r="E12" s="16"/>
      <c r="F12" s="109"/>
      <c r="G12" s="16"/>
      <c r="H12" s="16"/>
      <c r="I12" s="16"/>
      <c r="J12" s="16"/>
      <c r="K12" s="16"/>
      <c r="L12" s="16"/>
      <c r="M12" s="16"/>
      <c r="N12" s="16"/>
    </row>
    <row r="13" spans="1:44" ht="28.5">
      <c r="A13" s="16"/>
      <c r="B13" s="132" t="s">
        <v>176</v>
      </c>
      <c r="C13" s="16"/>
      <c r="D13" s="16"/>
      <c r="E13" s="16"/>
      <c r="F13" s="106"/>
      <c r="G13" s="16"/>
      <c r="H13" s="16"/>
      <c r="I13" s="16"/>
      <c r="J13" s="16"/>
      <c r="K13" s="16"/>
      <c r="L13" s="16"/>
      <c r="M13" s="16"/>
      <c r="N13" s="16"/>
    </row>
    <row r="14" spans="1:44">
      <c r="A14" s="16"/>
      <c r="B14" s="27">
        <v>1000</v>
      </c>
      <c r="C14" s="24"/>
      <c r="D14" s="20" t="s">
        <v>2</v>
      </c>
      <c r="E14" s="21"/>
      <c r="F14" s="108" t="s">
        <v>177</v>
      </c>
      <c r="G14" s="16"/>
      <c r="H14" s="16"/>
      <c r="I14" s="16"/>
      <c r="J14" s="16"/>
      <c r="K14" s="16"/>
      <c r="L14" s="16"/>
      <c r="M14" s="16"/>
      <c r="N14" s="16"/>
    </row>
    <row r="15" spans="1:44">
      <c r="A15" s="16"/>
      <c r="B15" s="27">
        <v>500</v>
      </c>
      <c r="C15" s="20"/>
      <c r="D15" s="20" t="s">
        <v>3</v>
      </c>
      <c r="E15" s="21"/>
      <c r="F15" s="108" t="s">
        <v>113</v>
      </c>
      <c r="G15" s="16"/>
      <c r="H15" s="16"/>
      <c r="I15" s="16"/>
      <c r="J15" s="16"/>
      <c r="K15" s="16"/>
      <c r="L15" s="16"/>
      <c r="M15" s="16"/>
      <c r="N15" s="16"/>
    </row>
    <row r="16" spans="1:44">
      <c r="B16" s="25">
        <f>SUM(B14:B15)</f>
        <v>1500</v>
      </c>
      <c r="C16" s="35" t="s">
        <v>1</v>
      </c>
      <c r="D16" s="16"/>
      <c r="E16" s="16"/>
      <c r="F16" s="108" t="s">
        <v>183</v>
      </c>
      <c r="G16" s="16"/>
      <c r="H16" s="16"/>
      <c r="I16" s="16"/>
      <c r="J16" s="16"/>
      <c r="K16" s="16"/>
      <c r="L16" s="16"/>
      <c r="M16" s="16"/>
      <c r="N16" s="16"/>
    </row>
    <row r="17" spans="1:14">
      <c r="A17" s="16"/>
      <c r="B17" s="16"/>
      <c r="C17" s="16"/>
      <c r="D17" s="16"/>
      <c r="E17" s="16"/>
      <c r="F17" s="109"/>
      <c r="G17" s="16"/>
      <c r="H17" s="16"/>
      <c r="I17" s="16"/>
      <c r="J17" s="16"/>
      <c r="K17" s="16"/>
      <c r="L17" s="16"/>
      <c r="M17" s="16"/>
      <c r="N17" s="16"/>
    </row>
    <row r="18" spans="1:14">
      <c r="A18" s="16"/>
      <c r="B18" s="16"/>
      <c r="C18" s="16"/>
      <c r="D18" s="16"/>
      <c r="E18" s="16"/>
      <c r="F18" s="109"/>
      <c r="G18" s="16"/>
      <c r="H18" s="16"/>
      <c r="I18" s="16"/>
      <c r="J18" s="16"/>
      <c r="K18" s="16"/>
      <c r="L18" s="16"/>
      <c r="M18" s="16"/>
      <c r="N18" s="16"/>
    </row>
    <row r="19" spans="1:14" ht="28.5">
      <c r="A19" s="16"/>
      <c r="B19" s="95" t="s">
        <v>164</v>
      </c>
      <c r="C19" s="16"/>
      <c r="D19" s="16"/>
      <c r="E19" s="16"/>
      <c r="F19" s="109"/>
      <c r="G19" s="16"/>
      <c r="H19" s="16"/>
      <c r="I19" s="16"/>
      <c r="J19" s="16"/>
      <c r="K19" s="16"/>
      <c r="L19" s="16"/>
      <c r="M19" s="16"/>
      <c r="N19" s="16"/>
    </row>
    <row r="20" spans="1:14">
      <c r="A20" s="16"/>
      <c r="B20" s="31" t="s">
        <v>15</v>
      </c>
      <c r="C20" s="17" t="s">
        <v>7</v>
      </c>
      <c r="D20" s="17" t="s">
        <v>69</v>
      </c>
      <c r="E20" s="17"/>
      <c r="F20" s="108" t="s">
        <v>184</v>
      </c>
      <c r="G20" s="16"/>
      <c r="H20" s="16"/>
      <c r="I20" s="16"/>
      <c r="J20" s="16"/>
      <c r="K20" s="16"/>
      <c r="L20" s="16"/>
      <c r="M20" s="16"/>
      <c r="N20" s="16"/>
    </row>
    <row r="21" spans="1:14">
      <c r="A21" s="16"/>
      <c r="B21" s="27">
        <v>250</v>
      </c>
      <c r="C21" s="50">
        <v>0.1</v>
      </c>
      <c r="D21" s="49">
        <f>C21*B21</f>
        <v>25</v>
      </c>
      <c r="E21" s="134"/>
      <c r="F21" s="108" t="s">
        <v>187</v>
      </c>
      <c r="G21" s="16"/>
      <c r="H21" s="16"/>
      <c r="I21" s="16"/>
      <c r="J21" s="16"/>
      <c r="K21" s="16"/>
      <c r="L21" s="16"/>
      <c r="M21" s="16"/>
      <c r="N21" s="16"/>
    </row>
    <row r="22" spans="1:14">
      <c r="A22" s="16"/>
      <c r="B22" s="16"/>
      <c r="C22" s="16"/>
      <c r="D22" s="16"/>
      <c r="E22" s="16"/>
      <c r="F22" s="165" t="s">
        <v>188</v>
      </c>
      <c r="G22" s="16"/>
      <c r="H22" s="16"/>
      <c r="I22" s="16"/>
      <c r="J22" s="16"/>
      <c r="K22" s="16"/>
      <c r="L22" s="16"/>
      <c r="M22" s="16"/>
      <c r="N22" s="16"/>
    </row>
    <row r="23" spans="1:14">
      <c r="A23" s="16"/>
      <c r="B23" s="16"/>
      <c r="C23" s="16"/>
      <c r="D23" s="16"/>
      <c r="E23" s="16"/>
      <c r="F23" s="165"/>
      <c r="G23" s="16"/>
      <c r="H23" s="16"/>
      <c r="I23" s="16"/>
      <c r="J23" s="16"/>
      <c r="K23" s="16"/>
      <c r="L23" s="16"/>
      <c r="M23" s="16"/>
      <c r="N23" s="16"/>
    </row>
    <row r="24" spans="1:14" ht="28.5">
      <c r="A24" s="16"/>
      <c r="B24" s="95" t="s">
        <v>165</v>
      </c>
      <c r="C24" s="131"/>
      <c r="D24" s="16"/>
      <c r="E24" s="16"/>
      <c r="F24" s="165"/>
      <c r="G24" s="16"/>
      <c r="H24" s="16"/>
      <c r="I24" s="16"/>
      <c r="J24" s="16"/>
      <c r="K24" s="16"/>
      <c r="L24" s="16"/>
      <c r="M24" s="16"/>
      <c r="N24" s="16"/>
    </row>
    <row r="25" spans="1:14">
      <c r="A25" s="16"/>
      <c r="B25" s="24">
        <v>0</v>
      </c>
      <c r="C25" s="24"/>
      <c r="D25" s="20" t="s">
        <v>2</v>
      </c>
      <c r="E25" s="21"/>
      <c r="F25" s="109"/>
      <c r="G25" s="16"/>
      <c r="H25" s="16"/>
      <c r="I25" s="16"/>
      <c r="J25" s="16"/>
      <c r="K25" s="16"/>
      <c r="L25" s="16"/>
      <c r="M25" s="16"/>
      <c r="N25" s="16"/>
    </row>
    <row r="26" spans="1:14">
      <c r="A26" s="16"/>
      <c r="B26" s="23">
        <f>B7</f>
        <v>500</v>
      </c>
      <c r="C26" s="20" t="s">
        <v>5</v>
      </c>
      <c r="D26" s="20" t="s">
        <v>3</v>
      </c>
      <c r="E26" s="21"/>
      <c r="F26" s="108" t="s">
        <v>6</v>
      </c>
      <c r="G26" s="16"/>
      <c r="H26" s="16"/>
      <c r="I26" s="16"/>
      <c r="J26" s="16"/>
      <c r="K26" s="16"/>
      <c r="L26" s="16"/>
      <c r="M26" s="16"/>
      <c r="N26" s="16"/>
    </row>
    <row r="27" spans="1:14">
      <c r="A27" s="16"/>
      <c r="B27" s="23">
        <f>B21</f>
        <v>250</v>
      </c>
      <c r="C27" s="20" t="s">
        <v>5</v>
      </c>
      <c r="D27" s="20" t="s">
        <v>20</v>
      </c>
      <c r="E27" s="21"/>
      <c r="F27" s="108" t="s">
        <v>163</v>
      </c>
      <c r="G27" s="16"/>
      <c r="H27" s="16"/>
      <c r="I27" s="16"/>
      <c r="J27" s="16"/>
      <c r="K27" s="16"/>
      <c r="L27" s="16"/>
      <c r="M27" s="16"/>
      <c r="N27" s="16"/>
    </row>
    <row r="28" spans="1:14">
      <c r="B28" s="133">
        <f>SUM(B25:B27)</f>
        <v>750</v>
      </c>
      <c r="C28" s="17" t="s">
        <v>21</v>
      </c>
      <c r="D28" s="16"/>
      <c r="E28" s="16"/>
      <c r="F28" s="109"/>
      <c r="G28" s="16"/>
      <c r="H28" s="16"/>
      <c r="I28" s="16"/>
      <c r="J28" s="16"/>
      <c r="K28" s="16"/>
      <c r="L28" s="16"/>
      <c r="M28" s="16"/>
      <c r="N28" s="16"/>
    </row>
    <row r="29" spans="1:1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14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spans="1:1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spans="1:1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</sheetData>
  <mergeCells count="1">
    <mergeCell ref="F22:F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2791-590E-AB4B-95E9-145E274F134B}">
  <dimension ref="A1:R49"/>
  <sheetViews>
    <sheetView topLeftCell="A9" zoomScale="150" zoomScaleNormal="150" workbookViewId="0">
      <selection activeCell="I22" sqref="I22"/>
    </sheetView>
  </sheetViews>
  <sheetFormatPr defaultColWidth="11" defaultRowHeight="15.75" outlineLevelCol="1"/>
  <cols>
    <col min="1" max="1" width="3.125" customWidth="1"/>
    <col min="2" max="2" width="17.5" bestFit="1" customWidth="1"/>
    <col min="3" max="3" width="12.5" bestFit="1" customWidth="1"/>
    <col min="4" max="4" width="3" customWidth="1"/>
    <col min="5" max="5" width="17.5" bestFit="1" customWidth="1"/>
    <col min="7" max="7" width="3.125" customWidth="1"/>
    <col min="8" max="8" width="10.625" customWidth="1" outlineLevel="1"/>
    <col min="9" max="11" width="11" customWidth="1" outlineLevel="1"/>
    <col min="12" max="12" width="11" style="16" customWidth="1" outlineLevel="1"/>
    <col min="13" max="13" width="13" style="16" customWidth="1" outlineLevel="1"/>
    <col min="14" max="18" width="10.875" style="16"/>
  </cols>
  <sheetData>
    <row r="1" spans="1:13" s="16" customFormat="1" ht="28.5">
      <c r="B1" s="95" t="s">
        <v>179</v>
      </c>
    </row>
    <row r="2" spans="1:1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3">
      <c r="A3" s="16"/>
      <c r="B3" s="31" t="s">
        <v>8</v>
      </c>
      <c r="C3" s="21" t="s">
        <v>19</v>
      </c>
      <c r="D3" s="16"/>
      <c r="E3" s="16"/>
      <c r="F3" s="16"/>
      <c r="G3" s="16"/>
      <c r="H3" s="16"/>
      <c r="I3" s="16"/>
      <c r="J3" s="16"/>
      <c r="K3" s="16"/>
    </row>
    <row r="4" spans="1:13">
      <c r="A4" s="16"/>
      <c r="B4" s="4" t="s">
        <v>9</v>
      </c>
      <c r="C4" s="13">
        <f>START!B28</f>
        <v>750</v>
      </c>
      <c r="D4" s="16"/>
      <c r="E4" s="16"/>
      <c r="F4" s="16"/>
      <c r="G4" s="16"/>
      <c r="H4" s="128" t="s">
        <v>190</v>
      </c>
      <c r="I4" s="128"/>
      <c r="J4" s="128"/>
      <c r="K4" s="128"/>
      <c r="L4" s="128"/>
      <c r="M4" s="128"/>
    </row>
    <row r="5" spans="1:13">
      <c r="A5" s="16"/>
      <c r="B5" s="4" t="s">
        <v>10</v>
      </c>
      <c r="C5" s="13">
        <v>0</v>
      </c>
      <c r="D5" s="16"/>
      <c r="E5" s="16"/>
      <c r="F5" s="16"/>
      <c r="G5" s="16"/>
      <c r="H5" s="16"/>
      <c r="I5" s="16"/>
      <c r="J5" s="16"/>
      <c r="K5" s="16"/>
    </row>
    <row r="6" spans="1:13">
      <c r="A6" s="16"/>
      <c r="B6" s="4" t="s">
        <v>11</v>
      </c>
      <c r="C6" s="13">
        <v>0</v>
      </c>
      <c r="D6" s="16"/>
      <c r="E6" s="16"/>
      <c r="F6" s="16"/>
      <c r="G6" s="16"/>
      <c r="H6" s="16"/>
      <c r="I6" s="16"/>
      <c r="J6" s="16"/>
      <c r="K6" s="16"/>
    </row>
    <row r="7" spans="1:13" ht="16.5" thickBot="1">
      <c r="A7" s="16"/>
      <c r="B7" s="5" t="s">
        <v>12</v>
      </c>
      <c r="C7" s="15">
        <f>START!B14</f>
        <v>1000</v>
      </c>
      <c r="D7" s="16"/>
      <c r="E7" s="16"/>
      <c r="F7" s="16"/>
      <c r="G7" s="16"/>
      <c r="H7" s="109" t="s">
        <v>168</v>
      </c>
      <c r="I7" s="109"/>
      <c r="J7" s="109"/>
      <c r="K7" s="109"/>
      <c r="L7" s="109"/>
      <c r="M7" s="109"/>
    </row>
    <row r="8" spans="1:13" ht="16.5" thickTop="1">
      <c r="A8" s="16"/>
      <c r="B8" s="135" t="s">
        <v>13</v>
      </c>
      <c r="C8" s="14">
        <f>SUM(C4:C7)</f>
        <v>1750</v>
      </c>
      <c r="D8" s="16"/>
      <c r="E8" s="16"/>
      <c r="F8" s="16"/>
      <c r="G8" s="16"/>
      <c r="H8" s="109" t="s">
        <v>169</v>
      </c>
      <c r="I8" s="109"/>
      <c r="J8" s="109"/>
      <c r="K8" s="109"/>
      <c r="L8" s="109"/>
      <c r="M8" s="109"/>
    </row>
    <row r="9" spans="1:13">
      <c r="A9" s="16"/>
      <c r="B9" s="4"/>
      <c r="C9" s="4"/>
      <c r="D9" s="16"/>
      <c r="E9" s="16"/>
      <c r="F9" s="16"/>
      <c r="G9" s="16"/>
      <c r="H9" s="109" t="s">
        <v>170</v>
      </c>
      <c r="I9" s="109"/>
      <c r="J9" s="109"/>
      <c r="K9" s="109"/>
      <c r="L9" s="109"/>
      <c r="M9" s="109"/>
    </row>
    <row r="10" spans="1:1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3">
      <c r="A12" s="16"/>
      <c r="B12" s="31" t="s">
        <v>14</v>
      </c>
      <c r="C12" s="21" t="s">
        <v>19</v>
      </c>
      <c r="D12" s="16"/>
      <c r="E12" s="16"/>
      <c r="F12" s="16"/>
      <c r="G12" s="16"/>
      <c r="H12" s="16"/>
      <c r="I12" s="16"/>
      <c r="J12" s="16"/>
      <c r="K12" s="16"/>
    </row>
    <row r="13" spans="1:13" ht="16.5" thickBot="1">
      <c r="A13" s="16"/>
      <c r="B13" s="9" t="s">
        <v>15</v>
      </c>
      <c r="C13" s="29">
        <f>START!B21</f>
        <v>250</v>
      </c>
      <c r="D13" s="16"/>
      <c r="E13" s="16"/>
      <c r="F13" s="16"/>
      <c r="G13" s="16"/>
      <c r="H13" s="16"/>
      <c r="I13" s="16"/>
      <c r="J13" s="16"/>
      <c r="K13" s="16"/>
    </row>
    <row r="14" spans="1:13" ht="16.5" thickTop="1">
      <c r="A14" s="16"/>
      <c r="B14" s="136" t="s">
        <v>18</v>
      </c>
      <c r="C14" s="36">
        <f>C13</f>
        <v>250</v>
      </c>
      <c r="D14" s="16"/>
      <c r="E14" s="16"/>
      <c r="F14" s="16"/>
      <c r="G14" s="16"/>
      <c r="H14" s="16"/>
      <c r="I14" s="16"/>
      <c r="J14" s="16"/>
      <c r="K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3">
      <c r="A17" s="16"/>
      <c r="B17" s="137" t="s">
        <v>16</v>
      </c>
      <c r="C17" s="37">
        <f>START!B16</f>
        <v>1500</v>
      </c>
      <c r="D17" s="16"/>
      <c r="E17" s="16"/>
      <c r="F17" s="16"/>
      <c r="G17" s="16"/>
      <c r="H17" s="128" t="s">
        <v>189</v>
      </c>
      <c r="I17" s="128"/>
      <c r="J17" s="128"/>
      <c r="K17" s="128"/>
      <c r="L17" s="128"/>
      <c r="M17" s="128"/>
    </row>
    <row r="18" spans="1:13">
      <c r="A18" s="16"/>
      <c r="B18" s="6" t="s">
        <v>17</v>
      </c>
      <c r="C18" s="30">
        <v>1</v>
      </c>
      <c r="D18" s="16"/>
      <c r="E18" s="16"/>
      <c r="F18" s="16"/>
      <c r="G18" s="16"/>
      <c r="H18" s="16"/>
      <c r="I18" s="16"/>
      <c r="J18" s="16"/>
      <c r="K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3" ht="16.5" thickBot="1">
      <c r="A21" s="16"/>
      <c r="B21" s="17" t="s">
        <v>30</v>
      </c>
      <c r="C21" s="16"/>
      <c r="D21" s="16"/>
      <c r="E21" s="16"/>
      <c r="F21" s="16"/>
      <c r="G21" s="16"/>
      <c r="H21" s="16"/>
      <c r="I21" s="16"/>
      <c r="J21" s="16"/>
      <c r="K21" s="16"/>
    </row>
    <row r="22" spans="1:13" ht="16.5" thickBot="1">
      <c r="A22" s="16"/>
      <c r="B22" s="43" t="s">
        <v>25</v>
      </c>
      <c r="C22" s="44">
        <f>C8</f>
        <v>1750</v>
      </c>
      <c r="D22" s="16"/>
      <c r="E22" s="41" t="s">
        <v>26</v>
      </c>
      <c r="F22" s="42">
        <f>C14</f>
        <v>250</v>
      </c>
      <c r="G22" s="16"/>
      <c r="H22" s="140">
        <f>F22/F24</f>
        <v>0.14285714285714285</v>
      </c>
      <c r="I22" s="128" t="s">
        <v>167</v>
      </c>
      <c r="J22" s="128"/>
      <c r="K22" s="16"/>
    </row>
    <row r="23" spans="1:13" ht="16.5" thickBot="1">
      <c r="A23" s="16"/>
      <c r="B23" s="45"/>
      <c r="C23" s="46"/>
      <c r="D23" s="16"/>
      <c r="E23" s="39" t="s">
        <v>27</v>
      </c>
      <c r="F23" s="40">
        <f>C17</f>
        <v>1500</v>
      </c>
      <c r="G23" s="16"/>
      <c r="H23" s="140">
        <f>F22/F23</f>
        <v>0.16666666666666666</v>
      </c>
      <c r="I23" s="128" t="s">
        <v>166</v>
      </c>
      <c r="J23" s="128"/>
      <c r="K23" s="16"/>
    </row>
    <row r="24" spans="1:13" ht="16.5" thickBot="1">
      <c r="A24" s="16"/>
      <c r="B24" s="141" t="s">
        <v>28</v>
      </c>
      <c r="C24" s="142">
        <f>C22</f>
        <v>1750</v>
      </c>
      <c r="D24" s="16"/>
      <c r="E24" s="138" t="s">
        <v>29</v>
      </c>
      <c r="F24" s="139">
        <f>F22+F23</f>
        <v>1750</v>
      </c>
      <c r="G24" s="53"/>
      <c r="H24" s="16"/>
      <c r="I24" s="16"/>
      <c r="J24" s="16"/>
      <c r="K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3" s="16" customFormat="1"/>
    <row r="30" spans="1:13" s="16" customFormat="1"/>
    <row r="31" spans="1:13" s="16" customFormat="1"/>
    <row r="32" spans="1:13" s="16" customFormat="1"/>
    <row r="33" s="16" customFormat="1"/>
    <row r="34" s="16" customFormat="1"/>
    <row r="35" s="16" customFormat="1"/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  <row r="43" s="16" customFormat="1"/>
    <row r="44" s="16" customFormat="1"/>
    <row r="45" s="16" customFormat="1"/>
    <row r="46" s="16" customFormat="1"/>
    <row r="47" s="16" customFormat="1"/>
    <row r="48" s="16" customFormat="1"/>
    <row r="49" s="16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1FFF-9D55-AC45-AA2A-950801FEA1DE}">
  <dimension ref="A1:W61"/>
  <sheetViews>
    <sheetView zoomScale="130" zoomScaleNormal="130" workbookViewId="0">
      <selection activeCell="C11" sqref="C11"/>
    </sheetView>
  </sheetViews>
  <sheetFormatPr defaultColWidth="11" defaultRowHeight="15.75"/>
  <cols>
    <col min="1" max="1" width="3.375" style="77" customWidth="1"/>
    <col min="2" max="2" width="31.375" bestFit="1" customWidth="1"/>
    <col min="4" max="4" width="7.875" customWidth="1"/>
    <col min="5" max="5" width="27" bestFit="1" customWidth="1"/>
    <col min="6" max="6" width="9.875" customWidth="1"/>
    <col min="7" max="7" width="35.875" customWidth="1"/>
    <col min="9" max="9" width="7.125" customWidth="1"/>
  </cols>
  <sheetData>
    <row r="1" spans="1:23">
      <c r="B1" s="28" t="s">
        <v>22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>
      <c r="B2" s="7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28.5">
      <c r="A3" s="77" t="s">
        <v>39</v>
      </c>
      <c r="B3" s="143" t="s">
        <v>180</v>
      </c>
      <c r="C3" s="16"/>
      <c r="D3" s="16"/>
      <c r="E3" s="16"/>
      <c r="F3" s="77" t="s">
        <v>40</v>
      </c>
      <c r="G3" s="143" t="s">
        <v>192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>
      <c r="B5" s="16" t="s">
        <v>98</v>
      </c>
      <c r="C5" s="52">
        <f>'BS, Y1 DAY 1'!C4</f>
        <v>750</v>
      </c>
      <c r="D5" s="16"/>
      <c r="E5" s="16"/>
      <c r="F5" s="16"/>
      <c r="G5" s="117" t="s">
        <v>45</v>
      </c>
      <c r="H5" s="24">
        <v>50</v>
      </c>
      <c r="I5" s="24" t="s">
        <v>33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>
      <c r="B6" s="16"/>
      <c r="C6" s="16"/>
      <c r="D6" s="16"/>
      <c r="E6" s="16"/>
      <c r="F6" s="16"/>
      <c r="G6" s="117" t="s">
        <v>34</v>
      </c>
      <c r="H6" s="117">
        <v>800</v>
      </c>
      <c r="I6" s="24" t="s">
        <v>36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>
      <c r="B7" s="17" t="s">
        <v>97</v>
      </c>
      <c r="C7" s="17" t="s">
        <v>31</v>
      </c>
      <c r="D7" s="16"/>
      <c r="E7" s="127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>
      <c r="B8" s="16" t="s">
        <v>9</v>
      </c>
      <c r="C8" s="153">
        <v>250</v>
      </c>
      <c r="D8" s="16"/>
      <c r="E8" s="128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>
      <c r="B9" s="16" t="s">
        <v>10</v>
      </c>
      <c r="C9" s="153">
        <v>300</v>
      </c>
      <c r="D9" s="16"/>
      <c r="E9" s="128" t="s">
        <v>32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>
      <c r="B10" s="16" t="s">
        <v>11</v>
      </c>
      <c r="C10" s="153">
        <v>200</v>
      </c>
      <c r="D10" s="16"/>
      <c r="E10" s="128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>
      <c r="B11" s="17" t="s">
        <v>21</v>
      </c>
      <c r="C11" s="53">
        <f>SUM(C8:C10)</f>
        <v>750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>
      <c r="A13" s="77" t="s">
        <v>41</v>
      </c>
      <c r="B13" s="17" t="s">
        <v>37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>
      <c r="B14" s="17" t="s">
        <v>38</v>
      </c>
      <c r="C14" s="52">
        <f>C9+C10</f>
        <v>500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8.5">
      <c r="A17" s="77" t="s">
        <v>42</v>
      </c>
      <c r="B17" s="143" t="s">
        <v>181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>
      <c r="B19" s="3" t="s">
        <v>8</v>
      </c>
      <c r="C19" s="11" t="s">
        <v>19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B20" s="4" t="s">
        <v>9</v>
      </c>
      <c r="C20" s="13">
        <f>C8</f>
        <v>250</v>
      </c>
      <c r="D20" s="161" t="s">
        <v>191</v>
      </c>
      <c r="E20" s="166" t="s">
        <v>44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B21" s="4" t="s">
        <v>10</v>
      </c>
      <c r="C21" s="14">
        <f>C9</f>
        <v>300</v>
      </c>
      <c r="D21" s="31" t="s">
        <v>43</v>
      </c>
      <c r="E21" s="16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>
      <c r="B22" s="4" t="s">
        <v>11</v>
      </c>
      <c r="C22" s="14">
        <f>C10</f>
        <v>200</v>
      </c>
      <c r="D22" s="31" t="s">
        <v>43</v>
      </c>
      <c r="E22" s="16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6.5" thickBot="1">
      <c r="B23" s="5" t="s">
        <v>12</v>
      </c>
      <c r="C23" s="15">
        <f>'BS, Y1 DAY 1'!C7</f>
        <v>1000</v>
      </c>
      <c r="D23" s="16"/>
      <c r="E23" s="128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6.5" thickTop="1">
      <c r="B24" s="4" t="s">
        <v>13</v>
      </c>
      <c r="C24" s="14">
        <f>SUM(C20:C23)</f>
        <v>1750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B25" s="4"/>
      <c r="C25" s="4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>
      <c r="B27" s="8" t="s">
        <v>14</v>
      </c>
      <c r="C27" s="12" t="s">
        <v>19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6.5" thickBot="1">
      <c r="B28" s="9" t="s">
        <v>15</v>
      </c>
      <c r="C28" s="29">
        <f>'BS, Y1 DAY 1'!C13</f>
        <v>250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6.5" thickTop="1">
      <c r="B29" s="10" t="s">
        <v>18</v>
      </c>
      <c r="C29" s="36">
        <f>C28</f>
        <v>250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>
      <c r="B31" s="6" t="s">
        <v>16</v>
      </c>
      <c r="C31" s="37">
        <f>'BS, Y1 DAY 1'!C17</f>
        <v>1500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>
      <c r="B32" s="6" t="s">
        <v>17</v>
      </c>
      <c r="C32" s="30">
        <v>1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2:2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2:23" ht="16.5" thickBot="1">
      <c r="B34" s="17" t="s">
        <v>30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2:23" ht="16.5" thickBot="1">
      <c r="B35" s="151" t="s">
        <v>25</v>
      </c>
      <c r="C35" s="149">
        <f>C24</f>
        <v>1750</v>
      </c>
      <c r="D35" s="90"/>
      <c r="E35" s="144" t="s">
        <v>26</v>
      </c>
      <c r="F35" s="148">
        <f>C29</f>
        <v>250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2:23" ht="16.5" thickBot="1">
      <c r="B36" s="152"/>
      <c r="C36" s="92"/>
      <c r="D36" s="16"/>
      <c r="E36" s="145" t="s">
        <v>27</v>
      </c>
      <c r="F36" s="147">
        <f>C31</f>
        <v>1500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2:23" ht="16.5" thickBot="1">
      <c r="B37" s="38" t="s">
        <v>28</v>
      </c>
      <c r="C37" s="139">
        <f>C35</f>
        <v>1750</v>
      </c>
      <c r="D37" s="91"/>
      <c r="E37" s="146" t="s">
        <v>29</v>
      </c>
      <c r="F37" s="150">
        <f>SUM(F35:F36)</f>
        <v>1750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2:23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2:2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2:2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2:2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2:2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2:2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2:2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2:2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2:23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2:23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2:23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2:23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2:23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2:23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2:23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2:2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2:23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2:23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2:23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2:23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2:23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2:23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2:23"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2:23">
      <c r="B61" s="16"/>
      <c r="C61" s="16"/>
      <c r="D61" s="16"/>
      <c r="E61" s="16"/>
      <c r="F61" s="16"/>
      <c r="G61" s="16"/>
      <c r="H61" s="16"/>
      <c r="I61" s="16"/>
      <c r="J61" s="16"/>
      <c r="K61" s="16"/>
    </row>
  </sheetData>
  <mergeCells count="1">
    <mergeCell ref="E20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2105-F970-3640-8136-A58A93D0977E}">
  <dimension ref="A2:G39"/>
  <sheetViews>
    <sheetView topLeftCell="A34" zoomScale="140" zoomScaleNormal="140" workbookViewId="0">
      <selection activeCell="G26" sqref="G26"/>
    </sheetView>
  </sheetViews>
  <sheetFormatPr defaultColWidth="10.875" defaultRowHeight="15.75" outlineLevelCol="1"/>
  <cols>
    <col min="1" max="1" width="4.625" style="16" bestFit="1" customWidth="1"/>
    <col min="2" max="2" width="25.375" style="16" bestFit="1" customWidth="1"/>
    <col min="3" max="5" width="10.875" style="16"/>
    <col min="6" max="6" width="4.125" style="16" customWidth="1"/>
    <col min="7" max="7" width="55" style="16" customWidth="1" outlineLevel="1"/>
    <col min="8" max="16384" width="10.875" style="16"/>
  </cols>
  <sheetData>
    <row r="2" spans="2:7" ht="28.5">
      <c r="B2" s="95" t="s">
        <v>86</v>
      </c>
    </row>
    <row r="5" spans="2:7">
      <c r="B5" s="117" t="s">
        <v>49</v>
      </c>
      <c r="C5" s="123" t="s">
        <v>47</v>
      </c>
      <c r="D5" s="123" t="s">
        <v>48</v>
      </c>
      <c r="E5" s="117" t="s">
        <v>52</v>
      </c>
      <c r="F5" s="17"/>
      <c r="G5" s="31"/>
    </row>
    <row r="6" spans="2:7">
      <c r="B6" s="111" t="s">
        <v>46</v>
      </c>
      <c r="C6" s="20">
        <v>800</v>
      </c>
      <c r="D6" s="125">
        <v>1</v>
      </c>
      <c r="E6" s="124">
        <f>C6*D6</f>
        <v>800</v>
      </c>
      <c r="F6" s="126"/>
    </row>
    <row r="8" spans="2:7">
      <c r="B8" s="117" t="s">
        <v>50</v>
      </c>
      <c r="C8" s="123" t="s">
        <v>31</v>
      </c>
    </row>
    <row r="9" spans="2:7">
      <c r="B9" s="24" t="s">
        <v>51</v>
      </c>
      <c r="C9" s="125">
        <v>530</v>
      </c>
    </row>
    <row r="13" spans="2:7" ht="28.5">
      <c r="B13" s="95" t="s">
        <v>160</v>
      </c>
      <c r="G13" s="127" t="s">
        <v>24</v>
      </c>
    </row>
    <row r="14" spans="2:7">
      <c r="G14" s="128"/>
    </row>
    <row r="15" spans="2:7">
      <c r="B15" s="16" t="s">
        <v>53</v>
      </c>
      <c r="C15" s="16">
        <v>1</v>
      </c>
      <c r="G15" s="128"/>
    </row>
    <row r="16" spans="2:7" ht="16.5" thickBot="1">
      <c r="B16" s="54" t="s">
        <v>55</v>
      </c>
      <c r="C16" s="54">
        <v>800</v>
      </c>
      <c r="G16" s="128"/>
    </row>
    <row r="17" spans="1:7" ht="16.5" thickTop="1">
      <c r="B17" s="17" t="s">
        <v>54</v>
      </c>
      <c r="C17" s="17">
        <f>C16*C15</f>
        <v>800</v>
      </c>
      <c r="G17" s="128"/>
    </row>
    <row r="18" spans="1:7">
      <c r="G18" s="128"/>
    </row>
    <row r="19" spans="1:7" ht="16.5" thickBot="1">
      <c r="B19" s="54" t="s">
        <v>56</v>
      </c>
      <c r="C19" s="55">
        <f>D6</f>
        <v>1</v>
      </c>
      <c r="G19" s="128"/>
    </row>
    <row r="20" spans="1:7" ht="16.5" thickTop="1">
      <c r="B20" s="17" t="s">
        <v>52</v>
      </c>
      <c r="C20" s="52">
        <f>C19*C17</f>
        <v>800</v>
      </c>
      <c r="G20" s="128"/>
    </row>
    <row r="21" spans="1:7">
      <c r="G21" s="128"/>
    </row>
    <row r="22" spans="1:7">
      <c r="A22" s="16" t="s">
        <v>57</v>
      </c>
      <c r="B22" s="16" t="s">
        <v>58</v>
      </c>
      <c r="C22" s="52">
        <f>-('BS, Y! DAY 2'!C10)</f>
        <v>-200</v>
      </c>
      <c r="D22" s="162" t="s">
        <v>193</v>
      </c>
      <c r="G22" s="129" t="s">
        <v>59</v>
      </c>
    </row>
    <row r="23" spans="1:7">
      <c r="A23" s="16" t="s">
        <v>57</v>
      </c>
      <c r="B23" s="16" t="s">
        <v>60</v>
      </c>
      <c r="C23" s="52">
        <f>-('BS, Y! DAY 2'!C9/'IS, end Y1'!D23)</f>
        <v>-60</v>
      </c>
      <c r="D23" s="6">
        <v>5</v>
      </c>
      <c r="E23" s="61">
        <v>0.2</v>
      </c>
      <c r="G23" s="129" t="s">
        <v>61</v>
      </c>
    </row>
    <row r="24" spans="1:7" ht="16.5" thickBot="1">
      <c r="A24" s="16" t="s">
        <v>57</v>
      </c>
      <c r="B24" s="54" t="s">
        <v>62</v>
      </c>
      <c r="C24" s="55">
        <f>-(C9)</f>
        <v>-530</v>
      </c>
      <c r="G24" s="128"/>
    </row>
    <row r="25" spans="1:7" ht="16.5" thickTop="1">
      <c r="B25" s="17" t="s">
        <v>63</v>
      </c>
      <c r="C25" s="53">
        <f>C20+C22+C23+C24</f>
        <v>10</v>
      </c>
      <c r="G25" s="129" t="s">
        <v>199</v>
      </c>
    </row>
    <row r="26" spans="1:7">
      <c r="G26" s="128"/>
    </row>
    <row r="27" spans="1:7">
      <c r="B27" s="16" t="s">
        <v>64</v>
      </c>
      <c r="G27" s="128"/>
    </row>
    <row r="28" spans="1:7">
      <c r="B28" s="17" t="s">
        <v>66</v>
      </c>
      <c r="C28" s="163">
        <f>C25/C20</f>
        <v>1.2500000000000001E-2</v>
      </c>
      <c r="G28" s="129" t="s">
        <v>65</v>
      </c>
    </row>
    <row r="29" spans="1:7">
      <c r="G29" s="128"/>
    </row>
    <row r="30" spans="1:7" ht="16.5" thickBot="1">
      <c r="A30" s="16" t="s">
        <v>57</v>
      </c>
      <c r="B30" s="54" t="s">
        <v>67</v>
      </c>
      <c r="C30" s="57">
        <f>-(START!B21*START!C21)</f>
        <v>-25</v>
      </c>
      <c r="D30" s="94">
        <f>START!C21</f>
        <v>0.1</v>
      </c>
      <c r="G30" s="129" t="s">
        <v>68</v>
      </c>
    </row>
    <row r="31" spans="1:7" ht="16.5" thickTop="1">
      <c r="B31" s="16" t="s">
        <v>70</v>
      </c>
      <c r="C31" s="53">
        <f>C25+C30</f>
        <v>-15</v>
      </c>
      <c r="G31" s="128"/>
    </row>
    <row r="32" spans="1:7">
      <c r="G32" s="128"/>
    </row>
    <row r="33" spans="1:7">
      <c r="G33" s="128"/>
    </row>
    <row r="34" spans="1:7" ht="16.5" thickBot="1">
      <c r="A34" s="16" t="s">
        <v>57</v>
      </c>
      <c r="B34" s="54" t="s">
        <v>71</v>
      </c>
      <c r="C34" s="58">
        <f>D34*C31</f>
        <v>0</v>
      </c>
      <c r="D34" s="122"/>
      <c r="G34" s="129" t="s">
        <v>72</v>
      </c>
    </row>
    <row r="35" spans="1:7" ht="16.5" thickTop="1">
      <c r="B35" s="16" t="s">
        <v>73</v>
      </c>
      <c r="C35" s="59">
        <v>-10</v>
      </c>
      <c r="G35" s="130"/>
    </row>
    <row r="36" spans="1:7">
      <c r="G36" s="128"/>
    </row>
    <row r="37" spans="1:7">
      <c r="B37" s="16" t="s">
        <v>64</v>
      </c>
      <c r="G37" s="128"/>
    </row>
    <row r="38" spans="1:7">
      <c r="B38" s="16" t="s">
        <v>74</v>
      </c>
      <c r="C38" s="60">
        <f>C35/START!B8</f>
        <v>-6.6666666666666671E-3</v>
      </c>
      <c r="G38" s="129" t="s">
        <v>75</v>
      </c>
    </row>
    <row r="39" spans="1:7">
      <c r="G39" s="1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1220-55C3-0A4F-9628-7936168825DF}">
  <dimension ref="A1:BZ111"/>
  <sheetViews>
    <sheetView topLeftCell="O23" zoomScale="130" zoomScaleNormal="130" workbookViewId="0">
      <selection activeCell="W38" sqref="W38"/>
    </sheetView>
  </sheetViews>
  <sheetFormatPr defaultColWidth="11" defaultRowHeight="15.75" outlineLevelCol="1"/>
  <cols>
    <col min="1" max="1" width="4" style="2" customWidth="1"/>
    <col min="2" max="2" width="25.375" bestFit="1" customWidth="1"/>
    <col min="3" max="3" width="15.125" bestFit="1" customWidth="1"/>
    <col min="6" max="6" width="2.125" customWidth="1"/>
    <col min="7" max="7" width="20.875" customWidth="1" outlineLevel="1"/>
    <col min="8" max="8" width="13" customWidth="1" outlineLevel="1"/>
    <col min="9" max="10" width="10.875" customWidth="1" outlineLevel="1"/>
    <col min="11" max="11" width="3" style="16" customWidth="1" outlineLevel="1"/>
    <col min="12" max="12" width="23.375" customWidth="1" outlineLevel="1"/>
    <col min="13" max="13" width="13" customWidth="1" outlineLevel="1"/>
    <col min="14" max="15" width="10.875" customWidth="1" outlineLevel="1"/>
    <col min="16" max="16" width="3.375" style="16" customWidth="1" outlineLevel="1"/>
    <col min="17" max="17" width="23.375" customWidth="1" outlineLevel="1"/>
    <col min="18" max="18" width="13" customWidth="1" outlineLevel="1"/>
    <col min="19" max="20" width="10.875" customWidth="1" outlineLevel="1"/>
    <col min="21" max="21" width="3.375" style="16" customWidth="1" outlineLevel="1"/>
    <col min="22" max="22" width="23.375" customWidth="1" outlineLevel="1"/>
    <col min="23" max="23" width="13" customWidth="1" outlineLevel="1"/>
    <col min="24" max="25" width="10.875" customWidth="1" outlineLevel="1"/>
    <col min="26" max="29" width="10.875" style="16" customWidth="1" outlineLevel="1"/>
    <col min="30" max="30" width="10.875" customWidth="1" outlineLevel="1"/>
    <col min="32" max="78" width="10.875" style="16"/>
  </cols>
  <sheetData>
    <row r="1" spans="1:31">
      <c r="A1" s="21"/>
      <c r="B1" s="16"/>
      <c r="C1" s="16"/>
      <c r="D1" s="16"/>
      <c r="E1" s="16"/>
      <c r="F1" s="16"/>
      <c r="G1" s="16"/>
      <c r="H1" s="31" t="s">
        <v>79</v>
      </c>
      <c r="I1" s="35" t="s">
        <v>85</v>
      </c>
      <c r="J1" s="16"/>
      <c r="L1" s="16"/>
      <c r="M1" s="31" t="s">
        <v>79</v>
      </c>
      <c r="N1" s="35" t="s">
        <v>85</v>
      </c>
      <c r="O1" s="16"/>
      <c r="Q1" s="16"/>
      <c r="R1" s="31" t="s">
        <v>79</v>
      </c>
      <c r="S1" s="35" t="s">
        <v>85</v>
      </c>
      <c r="T1" s="16"/>
      <c r="V1" s="16"/>
      <c r="W1" s="31" t="s">
        <v>79</v>
      </c>
      <c r="X1" s="35" t="s">
        <v>85</v>
      </c>
      <c r="Y1" s="16"/>
      <c r="AD1" s="16"/>
      <c r="AE1" s="16"/>
    </row>
    <row r="2" spans="1:31" ht="28.5">
      <c r="A2" s="21" t="s">
        <v>39</v>
      </c>
      <c r="B2" s="95" t="s">
        <v>86</v>
      </c>
      <c r="C2" s="16"/>
      <c r="D2" s="16"/>
      <c r="E2" s="16"/>
      <c r="F2" s="16"/>
      <c r="G2" s="17" t="s">
        <v>78</v>
      </c>
      <c r="H2" s="62">
        <v>0.05</v>
      </c>
      <c r="I2" s="63">
        <v>0.05</v>
      </c>
      <c r="J2" s="16"/>
      <c r="L2" s="17" t="s">
        <v>78</v>
      </c>
      <c r="M2" s="62">
        <v>0.05</v>
      </c>
      <c r="N2" s="63">
        <v>0.05</v>
      </c>
      <c r="O2" s="16"/>
      <c r="Q2" s="17" t="s">
        <v>78</v>
      </c>
      <c r="R2" s="62">
        <v>0.05</v>
      </c>
      <c r="S2" s="63">
        <v>0.05</v>
      </c>
      <c r="T2" s="16"/>
      <c r="V2" s="17" t="s">
        <v>78</v>
      </c>
      <c r="W2" s="62">
        <v>0.05</v>
      </c>
      <c r="X2" s="63">
        <v>0.05</v>
      </c>
      <c r="Y2" s="16"/>
      <c r="AD2" s="16"/>
      <c r="AE2" s="16"/>
    </row>
    <row r="3" spans="1:31">
      <c r="A3" s="21"/>
      <c r="B3" s="16"/>
      <c r="C3" s="16"/>
      <c r="D3" s="16"/>
      <c r="E3" s="16"/>
      <c r="F3" s="16"/>
      <c r="G3" s="16"/>
      <c r="H3" s="16"/>
      <c r="I3" s="16"/>
      <c r="J3" s="16"/>
      <c r="L3" s="16"/>
      <c r="M3" s="16"/>
      <c r="N3" s="16"/>
      <c r="O3" s="16"/>
      <c r="Q3" s="16"/>
      <c r="R3" s="16"/>
      <c r="S3" s="16"/>
      <c r="T3" s="16"/>
      <c r="V3" s="16"/>
      <c r="W3" s="16"/>
      <c r="X3" s="16"/>
      <c r="Y3" s="16"/>
      <c r="AD3" s="16"/>
      <c r="AE3" s="16"/>
    </row>
    <row r="4" spans="1:31">
      <c r="A4" s="21"/>
      <c r="B4" s="167" t="s">
        <v>76</v>
      </c>
      <c r="C4" s="167"/>
      <c r="D4" s="167"/>
      <c r="E4" s="167"/>
      <c r="F4" s="16"/>
      <c r="G4" s="167" t="s">
        <v>77</v>
      </c>
      <c r="H4" s="167"/>
      <c r="I4" s="167"/>
      <c r="J4" s="167"/>
      <c r="L4" s="167" t="s">
        <v>82</v>
      </c>
      <c r="M4" s="167"/>
      <c r="N4" s="167"/>
      <c r="O4" s="167"/>
      <c r="Q4" s="167" t="s">
        <v>83</v>
      </c>
      <c r="R4" s="167"/>
      <c r="S4" s="167"/>
      <c r="T4" s="167"/>
      <c r="V4" s="167" t="s">
        <v>84</v>
      </c>
      <c r="W4" s="167"/>
      <c r="X4" s="167"/>
      <c r="Y4" s="167"/>
      <c r="AD4" s="16"/>
      <c r="AE4" s="16"/>
    </row>
    <row r="5" spans="1:31">
      <c r="A5" s="21"/>
      <c r="B5" s="51"/>
      <c r="C5" s="51"/>
      <c r="D5" s="51"/>
      <c r="E5" s="51"/>
      <c r="F5" s="16"/>
      <c r="G5" s="51"/>
      <c r="H5" s="51"/>
      <c r="I5" s="51"/>
      <c r="J5" s="51"/>
      <c r="L5" s="51"/>
      <c r="M5" s="51"/>
      <c r="N5" s="51"/>
      <c r="O5" s="51"/>
      <c r="Q5" s="51"/>
      <c r="R5" s="51"/>
      <c r="S5" s="51"/>
      <c r="T5" s="51"/>
      <c r="V5" s="51"/>
      <c r="W5" s="51"/>
      <c r="X5" s="51"/>
      <c r="Y5" s="51"/>
      <c r="AD5" s="16"/>
      <c r="AE5" s="16"/>
    </row>
    <row r="6" spans="1:31">
      <c r="A6" s="21"/>
      <c r="B6" s="35" t="s">
        <v>159</v>
      </c>
      <c r="C6" s="7">
        <v>1</v>
      </c>
      <c r="D6" s="51"/>
      <c r="E6" s="51"/>
      <c r="F6" s="16"/>
      <c r="G6" s="35" t="s">
        <v>159</v>
      </c>
      <c r="H6" s="7">
        <v>2</v>
      </c>
      <c r="I6" s="51"/>
      <c r="J6" s="51"/>
      <c r="L6" s="35" t="s">
        <v>159</v>
      </c>
      <c r="M6" s="7">
        <v>3</v>
      </c>
      <c r="N6" s="51"/>
      <c r="O6" s="51"/>
      <c r="Q6" s="35" t="s">
        <v>159</v>
      </c>
      <c r="R6" s="7">
        <v>4</v>
      </c>
      <c r="S6" s="51"/>
      <c r="T6" s="51"/>
      <c r="V6" s="35" t="s">
        <v>159</v>
      </c>
      <c r="W6" s="7">
        <v>7</v>
      </c>
      <c r="X6" s="51"/>
      <c r="Y6" s="51"/>
      <c r="AD6" s="16"/>
      <c r="AE6" s="16"/>
    </row>
    <row r="7" spans="1:31">
      <c r="A7" s="21"/>
      <c r="B7" s="17" t="s">
        <v>49</v>
      </c>
      <c r="C7" s="17" t="s">
        <v>47</v>
      </c>
      <c r="D7" s="17" t="s">
        <v>48</v>
      </c>
      <c r="E7" s="17" t="s">
        <v>52</v>
      </c>
      <c r="F7" s="31"/>
      <c r="G7" s="17" t="s">
        <v>49</v>
      </c>
      <c r="H7" s="17" t="s">
        <v>47</v>
      </c>
      <c r="I7" s="17" t="s">
        <v>48</v>
      </c>
      <c r="J7" s="17" t="s">
        <v>52</v>
      </c>
      <c r="L7" s="17" t="s">
        <v>49</v>
      </c>
      <c r="M7" s="17" t="s">
        <v>47</v>
      </c>
      <c r="N7" s="17" t="s">
        <v>48</v>
      </c>
      <c r="O7" s="17" t="s">
        <v>52</v>
      </c>
      <c r="Q7" s="17" t="s">
        <v>49</v>
      </c>
      <c r="R7" s="17" t="s">
        <v>47</v>
      </c>
      <c r="S7" s="17" t="s">
        <v>48</v>
      </c>
      <c r="T7" s="17" t="s">
        <v>52</v>
      </c>
      <c r="V7" s="17" t="s">
        <v>49</v>
      </c>
      <c r="W7" s="17" t="s">
        <v>47</v>
      </c>
      <c r="X7" s="17" t="s">
        <v>48</v>
      </c>
      <c r="Y7" s="17" t="s">
        <v>52</v>
      </c>
      <c r="AD7" s="16"/>
      <c r="AE7" s="16"/>
    </row>
    <row r="8" spans="1:31">
      <c r="A8" s="21"/>
      <c r="B8" s="111" t="s">
        <v>80</v>
      </c>
      <c r="C8" s="24">
        <v>800</v>
      </c>
      <c r="D8" s="112">
        <v>1</v>
      </c>
      <c r="E8" s="112">
        <f>C8*D8</f>
        <v>800</v>
      </c>
      <c r="F8" s="16"/>
      <c r="G8" s="111" t="s">
        <v>80</v>
      </c>
      <c r="H8" s="24">
        <f>C8+C8*H2</f>
        <v>840</v>
      </c>
      <c r="I8" s="69">
        <f>D8+I2</f>
        <v>1.05</v>
      </c>
      <c r="J8" s="112">
        <f>H8*I8</f>
        <v>882</v>
      </c>
      <c r="L8" s="111" t="s">
        <v>80</v>
      </c>
      <c r="M8" s="24">
        <f>H8+H8*M2</f>
        <v>882</v>
      </c>
      <c r="N8" s="69">
        <f>I8+N2</f>
        <v>1.1000000000000001</v>
      </c>
      <c r="O8" s="112">
        <f>M8*N8</f>
        <v>970.2</v>
      </c>
      <c r="Q8" s="111" t="s">
        <v>80</v>
      </c>
      <c r="R8" s="116">
        <f>M8+M8*R2</f>
        <v>926.1</v>
      </c>
      <c r="S8" s="69">
        <f>N8+S2</f>
        <v>1.1500000000000001</v>
      </c>
      <c r="T8" s="112">
        <f>R8*S8</f>
        <v>1065.0150000000001</v>
      </c>
      <c r="V8" s="111" t="s">
        <v>80</v>
      </c>
      <c r="W8" s="116">
        <f>R8+R8*W2</f>
        <v>972.40499999999997</v>
      </c>
      <c r="X8" s="69">
        <f>S8+X2</f>
        <v>1.2000000000000002</v>
      </c>
      <c r="Y8" s="112">
        <f>W8*X8</f>
        <v>1166.8860000000002</v>
      </c>
      <c r="AD8" s="16"/>
      <c r="AE8" s="16"/>
    </row>
    <row r="9" spans="1:31">
      <c r="A9" s="21"/>
      <c r="B9" s="111" t="s">
        <v>81</v>
      </c>
      <c r="C9" s="24">
        <f>C8</f>
        <v>800</v>
      </c>
      <c r="D9" s="24"/>
      <c r="E9" s="113">
        <f>E8</f>
        <v>800</v>
      </c>
      <c r="F9" s="16"/>
      <c r="G9" s="111" t="s">
        <v>81</v>
      </c>
      <c r="H9" s="114">
        <f>H6*H8</f>
        <v>1680</v>
      </c>
      <c r="I9" s="69">
        <f>I8</f>
        <v>1.05</v>
      </c>
      <c r="J9" s="115">
        <f>H9*I9</f>
        <v>1764</v>
      </c>
      <c r="L9" s="111" t="s">
        <v>81</v>
      </c>
      <c r="M9" s="114">
        <f>M6*M8</f>
        <v>2646</v>
      </c>
      <c r="N9" s="69">
        <f>N8</f>
        <v>1.1000000000000001</v>
      </c>
      <c r="O9" s="115">
        <f>M9*N9</f>
        <v>2910.6000000000004</v>
      </c>
      <c r="Q9" s="111" t="s">
        <v>81</v>
      </c>
      <c r="R9" s="114">
        <f>R6*R8</f>
        <v>3704.4</v>
      </c>
      <c r="S9" s="69">
        <f>S8</f>
        <v>1.1500000000000001</v>
      </c>
      <c r="T9" s="115">
        <f>R9*S9</f>
        <v>4260.0600000000004</v>
      </c>
      <c r="V9" s="111" t="s">
        <v>81</v>
      </c>
      <c r="W9" s="114">
        <f>W6*W8</f>
        <v>6806.835</v>
      </c>
      <c r="X9" s="69">
        <f>X8</f>
        <v>1.2000000000000002</v>
      </c>
      <c r="Y9" s="115">
        <f>W9*X9</f>
        <v>8168.2020000000011</v>
      </c>
      <c r="AD9" s="16"/>
      <c r="AE9" s="16"/>
    </row>
    <row r="10" spans="1:31">
      <c r="A10" s="21"/>
      <c r="B10" s="16"/>
      <c r="C10" s="16"/>
      <c r="D10" s="16"/>
      <c r="E10" s="16"/>
      <c r="F10" s="16"/>
      <c r="G10" s="32"/>
      <c r="H10" s="17"/>
      <c r="I10" s="16"/>
      <c r="J10" s="16"/>
      <c r="L10" s="32"/>
      <c r="M10" s="17"/>
      <c r="N10" s="16"/>
      <c r="O10" s="16"/>
      <c r="Q10" s="32"/>
      <c r="R10" s="17"/>
      <c r="S10" s="16"/>
      <c r="T10" s="16"/>
      <c r="V10" s="32"/>
      <c r="W10" s="17"/>
      <c r="X10" s="16"/>
      <c r="Y10" s="16"/>
      <c r="AD10" s="16"/>
      <c r="AE10" s="16"/>
    </row>
    <row r="11" spans="1:31">
      <c r="A11" s="21"/>
      <c r="B11" s="16"/>
      <c r="C11" s="16"/>
      <c r="D11" s="16"/>
      <c r="E11" s="16"/>
      <c r="F11" s="16"/>
      <c r="G11" s="32"/>
      <c r="H11" s="17"/>
      <c r="I11" s="16"/>
      <c r="J11" s="16"/>
      <c r="L11" s="32"/>
      <c r="M11" s="17"/>
      <c r="N11" s="16"/>
      <c r="O11" s="16"/>
      <c r="Q11" s="32"/>
      <c r="R11" s="17"/>
      <c r="S11" s="16"/>
      <c r="T11" s="16"/>
      <c r="V11" s="32"/>
      <c r="W11" s="17"/>
      <c r="X11" s="16"/>
      <c r="Y11" s="16"/>
      <c r="AD11" s="16"/>
      <c r="AE11" s="16"/>
    </row>
    <row r="12" spans="1:31">
      <c r="A12" s="21"/>
      <c r="B12" s="17" t="s">
        <v>50</v>
      </c>
      <c r="C12" s="31" t="s">
        <v>31</v>
      </c>
      <c r="D12" s="16"/>
      <c r="E12" s="16"/>
      <c r="F12" s="16"/>
      <c r="G12" s="17" t="s">
        <v>50</v>
      </c>
      <c r="H12" s="31" t="s">
        <v>31</v>
      </c>
      <c r="I12" s="16"/>
      <c r="J12" s="16"/>
      <c r="L12" s="17" t="s">
        <v>50</v>
      </c>
      <c r="M12" s="31" t="s">
        <v>31</v>
      </c>
      <c r="N12" s="16"/>
      <c r="O12" s="16"/>
      <c r="Q12" s="17" t="s">
        <v>50</v>
      </c>
      <c r="R12" s="31" t="s">
        <v>31</v>
      </c>
      <c r="S12" s="16"/>
      <c r="T12" s="16"/>
      <c r="V12" s="17" t="s">
        <v>50</v>
      </c>
      <c r="W12" s="31" t="s">
        <v>31</v>
      </c>
      <c r="X12" s="16"/>
      <c r="Y12" s="16"/>
      <c r="AD12" s="16"/>
      <c r="AE12" s="16"/>
    </row>
    <row r="13" spans="1:31">
      <c r="A13" s="21"/>
      <c r="B13" s="16" t="s">
        <v>51</v>
      </c>
      <c r="C13" s="47">
        <v>-530</v>
      </c>
      <c r="D13" s="16"/>
      <c r="E13" s="16"/>
      <c r="F13" s="16"/>
      <c r="G13" s="16" t="s">
        <v>51</v>
      </c>
      <c r="H13" s="30">
        <v>-1060</v>
      </c>
      <c r="I13" s="16"/>
      <c r="J13" s="16"/>
      <c r="L13" s="16" t="s">
        <v>51</v>
      </c>
      <c r="M13" s="30">
        <v>-1590</v>
      </c>
      <c r="N13" s="16"/>
      <c r="O13" s="16"/>
      <c r="Q13" s="16" t="s">
        <v>51</v>
      </c>
      <c r="R13" s="30">
        <v>-2120</v>
      </c>
      <c r="S13" s="16"/>
      <c r="T13" s="16"/>
      <c r="V13" s="16" t="s">
        <v>51</v>
      </c>
      <c r="W13" s="30">
        <v>-3710</v>
      </c>
      <c r="X13" s="16"/>
      <c r="Y13" s="16"/>
      <c r="Z13" s="109" t="s">
        <v>157</v>
      </c>
      <c r="AA13" s="109"/>
      <c r="AB13" s="109"/>
      <c r="AD13" s="16"/>
      <c r="AE13" s="16"/>
    </row>
    <row r="14" spans="1:31">
      <c r="A14" s="21"/>
      <c r="B14" s="16" t="s">
        <v>87</v>
      </c>
      <c r="C14" s="52">
        <f>C26</f>
        <v>-200</v>
      </c>
      <c r="D14" s="16"/>
      <c r="E14" s="16"/>
      <c r="F14" s="16"/>
      <c r="G14" s="16" t="s">
        <v>87</v>
      </c>
      <c r="H14" s="30">
        <v>-420</v>
      </c>
      <c r="I14" s="16"/>
      <c r="J14" s="16"/>
      <c r="L14" s="16" t="s">
        <v>87</v>
      </c>
      <c r="M14" s="30">
        <v>-662</v>
      </c>
      <c r="N14" s="16"/>
      <c r="O14" s="16"/>
      <c r="Q14" s="16" t="s">
        <v>87</v>
      </c>
      <c r="R14" s="30">
        <v>-926</v>
      </c>
      <c r="S14" s="16"/>
      <c r="T14" s="16"/>
      <c r="V14" s="16" t="s">
        <v>87</v>
      </c>
      <c r="W14" s="30">
        <v>-1702</v>
      </c>
      <c r="X14" s="16"/>
      <c r="Y14" s="16"/>
      <c r="Z14" s="109" t="s">
        <v>157</v>
      </c>
      <c r="AA14" s="109"/>
      <c r="AB14" s="109"/>
      <c r="AD14" s="16"/>
      <c r="AE14" s="16"/>
    </row>
    <row r="15" spans="1:31">
      <c r="A15" s="21"/>
      <c r="B15" s="16"/>
      <c r="C15" s="16"/>
      <c r="D15" s="16"/>
      <c r="E15" s="16"/>
      <c r="F15" s="16"/>
      <c r="G15" s="16"/>
      <c r="H15" s="16"/>
      <c r="I15" s="16"/>
      <c r="J15" s="16"/>
      <c r="L15" s="16"/>
      <c r="M15" s="16"/>
      <c r="N15" s="16"/>
      <c r="O15" s="16"/>
      <c r="Q15" s="16"/>
      <c r="R15" s="16"/>
      <c r="S15" s="16"/>
      <c r="T15" s="16"/>
      <c r="V15" s="16"/>
      <c r="W15" s="16"/>
      <c r="X15" s="16"/>
      <c r="Y15" s="16"/>
      <c r="AD15" s="16"/>
      <c r="AE15" s="16"/>
    </row>
    <row r="16" spans="1:31">
      <c r="A16" s="21"/>
      <c r="B16" s="16"/>
      <c r="C16" s="16"/>
      <c r="D16" s="16"/>
      <c r="E16" s="16"/>
      <c r="F16" s="16"/>
      <c r="G16" s="16"/>
      <c r="H16" s="16"/>
      <c r="I16" s="16"/>
      <c r="J16" s="16"/>
      <c r="L16" s="16"/>
      <c r="M16" s="16"/>
      <c r="N16" s="16"/>
      <c r="O16" s="16"/>
      <c r="Q16" s="16"/>
      <c r="R16" s="16"/>
      <c r="S16" s="16"/>
      <c r="T16" s="16"/>
      <c r="V16" s="16"/>
      <c r="W16" s="16"/>
      <c r="X16" s="16"/>
      <c r="Y16" s="16"/>
      <c r="AD16" s="16"/>
      <c r="AE16" s="16"/>
    </row>
    <row r="17" spans="1:31" ht="28.5">
      <c r="A17" s="21"/>
      <c r="B17" s="95" t="s">
        <v>160</v>
      </c>
      <c r="C17" s="16"/>
      <c r="D17" s="16"/>
      <c r="E17" s="16"/>
      <c r="F17" s="31"/>
      <c r="G17" s="95" t="s">
        <v>160</v>
      </c>
      <c r="H17" s="16"/>
      <c r="I17" s="16"/>
      <c r="J17" s="16"/>
      <c r="L17" s="95" t="s">
        <v>160</v>
      </c>
      <c r="M17" s="16"/>
      <c r="N17" s="16"/>
      <c r="O17" s="16"/>
      <c r="Q17" s="95" t="s">
        <v>160</v>
      </c>
      <c r="R17" s="16"/>
      <c r="S17" s="16"/>
      <c r="T17" s="16"/>
      <c r="V17" s="95" t="s">
        <v>160</v>
      </c>
      <c r="W17" s="16"/>
      <c r="X17" s="16"/>
      <c r="Y17" s="16"/>
      <c r="AD17" s="16"/>
      <c r="AE17" s="16"/>
    </row>
    <row r="18" spans="1:31">
      <c r="A18" s="21"/>
      <c r="B18" s="16"/>
      <c r="C18" s="16"/>
      <c r="D18" s="16"/>
      <c r="E18" s="16"/>
      <c r="F18" s="16"/>
      <c r="G18" s="16"/>
      <c r="H18" s="16"/>
      <c r="I18" s="16"/>
      <c r="J18" s="16"/>
      <c r="L18" s="16"/>
      <c r="M18" s="16"/>
      <c r="N18" s="16"/>
      <c r="O18" s="16"/>
      <c r="Q18" s="16"/>
      <c r="R18" s="16"/>
      <c r="S18" s="16"/>
      <c r="T18" s="16"/>
      <c r="V18" s="16"/>
      <c r="W18" s="16"/>
      <c r="X18" s="16"/>
      <c r="Y18" s="16"/>
      <c r="AD18" s="16"/>
      <c r="AE18" s="16"/>
    </row>
    <row r="19" spans="1:31">
      <c r="A19" s="21"/>
      <c r="B19" s="16" t="s">
        <v>200</v>
      </c>
      <c r="C19" s="16">
        <f>C6</f>
        <v>1</v>
      </c>
      <c r="D19" s="16"/>
      <c r="E19" s="16"/>
      <c r="F19" s="16"/>
      <c r="G19" s="16" t="s">
        <v>200</v>
      </c>
      <c r="H19" s="16">
        <f>H6</f>
        <v>2</v>
      </c>
      <c r="I19" s="16"/>
      <c r="J19" s="16"/>
      <c r="L19" s="16" t="s">
        <v>53</v>
      </c>
      <c r="M19" s="16">
        <f>M6</f>
        <v>3</v>
      </c>
      <c r="N19" s="16"/>
      <c r="O19" s="16"/>
      <c r="Q19" s="16" t="s">
        <v>53</v>
      </c>
      <c r="R19" s="16">
        <f>R6</f>
        <v>4</v>
      </c>
      <c r="S19" s="16"/>
      <c r="T19" s="16"/>
      <c r="V19" s="16" t="s">
        <v>53</v>
      </c>
      <c r="W19" s="16">
        <f>W6</f>
        <v>7</v>
      </c>
      <c r="X19" s="16"/>
      <c r="Y19" s="16"/>
      <c r="AD19" s="16"/>
      <c r="AE19" s="16"/>
    </row>
    <row r="20" spans="1:31" ht="16.5" thickBot="1">
      <c r="A20" s="21"/>
      <c r="B20" s="54" t="s">
        <v>55</v>
      </c>
      <c r="C20" s="65">
        <f>C8</f>
        <v>800</v>
      </c>
      <c r="D20" s="16"/>
      <c r="E20" s="16"/>
      <c r="F20" s="16"/>
      <c r="G20" s="54" t="s">
        <v>55</v>
      </c>
      <c r="H20" s="65">
        <f>H8</f>
        <v>840</v>
      </c>
      <c r="I20" s="16"/>
      <c r="J20" s="16"/>
      <c r="L20" s="54" t="s">
        <v>55</v>
      </c>
      <c r="M20" s="65">
        <f>M8</f>
        <v>882</v>
      </c>
      <c r="N20" s="16"/>
      <c r="O20" s="16"/>
      <c r="Q20" s="54" t="s">
        <v>55</v>
      </c>
      <c r="R20" s="65">
        <f>R8</f>
        <v>926.1</v>
      </c>
      <c r="S20" s="16"/>
      <c r="T20" s="16"/>
      <c r="V20" s="54" t="s">
        <v>55</v>
      </c>
      <c r="W20" s="65">
        <f>W8</f>
        <v>972.40499999999997</v>
      </c>
      <c r="X20" s="16"/>
      <c r="Y20" s="16"/>
      <c r="AD20" s="16"/>
      <c r="AE20" s="16"/>
    </row>
    <row r="21" spans="1:31" ht="16.5" thickTop="1">
      <c r="A21" s="21"/>
      <c r="B21" s="17" t="s">
        <v>54</v>
      </c>
      <c r="C21" s="17">
        <f>C20*C19</f>
        <v>800</v>
      </c>
      <c r="D21" s="16"/>
      <c r="E21" s="16"/>
      <c r="F21" s="16"/>
      <c r="G21" s="17" t="s">
        <v>54</v>
      </c>
      <c r="H21" s="64">
        <f>H20*H19</f>
        <v>1680</v>
      </c>
      <c r="I21" s="66"/>
      <c r="J21" s="66"/>
      <c r="K21" s="66"/>
      <c r="L21" s="64" t="s">
        <v>54</v>
      </c>
      <c r="M21" s="64">
        <f>M20*M19</f>
        <v>2646</v>
      </c>
      <c r="N21" s="66"/>
      <c r="O21" s="66"/>
      <c r="P21" s="66"/>
      <c r="Q21" s="64" t="s">
        <v>54</v>
      </c>
      <c r="R21" s="64">
        <f>R20*R19</f>
        <v>3704.4</v>
      </c>
      <c r="S21" s="66"/>
      <c r="T21" s="66"/>
      <c r="U21" s="66"/>
      <c r="V21" s="64" t="s">
        <v>54</v>
      </c>
      <c r="W21" s="64">
        <f>W20*W19</f>
        <v>6806.835</v>
      </c>
      <c r="X21" s="16"/>
      <c r="Y21" s="16"/>
      <c r="AD21" s="16"/>
      <c r="AE21" s="16"/>
    </row>
    <row r="22" spans="1:31">
      <c r="A22" s="21"/>
      <c r="B22" s="16"/>
      <c r="C22" s="16"/>
      <c r="D22" s="16"/>
      <c r="E22" s="16"/>
      <c r="F22" s="16"/>
      <c r="G22" s="16"/>
      <c r="H22" s="16"/>
      <c r="I22" s="16"/>
      <c r="J22" s="16"/>
      <c r="L22" s="16"/>
      <c r="M22" s="16"/>
      <c r="N22" s="16"/>
      <c r="O22" s="16"/>
      <c r="Q22" s="16"/>
      <c r="R22" s="16"/>
      <c r="S22" s="16"/>
      <c r="T22" s="16"/>
      <c r="V22" s="16"/>
      <c r="W22" s="16"/>
      <c r="X22" s="16"/>
      <c r="Y22" s="16"/>
      <c r="AD22" s="16"/>
      <c r="AE22" s="16"/>
    </row>
    <row r="23" spans="1:31" ht="16.5" thickBot="1">
      <c r="A23" s="21"/>
      <c r="B23" s="54" t="s">
        <v>56</v>
      </c>
      <c r="C23" s="55">
        <f>D8</f>
        <v>1</v>
      </c>
      <c r="D23" s="16"/>
      <c r="E23" s="16"/>
      <c r="F23" s="16"/>
      <c r="G23" s="54" t="s">
        <v>56</v>
      </c>
      <c r="H23" s="58">
        <f>I8</f>
        <v>1.05</v>
      </c>
      <c r="I23" s="16"/>
      <c r="J23" s="16"/>
      <c r="L23" s="54" t="s">
        <v>56</v>
      </c>
      <c r="M23" s="58">
        <f>N8</f>
        <v>1.1000000000000001</v>
      </c>
      <c r="N23" s="16"/>
      <c r="O23" s="16"/>
      <c r="Q23" s="54" t="s">
        <v>56</v>
      </c>
      <c r="R23" s="58">
        <f>S8</f>
        <v>1.1500000000000001</v>
      </c>
      <c r="S23" s="16"/>
      <c r="T23" s="16"/>
      <c r="V23" s="54" t="s">
        <v>56</v>
      </c>
      <c r="W23" s="58">
        <f>X8</f>
        <v>1.2000000000000002</v>
      </c>
      <c r="X23" s="16"/>
      <c r="Y23" s="16"/>
      <c r="AD23" s="16"/>
      <c r="AE23" s="16"/>
    </row>
    <row r="24" spans="1:31" ht="16.5" thickTop="1">
      <c r="A24" s="21"/>
      <c r="B24" s="17" t="s">
        <v>52</v>
      </c>
      <c r="C24" s="53">
        <f>C23*C21</f>
        <v>800</v>
      </c>
      <c r="D24" s="16"/>
      <c r="E24" s="16"/>
      <c r="F24" s="16"/>
      <c r="G24" s="17" t="s">
        <v>52</v>
      </c>
      <c r="H24" s="53">
        <f>H23*H21</f>
        <v>1764</v>
      </c>
      <c r="I24" s="16"/>
      <c r="J24" s="16"/>
      <c r="L24" s="17" t="s">
        <v>52</v>
      </c>
      <c r="M24" s="53">
        <f>M23*M21</f>
        <v>2910.6000000000004</v>
      </c>
      <c r="N24" s="16"/>
      <c r="O24" s="16"/>
      <c r="Q24" s="17" t="s">
        <v>52</v>
      </c>
      <c r="R24" s="53">
        <f>R23*R21</f>
        <v>4260.0600000000004</v>
      </c>
      <c r="S24" s="16"/>
      <c r="T24" s="16"/>
      <c r="V24" s="17" t="s">
        <v>52</v>
      </c>
      <c r="W24" s="53">
        <f>W23*W21</f>
        <v>8168.2020000000011</v>
      </c>
      <c r="X24" s="16"/>
      <c r="Y24" s="16"/>
      <c r="AD24" s="16"/>
      <c r="AE24" s="16"/>
    </row>
    <row r="25" spans="1:31">
      <c r="A25" s="21"/>
      <c r="B25" s="16"/>
      <c r="C25" s="16"/>
      <c r="D25" s="16"/>
      <c r="E25" s="16"/>
      <c r="F25" s="16"/>
      <c r="G25" s="16"/>
      <c r="H25" s="16"/>
      <c r="I25" s="16"/>
      <c r="J25" s="16"/>
      <c r="L25" s="16"/>
      <c r="M25" s="16"/>
      <c r="N25" s="16"/>
      <c r="O25" s="16"/>
      <c r="Q25" s="16"/>
      <c r="R25" s="16"/>
      <c r="S25" s="16"/>
      <c r="T25" s="16"/>
      <c r="V25" s="16"/>
      <c r="W25" s="16"/>
      <c r="X25" s="16"/>
      <c r="Y25" s="16"/>
      <c r="AD25" s="16"/>
      <c r="AE25" s="16"/>
    </row>
    <row r="26" spans="1:31">
      <c r="A26" s="21" t="s">
        <v>57</v>
      </c>
      <c r="B26" s="16" t="s">
        <v>58</v>
      </c>
      <c r="C26" s="52">
        <f>-('BS, Y! DAY 2'!C10)</f>
        <v>-200</v>
      </c>
      <c r="D26" s="16"/>
      <c r="E26" s="16"/>
      <c r="F26" s="21"/>
      <c r="G26" s="16" t="s">
        <v>58</v>
      </c>
      <c r="H26" s="52">
        <f>H14</f>
        <v>-420</v>
      </c>
      <c r="I26" s="16"/>
      <c r="J26" s="16"/>
      <c r="L26" s="16" t="s">
        <v>58</v>
      </c>
      <c r="M26" s="52">
        <f>M14</f>
        <v>-662</v>
      </c>
      <c r="N26" s="16"/>
      <c r="O26" s="16"/>
      <c r="Q26" s="16" t="s">
        <v>58</v>
      </c>
      <c r="R26" s="52">
        <f>R14</f>
        <v>-926</v>
      </c>
      <c r="S26" s="16"/>
      <c r="T26" s="16"/>
      <c r="V26" s="16" t="s">
        <v>58</v>
      </c>
      <c r="W26" s="52">
        <f>W14</f>
        <v>-1702</v>
      </c>
      <c r="X26" s="16"/>
      <c r="Y26" s="16"/>
      <c r="AD26" s="16"/>
      <c r="AE26" s="16"/>
    </row>
    <row r="27" spans="1:31">
      <c r="A27" s="21" t="s">
        <v>57</v>
      </c>
      <c r="B27" s="16" t="s">
        <v>60</v>
      </c>
      <c r="C27" s="52">
        <f>C66</f>
        <v>-60</v>
      </c>
      <c r="D27" s="16"/>
      <c r="E27" s="16"/>
      <c r="F27" s="21"/>
      <c r="G27" s="16" t="s">
        <v>60</v>
      </c>
      <c r="H27" s="52">
        <f>H66</f>
        <v>-120</v>
      </c>
      <c r="I27" s="16"/>
      <c r="J27" s="16"/>
      <c r="L27" s="16" t="s">
        <v>60</v>
      </c>
      <c r="M27" s="52">
        <f>M66</f>
        <v>-180</v>
      </c>
      <c r="N27" s="16"/>
      <c r="O27" s="16"/>
      <c r="Q27" s="16" t="s">
        <v>60</v>
      </c>
      <c r="R27" s="52">
        <f>R66</f>
        <v>-240</v>
      </c>
      <c r="S27" s="16"/>
      <c r="T27" s="16"/>
      <c r="V27" s="16" t="s">
        <v>60</v>
      </c>
      <c r="W27" s="52">
        <f>W66</f>
        <v>-420</v>
      </c>
      <c r="X27" s="16"/>
      <c r="Y27" s="16"/>
      <c r="Z27" s="109" t="s">
        <v>158</v>
      </c>
      <c r="AA27" s="109"/>
      <c r="AB27" s="109"/>
      <c r="AC27" s="109"/>
      <c r="AD27" s="16"/>
      <c r="AE27" s="16"/>
    </row>
    <row r="28" spans="1:31" ht="16.5" thickBot="1">
      <c r="A28" s="21" t="s">
        <v>57</v>
      </c>
      <c r="B28" s="54" t="s">
        <v>62</v>
      </c>
      <c r="C28" s="55">
        <f>C13</f>
        <v>-530</v>
      </c>
      <c r="D28" s="16"/>
      <c r="E28" s="16"/>
      <c r="F28" s="16"/>
      <c r="G28" s="54" t="s">
        <v>62</v>
      </c>
      <c r="H28" s="55">
        <f>H13</f>
        <v>-1060</v>
      </c>
      <c r="I28" s="16"/>
      <c r="J28" s="16"/>
      <c r="L28" s="54" t="s">
        <v>62</v>
      </c>
      <c r="M28" s="55">
        <f>M13</f>
        <v>-1590</v>
      </c>
      <c r="N28" s="16"/>
      <c r="O28" s="16"/>
      <c r="Q28" s="54" t="s">
        <v>62</v>
      </c>
      <c r="R28" s="55">
        <f>R13</f>
        <v>-2120</v>
      </c>
      <c r="S28" s="16"/>
      <c r="T28" s="16"/>
      <c r="V28" s="54" t="s">
        <v>62</v>
      </c>
      <c r="W28" s="55">
        <f>W13</f>
        <v>-3710</v>
      </c>
      <c r="X28" s="16"/>
      <c r="Y28" s="16"/>
      <c r="AD28" s="16"/>
      <c r="AE28" s="16"/>
    </row>
    <row r="29" spans="1:31" ht="16.5" thickTop="1">
      <c r="A29" s="21"/>
      <c r="B29" s="17" t="s">
        <v>63</v>
      </c>
      <c r="C29" s="53">
        <f>C24+C26+C27+C28</f>
        <v>10</v>
      </c>
      <c r="D29" s="16"/>
      <c r="E29" s="16"/>
      <c r="F29" s="21"/>
      <c r="G29" s="17" t="s">
        <v>63</v>
      </c>
      <c r="H29" s="53">
        <f>H24+H26+H27+H28</f>
        <v>164</v>
      </c>
      <c r="I29" s="16"/>
      <c r="J29" s="16"/>
      <c r="L29" s="17" t="s">
        <v>63</v>
      </c>
      <c r="M29" s="53">
        <f>M24+M26+M27+M28</f>
        <v>478.60000000000036</v>
      </c>
      <c r="N29" s="16"/>
      <c r="O29" s="16"/>
      <c r="Q29" s="17" t="s">
        <v>63</v>
      </c>
      <c r="R29" s="53">
        <f>R24+R26+R27+R28</f>
        <v>974.0600000000004</v>
      </c>
      <c r="S29" s="16"/>
      <c r="T29" s="16"/>
      <c r="V29" s="17" t="s">
        <v>63</v>
      </c>
      <c r="W29" s="53">
        <f>W24+W26+W27+W28</f>
        <v>2336.2020000000011</v>
      </c>
      <c r="X29" s="16"/>
      <c r="Y29" s="16"/>
      <c r="AD29" s="16"/>
      <c r="AE29" s="16"/>
    </row>
    <row r="30" spans="1:31">
      <c r="A30" s="21"/>
      <c r="B30" s="16"/>
      <c r="C30" s="16"/>
      <c r="D30" s="16"/>
      <c r="E30" s="16"/>
      <c r="F30" s="16"/>
      <c r="G30" s="16"/>
      <c r="H30" s="16"/>
      <c r="I30" s="16"/>
      <c r="J30" s="16"/>
      <c r="L30" s="16"/>
      <c r="M30" s="16"/>
      <c r="N30" s="16"/>
      <c r="O30" s="16"/>
      <c r="Q30" s="16"/>
      <c r="R30" s="16"/>
      <c r="S30" s="16"/>
      <c r="T30" s="16"/>
      <c r="V30" s="16"/>
      <c r="W30" s="16"/>
      <c r="X30" s="16"/>
      <c r="Y30" s="16"/>
      <c r="AD30" s="16"/>
      <c r="AE30" s="16"/>
    </row>
    <row r="31" spans="1:31">
      <c r="A31" s="21"/>
      <c r="B31" s="17" t="s">
        <v>66</v>
      </c>
      <c r="C31" s="67">
        <f>C29/C24</f>
        <v>1.2500000000000001E-2</v>
      </c>
      <c r="D31" s="16"/>
      <c r="E31" s="16"/>
      <c r="F31" s="21"/>
      <c r="G31" s="17" t="s">
        <v>66</v>
      </c>
      <c r="H31" s="67">
        <f>H29/H24</f>
        <v>9.297052154195011E-2</v>
      </c>
      <c r="I31" s="16"/>
      <c r="J31" s="16"/>
      <c r="K31" s="17"/>
      <c r="L31" s="17" t="s">
        <v>66</v>
      </c>
      <c r="M31" s="67">
        <f>M29/M24</f>
        <v>0.16443345014773597</v>
      </c>
      <c r="N31" s="16"/>
      <c r="O31" s="16"/>
      <c r="Q31" s="17" t="s">
        <v>66</v>
      </c>
      <c r="R31" s="67">
        <f>R29/R24</f>
        <v>0.22864936174607878</v>
      </c>
      <c r="S31" s="16"/>
      <c r="T31" s="16"/>
      <c r="V31" s="17" t="s">
        <v>66</v>
      </c>
      <c r="W31" s="67">
        <f>W29/W24</f>
        <v>0.28601178080561679</v>
      </c>
      <c r="X31" s="16"/>
      <c r="Y31" s="16"/>
      <c r="AD31" s="16"/>
      <c r="AE31" s="16"/>
    </row>
    <row r="32" spans="1:31">
      <c r="A32" s="21"/>
      <c r="B32" s="16"/>
      <c r="C32" s="16"/>
      <c r="D32" s="16"/>
      <c r="E32" s="16"/>
      <c r="F32" s="16"/>
      <c r="G32" s="16"/>
      <c r="H32" s="16"/>
      <c r="I32" s="16"/>
      <c r="J32" s="16"/>
      <c r="L32" s="16"/>
      <c r="M32" s="16"/>
      <c r="N32" s="16"/>
      <c r="O32" s="16"/>
      <c r="Q32" s="16"/>
      <c r="R32" s="16"/>
      <c r="S32" s="16"/>
      <c r="T32" s="16"/>
      <c r="V32" s="16"/>
      <c r="W32" s="16"/>
      <c r="X32" s="16"/>
      <c r="Y32" s="16"/>
      <c r="AD32" s="16"/>
      <c r="AE32" s="16"/>
    </row>
    <row r="33" spans="1:78" ht="16.5" thickBot="1">
      <c r="A33" s="21" t="s">
        <v>57</v>
      </c>
      <c r="B33" s="54" t="s">
        <v>67</v>
      </c>
      <c r="C33" s="57">
        <f>-(START!B21*START!C21)</f>
        <v>-25</v>
      </c>
      <c r="D33" s="61">
        <f>START!C21</f>
        <v>0.1</v>
      </c>
      <c r="E33" s="16"/>
      <c r="F33" s="21"/>
      <c r="G33" s="54" t="s">
        <v>67</v>
      </c>
      <c r="H33" s="57">
        <f>C33</f>
        <v>-25</v>
      </c>
      <c r="I33" s="68">
        <f>D33</f>
        <v>0.1</v>
      </c>
      <c r="J33" s="16"/>
      <c r="L33" s="54" t="s">
        <v>67</v>
      </c>
      <c r="M33" s="57">
        <f>H33</f>
        <v>-25</v>
      </c>
      <c r="N33" s="68">
        <f>I33</f>
        <v>0.1</v>
      </c>
      <c r="O33" s="16"/>
      <c r="Q33" s="54" t="s">
        <v>67</v>
      </c>
      <c r="R33" s="57">
        <f>M33</f>
        <v>-25</v>
      </c>
      <c r="S33" s="68">
        <f>N33</f>
        <v>0.1</v>
      </c>
      <c r="T33" s="16"/>
      <c r="V33" s="54" t="s">
        <v>67</v>
      </c>
      <c r="W33" s="57">
        <f>R33</f>
        <v>-25</v>
      </c>
      <c r="X33" s="68">
        <f>S33</f>
        <v>0.1</v>
      </c>
      <c r="Y33" s="16"/>
      <c r="AD33" s="16"/>
      <c r="AE33" s="16"/>
    </row>
    <row r="34" spans="1:78" ht="16.5" thickTop="1">
      <c r="A34" s="21"/>
      <c r="B34" s="17" t="s">
        <v>93</v>
      </c>
      <c r="C34" s="53">
        <f>C29+C33</f>
        <v>-15</v>
      </c>
      <c r="D34" s="16"/>
      <c r="E34" s="16"/>
      <c r="F34" s="16"/>
      <c r="G34" s="17" t="s">
        <v>93</v>
      </c>
      <c r="H34" s="53">
        <f>H29+H33</f>
        <v>139</v>
      </c>
      <c r="I34" s="16"/>
      <c r="J34" s="16"/>
      <c r="L34" s="17" t="s">
        <v>93</v>
      </c>
      <c r="M34" s="53">
        <f>M29+M33</f>
        <v>453.60000000000036</v>
      </c>
      <c r="N34" s="16"/>
      <c r="O34" s="16"/>
      <c r="Q34" s="17" t="s">
        <v>93</v>
      </c>
      <c r="R34" s="53">
        <f>R29+R33</f>
        <v>949.0600000000004</v>
      </c>
      <c r="S34" s="16"/>
      <c r="T34" s="16"/>
      <c r="V34" s="17" t="s">
        <v>93</v>
      </c>
      <c r="W34" s="53">
        <f>W29+W33</f>
        <v>2311.2020000000011</v>
      </c>
      <c r="X34" s="16"/>
      <c r="Y34" s="16"/>
      <c r="AD34" s="16"/>
      <c r="AE34" s="16"/>
    </row>
    <row r="35" spans="1:78">
      <c r="A35" s="21"/>
      <c r="B35" s="16"/>
      <c r="C35" s="16"/>
      <c r="D35" s="16"/>
      <c r="E35" s="16"/>
      <c r="F35" s="16"/>
      <c r="G35" s="16"/>
      <c r="H35" s="16"/>
      <c r="I35" s="16"/>
      <c r="J35" s="16"/>
      <c r="L35" s="16"/>
      <c r="M35" s="16"/>
      <c r="N35" s="16"/>
      <c r="O35" s="16"/>
      <c r="Q35" s="16"/>
      <c r="R35" s="16"/>
      <c r="S35" s="16"/>
      <c r="T35" s="16"/>
      <c r="V35" s="16"/>
      <c r="W35" s="16"/>
      <c r="X35" s="16"/>
      <c r="Y35" s="16"/>
      <c r="AD35" s="16"/>
      <c r="AE35" s="16"/>
    </row>
    <row r="36" spans="1:78">
      <c r="A36" s="21"/>
      <c r="B36" s="16"/>
      <c r="C36" s="16"/>
      <c r="D36" s="16"/>
      <c r="E36" s="16"/>
      <c r="F36" s="16"/>
      <c r="G36" s="16"/>
      <c r="H36" s="16"/>
      <c r="I36" s="16"/>
      <c r="J36" s="16"/>
      <c r="L36" s="16"/>
      <c r="M36" s="16"/>
      <c r="N36" s="16"/>
      <c r="O36" s="16"/>
      <c r="Q36" s="16"/>
      <c r="R36" s="16"/>
      <c r="S36" s="16"/>
      <c r="T36" s="16"/>
      <c r="V36" s="16"/>
      <c r="W36" s="16"/>
      <c r="X36" s="16"/>
      <c r="Y36" s="16"/>
      <c r="AD36" s="16"/>
      <c r="AE36" s="16"/>
    </row>
    <row r="37" spans="1:78" ht="16.5" thickBot="1">
      <c r="A37" s="21" t="s">
        <v>57</v>
      </c>
      <c r="B37" s="54" t="s">
        <v>71</v>
      </c>
      <c r="C37" s="121">
        <f>D37*C34</f>
        <v>-5.25</v>
      </c>
      <c r="D37" s="61">
        <v>0.35</v>
      </c>
      <c r="E37" s="16"/>
      <c r="F37" s="21"/>
      <c r="G37" s="54" t="s">
        <v>71</v>
      </c>
      <c r="H37" s="58">
        <f>I37*H34</f>
        <v>48.65</v>
      </c>
      <c r="I37" s="68">
        <f>D37</f>
        <v>0.35</v>
      </c>
      <c r="J37" s="16"/>
      <c r="L37" s="54" t="s">
        <v>71</v>
      </c>
      <c r="M37" s="58">
        <f>N37*M34</f>
        <v>158.7600000000001</v>
      </c>
      <c r="N37" s="68">
        <f>I37</f>
        <v>0.35</v>
      </c>
      <c r="O37" s="16"/>
      <c r="Q37" s="54" t="s">
        <v>71</v>
      </c>
      <c r="R37" s="58">
        <f>S37*R34</f>
        <v>332.17100000000011</v>
      </c>
      <c r="S37" s="68">
        <f>N37</f>
        <v>0.35</v>
      </c>
      <c r="T37" s="16"/>
      <c r="V37" s="54" t="s">
        <v>71</v>
      </c>
      <c r="W37" s="58">
        <f>X37*W34</f>
        <v>808.92070000000035</v>
      </c>
      <c r="X37" s="68">
        <f>S37</f>
        <v>0.35</v>
      </c>
      <c r="Y37" s="16"/>
      <c r="AD37" s="16"/>
      <c r="AE37" s="16"/>
    </row>
    <row r="38" spans="1:78" s="1" customFormat="1" ht="16.5" thickTop="1">
      <c r="A38" s="31"/>
      <c r="B38" s="17" t="s">
        <v>94</v>
      </c>
      <c r="C38" s="120">
        <f>C34-C37</f>
        <v>-9.75</v>
      </c>
      <c r="D38" s="17"/>
      <c r="E38" s="17"/>
      <c r="F38" s="119"/>
      <c r="G38" s="17" t="s">
        <v>73</v>
      </c>
      <c r="H38" s="53">
        <f>H34-H37</f>
        <v>90.35</v>
      </c>
      <c r="I38" s="17"/>
      <c r="J38" s="17"/>
      <c r="K38" s="17"/>
      <c r="L38" s="17" t="s">
        <v>73</v>
      </c>
      <c r="M38" s="53">
        <f>M34-M37</f>
        <v>294.84000000000026</v>
      </c>
      <c r="N38" s="17"/>
      <c r="O38" s="17"/>
      <c r="P38" s="17"/>
      <c r="Q38" s="17" t="s">
        <v>73</v>
      </c>
      <c r="R38" s="53">
        <f>R34-R37</f>
        <v>616.88900000000035</v>
      </c>
      <c r="S38" s="17"/>
      <c r="T38" s="17"/>
      <c r="U38" s="17"/>
      <c r="V38" s="17" t="s">
        <v>73</v>
      </c>
      <c r="W38" s="53">
        <f>W34-W37</f>
        <v>1502.2813000000008</v>
      </c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</row>
    <row r="39" spans="1:78">
      <c r="A39" s="21"/>
      <c r="B39" s="16"/>
      <c r="C39" s="16"/>
      <c r="D39" s="16"/>
      <c r="E39" s="16"/>
      <c r="F39" s="16"/>
      <c r="G39" s="16"/>
      <c r="H39" s="16"/>
      <c r="I39" s="16"/>
      <c r="J39" s="16"/>
      <c r="L39" s="16"/>
      <c r="M39" s="16"/>
      <c r="N39" s="16"/>
      <c r="O39" s="16"/>
      <c r="Q39" s="16"/>
      <c r="R39" s="16"/>
      <c r="S39" s="16"/>
      <c r="T39" s="16"/>
      <c r="V39" s="16"/>
      <c r="W39" s="16"/>
      <c r="X39" s="16"/>
      <c r="Y39" s="16"/>
      <c r="AD39" s="16"/>
      <c r="AE39" s="16"/>
    </row>
    <row r="40" spans="1:78">
      <c r="A40" s="21"/>
      <c r="B40" s="16" t="s">
        <v>64</v>
      </c>
      <c r="C40" s="16"/>
      <c r="D40" s="16"/>
      <c r="E40" s="16"/>
      <c r="F40" s="16"/>
      <c r="G40" s="16" t="s">
        <v>64</v>
      </c>
      <c r="H40" s="16"/>
      <c r="I40" s="16"/>
      <c r="J40" s="16"/>
      <c r="L40" s="16" t="s">
        <v>64</v>
      </c>
      <c r="M40" s="16"/>
      <c r="N40" s="16"/>
      <c r="O40" s="16"/>
      <c r="Q40" s="16" t="s">
        <v>64</v>
      </c>
      <c r="R40" s="16"/>
      <c r="S40" s="16"/>
      <c r="T40" s="16"/>
      <c r="V40" s="16" t="s">
        <v>64</v>
      </c>
      <c r="W40" s="16"/>
      <c r="X40" s="16"/>
      <c r="Y40" s="16"/>
      <c r="AD40" s="16"/>
      <c r="AE40" s="16"/>
    </row>
    <row r="41" spans="1:78">
      <c r="A41" s="21"/>
      <c r="B41" s="16" t="s">
        <v>74</v>
      </c>
      <c r="C41" s="59">
        <f>C38/START!B8</f>
        <v>-6.4999999999999997E-3</v>
      </c>
      <c r="D41" s="16"/>
      <c r="E41" s="16"/>
      <c r="F41" s="21"/>
      <c r="G41" s="16" t="s">
        <v>74</v>
      </c>
      <c r="H41" s="59">
        <f>H38/START!B8</f>
        <v>6.0233333333333326E-2</v>
      </c>
      <c r="I41" s="16"/>
      <c r="J41" s="16"/>
      <c r="L41" s="16" t="s">
        <v>74</v>
      </c>
      <c r="M41" s="59">
        <f>M38/START!B16</f>
        <v>0.19656000000000018</v>
      </c>
      <c r="N41" s="16"/>
      <c r="O41" s="16"/>
      <c r="Q41" s="16" t="s">
        <v>74</v>
      </c>
      <c r="R41" s="59">
        <f>R38/1500</f>
        <v>0.41125933333333359</v>
      </c>
      <c r="S41" s="16"/>
      <c r="T41" s="16"/>
      <c r="V41" s="16" t="s">
        <v>74</v>
      </c>
      <c r="W41" s="59">
        <f>W38/1500</f>
        <v>1.0015208666666673</v>
      </c>
      <c r="X41" s="16"/>
      <c r="Y41" s="16"/>
      <c r="AD41" s="16"/>
      <c r="AE41" s="16"/>
    </row>
    <row r="42" spans="1:78">
      <c r="A42" s="21"/>
      <c r="B42" s="16" t="s">
        <v>99</v>
      </c>
      <c r="C42" s="21" t="s">
        <v>96</v>
      </c>
      <c r="D42" s="16"/>
      <c r="E42" s="16"/>
      <c r="F42" s="16"/>
      <c r="G42" s="16" t="s">
        <v>99</v>
      </c>
      <c r="H42" s="21" t="s">
        <v>96</v>
      </c>
      <c r="I42" s="16"/>
      <c r="J42" s="16"/>
      <c r="L42" s="16" t="s">
        <v>99</v>
      </c>
      <c r="M42" s="56">
        <f>(M38-H38)/H38</f>
        <v>2.2633093525179886</v>
      </c>
      <c r="N42" s="16"/>
      <c r="O42" s="16"/>
      <c r="Q42" s="16" t="s">
        <v>99</v>
      </c>
      <c r="R42" s="56">
        <f>(R38-M38)/M38</f>
        <v>1.0922839506172832</v>
      </c>
      <c r="S42" s="16"/>
      <c r="T42" s="16"/>
      <c r="V42" s="16" t="s">
        <v>99</v>
      </c>
      <c r="W42" s="56">
        <f>(W38-R38)/R38</f>
        <v>1.4352538301055779</v>
      </c>
      <c r="X42" s="16"/>
      <c r="Y42" s="16"/>
      <c r="AD42" s="16"/>
      <c r="AE42" s="16"/>
    </row>
    <row r="43" spans="1:78">
      <c r="A43" s="21"/>
      <c r="B43" s="16"/>
      <c r="C43" s="16"/>
      <c r="D43" s="16"/>
      <c r="E43" s="16"/>
      <c r="F43" s="16"/>
      <c r="G43" s="16"/>
      <c r="H43" s="16"/>
      <c r="I43" s="16"/>
      <c r="J43" s="16"/>
      <c r="L43" s="16"/>
      <c r="M43" s="16"/>
      <c r="N43" s="16"/>
      <c r="O43" s="16"/>
      <c r="Q43" s="16"/>
      <c r="R43" s="16"/>
      <c r="S43" s="16"/>
      <c r="T43" s="16"/>
      <c r="V43" s="16"/>
      <c r="W43" s="16"/>
      <c r="X43" s="16"/>
      <c r="Y43" s="16"/>
      <c r="AD43" s="16"/>
      <c r="AE43" s="16"/>
    </row>
    <row r="44" spans="1:78">
      <c r="A44" s="21"/>
      <c r="B44" s="16"/>
      <c r="C44" s="16"/>
      <c r="D44" s="16"/>
      <c r="E44" s="16"/>
      <c r="F44" s="16"/>
      <c r="G44" s="16"/>
      <c r="H44" s="16"/>
      <c r="I44" s="16"/>
      <c r="J44" s="16"/>
      <c r="L44" s="16"/>
      <c r="M44" s="16"/>
      <c r="N44" s="16"/>
      <c r="O44" s="16"/>
      <c r="Q44" s="16"/>
      <c r="R44" s="16"/>
      <c r="S44" s="16"/>
      <c r="T44" s="16"/>
      <c r="V44" s="16"/>
      <c r="W44" s="16"/>
      <c r="X44" s="16"/>
      <c r="Y44" s="16"/>
      <c r="AD44" s="16"/>
      <c r="AE44" s="16"/>
    </row>
    <row r="45" spans="1:78">
      <c r="A45" s="21"/>
      <c r="B45" s="16"/>
      <c r="C45" s="16"/>
      <c r="D45" s="16"/>
      <c r="E45" s="16"/>
      <c r="F45" s="16"/>
      <c r="G45" s="16"/>
      <c r="H45" s="16"/>
      <c r="I45" s="16"/>
      <c r="J45" s="16"/>
      <c r="L45" s="16"/>
      <c r="M45" s="16"/>
      <c r="N45" s="16"/>
      <c r="O45" s="16"/>
      <c r="Q45" s="16"/>
      <c r="R45" s="16"/>
      <c r="S45" s="16"/>
      <c r="T45" s="16"/>
      <c r="V45" s="16"/>
      <c r="W45" s="16"/>
      <c r="X45" s="16"/>
      <c r="Y45" s="16"/>
      <c r="AD45" s="16"/>
      <c r="AE45" s="16"/>
    </row>
    <row r="46" spans="1:78">
      <c r="A46" s="21"/>
      <c r="B46" s="16"/>
      <c r="C46" s="16"/>
      <c r="D46" s="16"/>
      <c r="E46" s="16"/>
      <c r="F46" s="16"/>
      <c r="G46" s="16"/>
      <c r="H46" s="16"/>
      <c r="I46" s="16"/>
      <c r="J46" s="16"/>
      <c r="L46" s="16"/>
      <c r="M46" s="16"/>
      <c r="N46" s="16"/>
      <c r="O46" s="16"/>
      <c r="Q46" s="16"/>
      <c r="R46" s="16"/>
      <c r="S46" s="16"/>
      <c r="T46" s="16"/>
      <c r="V46" s="16"/>
      <c r="W46" s="16"/>
      <c r="X46" s="16"/>
      <c r="Y46" s="16"/>
      <c r="AD46" s="16"/>
      <c r="AE46" s="16"/>
    </row>
    <row r="47" spans="1:78" ht="28.5">
      <c r="A47" s="21" t="s">
        <v>123</v>
      </c>
      <c r="B47" s="95" t="s">
        <v>100</v>
      </c>
      <c r="C47" s="16"/>
      <c r="D47" s="16"/>
      <c r="E47" s="16"/>
      <c r="F47" s="16"/>
      <c r="G47" s="16"/>
      <c r="H47" s="16"/>
      <c r="I47" s="16"/>
      <c r="J47" s="16"/>
      <c r="L47" s="16"/>
      <c r="M47" s="16"/>
      <c r="N47" s="16"/>
      <c r="O47" s="16"/>
      <c r="Q47" s="16"/>
      <c r="R47" s="16"/>
      <c r="S47" s="16"/>
      <c r="T47" s="16"/>
      <c r="V47" s="16"/>
      <c r="W47" s="16"/>
      <c r="X47" s="16"/>
      <c r="Y47" s="16"/>
      <c r="AD47" s="16"/>
      <c r="AE47" s="16"/>
    </row>
    <row r="48" spans="1:78">
      <c r="A48" s="21"/>
      <c r="B48" s="16"/>
      <c r="C48" s="16"/>
      <c r="D48" s="16"/>
      <c r="F48" s="16"/>
      <c r="G48" s="16"/>
      <c r="H48" s="16"/>
      <c r="I48" s="16"/>
      <c r="J48" s="16"/>
      <c r="L48" s="16"/>
      <c r="M48" s="16"/>
      <c r="N48" s="16"/>
      <c r="O48" s="16"/>
      <c r="Q48" s="16"/>
      <c r="R48" s="16"/>
      <c r="S48" s="16"/>
      <c r="T48" s="16"/>
      <c r="V48" s="16"/>
      <c r="W48" s="16"/>
      <c r="X48" s="16"/>
      <c r="Y48" s="16"/>
      <c r="AD48" s="16"/>
      <c r="AE48" s="16"/>
    </row>
    <row r="49" spans="1:31">
      <c r="A49" s="21"/>
      <c r="B49" s="31" t="s">
        <v>0</v>
      </c>
      <c r="C49" s="17" t="s">
        <v>118</v>
      </c>
      <c r="D49" s="16"/>
      <c r="E49" s="33" t="s">
        <v>101</v>
      </c>
      <c r="F49" s="16"/>
      <c r="G49" s="31" t="s">
        <v>103</v>
      </c>
      <c r="H49" s="17" t="s">
        <v>102</v>
      </c>
      <c r="I49" s="16"/>
      <c r="J49" s="16"/>
      <c r="L49" s="16"/>
      <c r="M49" s="16"/>
      <c r="N49" s="16"/>
      <c r="O49" s="16"/>
      <c r="Q49" s="16"/>
      <c r="R49" s="16"/>
      <c r="S49" s="16"/>
      <c r="T49" s="16"/>
      <c r="V49" s="16"/>
      <c r="W49" s="16"/>
      <c r="X49" s="16"/>
      <c r="Y49" s="16"/>
      <c r="AD49" s="16"/>
      <c r="AE49" s="16"/>
    </row>
    <row r="50" spans="1:31">
      <c r="A50" s="21"/>
      <c r="B50" s="18">
        <v>1000</v>
      </c>
      <c r="C50" s="19">
        <f>START!C6</f>
        <v>0.66666666666666663</v>
      </c>
      <c r="D50" s="20" t="s">
        <v>2</v>
      </c>
      <c r="E50" s="69">
        <f>START!C11</f>
        <v>1</v>
      </c>
      <c r="F50" s="16"/>
      <c r="G50" s="24" t="s">
        <v>104</v>
      </c>
      <c r="H50" s="70">
        <f>B50+B50*W41</f>
        <v>2001.5208666666672</v>
      </c>
      <c r="I50" s="16"/>
      <c r="J50" s="16"/>
      <c r="L50" s="16"/>
      <c r="M50" s="16"/>
      <c r="N50" s="16"/>
      <c r="O50" s="16"/>
      <c r="Q50" s="16"/>
      <c r="R50" s="16"/>
      <c r="S50" s="16"/>
      <c r="T50" s="16"/>
      <c r="V50" s="16"/>
      <c r="W50" s="16"/>
      <c r="X50" s="16"/>
      <c r="Y50" s="16"/>
      <c r="AD50" s="16"/>
      <c r="AE50" s="16"/>
    </row>
    <row r="51" spans="1:31">
      <c r="A51" s="21"/>
      <c r="B51" s="18">
        <v>500</v>
      </c>
      <c r="C51" s="19">
        <f>START!C7</f>
        <v>0.33333333333333331</v>
      </c>
      <c r="D51" s="20" t="s">
        <v>3</v>
      </c>
      <c r="E51" s="69">
        <f>START!C11</f>
        <v>1</v>
      </c>
      <c r="F51" s="16"/>
      <c r="G51" s="24" t="s">
        <v>104</v>
      </c>
      <c r="H51" s="70">
        <f>B51+B51*W41</f>
        <v>1000.7604333333336</v>
      </c>
      <c r="I51" s="16"/>
      <c r="J51" s="16"/>
      <c r="L51" s="16"/>
      <c r="M51" s="16"/>
      <c r="N51" s="16"/>
      <c r="O51" s="16"/>
      <c r="Q51" s="16"/>
      <c r="R51" s="16"/>
      <c r="S51" s="16"/>
      <c r="T51" s="16"/>
      <c r="V51" s="16"/>
      <c r="W51" s="16"/>
      <c r="X51" s="16"/>
      <c r="Y51" s="16"/>
      <c r="AD51" s="16"/>
      <c r="AE51" s="16"/>
    </row>
    <row r="52" spans="1:31">
      <c r="A52" s="21"/>
      <c r="B52" s="16"/>
      <c r="C52" s="16"/>
      <c r="D52" s="16"/>
      <c r="E52" s="16"/>
      <c r="F52" s="16"/>
      <c r="G52" s="16"/>
      <c r="H52" s="16"/>
      <c r="I52" s="16"/>
      <c r="J52" s="16"/>
      <c r="L52" s="16"/>
      <c r="M52" s="16"/>
      <c r="N52" s="16"/>
      <c r="O52" s="16"/>
      <c r="Q52" s="16"/>
      <c r="R52" s="16"/>
      <c r="S52" s="16"/>
      <c r="T52" s="16"/>
      <c r="V52" s="16"/>
      <c r="W52" s="16"/>
      <c r="X52" s="16"/>
      <c r="Y52" s="16"/>
      <c r="AD52" s="16"/>
      <c r="AE52" s="16"/>
    </row>
    <row r="53" spans="1:31">
      <c r="A53" s="21"/>
      <c r="B53" s="16"/>
      <c r="C53" s="16"/>
      <c r="D53" s="16"/>
      <c r="E53" s="16"/>
      <c r="F53" s="16"/>
      <c r="G53" s="16"/>
      <c r="H53" s="16"/>
      <c r="I53" s="16"/>
      <c r="J53" s="16"/>
      <c r="L53" s="16"/>
      <c r="M53" s="16"/>
      <c r="N53" s="16"/>
      <c r="O53" s="16"/>
      <c r="Q53" s="16"/>
      <c r="R53" s="16"/>
      <c r="S53" s="16"/>
      <c r="T53" s="16"/>
      <c r="V53" s="16"/>
      <c r="W53" s="16"/>
      <c r="X53" s="16"/>
      <c r="Y53" s="16"/>
      <c r="AD53" s="16"/>
      <c r="AE53" s="16"/>
    </row>
    <row r="54" spans="1:31" s="16" customFormat="1">
      <c r="A54" s="21"/>
    </row>
    <row r="55" spans="1:31" s="16" customFormat="1" ht="28.5">
      <c r="A55" s="21" t="s">
        <v>41</v>
      </c>
      <c r="B55" s="95" t="s">
        <v>121</v>
      </c>
    </row>
    <row r="56" spans="1:31" s="16" customFormat="1">
      <c r="A56" s="21"/>
      <c r="B56" s="17" t="s">
        <v>161</v>
      </c>
      <c r="C56" s="82">
        <f>'BS, Y! DAY 2'!C9</f>
        <v>300</v>
      </c>
    </row>
    <row r="57" spans="1:31" s="16" customFormat="1">
      <c r="A57" s="21"/>
    </row>
    <row r="58" spans="1:31" s="16" customFormat="1">
      <c r="A58" s="21" t="s">
        <v>122</v>
      </c>
      <c r="B58" s="167" t="s">
        <v>76</v>
      </c>
      <c r="C58" s="167"/>
      <c r="D58" s="167"/>
      <c r="E58" s="80" t="s">
        <v>21</v>
      </c>
      <c r="G58" s="167" t="s">
        <v>77</v>
      </c>
      <c r="H58" s="167"/>
      <c r="I58" s="167"/>
      <c r="J58" s="167"/>
      <c r="L58" s="167" t="s">
        <v>82</v>
      </c>
      <c r="M58" s="167"/>
      <c r="N58" s="167"/>
      <c r="O58" s="167"/>
      <c r="Q58" s="167" t="s">
        <v>83</v>
      </c>
      <c r="R58" s="167"/>
      <c r="S58" s="167"/>
      <c r="T58" s="167"/>
      <c r="V58" s="167" t="s">
        <v>84</v>
      </c>
      <c r="W58" s="167"/>
      <c r="X58" s="167"/>
      <c r="Y58" s="167"/>
    </row>
    <row r="59" spans="1:31" s="16" customFormat="1">
      <c r="A59" s="21">
        <v>1</v>
      </c>
      <c r="B59" s="81">
        <v>300</v>
      </c>
      <c r="C59" s="16">
        <v>-60</v>
      </c>
      <c r="E59" s="16">
        <f>B59+C59</f>
        <v>240</v>
      </c>
      <c r="G59" s="16">
        <f>E59</f>
        <v>240</v>
      </c>
      <c r="H59" s="16">
        <v>-60</v>
      </c>
      <c r="I59" s="16">
        <f>G59+H59</f>
        <v>180</v>
      </c>
      <c r="J59" s="17">
        <f>SUM(I59:I66)</f>
        <v>420</v>
      </c>
      <c r="L59" s="16">
        <f>I59</f>
        <v>180</v>
      </c>
      <c r="M59" s="16">
        <v>-60</v>
      </c>
      <c r="N59" s="16">
        <f>L59+M59</f>
        <v>120</v>
      </c>
      <c r="O59" s="17">
        <f>SUM(N59:N66)</f>
        <v>540</v>
      </c>
      <c r="Q59" s="16">
        <f>N59</f>
        <v>120</v>
      </c>
      <c r="R59" s="16">
        <v>-60</v>
      </c>
      <c r="S59" s="16">
        <f>Q59+R59</f>
        <v>60</v>
      </c>
      <c r="T59" s="17">
        <f>SUM(S59:S66)</f>
        <v>600</v>
      </c>
      <c r="V59" s="16">
        <f>S59</f>
        <v>60</v>
      </c>
      <c r="W59" s="16">
        <v>-60</v>
      </c>
      <c r="X59" s="16">
        <f t="shared" ref="X59:X65" si="0">V59+W59</f>
        <v>0</v>
      </c>
      <c r="Y59" s="17">
        <f>SUM(X59:X66)</f>
        <v>1080</v>
      </c>
    </row>
    <row r="60" spans="1:31" s="16" customFormat="1">
      <c r="A60" s="21">
        <v>2</v>
      </c>
      <c r="B60" s="77"/>
      <c r="G60" s="6">
        <v>300</v>
      </c>
      <c r="H60" s="16">
        <v>-60</v>
      </c>
      <c r="I60" s="16">
        <f>G60+H60</f>
        <v>240</v>
      </c>
      <c r="L60" s="16">
        <f>I60</f>
        <v>240</v>
      </c>
      <c r="M60" s="16">
        <v>-60</v>
      </c>
      <c r="N60" s="16">
        <f>L60+M60</f>
        <v>180</v>
      </c>
      <c r="Q60" s="16">
        <f>N60</f>
        <v>180</v>
      </c>
      <c r="R60" s="16">
        <v>-60</v>
      </c>
      <c r="S60" s="16">
        <f>Q60+R60</f>
        <v>120</v>
      </c>
      <c r="V60" s="16">
        <f>S60</f>
        <v>120</v>
      </c>
      <c r="W60" s="16">
        <v>-60</v>
      </c>
      <c r="X60" s="16">
        <f t="shared" si="0"/>
        <v>60</v>
      </c>
    </row>
    <row r="61" spans="1:31" s="16" customFormat="1">
      <c r="A61" s="21">
        <v>3</v>
      </c>
      <c r="B61" s="77"/>
      <c r="G61" s="77"/>
      <c r="L61" s="6">
        <v>300</v>
      </c>
      <c r="M61" s="16">
        <v>-60</v>
      </c>
      <c r="N61" s="16">
        <f>L61+M61</f>
        <v>240</v>
      </c>
      <c r="Q61" s="16">
        <f>N61</f>
        <v>240</v>
      </c>
      <c r="R61" s="16">
        <v>-60</v>
      </c>
      <c r="S61" s="16">
        <f>Q61+R61</f>
        <v>180</v>
      </c>
      <c r="V61" s="16">
        <f>S61</f>
        <v>180</v>
      </c>
      <c r="W61" s="16">
        <v>-60</v>
      </c>
      <c r="X61" s="16">
        <f t="shared" si="0"/>
        <v>120</v>
      </c>
    </row>
    <row r="62" spans="1:31" s="16" customFormat="1">
      <c r="A62" s="21">
        <v>4</v>
      </c>
      <c r="B62" s="77"/>
      <c r="G62" s="77"/>
      <c r="Q62" s="6">
        <v>300</v>
      </c>
      <c r="R62" s="16">
        <v>-60</v>
      </c>
      <c r="S62" s="16">
        <f>Q62+R62</f>
        <v>240</v>
      </c>
      <c r="V62" s="16">
        <f>S62</f>
        <v>240</v>
      </c>
      <c r="W62" s="16">
        <v>-60</v>
      </c>
      <c r="X62" s="16">
        <f t="shared" si="0"/>
        <v>180</v>
      </c>
    </row>
    <row r="63" spans="1:31" s="16" customFormat="1">
      <c r="A63" s="21">
        <v>5</v>
      </c>
      <c r="B63" s="77"/>
      <c r="G63" s="77"/>
      <c r="V63" s="6">
        <v>300</v>
      </c>
      <c r="W63" s="16">
        <v>-60</v>
      </c>
      <c r="X63" s="16">
        <f t="shared" si="0"/>
        <v>240</v>
      </c>
    </row>
    <row r="64" spans="1:31" s="16" customFormat="1">
      <c r="A64" s="21">
        <v>6</v>
      </c>
      <c r="B64" s="77"/>
      <c r="G64" s="77"/>
      <c r="V64" s="6">
        <v>300</v>
      </c>
      <c r="W64" s="16">
        <v>-60</v>
      </c>
      <c r="X64" s="16">
        <f t="shared" si="0"/>
        <v>240</v>
      </c>
    </row>
    <row r="65" spans="1:31" s="16" customFormat="1">
      <c r="A65" s="21">
        <v>6</v>
      </c>
      <c r="V65" s="6">
        <v>300</v>
      </c>
      <c r="W65" s="16">
        <v>-60</v>
      </c>
      <c r="X65" s="16">
        <f t="shared" si="0"/>
        <v>240</v>
      </c>
    </row>
    <row r="66" spans="1:31" s="16" customFormat="1">
      <c r="A66" s="31" t="s">
        <v>21</v>
      </c>
      <c r="B66" s="118" t="s">
        <v>162</v>
      </c>
      <c r="C66" s="117">
        <f>SUM(C59:C64)</f>
        <v>-60</v>
      </c>
      <c r="G66" s="118" t="s">
        <v>162</v>
      </c>
      <c r="H66" s="117">
        <f>SUM(H59:H64)</f>
        <v>-120</v>
      </c>
      <c r="L66" s="118" t="s">
        <v>162</v>
      </c>
      <c r="M66" s="117">
        <f>SUM(M59:M65)</f>
        <v>-180</v>
      </c>
      <c r="Q66" s="118" t="s">
        <v>162</v>
      </c>
      <c r="R66" s="117">
        <f>SUM(R59:R65)</f>
        <v>-240</v>
      </c>
      <c r="V66" s="118" t="s">
        <v>162</v>
      </c>
      <c r="W66" s="117">
        <f>SUM(W59:W65)</f>
        <v>-420</v>
      </c>
    </row>
    <row r="67" spans="1:31" s="16" customFormat="1">
      <c r="A67" s="21"/>
    </row>
    <row r="68" spans="1:31" s="16" customFormat="1">
      <c r="A68" s="21"/>
    </row>
    <row r="69" spans="1:31" s="16" customFormat="1">
      <c r="A69" s="21"/>
    </row>
    <row r="70" spans="1:31" s="16" customFormat="1">
      <c r="A70" s="21"/>
    </row>
    <row r="71" spans="1:31" s="16" customFormat="1">
      <c r="A71" s="21"/>
    </row>
    <row r="72" spans="1:31" s="16" customFormat="1">
      <c r="A72" s="21"/>
    </row>
    <row r="73" spans="1:31" s="16" customFormat="1">
      <c r="A73" s="21"/>
    </row>
    <row r="74" spans="1:31" s="16" customFormat="1">
      <c r="A74" s="21"/>
    </row>
    <row r="75" spans="1:31" s="16" customFormat="1">
      <c r="A75" s="21"/>
    </row>
    <row r="76" spans="1:31">
      <c r="A76" s="21"/>
      <c r="B76" s="16"/>
      <c r="C76" s="16"/>
      <c r="D76" s="16"/>
      <c r="E76" s="16"/>
      <c r="F76" s="16"/>
      <c r="G76" s="16"/>
      <c r="H76" s="16"/>
      <c r="I76" s="16"/>
      <c r="J76" s="16"/>
      <c r="L76" s="16"/>
      <c r="M76" s="16"/>
      <c r="N76" s="16"/>
      <c r="O76" s="16"/>
      <c r="Q76" s="16"/>
      <c r="R76" s="16"/>
      <c r="S76" s="16"/>
      <c r="T76" s="16"/>
      <c r="V76" s="16"/>
      <c r="W76" s="16"/>
      <c r="X76" s="16"/>
      <c r="Y76" s="16"/>
      <c r="AD76" s="16"/>
      <c r="AE76" s="16"/>
    </row>
    <row r="77" spans="1:31">
      <c r="A77" s="21"/>
      <c r="B77" s="16"/>
      <c r="C77" s="16"/>
      <c r="D77" s="16"/>
      <c r="E77" s="16"/>
      <c r="F77" s="16"/>
      <c r="G77" s="16"/>
      <c r="H77" s="16"/>
      <c r="I77" s="16"/>
      <c r="J77" s="16"/>
      <c r="L77" s="16"/>
      <c r="M77" s="16"/>
      <c r="N77" s="16"/>
      <c r="O77" s="16"/>
      <c r="Q77" s="16"/>
      <c r="R77" s="16"/>
      <c r="S77" s="16"/>
      <c r="T77" s="16"/>
      <c r="V77" s="16"/>
      <c r="W77" s="16"/>
      <c r="X77" s="16"/>
      <c r="Y77" s="16"/>
      <c r="AD77" s="16"/>
      <c r="AE77" s="16"/>
    </row>
    <row r="78" spans="1:31">
      <c r="A78" s="21"/>
      <c r="B78" s="16"/>
      <c r="C78" s="16"/>
      <c r="D78" s="16"/>
      <c r="E78" s="16"/>
      <c r="F78" s="16"/>
      <c r="G78" s="16"/>
      <c r="H78" s="16"/>
      <c r="I78" s="16"/>
      <c r="J78" s="16"/>
      <c r="L78" s="16"/>
      <c r="M78" s="16"/>
      <c r="N78" s="16"/>
      <c r="O78" s="16"/>
      <c r="Q78" s="16"/>
      <c r="R78" s="16"/>
      <c r="S78" s="16"/>
      <c r="T78" s="16"/>
      <c r="V78" s="16"/>
      <c r="W78" s="16"/>
      <c r="X78" s="16"/>
      <c r="Y78" s="16"/>
      <c r="AD78" s="16"/>
      <c r="AE78" s="16"/>
    </row>
    <row r="79" spans="1:31">
      <c r="A79" s="21"/>
      <c r="B79" s="16"/>
      <c r="C79" s="16"/>
      <c r="D79" s="16"/>
      <c r="E79" s="16"/>
      <c r="F79" s="16"/>
      <c r="G79" s="16"/>
      <c r="H79" s="16"/>
      <c r="I79" s="16"/>
      <c r="J79" s="16"/>
      <c r="L79" s="16"/>
      <c r="M79" s="16"/>
      <c r="N79" s="16"/>
      <c r="O79" s="16"/>
      <c r="Q79" s="16"/>
      <c r="R79" s="16"/>
      <c r="S79" s="16"/>
      <c r="T79" s="16"/>
      <c r="V79" s="16"/>
      <c r="W79" s="16"/>
      <c r="X79" s="16"/>
      <c r="Y79" s="16"/>
      <c r="AD79" s="16"/>
      <c r="AE79" s="16"/>
    </row>
    <row r="80" spans="1:31">
      <c r="A80" s="21"/>
      <c r="B80" s="16"/>
      <c r="C80" s="16"/>
      <c r="D80" s="16"/>
      <c r="E80" s="16"/>
      <c r="F80" s="16"/>
      <c r="G80" s="16"/>
      <c r="H80" s="16"/>
      <c r="I80" s="16"/>
      <c r="J80" s="16"/>
      <c r="L80" s="16"/>
      <c r="M80" s="16"/>
      <c r="N80" s="16"/>
      <c r="O80" s="16"/>
      <c r="Q80" s="16"/>
      <c r="R80" s="16"/>
      <c r="S80" s="16"/>
      <c r="T80" s="16"/>
      <c r="V80" s="16"/>
      <c r="W80" s="16"/>
      <c r="X80" s="16"/>
      <c r="Y80" s="16"/>
      <c r="AD80" s="16"/>
      <c r="AE80" s="16"/>
    </row>
    <row r="81" spans="1:31">
      <c r="A81" s="21"/>
      <c r="B81" s="16"/>
      <c r="C81" s="16"/>
      <c r="D81" s="16"/>
      <c r="E81" s="16"/>
      <c r="F81" s="16"/>
      <c r="G81" s="16"/>
      <c r="H81" s="16"/>
      <c r="I81" s="16"/>
      <c r="J81" s="16"/>
      <c r="L81" s="16"/>
      <c r="M81" s="16"/>
      <c r="N81" s="16"/>
      <c r="O81" s="16"/>
      <c r="Q81" s="16"/>
      <c r="R81" s="16"/>
      <c r="S81" s="16"/>
      <c r="T81" s="16"/>
      <c r="V81" s="16"/>
      <c r="W81" s="16"/>
      <c r="X81" s="16"/>
      <c r="Y81" s="16"/>
      <c r="AD81" s="16"/>
      <c r="AE81" s="16"/>
    </row>
    <row r="82" spans="1:31">
      <c r="A82" s="21"/>
      <c r="B82" s="16"/>
      <c r="C82" s="16"/>
      <c r="D82" s="16"/>
      <c r="E82" s="16"/>
      <c r="F82" s="16"/>
      <c r="G82" s="16"/>
      <c r="H82" s="16"/>
      <c r="I82" s="16"/>
      <c r="J82" s="16"/>
      <c r="L82" s="16"/>
      <c r="M82" s="16"/>
      <c r="N82" s="16"/>
      <c r="O82" s="16"/>
      <c r="Q82" s="16"/>
      <c r="R82" s="16"/>
      <c r="S82" s="16"/>
      <c r="T82" s="16"/>
      <c r="V82" s="16"/>
      <c r="W82" s="16"/>
      <c r="X82" s="16"/>
      <c r="Y82" s="16"/>
      <c r="AD82" s="16"/>
      <c r="AE82" s="16"/>
    </row>
    <row r="83" spans="1:31">
      <c r="A83" s="21"/>
      <c r="B83" s="16"/>
      <c r="C83" s="16"/>
      <c r="D83" s="16"/>
      <c r="E83" s="16"/>
      <c r="F83" s="16"/>
      <c r="G83" s="16"/>
      <c r="H83" s="16"/>
      <c r="I83" s="16"/>
      <c r="J83" s="16"/>
      <c r="L83" s="16"/>
      <c r="M83" s="16"/>
      <c r="N83" s="16"/>
      <c r="O83" s="16"/>
      <c r="Q83" s="16"/>
      <c r="R83" s="16"/>
      <c r="S83" s="16"/>
      <c r="T83" s="16"/>
      <c r="V83" s="16"/>
      <c r="W83" s="16"/>
      <c r="X83" s="16"/>
      <c r="Y83" s="16"/>
      <c r="AD83" s="16"/>
      <c r="AE83" s="16"/>
    </row>
    <row r="84" spans="1:31">
      <c r="A84" s="21"/>
      <c r="B84" s="16"/>
      <c r="C84" s="16"/>
      <c r="D84" s="16"/>
      <c r="E84" s="16"/>
      <c r="F84" s="16"/>
      <c r="G84" s="16"/>
      <c r="H84" s="16"/>
      <c r="I84" s="16"/>
      <c r="J84" s="16"/>
      <c r="L84" s="16"/>
      <c r="M84" s="16"/>
      <c r="N84" s="16"/>
      <c r="O84" s="16"/>
      <c r="Q84" s="16"/>
      <c r="R84" s="16"/>
      <c r="S84" s="16"/>
      <c r="T84" s="16"/>
      <c r="V84" s="16"/>
      <c r="W84" s="16"/>
      <c r="X84" s="16"/>
      <c r="Y84" s="16"/>
      <c r="AD84" s="16"/>
      <c r="AE84" s="16"/>
    </row>
    <row r="85" spans="1:31">
      <c r="A85" s="21"/>
      <c r="B85" s="16"/>
      <c r="C85" s="16"/>
      <c r="D85" s="16"/>
      <c r="E85" s="16"/>
      <c r="F85" s="16"/>
      <c r="G85" s="16"/>
      <c r="H85" s="16"/>
      <c r="I85" s="16"/>
      <c r="J85" s="16"/>
      <c r="L85" s="16"/>
      <c r="M85" s="16"/>
      <c r="N85" s="16"/>
      <c r="O85" s="16"/>
      <c r="Q85" s="16"/>
      <c r="R85" s="16"/>
      <c r="S85" s="16"/>
      <c r="T85" s="16"/>
      <c r="V85" s="16"/>
      <c r="W85" s="16"/>
      <c r="X85" s="16"/>
      <c r="Y85" s="16"/>
      <c r="AD85" s="16"/>
      <c r="AE85" s="16"/>
    </row>
    <row r="86" spans="1:31">
      <c r="A86" s="21"/>
      <c r="B86" s="16"/>
      <c r="C86" s="16"/>
      <c r="D86" s="16"/>
      <c r="E86" s="16"/>
      <c r="F86" s="16"/>
      <c r="G86" s="16"/>
      <c r="H86" s="16"/>
      <c r="I86" s="16"/>
      <c r="J86" s="16"/>
      <c r="L86" s="16"/>
      <c r="M86" s="16"/>
      <c r="N86" s="16"/>
      <c r="O86" s="16"/>
      <c r="Q86" s="16"/>
      <c r="R86" s="16"/>
      <c r="S86" s="16"/>
      <c r="T86" s="16"/>
      <c r="V86" s="16"/>
      <c r="W86" s="16"/>
      <c r="X86" s="16"/>
      <c r="Y86" s="16"/>
      <c r="AD86" s="16"/>
      <c r="AE86" s="16"/>
    </row>
    <row r="87" spans="1:31">
      <c r="A87" s="21"/>
      <c r="B87" s="16"/>
      <c r="C87" s="16"/>
      <c r="D87" s="16"/>
      <c r="E87" s="16"/>
      <c r="F87" s="16"/>
      <c r="G87" s="16"/>
      <c r="H87" s="16"/>
      <c r="I87" s="16"/>
      <c r="J87" s="16"/>
      <c r="L87" s="16"/>
      <c r="M87" s="16"/>
      <c r="N87" s="16"/>
      <c r="O87" s="16"/>
      <c r="Q87" s="16"/>
      <c r="R87" s="16"/>
      <c r="S87" s="16"/>
      <c r="T87" s="16"/>
      <c r="V87" s="16"/>
      <c r="W87" s="16"/>
      <c r="X87" s="16"/>
      <c r="Y87" s="16"/>
      <c r="AD87" s="16"/>
      <c r="AE87" s="16"/>
    </row>
    <row r="88" spans="1:31">
      <c r="A88" s="21"/>
      <c r="B88" s="16"/>
      <c r="C88" s="16"/>
      <c r="D88" s="16"/>
      <c r="E88" s="16"/>
      <c r="F88" s="16"/>
      <c r="G88" s="16"/>
      <c r="H88" s="16"/>
      <c r="I88" s="16"/>
      <c r="J88" s="16"/>
      <c r="L88" s="16"/>
      <c r="M88" s="16"/>
      <c r="N88" s="16"/>
      <c r="O88" s="16"/>
      <c r="Q88" s="16"/>
      <c r="R88" s="16"/>
      <c r="S88" s="16"/>
      <c r="T88" s="16"/>
      <c r="V88" s="16"/>
      <c r="W88" s="16"/>
      <c r="X88" s="16"/>
      <c r="Y88" s="16"/>
      <c r="AD88" s="16"/>
      <c r="AE88" s="16"/>
    </row>
    <row r="89" spans="1:31">
      <c r="A89" s="21"/>
      <c r="B89" s="16"/>
      <c r="C89" s="16"/>
      <c r="D89" s="16"/>
      <c r="E89" s="16"/>
      <c r="F89" s="16"/>
      <c r="G89" s="16"/>
      <c r="H89" s="16"/>
      <c r="I89" s="16"/>
      <c r="J89" s="16"/>
      <c r="L89" s="16"/>
      <c r="M89" s="16"/>
      <c r="N89" s="16"/>
      <c r="O89" s="16"/>
      <c r="Q89" s="16"/>
      <c r="R89" s="16"/>
      <c r="S89" s="16"/>
      <c r="T89" s="16"/>
      <c r="V89" s="16"/>
      <c r="W89" s="16"/>
      <c r="X89" s="16"/>
      <c r="Y89" s="16"/>
      <c r="AD89" s="16"/>
      <c r="AE89" s="16"/>
    </row>
    <row r="90" spans="1:31">
      <c r="A90" s="21"/>
      <c r="B90" s="16"/>
      <c r="C90" s="16"/>
      <c r="D90" s="16"/>
      <c r="E90" s="16"/>
      <c r="F90" s="16"/>
      <c r="G90" s="16"/>
      <c r="H90" s="16"/>
      <c r="I90" s="16"/>
      <c r="J90" s="16"/>
      <c r="L90" s="16"/>
      <c r="M90" s="16"/>
      <c r="N90" s="16"/>
      <c r="O90" s="16"/>
      <c r="Q90" s="16"/>
      <c r="R90" s="16"/>
      <c r="S90" s="16"/>
      <c r="T90" s="16"/>
      <c r="V90" s="16"/>
      <c r="W90" s="16"/>
      <c r="X90" s="16"/>
      <c r="Y90" s="16"/>
      <c r="AD90" s="16"/>
      <c r="AE90" s="16"/>
    </row>
    <row r="91" spans="1:31">
      <c r="A91" s="21"/>
      <c r="B91" s="16"/>
      <c r="C91" s="16"/>
      <c r="D91" s="16"/>
      <c r="E91" s="16"/>
      <c r="F91" s="16"/>
      <c r="G91" s="16"/>
      <c r="H91" s="16"/>
      <c r="I91" s="16"/>
      <c r="J91" s="16"/>
      <c r="L91" s="16"/>
      <c r="M91" s="16"/>
      <c r="N91" s="16"/>
      <c r="O91" s="16"/>
      <c r="Q91" s="16"/>
      <c r="R91" s="16"/>
      <c r="S91" s="16"/>
      <c r="T91" s="16"/>
      <c r="V91" s="16"/>
      <c r="W91" s="16"/>
      <c r="X91" s="16"/>
      <c r="Y91" s="16"/>
      <c r="AD91" s="16"/>
      <c r="AE91" s="16"/>
    </row>
    <row r="92" spans="1:31">
      <c r="A92" s="21"/>
      <c r="B92" s="16"/>
      <c r="C92" s="16"/>
      <c r="D92" s="16"/>
      <c r="E92" s="16"/>
      <c r="F92" s="16"/>
      <c r="G92" s="16"/>
      <c r="H92" s="16"/>
      <c r="I92" s="16"/>
      <c r="J92" s="16"/>
      <c r="L92" s="16"/>
      <c r="M92" s="16"/>
      <c r="N92" s="16"/>
      <c r="O92" s="16"/>
      <c r="Q92" s="16"/>
      <c r="R92" s="16"/>
      <c r="S92" s="16"/>
      <c r="T92" s="16"/>
      <c r="V92" s="16"/>
      <c r="W92" s="16"/>
      <c r="X92" s="16"/>
      <c r="Y92" s="16"/>
      <c r="AD92" s="16"/>
      <c r="AE92" s="16"/>
    </row>
    <row r="93" spans="1:31">
      <c r="A93" s="21"/>
      <c r="B93" s="16"/>
      <c r="C93" s="16"/>
      <c r="D93" s="16"/>
      <c r="E93" s="16"/>
      <c r="F93" s="16"/>
      <c r="G93" s="16"/>
      <c r="H93" s="16"/>
      <c r="I93" s="16"/>
      <c r="J93" s="16"/>
      <c r="L93" s="16"/>
      <c r="M93" s="16"/>
      <c r="N93" s="16"/>
      <c r="O93" s="16"/>
      <c r="Q93" s="16"/>
      <c r="R93" s="16"/>
      <c r="S93" s="16"/>
      <c r="T93" s="16"/>
      <c r="V93" s="16"/>
      <c r="W93" s="16"/>
      <c r="X93" s="16"/>
      <c r="Y93" s="16"/>
      <c r="AD93" s="16"/>
      <c r="AE93" s="16"/>
    </row>
    <row r="94" spans="1:31">
      <c r="A94" s="21"/>
      <c r="B94" s="16"/>
      <c r="C94" s="16"/>
      <c r="D94" s="16"/>
      <c r="E94" s="16"/>
      <c r="F94" s="16"/>
      <c r="G94" s="16"/>
      <c r="H94" s="16"/>
      <c r="I94" s="16"/>
      <c r="J94" s="16"/>
      <c r="L94" s="16"/>
      <c r="M94" s="16"/>
      <c r="N94" s="16"/>
      <c r="O94" s="16"/>
      <c r="Q94" s="16"/>
      <c r="R94" s="16"/>
      <c r="S94" s="16"/>
      <c r="T94" s="16"/>
      <c r="V94" s="16"/>
      <c r="W94" s="16"/>
      <c r="X94" s="16"/>
      <c r="Y94" s="16"/>
      <c r="AD94" s="16"/>
      <c r="AE94" s="16"/>
    </row>
    <row r="95" spans="1:31">
      <c r="A95" s="21"/>
      <c r="B95" s="16"/>
      <c r="C95" s="16"/>
      <c r="D95" s="16"/>
      <c r="E95" s="16"/>
      <c r="F95" s="16"/>
      <c r="G95" s="16"/>
      <c r="H95" s="16"/>
      <c r="I95" s="16"/>
      <c r="J95" s="16"/>
      <c r="L95" s="16"/>
      <c r="M95" s="16"/>
      <c r="N95" s="16"/>
      <c r="O95" s="16"/>
      <c r="Q95" s="16"/>
      <c r="R95" s="16"/>
      <c r="S95" s="16"/>
      <c r="T95" s="16"/>
      <c r="V95" s="16"/>
      <c r="W95" s="16"/>
      <c r="X95" s="16"/>
      <c r="Y95" s="16"/>
      <c r="AD95" s="16"/>
      <c r="AE95" s="16"/>
    </row>
    <row r="96" spans="1:31">
      <c r="A96" s="21"/>
      <c r="B96" s="16"/>
      <c r="C96" s="16"/>
      <c r="D96" s="16"/>
      <c r="E96" s="16"/>
      <c r="F96" s="16"/>
      <c r="G96" s="16"/>
      <c r="H96" s="16"/>
      <c r="I96" s="16"/>
      <c r="J96" s="16"/>
      <c r="L96" s="16"/>
      <c r="M96" s="16"/>
      <c r="N96" s="16"/>
      <c r="O96" s="16"/>
      <c r="Q96" s="16"/>
      <c r="R96" s="16"/>
      <c r="S96" s="16"/>
      <c r="T96" s="16"/>
      <c r="V96" s="16"/>
      <c r="W96" s="16"/>
      <c r="X96" s="16"/>
      <c r="Y96" s="16"/>
      <c r="AD96" s="16"/>
      <c r="AE96" s="16"/>
    </row>
    <row r="97" spans="1:31">
      <c r="A97" s="21"/>
      <c r="B97" s="16"/>
      <c r="C97" s="16"/>
      <c r="D97" s="16"/>
      <c r="E97" s="16"/>
      <c r="F97" s="16"/>
      <c r="G97" s="16"/>
      <c r="H97" s="16"/>
      <c r="I97" s="16"/>
      <c r="J97" s="16"/>
      <c r="L97" s="16"/>
      <c r="M97" s="16"/>
      <c r="N97" s="16"/>
      <c r="O97" s="16"/>
      <c r="Q97" s="16"/>
      <c r="R97" s="16"/>
      <c r="S97" s="16"/>
      <c r="T97" s="16"/>
      <c r="V97" s="16"/>
      <c r="W97" s="16"/>
      <c r="X97" s="16"/>
      <c r="Y97" s="16"/>
      <c r="AD97" s="16"/>
      <c r="AE97" s="16"/>
    </row>
    <row r="98" spans="1:31">
      <c r="A98" s="21"/>
      <c r="B98" s="16"/>
      <c r="C98" s="16"/>
      <c r="D98" s="16"/>
      <c r="E98" s="16"/>
      <c r="F98" s="16"/>
      <c r="G98" s="16"/>
      <c r="H98" s="16"/>
      <c r="I98" s="16"/>
      <c r="J98" s="16"/>
      <c r="L98" s="16"/>
      <c r="M98" s="16"/>
      <c r="N98" s="16"/>
      <c r="O98" s="16"/>
      <c r="Q98" s="16"/>
      <c r="R98" s="16"/>
      <c r="S98" s="16"/>
      <c r="T98" s="16"/>
      <c r="V98" s="16"/>
      <c r="W98" s="16"/>
      <c r="X98" s="16"/>
      <c r="Y98" s="16"/>
      <c r="AD98" s="16"/>
      <c r="AE98" s="16"/>
    </row>
    <row r="99" spans="1:31">
      <c r="A99" s="21"/>
      <c r="B99" s="16"/>
      <c r="C99" s="16"/>
      <c r="D99" s="16"/>
      <c r="E99" s="16"/>
      <c r="F99" s="16"/>
      <c r="G99" s="16"/>
      <c r="H99" s="16"/>
      <c r="I99" s="16"/>
      <c r="J99" s="16"/>
      <c r="L99" s="16"/>
      <c r="M99" s="16"/>
      <c r="N99" s="16"/>
      <c r="O99" s="16"/>
      <c r="Q99" s="16"/>
      <c r="R99" s="16"/>
      <c r="S99" s="16"/>
      <c r="T99" s="16"/>
      <c r="V99" s="16"/>
      <c r="W99" s="16"/>
      <c r="X99" s="16"/>
      <c r="Y99" s="16"/>
      <c r="AD99" s="16"/>
      <c r="AE99" s="16"/>
    </row>
    <row r="100" spans="1:31">
      <c r="A100" s="21"/>
      <c r="B100" s="16"/>
      <c r="C100" s="16"/>
      <c r="D100" s="16"/>
      <c r="E100" s="16"/>
      <c r="F100" s="16"/>
      <c r="G100" s="16"/>
      <c r="H100" s="16"/>
      <c r="I100" s="16"/>
      <c r="J100" s="16"/>
      <c r="L100" s="16"/>
      <c r="M100" s="16"/>
      <c r="N100" s="16"/>
      <c r="O100" s="16"/>
      <c r="Q100" s="16"/>
      <c r="R100" s="16"/>
      <c r="S100" s="16"/>
      <c r="T100" s="16"/>
      <c r="V100" s="16"/>
      <c r="W100" s="16"/>
      <c r="X100" s="16"/>
      <c r="Y100" s="16"/>
      <c r="AD100" s="16"/>
      <c r="AE100" s="16"/>
    </row>
    <row r="101" spans="1:31">
      <c r="A101" s="21"/>
      <c r="B101" s="16"/>
      <c r="C101" s="16"/>
      <c r="D101" s="16"/>
      <c r="E101" s="16"/>
      <c r="F101" s="16"/>
      <c r="G101" s="16"/>
      <c r="H101" s="16"/>
      <c r="I101" s="16"/>
      <c r="J101" s="16"/>
      <c r="L101" s="16"/>
      <c r="M101" s="16"/>
      <c r="N101" s="16"/>
      <c r="O101" s="16"/>
      <c r="Q101" s="16"/>
      <c r="R101" s="16"/>
      <c r="S101" s="16"/>
      <c r="T101" s="16"/>
      <c r="V101" s="16"/>
      <c r="W101" s="16"/>
      <c r="X101" s="16"/>
      <c r="Y101" s="16"/>
      <c r="AD101" s="16"/>
      <c r="AE101" s="16"/>
    </row>
    <row r="102" spans="1:31">
      <c r="A102" s="21"/>
      <c r="B102" s="16"/>
      <c r="C102" s="16"/>
      <c r="D102" s="16"/>
      <c r="E102" s="16"/>
      <c r="F102" s="16"/>
      <c r="G102" s="16"/>
      <c r="H102" s="16"/>
      <c r="I102" s="16"/>
      <c r="J102" s="16"/>
      <c r="L102" s="16"/>
      <c r="M102" s="16"/>
      <c r="N102" s="16"/>
      <c r="O102" s="16"/>
      <c r="Q102" s="16"/>
      <c r="R102" s="16"/>
      <c r="S102" s="16"/>
      <c r="T102" s="16"/>
      <c r="V102" s="16"/>
      <c r="W102" s="16"/>
      <c r="X102" s="16"/>
      <c r="Y102" s="16"/>
      <c r="AD102" s="16"/>
      <c r="AE102" s="16"/>
    </row>
    <row r="103" spans="1:31">
      <c r="A103" s="21"/>
      <c r="B103" s="16"/>
      <c r="C103" s="16"/>
      <c r="D103" s="16"/>
      <c r="E103" s="16"/>
      <c r="F103" s="16"/>
      <c r="G103" s="16"/>
      <c r="H103" s="16"/>
      <c r="I103" s="16"/>
      <c r="J103" s="16"/>
      <c r="L103" s="16"/>
      <c r="M103" s="16"/>
      <c r="N103" s="16"/>
      <c r="O103" s="16"/>
      <c r="Q103" s="16"/>
      <c r="R103" s="16"/>
      <c r="S103" s="16"/>
      <c r="T103" s="16"/>
      <c r="V103" s="16"/>
      <c r="W103" s="16"/>
      <c r="X103" s="16"/>
      <c r="Y103" s="16"/>
      <c r="AD103" s="16"/>
      <c r="AE103" s="16"/>
    </row>
    <row r="104" spans="1:31">
      <c r="A104" s="21"/>
      <c r="B104" s="16"/>
      <c r="C104" s="16"/>
      <c r="D104" s="16"/>
      <c r="E104" s="16"/>
      <c r="F104" s="16"/>
      <c r="G104" s="16"/>
      <c r="H104" s="16"/>
      <c r="I104" s="16"/>
      <c r="J104" s="16"/>
      <c r="L104" s="16"/>
      <c r="M104" s="16"/>
      <c r="N104" s="16"/>
      <c r="O104" s="16"/>
      <c r="Q104" s="16"/>
      <c r="R104" s="16"/>
      <c r="S104" s="16"/>
      <c r="T104" s="16"/>
      <c r="V104" s="16"/>
      <c r="W104" s="16"/>
      <c r="X104" s="16"/>
      <c r="Y104" s="16"/>
      <c r="AD104" s="16"/>
      <c r="AE104" s="16"/>
    </row>
    <row r="105" spans="1:31">
      <c r="A105" s="21"/>
      <c r="B105" s="16"/>
      <c r="C105" s="16"/>
      <c r="D105" s="16"/>
      <c r="E105" s="16"/>
      <c r="F105" s="16"/>
      <c r="G105" s="16"/>
      <c r="H105" s="16"/>
      <c r="I105" s="16"/>
      <c r="J105" s="16"/>
      <c r="L105" s="16"/>
      <c r="M105" s="16"/>
      <c r="N105" s="16"/>
      <c r="O105" s="16"/>
      <c r="Q105" s="16"/>
      <c r="R105" s="16"/>
      <c r="S105" s="16"/>
      <c r="T105" s="16"/>
      <c r="V105" s="16"/>
      <c r="W105" s="16"/>
      <c r="X105" s="16"/>
      <c r="Y105" s="16"/>
      <c r="AD105" s="16"/>
      <c r="AE105" s="16"/>
    </row>
    <row r="106" spans="1:31">
      <c r="A106" s="21"/>
      <c r="B106" s="16"/>
      <c r="C106" s="16"/>
      <c r="D106" s="16"/>
      <c r="E106" s="16"/>
      <c r="F106" s="16"/>
      <c r="G106" s="16"/>
      <c r="H106" s="16"/>
      <c r="I106" s="16"/>
      <c r="J106" s="16"/>
      <c r="L106" s="16"/>
      <c r="M106" s="16"/>
      <c r="N106" s="16"/>
      <c r="O106" s="16"/>
      <c r="Q106" s="16"/>
      <c r="R106" s="16"/>
      <c r="S106" s="16"/>
      <c r="T106" s="16"/>
      <c r="V106" s="16"/>
      <c r="W106" s="16"/>
      <c r="X106" s="16"/>
      <c r="Y106" s="16"/>
      <c r="AD106" s="16"/>
      <c r="AE106" s="16"/>
    </row>
    <row r="107" spans="1:31">
      <c r="A107" s="21"/>
      <c r="B107" s="16"/>
      <c r="C107" s="16"/>
      <c r="D107" s="16"/>
      <c r="E107" s="16"/>
      <c r="F107" s="16"/>
      <c r="G107" s="16"/>
      <c r="H107" s="16"/>
      <c r="I107" s="16"/>
      <c r="J107" s="16"/>
      <c r="L107" s="16"/>
      <c r="M107" s="16"/>
      <c r="N107" s="16"/>
      <c r="O107" s="16"/>
      <c r="Q107" s="16"/>
      <c r="R107" s="16"/>
      <c r="S107" s="16"/>
      <c r="T107" s="16"/>
      <c r="V107" s="16"/>
      <c r="W107" s="16"/>
      <c r="X107" s="16"/>
      <c r="Y107" s="16"/>
      <c r="AD107" s="16"/>
      <c r="AE107" s="16"/>
    </row>
    <row r="108" spans="1:31">
      <c r="A108" s="21"/>
      <c r="B108" s="16"/>
      <c r="C108" s="16"/>
      <c r="D108" s="16"/>
      <c r="E108" s="16"/>
      <c r="F108" s="16"/>
      <c r="G108" s="16"/>
      <c r="H108" s="16"/>
      <c r="I108" s="16"/>
      <c r="J108" s="16"/>
      <c r="L108" s="16"/>
      <c r="M108" s="16"/>
      <c r="N108" s="16"/>
      <c r="O108" s="16"/>
      <c r="Q108" s="16"/>
      <c r="R108" s="16"/>
      <c r="S108" s="16"/>
      <c r="T108" s="16"/>
      <c r="V108" s="16"/>
      <c r="W108" s="16"/>
      <c r="X108" s="16"/>
      <c r="Y108" s="16"/>
      <c r="AD108" s="16"/>
      <c r="AE108" s="16"/>
    </row>
    <row r="109" spans="1:31">
      <c r="A109" s="21"/>
      <c r="B109" s="16"/>
      <c r="C109" s="16"/>
      <c r="D109" s="16"/>
      <c r="E109" s="16"/>
      <c r="F109" s="16"/>
      <c r="G109" s="16"/>
      <c r="H109" s="16"/>
      <c r="I109" s="16"/>
      <c r="J109" s="16"/>
      <c r="L109" s="16"/>
      <c r="M109" s="16"/>
      <c r="N109" s="16"/>
      <c r="O109" s="16"/>
      <c r="Q109" s="16"/>
      <c r="R109" s="16"/>
      <c r="S109" s="16"/>
      <c r="T109" s="16"/>
      <c r="V109" s="16"/>
      <c r="W109" s="16"/>
      <c r="X109" s="16"/>
      <c r="Y109" s="16"/>
      <c r="AD109" s="16"/>
      <c r="AE109" s="16"/>
    </row>
    <row r="110" spans="1:31">
      <c r="A110" s="21"/>
      <c r="B110" s="16"/>
      <c r="C110" s="16"/>
      <c r="D110" s="16"/>
      <c r="E110" s="16"/>
      <c r="F110" s="16"/>
      <c r="G110" s="16"/>
      <c r="H110" s="16"/>
      <c r="I110" s="16"/>
      <c r="J110" s="16"/>
      <c r="L110" s="16"/>
      <c r="M110" s="16"/>
      <c r="N110" s="16"/>
      <c r="O110" s="16"/>
      <c r="Q110" s="16"/>
      <c r="R110" s="16"/>
      <c r="S110" s="16"/>
      <c r="T110" s="16"/>
      <c r="V110" s="16"/>
      <c r="W110" s="16"/>
      <c r="X110" s="16"/>
      <c r="Y110" s="16"/>
      <c r="AD110" s="16"/>
      <c r="AE110" s="16"/>
    </row>
    <row r="111" spans="1:31">
      <c r="A111" s="21"/>
      <c r="B111" s="16"/>
      <c r="C111" s="16"/>
      <c r="D111" s="16"/>
      <c r="E111" s="16"/>
      <c r="F111" s="16"/>
      <c r="G111" s="16"/>
      <c r="H111" s="16"/>
      <c r="I111" s="16"/>
      <c r="J111" s="16"/>
      <c r="L111" s="16"/>
      <c r="M111" s="16"/>
      <c r="N111" s="16"/>
      <c r="O111" s="16"/>
      <c r="Q111" s="16"/>
      <c r="R111" s="16"/>
      <c r="S111" s="16"/>
      <c r="T111" s="16"/>
      <c r="V111" s="16"/>
      <c r="W111" s="16"/>
      <c r="X111" s="16"/>
      <c r="Y111" s="16"/>
      <c r="AD111" s="16"/>
      <c r="AE111" s="16"/>
    </row>
  </sheetData>
  <mergeCells count="10">
    <mergeCell ref="V4:Y4"/>
    <mergeCell ref="G58:J58"/>
    <mergeCell ref="L58:O58"/>
    <mergeCell ref="Q58:T58"/>
    <mergeCell ref="V58:Y58"/>
    <mergeCell ref="B58:D58"/>
    <mergeCell ref="B4:E4"/>
    <mergeCell ref="G4:J4"/>
    <mergeCell ref="L4:O4"/>
    <mergeCell ref="Q4:T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5E03-28F1-294C-B20F-94EA07175147}">
  <dimension ref="B2:R21"/>
  <sheetViews>
    <sheetView tabSelected="1" topLeftCell="A3" zoomScale="150" zoomScaleNormal="150" workbookViewId="0">
      <selection activeCell="G20" sqref="G20"/>
    </sheetView>
  </sheetViews>
  <sheetFormatPr defaultColWidth="10.875" defaultRowHeight="15.75" outlineLevelCol="1"/>
  <cols>
    <col min="1" max="1" width="1.625" style="16" customWidth="1"/>
    <col min="2" max="2" width="31.625" style="16" customWidth="1"/>
    <col min="3" max="3" width="4.375" style="16" customWidth="1"/>
    <col min="4" max="4" width="3.375" style="16" customWidth="1"/>
    <col min="5" max="5" width="10.875" style="16"/>
    <col min="6" max="6" width="2.375" style="16" customWidth="1"/>
    <col min="7" max="7" width="10.875" style="16"/>
    <col min="8" max="8" width="2.5" style="16" customWidth="1"/>
    <col min="9" max="9" width="10.875" style="16"/>
    <col min="10" max="10" width="2.625" style="16" customWidth="1"/>
    <col min="11" max="11" width="10.875" style="16"/>
    <col min="12" max="12" width="2.375" style="16" customWidth="1"/>
    <col min="13" max="13" width="10.875" style="16"/>
    <col min="14" max="14" width="2" style="16" customWidth="1"/>
    <col min="15" max="17" width="0" style="16" hidden="1" customWidth="1" outlineLevel="1"/>
    <col min="18" max="18" width="2.375" style="16" customWidth="1" collapsed="1"/>
    <col min="19" max="16384" width="10.875" style="16"/>
  </cols>
  <sheetData>
    <row r="2" spans="2:17" ht="28.5">
      <c r="B2" s="95" t="s">
        <v>105</v>
      </c>
    </row>
    <row r="5" spans="2:17">
      <c r="B5" s="17" t="s">
        <v>106</v>
      </c>
      <c r="E5" s="154" t="s">
        <v>88</v>
      </c>
      <c r="F5" s="154"/>
      <c r="G5" s="154" t="s">
        <v>89</v>
      </c>
      <c r="H5" s="154"/>
      <c r="I5" s="154" t="s">
        <v>90</v>
      </c>
      <c r="J5" s="154"/>
      <c r="K5" s="154" t="s">
        <v>91</v>
      </c>
      <c r="L5" s="154"/>
      <c r="M5" s="154" t="s">
        <v>92</v>
      </c>
    </row>
    <row r="6" spans="2:17">
      <c r="B6" s="16" t="s">
        <v>109</v>
      </c>
      <c r="E6" s="71">
        <f>'IS, Y5'!C38</f>
        <v>-9.75</v>
      </c>
      <c r="F6" s="71"/>
      <c r="G6" s="71">
        <f>'IS, Y5'!H38</f>
        <v>90.35</v>
      </c>
      <c r="H6" s="71"/>
      <c r="I6" s="71">
        <f>'IS, Y5'!M38</f>
        <v>294.84000000000026</v>
      </c>
      <c r="J6" s="71"/>
      <c r="K6" s="71">
        <f>'IS, Y5'!R38</f>
        <v>616.88900000000035</v>
      </c>
      <c r="L6" s="71"/>
      <c r="M6" s="71">
        <f>'IS, Y5'!W38</f>
        <v>1502.2813000000008</v>
      </c>
    </row>
    <row r="7" spans="2:17">
      <c r="B7" s="72" t="s">
        <v>110</v>
      </c>
      <c r="C7" s="72"/>
      <c r="D7" s="72"/>
      <c r="E7" s="72">
        <f>ABS('IS, Y5'!C27)</f>
        <v>60</v>
      </c>
      <c r="F7" s="72"/>
      <c r="G7" s="72">
        <f>ABS('IS, Y5'!H27)</f>
        <v>120</v>
      </c>
      <c r="H7" s="72"/>
      <c r="I7" s="72">
        <f>ABS('IS, Y5'!M27)</f>
        <v>180</v>
      </c>
      <c r="J7" s="72"/>
      <c r="K7" s="72">
        <f>ABS('IS, Y5'!R27)</f>
        <v>240</v>
      </c>
      <c r="L7" s="72"/>
      <c r="M7" s="72">
        <f>ABS('IS, Y5'!W27)</f>
        <v>420</v>
      </c>
    </row>
    <row r="8" spans="2:17">
      <c r="B8" s="17" t="s">
        <v>172</v>
      </c>
      <c r="E8" s="74">
        <f>E6+E7</f>
        <v>50.25</v>
      </c>
      <c r="G8" s="74">
        <f>G6+G7</f>
        <v>210.35</v>
      </c>
      <c r="I8" s="74">
        <f>I6+I7</f>
        <v>474.84000000000026</v>
      </c>
      <c r="K8" s="74">
        <f>K6+K7</f>
        <v>856.88900000000035</v>
      </c>
      <c r="M8" s="74">
        <f>M6+M7</f>
        <v>1922.2813000000008</v>
      </c>
    </row>
    <row r="10" spans="2:17">
      <c r="B10" s="17" t="s">
        <v>107</v>
      </c>
    </row>
    <row r="11" spans="2:17">
      <c r="B11" s="72" t="s">
        <v>175</v>
      </c>
      <c r="C11" s="72"/>
      <c r="D11" s="72"/>
      <c r="E11" s="72">
        <f>-'BS, Y! DAY 2'!C21</f>
        <v>-300</v>
      </c>
      <c r="F11" s="72"/>
      <c r="G11" s="72">
        <f>E11*1</f>
        <v>-300</v>
      </c>
      <c r="H11" s="72"/>
      <c r="I11" s="72">
        <f>G11*1</f>
        <v>-300</v>
      </c>
      <c r="J11" s="72"/>
      <c r="K11" s="72">
        <f>-300*1</f>
        <v>-300</v>
      </c>
      <c r="L11" s="72"/>
      <c r="M11" s="72">
        <f>3*E11</f>
        <v>-900</v>
      </c>
      <c r="O11" s="168" t="s">
        <v>171</v>
      </c>
      <c r="P11" s="168"/>
      <c r="Q11" s="168"/>
    </row>
    <row r="12" spans="2:17">
      <c r="B12" s="17" t="s">
        <v>173</v>
      </c>
      <c r="E12" s="73">
        <f>E11</f>
        <v>-300</v>
      </c>
      <c r="G12" s="73">
        <f>G11</f>
        <v>-300</v>
      </c>
      <c r="H12" s="17"/>
      <c r="I12" s="73">
        <f>I11</f>
        <v>-300</v>
      </c>
      <c r="J12" s="17"/>
      <c r="K12" s="73">
        <f>K11</f>
        <v>-300</v>
      </c>
      <c r="L12" s="17"/>
      <c r="M12" s="73">
        <f>M11</f>
        <v>-900</v>
      </c>
      <c r="O12" s="168"/>
      <c r="P12" s="168"/>
      <c r="Q12" s="168"/>
    </row>
    <row r="14" spans="2:17">
      <c r="B14" s="17" t="s">
        <v>108</v>
      </c>
    </row>
    <row r="15" spans="2:17">
      <c r="B15" s="16" t="s">
        <v>111</v>
      </c>
      <c r="E15" s="16">
        <f>'BS, Y1 DAY 1'!C14</f>
        <v>250</v>
      </c>
      <c r="G15" s="21"/>
      <c r="I15" s="21"/>
      <c r="K15" s="21"/>
    </row>
    <row r="16" spans="2:17">
      <c r="B16" s="72" t="s">
        <v>112</v>
      </c>
      <c r="C16" s="72"/>
      <c r="D16" s="72"/>
      <c r="E16" s="72">
        <f>START!B15</f>
        <v>500</v>
      </c>
      <c r="F16" s="72"/>
      <c r="G16" s="72"/>
      <c r="H16" s="72"/>
      <c r="I16" s="72"/>
      <c r="J16" s="72"/>
      <c r="K16" s="72"/>
      <c r="L16" s="72"/>
      <c r="M16" s="72"/>
    </row>
    <row r="17" spans="2:13">
      <c r="B17" s="17" t="s">
        <v>174</v>
      </c>
      <c r="E17" s="73">
        <f>E15+E16</f>
        <v>750</v>
      </c>
    </row>
    <row r="19" spans="2:13">
      <c r="B19" s="16" t="s">
        <v>114</v>
      </c>
      <c r="E19" s="16">
        <v>0</v>
      </c>
      <c r="G19" s="76">
        <f>E21</f>
        <v>500.25</v>
      </c>
      <c r="I19" s="76">
        <f>G21</f>
        <v>410.6</v>
      </c>
      <c r="K19" s="76">
        <f>I21</f>
        <v>585.44000000000028</v>
      </c>
      <c r="M19" s="76">
        <f>K21</f>
        <v>1142.3290000000006</v>
      </c>
    </row>
    <row r="20" spans="2:13">
      <c r="B20" s="72" t="s">
        <v>115</v>
      </c>
      <c r="C20" s="72"/>
      <c r="D20" s="72"/>
      <c r="E20" s="75">
        <f>E8+E12+E17</f>
        <v>500.25</v>
      </c>
      <c r="F20" s="72"/>
      <c r="G20" s="75">
        <f>G8+G12+G17</f>
        <v>-89.65</v>
      </c>
      <c r="H20" s="72"/>
      <c r="I20" s="75">
        <f>I8+I12+I17</f>
        <v>174.84000000000026</v>
      </c>
      <c r="J20" s="72"/>
      <c r="K20" s="75">
        <f>K8+K12+K17</f>
        <v>556.88900000000035</v>
      </c>
      <c r="L20" s="72"/>
      <c r="M20" s="75">
        <f>M8+M12+M17</f>
        <v>1022.2813000000008</v>
      </c>
    </row>
    <row r="21" spans="2:13">
      <c r="B21" s="17" t="s">
        <v>116</v>
      </c>
      <c r="E21" s="74">
        <f>E20</f>
        <v>500.25</v>
      </c>
      <c r="F21" s="17"/>
      <c r="G21" s="74">
        <f>G19+G20</f>
        <v>410.6</v>
      </c>
      <c r="H21" s="17"/>
      <c r="I21" s="74">
        <f>I19+I20</f>
        <v>585.44000000000028</v>
      </c>
      <c r="J21" s="17"/>
      <c r="K21" s="74">
        <f>K19+K20</f>
        <v>1142.3290000000006</v>
      </c>
      <c r="L21" s="17"/>
      <c r="M21" s="74">
        <f>M19+M20</f>
        <v>2164.6103000000012</v>
      </c>
    </row>
  </sheetData>
  <mergeCells count="1">
    <mergeCell ref="O11:Q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3D20-3C4A-ED48-A55D-3753C11AC98C}">
  <dimension ref="A1:AW43"/>
  <sheetViews>
    <sheetView topLeftCell="A12" zoomScale="160" zoomScaleNormal="160" workbookViewId="0">
      <selection activeCell="D26" sqref="D26"/>
    </sheetView>
  </sheetViews>
  <sheetFormatPr defaultColWidth="11" defaultRowHeight="15.75" outlineLevelCol="1"/>
  <cols>
    <col min="1" max="1" width="5.625" style="48" customWidth="1"/>
    <col min="2" max="2" width="23.5" bestFit="1" customWidth="1"/>
    <col min="3" max="3" width="10.875" customWidth="1"/>
    <col min="4" max="4" width="40.5" customWidth="1" outlineLevel="1"/>
    <col min="5" max="5" width="4.125" customWidth="1"/>
    <col min="6" max="6" width="6.625" bestFit="1" customWidth="1"/>
    <col min="7" max="7" width="6.125" customWidth="1"/>
    <col min="8" max="8" width="6.625" bestFit="1" customWidth="1"/>
    <col min="9" max="9" width="6.125" customWidth="1"/>
    <col min="10" max="10" width="6.625" bestFit="1" customWidth="1"/>
    <col min="11" max="11" width="6.5" customWidth="1"/>
    <col min="12" max="12" width="6.625" bestFit="1" customWidth="1"/>
    <col min="19" max="49" width="10.875" style="16"/>
  </cols>
  <sheetData>
    <row r="1" spans="1:18">
      <c r="A1" s="77"/>
      <c r="B1" s="78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28.5">
      <c r="A2" s="77"/>
      <c r="B2" s="95" t="s">
        <v>194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>
      <c r="A3" s="77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>
      <c r="A4" s="77"/>
      <c r="B4" s="3" t="s">
        <v>8</v>
      </c>
      <c r="C4" s="31" t="s">
        <v>88</v>
      </c>
      <c r="D4" s="106" t="s">
        <v>24</v>
      </c>
      <c r="E4" s="33"/>
      <c r="F4" s="3" t="s">
        <v>89</v>
      </c>
      <c r="G4" s="16"/>
      <c r="H4" s="3" t="s">
        <v>90</v>
      </c>
      <c r="I4" s="16"/>
      <c r="J4" s="3" t="s">
        <v>91</v>
      </c>
      <c r="K4" s="16"/>
      <c r="L4" s="3" t="s">
        <v>92</v>
      </c>
      <c r="M4" s="16"/>
      <c r="N4" s="16"/>
      <c r="O4" s="16"/>
      <c r="P4" s="16"/>
      <c r="Q4" s="16"/>
      <c r="R4" s="16"/>
    </row>
    <row r="5" spans="1:18">
      <c r="A5" s="77"/>
      <c r="B5" s="4" t="s">
        <v>9</v>
      </c>
      <c r="C5" s="52">
        <f>'CF, Y5'!E21</f>
        <v>500.25</v>
      </c>
      <c r="D5" s="107" t="s">
        <v>156</v>
      </c>
      <c r="E5" s="79"/>
      <c r="F5" s="53">
        <f>'CF, Y5'!G21</f>
        <v>410.6</v>
      </c>
      <c r="G5" s="53"/>
      <c r="H5" s="53">
        <f>'CF, Y5'!I21</f>
        <v>585.44000000000028</v>
      </c>
      <c r="I5" s="66"/>
      <c r="J5" s="53">
        <f>'CF, Y5'!K21</f>
        <v>1142.3290000000006</v>
      </c>
      <c r="K5" s="53"/>
      <c r="L5" s="53">
        <f>'CF, Y5'!M21</f>
        <v>2164.6103000000012</v>
      </c>
      <c r="M5" s="16"/>
      <c r="N5" s="16"/>
      <c r="O5" s="16"/>
      <c r="P5" s="16"/>
      <c r="Q5" s="16"/>
      <c r="R5" s="16"/>
    </row>
    <row r="6" spans="1:18">
      <c r="A6" s="77"/>
      <c r="B6" s="4" t="s">
        <v>10</v>
      </c>
      <c r="C6" s="53">
        <f>'BS, Y! DAY 2'!C9+'IS, end Y1'!C23</f>
        <v>240</v>
      </c>
      <c r="D6" s="108" t="s">
        <v>117</v>
      </c>
      <c r="E6" s="21"/>
      <c r="F6" s="53">
        <f>'IS, Y5'!J59</f>
        <v>420</v>
      </c>
      <c r="G6" s="16"/>
      <c r="H6" s="53">
        <f>'IS, Y5'!O59</f>
        <v>540</v>
      </c>
      <c r="I6" s="16"/>
      <c r="J6" s="53">
        <f>'IS, Y5'!T59</f>
        <v>600</v>
      </c>
      <c r="K6" s="16"/>
      <c r="L6" s="53">
        <f>'IS, Y5'!Y59</f>
        <v>1080</v>
      </c>
      <c r="M6" s="16"/>
      <c r="N6" s="16"/>
      <c r="O6" s="16"/>
      <c r="P6" s="16"/>
      <c r="Q6" s="16"/>
      <c r="R6" s="16"/>
    </row>
    <row r="7" spans="1:18">
      <c r="A7" s="77"/>
      <c r="B7" s="4" t="s">
        <v>11</v>
      </c>
      <c r="C7" s="53">
        <v>0</v>
      </c>
      <c r="D7" s="108" t="s">
        <v>119</v>
      </c>
      <c r="E7" s="31"/>
      <c r="F7" s="53">
        <v>0</v>
      </c>
      <c r="G7" s="16"/>
      <c r="H7" s="53">
        <v>0</v>
      </c>
      <c r="I7" s="53"/>
      <c r="J7" s="53">
        <v>0</v>
      </c>
      <c r="K7" s="16"/>
      <c r="L7" s="53">
        <v>0</v>
      </c>
      <c r="M7" s="16"/>
      <c r="N7" s="16"/>
      <c r="O7" s="16"/>
      <c r="P7" s="16"/>
      <c r="Q7" s="16"/>
      <c r="R7" s="16"/>
    </row>
    <row r="8" spans="1:18" ht="16.5" thickBot="1">
      <c r="A8" s="77"/>
      <c r="B8" s="5" t="s">
        <v>12</v>
      </c>
      <c r="C8" s="55">
        <f>'BS, Y1 DAY 1'!C7</f>
        <v>1000</v>
      </c>
      <c r="D8" s="108" t="s">
        <v>120</v>
      </c>
      <c r="E8" s="16"/>
      <c r="F8" s="84">
        <f>C8</f>
        <v>1000</v>
      </c>
      <c r="G8" s="72"/>
      <c r="H8" s="84">
        <f>C8</f>
        <v>1000</v>
      </c>
      <c r="I8" s="72"/>
      <c r="J8" s="84">
        <f>C8</f>
        <v>1000</v>
      </c>
      <c r="K8" s="72"/>
      <c r="L8" s="84">
        <f>C8</f>
        <v>1000</v>
      </c>
      <c r="M8" s="16"/>
      <c r="N8" s="16"/>
      <c r="O8" s="16"/>
      <c r="P8" s="16"/>
      <c r="Q8" s="16"/>
      <c r="R8" s="16"/>
    </row>
    <row r="9" spans="1:18" ht="16.5" thickTop="1">
      <c r="A9" s="77"/>
      <c r="B9" s="4" t="s">
        <v>13</v>
      </c>
      <c r="C9" s="53">
        <f>SUM(C5:C8)</f>
        <v>1740.25</v>
      </c>
      <c r="D9" s="109"/>
      <c r="E9" s="16"/>
      <c r="F9" s="53">
        <f>SUM(F5:F8)</f>
        <v>1830.6</v>
      </c>
      <c r="G9" s="16"/>
      <c r="H9" s="53">
        <f>SUM(H5:H8)</f>
        <v>2125.4400000000005</v>
      </c>
      <c r="I9" s="16"/>
      <c r="J9" s="53">
        <f>SUM(J5:J8)</f>
        <v>2742.3290000000006</v>
      </c>
      <c r="K9" s="16"/>
      <c r="L9" s="53">
        <f>SUM(L5:L8)</f>
        <v>4244.6103000000012</v>
      </c>
      <c r="M9" s="16"/>
      <c r="N9" s="16"/>
      <c r="O9" s="16"/>
      <c r="P9" s="16"/>
      <c r="Q9" s="16"/>
      <c r="R9" s="16"/>
    </row>
    <row r="10" spans="1:18">
      <c r="A10" s="77"/>
      <c r="B10" s="16"/>
      <c r="C10" s="16"/>
      <c r="D10" s="109"/>
      <c r="E10" s="16"/>
      <c r="F10" s="53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>
      <c r="A11" s="77"/>
      <c r="B11" s="16"/>
      <c r="C11" s="16"/>
      <c r="D11" s="109"/>
      <c r="E11" s="16"/>
      <c r="F11" s="53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>
      <c r="A12" s="77"/>
      <c r="B12" s="16"/>
      <c r="C12" s="16"/>
      <c r="D12" s="109"/>
      <c r="E12" s="16"/>
      <c r="F12" s="53"/>
      <c r="G12" s="16"/>
      <c r="H12" s="53"/>
      <c r="I12" s="53"/>
      <c r="J12" s="53"/>
      <c r="K12" s="53"/>
      <c r="L12" s="53"/>
      <c r="M12" s="53"/>
      <c r="N12" s="16"/>
      <c r="O12" s="16"/>
      <c r="P12" s="16"/>
      <c r="Q12" s="16"/>
      <c r="R12" s="16"/>
    </row>
    <row r="13" spans="1:18">
      <c r="A13" s="77"/>
      <c r="B13" s="8" t="s">
        <v>14</v>
      </c>
      <c r="C13" s="21"/>
      <c r="D13" s="110"/>
      <c r="E13" s="16"/>
      <c r="F13" s="53"/>
      <c r="G13" s="16"/>
      <c r="H13" s="53"/>
      <c r="I13" s="53"/>
      <c r="J13" s="53"/>
      <c r="K13" s="53"/>
      <c r="L13" s="53"/>
      <c r="M13" s="53"/>
      <c r="N13" s="16"/>
      <c r="O13" s="16"/>
      <c r="P13" s="16"/>
      <c r="Q13" s="16"/>
      <c r="R13" s="16"/>
    </row>
    <row r="14" spans="1:18" ht="16.5" thickBot="1">
      <c r="A14" s="77"/>
      <c r="B14" s="9" t="s">
        <v>15</v>
      </c>
      <c r="C14" s="53">
        <f>'BS, Y1 DAY 1'!C13</f>
        <v>250</v>
      </c>
      <c r="D14" s="110"/>
      <c r="E14" s="16"/>
      <c r="F14" s="83">
        <f>C14</f>
        <v>250</v>
      </c>
      <c r="G14" s="72"/>
      <c r="H14" s="83">
        <f>C14</f>
        <v>250</v>
      </c>
      <c r="I14" s="83"/>
      <c r="J14" s="83">
        <f>C14</f>
        <v>250</v>
      </c>
      <c r="K14" s="83"/>
      <c r="L14" s="83">
        <f>C14</f>
        <v>250</v>
      </c>
      <c r="M14" s="53"/>
      <c r="N14" s="16"/>
      <c r="O14" s="16"/>
      <c r="P14" s="16"/>
      <c r="Q14" s="16"/>
      <c r="R14" s="16"/>
    </row>
    <row r="15" spans="1:18" ht="16.5" thickTop="1">
      <c r="A15" s="77"/>
      <c r="B15" s="10" t="s">
        <v>18</v>
      </c>
      <c r="C15" s="53">
        <f>C14</f>
        <v>250</v>
      </c>
      <c r="D15" s="110"/>
      <c r="E15" s="16"/>
      <c r="F15" s="53">
        <f>F14</f>
        <v>250</v>
      </c>
      <c r="G15" s="16"/>
      <c r="H15" s="53">
        <f>H14</f>
        <v>250</v>
      </c>
      <c r="I15" s="53"/>
      <c r="J15" s="53">
        <f>J14</f>
        <v>250</v>
      </c>
      <c r="K15" s="53"/>
      <c r="L15" s="53">
        <f>L14</f>
        <v>250</v>
      </c>
      <c r="M15" s="53"/>
      <c r="N15" s="16"/>
      <c r="O15" s="16"/>
      <c r="P15" s="16"/>
      <c r="Q15" s="16"/>
      <c r="R15" s="16"/>
    </row>
    <row r="16" spans="1:18">
      <c r="A16" s="77"/>
      <c r="B16" s="16"/>
      <c r="C16" s="16"/>
      <c r="D16" s="110"/>
      <c r="E16" s="16"/>
      <c r="F16" s="53"/>
      <c r="G16" s="16"/>
      <c r="H16" s="53"/>
      <c r="I16" s="53"/>
      <c r="J16" s="53"/>
      <c r="K16" s="53"/>
      <c r="L16" s="53"/>
      <c r="M16" s="53"/>
      <c r="N16" s="16"/>
      <c r="O16" s="16"/>
      <c r="P16" s="16"/>
      <c r="Q16" s="16"/>
      <c r="R16" s="16"/>
    </row>
    <row r="17" spans="1:18">
      <c r="A17" s="77"/>
      <c r="B17" s="16"/>
      <c r="C17" s="16"/>
      <c r="D17" s="109"/>
      <c r="E17" s="16"/>
      <c r="F17" s="53"/>
      <c r="G17" s="16"/>
      <c r="H17" s="53"/>
      <c r="I17" s="53"/>
      <c r="J17" s="53"/>
      <c r="K17" s="53"/>
      <c r="L17" s="53"/>
      <c r="M17" s="53"/>
      <c r="N17" s="16"/>
      <c r="O17" s="16"/>
      <c r="P17" s="16"/>
      <c r="Q17" s="16"/>
      <c r="R17" s="16"/>
    </row>
    <row r="18" spans="1:18">
      <c r="A18" s="77"/>
      <c r="B18" s="6" t="s">
        <v>16</v>
      </c>
      <c r="C18" s="53">
        <f>1500+'IS, Y5'!C38</f>
        <v>1490.25</v>
      </c>
      <c r="D18" s="108" t="s">
        <v>155</v>
      </c>
      <c r="E18" s="16"/>
      <c r="F18" s="53">
        <f>C18+'CF, Y5'!G6</f>
        <v>1580.6</v>
      </c>
      <c r="G18" s="16"/>
      <c r="H18" s="53">
        <f>F18+'CF, Y5'!I6</f>
        <v>1875.44</v>
      </c>
      <c r="I18" s="53"/>
      <c r="J18" s="53">
        <f>H18+'CF, Y5'!K6</f>
        <v>2492.3290000000006</v>
      </c>
      <c r="K18" s="53"/>
      <c r="L18" s="53">
        <f>J18+'CF, Y5'!M6</f>
        <v>3994.6103000000012</v>
      </c>
      <c r="M18" s="53"/>
      <c r="N18" s="16"/>
      <c r="O18" s="16"/>
      <c r="P18" s="16"/>
      <c r="Q18" s="16"/>
      <c r="R18" s="16"/>
    </row>
    <row r="19" spans="1:18">
      <c r="A19" s="77"/>
      <c r="B19" s="6" t="s">
        <v>17</v>
      </c>
      <c r="C19" s="60">
        <f>C18/1500</f>
        <v>0.99350000000000005</v>
      </c>
      <c r="D19" s="109"/>
      <c r="E19" s="16"/>
      <c r="F19" s="60">
        <f>F18/1500</f>
        <v>1.0537333333333332</v>
      </c>
      <c r="G19" s="16"/>
      <c r="H19" s="60">
        <f>H18/1500</f>
        <v>1.2502933333333335</v>
      </c>
      <c r="I19" s="53"/>
      <c r="J19" s="60">
        <f>J18/1500</f>
        <v>1.6615526666666671</v>
      </c>
      <c r="K19" s="53"/>
      <c r="L19" s="60">
        <f>L18/1500</f>
        <v>2.6630735333333342</v>
      </c>
      <c r="M19" s="53"/>
      <c r="N19" s="16"/>
      <c r="O19" s="16"/>
      <c r="P19" s="16"/>
      <c r="Q19" s="16"/>
      <c r="R19" s="16"/>
    </row>
    <row r="20" spans="1:18">
      <c r="A20" s="77"/>
      <c r="B20" s="6" t="s">
        <v>95</v>
      </c>
      <c r="C20" s="85"/>
      <c r="D20" s="109"/>
      <c r="E20" s="16"/>
      <c r="F20" s="67">
        <f>(F18-C18)/C18</f>
        <v>6.0627411508136157E-2</v>
      </c>
      <c r="G20" s="16"/>
      <c r="H20" s="67">
        <f>(H18-F18)/F18</f>
        <v>0.18653675819309135</v>
      </c>
      <c r="I20" s="53"/>
      <c r="J20" s="67">
        <f>(J18-H18)/H18</f>
        <v>0.32893027769483457</v>
      </c>
      <c r="K20" s="53"/>
      <c r="L20" s="67">
        <f>(L18-J18)/J18</f>
        <v>0.60276203502828085</v>
      </c>
      <c r="M20" s="53"/>
      <c r="N20" s="16"/>
      <c r="O20" s="16"/>
      <c r="P20" s="16"/>
      <c r="Q20" s="16"/>
      <c r="R20" s="16"/>
    </row>
    <row r="21" spans="1:18" s="16" customFormat="1">
      <c r="A21" s="77"/>
      <c r="F21" s="53"/>
      <c r="G21" s="53"/>
      <c r="H21" s="53"/>
      <c r="I21" s="53"/>
      <c r="J21" s="53"/>
      <c r="K21" s="53"/>
      <c r="L21" s="53"/>
      <c r="M21" s="53"/>
    </row>
    <row r="22" spans="1:18" s="16" customFormat="1">
      <c r="A22" s="77"/>
      <c r="B22" s="17"/>
      <c r="F22" s="53"/>
      <c r="G22" s="53"/>
      <c r="H22" s="53"/>
    </row>
    <row r="23" spans="1:18" s="16" customFormat="1">
      <c r="A23" s="77"/>
    </row>
    <row r="24" spans="1:18" s="16" customFormat="1">
      <c r="A24" s="77"/>
      <c r="L24" s="52"/>
    </row>
    <row r="25" spans="1:18" s="16" customFormat="1">
      <c r="A25" s="77"/>
    </row>
    <row r="26" spans="1:18" s="16" customFormat="1">
      <c r="A26" s="77"/>
    </row>
    <row r="27" spans="1:18" s="16" customFormat="1">
      <c r="A27" s="77"/>
    </row>
    <row r="28" spans="1:18" s="16" customFormat="1">
      <c r="A28" s="77"/>
    </row>
    <row r="29" spans="1:18" s="16" customFormat="1">
      <c r="A29" s="77"/>
    </row>
    <row r="30" spans="1:18" s="16" customFormat="1">
      <c r="A30" s="77"/>
    </row>
    <row r="31" spans="1:18" s="16" customFormat="1">
      <c r="A31" s="77"/>
    </row>
    <row r="32" spans="1:18" s="16" customFormat="1">
      <c r="A32" s="77"/>
    </row>
    <row r="33" spans="1:7" s="16" customFormat="1">
      <c r="A33" s="77"/>
    </row>
    <row r="34" spans="1:7" s="16" customFormat="1">
      <c r="A34" s="77"/>
    </row>
    <row r="35" spans="1:7" s="16" customFormat="1">
      <c r="A35" s="77"/>
    </row>
    <row r="36" spans="1:7" s="16" customFormat="1">
      <c r="A36" s="77"/>
    </row>
    <row r="37" spans="1:7" s="16" customFormat="1">
      <c r="A37" s="77"/>
    </row>
    <row r="38" spans="1:7" s="16" customFormat="1">
      <c r="A38" s="77"/>
    </row>
    <row r="39" spans="1:7" s="16" customFormat="1">
      <c r="A39" s="77"/>
      <c r="B39"/>
      <c r="C39"/>
      <c r="D39"/>
      <c r="E39"/>
      <c r="F39"/>
      <c r="G39"/>
    </row>
    <row r="40" spans="1:7" s="16" customFormat="1">
      <c r="A40" s="77"/>
    </row>
    <row r="41" spans="1:7" s="16" customFormat="1">
      <c r="A41" s="77"/>
    </row>
    <row r="42" spans="1:7" s="16" customFormat="1">
      <c r="A42" s="77"/>
    </row>
    <row r="43" spans="1:7">
      <c r="A43" s="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699E-128E-4644-9BCE-63C60B89C2C8}">
  <dimension ref="A1:K47"/>
  <sheetViews>
    <sheetView zoomScale="140" zoomScaleNormal="140" zoomScaleSheetLayoutView="110" workbookViewId="0">
      <selection activeCell="F41" sqref="F41:I47"/>
    </sheetView>
  </sheetViews>
  <sheetFormatPr defaultColWidth="10.875" defaultRowHeight="15.75" outlineLevelCol="1"/>
  <cols>
    <col min="1" max="1" width="5.875" style="31" customWidth="1"/>
    <col min="2" max="2" width="25" style="16" customWidth="1"/>
    <col min="3" max="3" width="10" style="77" customWidth="1"/>
    <col min="4" max="4" width="10.875" style="16"/>
    <col min="5" max="5" width="3.625" style="16" customWidth="1"/>
    <col min="6" max="8" width="10.875" style="16" customWidth="1" outlineLevel="1"/>
    <col min="9" max="9" width="16.375" style="16" customWidth="1" outlineLevel="1"/>
    <col min="10" max="10" width="5.5" style="16" customWidth="1"/>
    <col min="11" max="11" width="12.5" style="16" customWidth="1"/>
    <col min="12" max="16384" width="10.875" style="16"/>
  </cols>
  <sheetData>
    <row r="1" spans="1:9" ht="28.5">
      <c r="B1" s="95" t="s">
        <v>124</v>
      </c>
    </row>
    <row r="3" spans="1:9">
      <c r="A3" s="31" t="s">
        <v>39</v>
      </c>
      <c r="B3" s="17" t="s">
        <v>128</v>
      </c>
    </row>
    <row r="4" spans="1:9" ht="20.100000000000001" customHeight="1">
      <c r="B4" s="17" t="s">
        <v>125</v>
      </c>
      <c r="C4" s="87" t="s">
        <v>127</v>
      </c>
      <c r="F4" s="31"/>
      <c r="I4" s="17"/>
    </row>
    <row r="5" spans="1:9">
      <c r="B5" s="16" t="s">
        <v>126</v>
      </c>
      <c r="C5" s="96">
        <v>1000</v>
      </c>
    </row>
    <row r="6" spans="1:9">
      <c r="B6" s="16" t="s">
        <v>148</v>
      </c>
      <c r="C6" s="100">
        <v>500</v>
      </c>
    </row>
    <row r="7" spans="1:9">
      <c r="B7" s="17" t="s">
        <v>21</v>
      </c>
      <c r="C7" s="97">
        <f>SUM(C5:C6)</f>
        <v>1500</v>
      </c>
    </row>
    <row r="8" spans="1:9">
      <c r="B8" s="17"/>
      <c r="C8" s="86"/>
    </row>
    <row r="9" spans="1:9">
      <c r="B9" s="17"/>
      <c r="C9" s="87" t="s">
        <v>92</v>
      </c>
    </row>
    <row r="10" spans="1:9" ht="15.95" customHeight="1">
      <c r="B10" s="17" t="s">
        <v>109</v>
      </c>
      <c r="C10" s="97">
        <f>'IS, Y5'!W38</f>
        <v>1502.2813000000008</v>
      </c>
      <c r="F10" s="169" t="s">
        <v>195</v>
      </c>
      <c r="G10" s="169"/>
      <c r="H10" s="169"/>
      <c r="I10" s="169"/>
    </row>
    <row r="11" spans="1:9">
      <c r="B11" s="17" t="s">
        <v>132</v>
      </c>
      <c r="C11" s="98">
        <f>C10/C7</f>
        <v>1.0015208666666673</v>
      </c>
      <c r="F11" s="169"/>
      <c r="G11" s="169"/>
      <c r="H11" s="169"/>
      <c r="I11" s="169"/>
    </row>
    <row r="12" spans="1:9">
      <c r="F12" s="169"/>
      <c r="G12" s="169"/>
      <c r="H12" s="169"/>
      <c r="I12" s="169"/>
    </row>
    <row r="14" spans="1:9">
      <c r="A14" s="31" t="s">
        <v>40</v>
      </c>
      <c r="B14" s="17" t="s">
        <v>129</v>
      </c>
      <c r="C14" s="87" t="s">
        <v>92</v>
      </c>
    </row>
    <row r="15" spans="1:9">
      <c r="C15" s="100">
        <v>2100</v>
      </c>
      <c r="F15" s="170" t="s">
        <v>130</v>
      </c>
      <c r="G15" s="170"/>
      <c r="H15" s="170"/>
      <c r="I15" s="170"/>
    </row>
    <row r="16" spans="1:9">
      <c r="C16" s="100">
        <f>'IS, Y5'!W29</f>
        <v>2336.2020000000011</v>
      </c>
      <c r="F16" s="170" t="s">
        <v>131</v>
      </c>
      <c r="G16" s="170"/>
      <c r="H16" s="170"/>
      <c r="I16" s="170"/>
    </row>
    <row r="17" spans="1:11">
      <c r="B17" s="16" t="s">
        <v>149</v>
      </c>
      <c r="C17" s="101">
        <f>C16/C15</f>
        <v>1.1124771428571434</v>
      </c>
    </row>
    <row r="20" spans="1:11">
      <c r="A20" s="31" t="s">
        <v>133</v>
      </c>
      <c r="B20" s="17" t="s">
        <v>134</v>
      </c>
    </row>
    <row r="21" spans="1:11">
      <c r="B21" s="16" t="s">
        <v>135</v>
      </c>
      <c r="C21" s="87" t="s">
        <v>89</v>
      </c>
      <c r="D21" s="87" t="s">
        <v>92</v>
      </c>
    </row>
    <row r="22" spans="1:11">
      <c r="C22" s="102">
        <f>'IS, Y5'!H41</f>
        <v>6.0233333333333326E-2</v>
      </c>
      <c r="D22" s="99">
        <f>'IS, Y5'!W41</f>
        <v>1.0015208666666673</v>
      </c>
    </row>
    <row r="23" spans="1:11" ht="15.95" customHeight="1">
      <c r="B23" s="16" t="s">
        <v>150</v>
      </c>
      <c r="C23" s="103">
        <f>_xlfn.RRI(3,0.06,1)</f>
        <v>1.554364774645177</v>
      </c>
      <c r="F23" s="171" t="s">
        <v>196</v>
      </c>
      <c r="G23" s="171"/>
      <c r="H23" s="171"/>
      <c r="I23" s="171"/>
    </row>
    <row r="24" spans="1:11">
      <c r="F24" s="171"/>
      <c r="G24" s="171"/>
      <c r="H24" s="171"/>
      <c r="I24" s="171"/>
      <c r="J24" s="93"/>
      <c r="K24" s="93"/>
    </row>
    <row r="26" spans="1:11">
      <c r="A26" s="31" t="s">
        <v>42</v>
      </c>
      <c r="B26" s="17" t="s">
        <v>136</v>
      </c>
      <c r="C26" s="87" t="s">
        <v>88</v>
      </c>
      <c r="D26" s="87" t="s">
        <v>92</v>
      </c>
    </row>
    <row r="27" spans="1:11">
      <c r="B27" s="16" t="s">
        <v>137</v>
      </c>
      <c r="C27" s="104">
        <f>'IS, Y5'!C31</f>
        <v>1.2500000000000001E-2</v>
      </c>
      <c r="D27" s="88">
        <f>'IS, Y5'!W31</f>
        <v>0.28601178080561679</v>
      </c>
    </row>
    <row r="31" spans="1:11">
      <c r="B31" s="89" t="s">
        <v>138</v>
      </c>
    </row>
    <row r="32" spans="1:11">
      <c r="F32" s="169" t="s">
        <v>197</v>
      </c>
      <c r="G32" s="169"/>
      <c r="H32" s="169"/>
      <c r="I32" s="169"/>
    </row>
    <row r="33" spans="2:9">
      <c r="B33" s="16" t="s">
        <v>153</v>
      </c>
      <c r="C33" s="77" t="s">
        <v>140</v>
      </c>
      <c r="F33" s="169"/>
      <c r="G33" s="169"/>
      <c r="H33" s="169"/>
      <c r="I33" s="169"/>
    </row>
    <row r="34" spans="2:9">
      <c r="B34" s="16" t="s">
        <v>139</v>
      </c>
      <c r="C34" s="77" t="s">
        <v>154</v>
      </c>
      <c r="F34" s="169"/>
      <c r="G34" s="169"/>
      <c r="H34" s="169"/>
      <c r="I34" s="169"/>
    </row>
    <row r="35" spans="2:9">
      <c r="B35" s="16" t="s">
        <v>141</v>
      </c>
      <c r="C35" s="105">
        <v>0.1</v>
      </c>
      <c r="F35" s="169"/>
      <c r="G35" s="169"/>
      <c r="H35" s="169"/>
      <c r="I35" s="169"/>
    </row>
    <row r="36" spans="2:9">
      <c r="B36" s="17" t="s">
        <v>142</v>
      </c>
      <c r="C36" s="103">
        <f>25/250</f>
        <v>0.1</v>
      </c>
      <c r="D36" s="77" t="s">
        <v>145</v>
      </c>
      <c r="F36" s="169"/>
      <c r="G36" s="169"/>
      <c r="H36" s="169"/>
      <c r="I36" s="169"/>
    </row>
    <row r="37" spans="2:9">
      <c r="B37" s="16" t="s">
        <v>151</v>
      </c>
      <c r="C37" s="77" t="s">
        <v>145</v>
      </c>
      <c r="F37" s="169"/>
      <c r="G37" s="169"/>
      <c r="H37" s="169"/>
      <c r="I37" s="169"/>
    </row>
    <row r="38" spans="2:9">
      <c r="C38" s="16"/>
      <c r="F38" s="169"/>
      <c r="G38" s="169"/>
      <c r="H38" s="169"/>
      <c r="I38" s="169"/>
    </row>
    <row r="39" spans="2:9">
      <c r="B39" s="89" t="s">
        <v>143</v>
      </c>
    </row>
    <row r="41" spans="2:9" ht="15.95" customHeight="1">
      <c r="B41" s="16" t="s">
        <v>144</v>
      </c>
      <c r="C41" s="77">
        <v>500</v>
      </c>
      <c r="D41" s="16" t="s">
        <v>152</v>
      </c>
      <c r="F41" s="169" t="s">
        <v>198</v>
      </c>
      <c r="G41" s="169"/>
      <c r="H41" s="169"/>
      <c r="I41" s="169"/>
    </row>
    <row r="42" spans="2:9" ht="15.95" customHeight="1">
      <c r="B42" s="16" t="s">
        <v>139</v>
      </c>
      <c r="C42" s="77">
        <v>500</v>
      </c>
      <c r="D42" s="16" t="s">
        <v>152</v>
      </c>
      <c r="F42" s="169"/>
      <c r="G42" s="169"/>
      <c r="H42" s="169"/>
      <c r="I42" s="169"/>
    </row>
    <row r="43" spans="2:9">
      <c r="F43" s="169"/>
      <c r="G43" s="169"/>
      <c r="H43" s="169"/>
      <c r="I43" s="169"/>
    </row>
    <row r="44" spans="2:9">
      <c r="B44" s="17" t="s">
        <v>142</v>
      </c>
      <c r="C44" s="103">
        <f>C42/C41</f>
        <v>1</v>
      </c>
      <c r="D44" s="77" t="s">
        <v>147</v>
      </c>
      <c r="F44" s="169"/>
      <c r="G44" s="169"/>
      <c r="H44" s="169"/>
      <c r="I44" s="169"/>
    </row>
    <row r="45" spans="2:9">
      <c r="B45" s="16" t="s">
        <v>146</v>
      </c>
      <c r="C45" s="77" t="s">
        <v>147</v>
      </c>
      <c r="F45" s="169"/>
      <c r="G45" s="169"/>
      <c r="H45" s="169"/>
      <c r="I45" s="169"/>
    </row>
    <row r="46" spans="2:9">
      <c r="F46" s="169"/>
      <c r="G46" s="169"/>
      <c r="H46" s="169"/>
      <c r="I46" s="169"/>
    </row>
    <row r="47" spans="2:9">
      <c r="F47" s="169"/>
      <c r="G47" s="169"/>
      <c r="H47" s="169"/>
      <c r="I47" s="169"/>
    </row>
  </sheetData>
  <mergeCells count="6">
    <mergeCell ref="F10:I12"/>
    <mergeCell ref="F15:I15"/>
    <mergeCell ref="F16:I16"/>
    <mergeCell ref="F23:I24"/>
    <mergeCell ref="F41:I47"/>
    <mergeCell ref="F32:I3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INTRO</vt:lpstr>
      <vt:lpstr>START</vt:lpstr>
      <vt:lpstr>BS, Y1 DAY 1</vt:lpstr>
      <vt:lpstr>BS, Y! DAY 2</vt:lpstr>
      <vt:lpstr>IS, end Y1</vt:lpstr>
      <vt:lpstr>IS, Y5</vt:lpstr>
      <vt:lpstr>CF, Y5</vt:lpstr>
      <vt:lpstr>BS, Y5</vt:lpstr>
      <vt:lpstr>EVALUATION</vt:lpstr>
      <vt:lpstr>EVALUATION!Print_Area</vt:lpstr>
    </vt:vector>
  </TitlesOfParts>
  <Manager/>
  <Company>SweatYourAssets.biz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Baroni</dc:creator>
  <cp:keywords/>
  <dc:description/>
  <cp:lastModifiedBy>Bethany Evitts</cp:lastModifiedBy>
  <dcterms:created xsi:type="dcterms:W3CDTF">2021-11-17T08:24:14Z</dcterms:created>
  <dcterms:modified xsi:type="dcterms:W3CDTF">2025-06-01T18:11:13Z</dcterms:modified>
  <cp:category/>
</cp:coreProperties>
</file>