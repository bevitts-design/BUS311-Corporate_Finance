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311-Corporate_Finance/01-INTRO/M03/"/>
    </mc:Choice>
  </mc:AlternateContent>
  <xr:revisionPtr revIDLastSave="0" documentId="13_ncr:1_{E16C9EE4-D583-664E-985F-8582FB70FF43}" xr6:coauthVersionLast="47" xr6:coauthVersionMax="47" xr10:uidLastSave="{00000000-0000-0000-0000-000000000000}"/>
  <bookViews>
    <workbookView xWindow="0" yWindow="580" windowWidth="25600" windowHeight="15300" xr2:uid="{00000000-000D-0000-FFFF-FFFF00000000}"/>
  </bookViews>
  <sheets>
    <sheet name="START HERE" sheetId="1" r:id="rId1"/>
    <sheet name="Inputs" sheetId="2" r:id="rId2"/>
    <sheet name="Cash Flow" sheetId="3" r:id="rId3"/>
    <sheet name="Decision Memo" sheetId="4" r:id="rId4"/>
    <sheet name="Statement Extens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5" l="1"/>
  <c r="B23" i="5"/>
  <c r="B22" i="5"/>
  <c r="B18" i="5"/>
  <c r="C17" i="5"/>
  <c r="B17" i="5"/>
  <c r="C16" i="5"/>
  <c r="B16" i="5"/>
  <c r="C12" i="5"/>
  <c r="B12" i="5"/>
  <c r="B11" i="5"/>
  <c r="C9" i="5"/>
  <c r="B9" i="5"/>
  <c r="C8" i="5"/>
  <c r="B8" i="5"/>
  <c r="C7" i="5"/>
  <c r="B7" i="5"/>
  <c r="C6" i="5"/>
  <c r="C28" i="5" s="1"/>
  <c r="B6" i="5"/>
  <c r="C51" i="4"/>
  <c r="C13" i="4"/>
  <c r="C11" i="4"/>
  <c r="C10" i="4"/>
  <c r="C18" i="4" s="1"/>
  <c r="C8" i="4"/>
  <c r="C7" i="4"/>
  <c r="C6" i="4"/>
  <c r="C17" i="4" s="1"/>
  <c r="C57" i="3"/>
  <c r="B57" i="3"/>
  <c r="C56" i="3"/>
  <c r="C52" i="3"/>
  <c r="C51" i="3"/>
  <c r="C50" i="3"/>
  <c r="C49" i="3"/>
  <c r="C47" i="3"/>
  <c r="C46" i="3"/>
  <c r="C43" i="3"/>
  <c r="C44" i="3" s="1"/>
  <c r="C37" i="3"/>
  <c r="C38" i="3" s="1"/>
  <c r="C35" i="3"/>
  <c r="C48" i="3" s="1"/>
  <c r="C34" i="3"/>
  <c r="C28" i="3"/>
  <c r="C26" i="3"/>
  <c r="C24" i="3"/>
  <c r="C21" i="3"/>
  <c r="B21" i="3"/>
  <c r="C20" i="3"/>
  <c r="B20" i="3"/>
  <c r="C19" i="3"/>
  <c r="B19" i="3"/>
  <c r="C18" i="3"/>
  <c r="B18" i="3"/>
  <c r="C17" i="3"/>
  <c r="B17" i="3"/>
  <c r="C15" i="3"/>
  <c r="C13" i="3"/>
  <c r="B13" i="3"/>
  <c r="C12" i="3"/>
  <c r="B12" i="3"/>
  <c r="C10" i="3"/>
  <c r="C33" i="3" s="1"/>
  <c r="B10" i="3"/>
  <c r="C9" i="3"/>
  <c r="B9" i="3"/>
  <c r="C8" i="3"/>
  <c r="B8" i="3"/>
  <c r="C7" i="3"/>
  <c r="B7" i="3"/>
  <c r="C54" i="3" l="1"/>
  <c r="B19" i="5"/>
  <c r="B25" i="5"/>
  <c r="B11" i="3"/>
  <c r="B56" i="3" s="1"/>
  <c r="B10" i="5"/>
  <c r="B13" i="5" s="1"/>
  <c r="C27" i="3"/>
  <c r="C30" i="3" s="1"/>
  <c r="B14" i="3" l="1"/>
  <c r="B26" i="5"/>
</calcChain>
</file>

<file path=xl/sharedStrings.xml><?xml version="1.0" encoding="utf-8"?>
<sst xmlns="http://schemas.openxmlformats.org/spreadsheetml/2006/main" count="197" uniqueCount="154">
  <si>
    <t>Coastal Outfitters: profit, cash and payout capacity</t>
  </si>
  <si>
    <t>BUS311 M03 · Illustrative case · All monetary amounts are $ millions.</t>
  </si>
  <si>
    <t>Decision</t>
  </si>
  <si>
    <t>Can Coastal pay an additional $50 million while keeping at least $90 million in cash? Calculate the maximum affordable payout, then recommend an amount.</t>
  </si>
  <si>
    <t>Required: Cash Flow</t>
  </si>
  <si>
    <t>Work with a partner for 20 minutes. Complete yellow cells in Cash Flow, then explain the profit-to-cash and firm-to-equity bridges.</t>
  </si>
  <si>
    <t>Required: Decision Memo</t>
  </si>
  <si>
    <t>Spend 10 minutes on payout capacity and a recommendation. Use 5 minutes to predict, test and explain the inventory change.</t>
  </si>
  <si>
    <t>Optional: Statement Extension</t>
  </si>
  <si>
    <t>Build the closing balance sheet after completing the core activity. This extension is not required for the cash-flow decision.</t>
  </si>
  <si>
    <t>How to work</t>
  </si>
  <si>
    <t>Yellow cells: enter a formula, prediction or written response. All other links are supplied.</t>
  </si>
  <si>
    <t>Inputs are blue text. Costs and cash uses are positive inputs and subtracted in formulas.</t>
  </si>
  <si>
    <t>A minus sign in a row label means subtract the positive amount; do not negate the input too.</t>
  </si>
  <si>
    <t>Checks assess each section separately. An OK calculation check does not grade your explanation.</t>
  </si>
  <si>
    <t>Submit Cash Flow and Decision Memo with three numeric facts supporting your recommendation.</t>
  </si>
  <si>
    <t>Restore Inputs!C17 to 170 after the inventory experiment.</t>
  </si>
  <si>
    <t>Coastal Outfitters: supplied inputs</t>
  </si>
  <si>
    <t>Illustrative annual data. 2025 is the opening/reference period; 2026 is the model year. Cash taxes equal tax expense; D&amp;A relates to PP&amp;E; no other noncash adjustments or asset disposals.</t>
  </si>
  <si>
    <t>Operating results</t>
  </si>
  <si>
    <t>2025</t>
  </si>
  <si>
    <t>2026</t>
  </si>
  <si>
    <t>Revenue</t>
  </si>
  <si>
    <t>Cost of goods sold</t>
  </si>
  <si>
    <t>Cash operating expenses</t>
  </si>
  <si>
    <t>Depreciation &amp; amortization</t>
  </si>
  <si>
    <t>Interest expense</t>
  </si>
  <si>
    <t>Tax rate</t>
  </si>
  <si>
    <t>Dividends already paid</t>
  </si>
  <si>
    <t>Operating working capital</t>
  </si>
  <si>
    <t>Accounts receivable</t>
  </si>
  <si>
    <t>Inventory</t>
  </si>
  <si>
    <t>Experiment: change 170 to 230 only after recording your prediction. Restore 170 afterward.</t>
  </si>
  <si>
    <t>Other operating current assets</t>
  </si>
  <si>
    <t>Accounts payable</t>
  </si>
  <si>
    <t>Other operating current liabilities</t>
  </si>
  <si>
    <t>Operating NWC excludes cash and interest-bearing debt. General NWC includes all current assets and liabilities.</t>
  </si>
  <si>
    <t>Opening balance sheet and continuing balances</t>
  </si>
  <si>
    <t>Cash</t>
  </si>
  <si>
    <t>Net PP&amp;E</t>
  </si>
  <si>
    <t>Other assets</t>
  </si>
  <si>
    <t>Long-term debt</t>
  </si>
  <si>
    <t>Common stock &amp; APIC</t>
  </si>
  <si>
    <t>Treasury stock (contra-equity)</t>
  </si>
  <si>
    <t>Retained earnings</t>
  </si>
  <si>
    <t>2026 investing and financing activity</t>
  </si>
  <si>
    <t>Capital expenditures</t>
  </si>
  <si>
    <t>CapEx, dividends, debt repayment and repurchases are entered as positive uses.</t>
  </si>
  <si>
    <t>New debt issued</t>
  </si>
  <si>
    <t>Debt repaid</t>
  </si>
  <si>
    <t>New stock issued</t>
  </si>
  <si>
    <t>Share repurchases</t>
  </si>
  <si>
    <t>Decision guardrails</t>
  </si>
  <si>
    <t>Proposed additional distribution</t>
  </si>
  <si>
    <t>Additional payout is tested separately; it is not included in the base cash rollforward.</t>
  </si>
  <si>
    <t>Minimum cash reserve</t>
  </si>
  <si>
    <t>Coastal Outfitters: follow the cash</t>
  </si>
  <si>
    <t>Complete yellow cells in order. CFO means statement cash flow from operations. Checks activate section by section. The optional balance sheet does not feed this model.</t>
  </si>
  <si>
    <t>Line item</t>
  </si>
  <si>
    <t>Profit</t>
  </si>
  <si>
    <t>EBIT</t>
  </si>
  <si>
    <t>Revenue less COGS, cash OpEx and D&amp;A.</t>
  </si>
  <si>
    <t>Net income</t>
  </si>
  <si>
    <t>Subtract interest from EBIT, then apply the tax rate.</t>
  </si>
  <si>
    <t>Profit checkpoint</t>
  </si>
  <si>
    <t>BUILD: complete this section. CHECK: revisit its inputs, signs and formula.</t>
  </si>
  <si>
    <t>Cash tied up in operations</t>
  </si>
  <si>
    <t>Operating NWC</t>
  </si>
  <si>
    <t>Operating current assets less operating current liabilities.</t>
  </si>
  <si>
    <t>Change in operating NWC</t>
  </si>
  <si>
    <t>Ending operating NWC less beginning operating NWC.</t>
  </si>
  <si>
    <t>Working-capital checkpoint</t>
  </si>
  <si>
    <t>Profit to cash</t>
  </si>
  <si>
    <t>Add: D&amp;A</t>
  </si>
  <si>
    <t>Less: increase in operating NWC</t>
  </si>
  <si>
    <t>Cash flow from operations (CFO)</t>
  </si>
  <si>
    <t>Net income + D&amp;A − change in operating NWC. Interest is already reflected in net income.</t>
  </si>
  <si>
    <t>CFO checkpoint</t>
  </si>
  <si>
    <t>Cash available to debt and equity</t>
  </si>
  <si>
    <t>NOPAT</t>
  </si>
  <si>
    <t>EBIT × (1 − tax rate). This removes the financing choice.</t>
  </si>
  <si>
    <t>Less: CapEx</t>
  </si>
  <si>
    <t>FCFF</t>
  </si>
  <si>
    <t>NOPAT + D&amp;A − change in operating NWC − CapEx.</t>
  </si>
  <si>
    <t>FCFF from CFO (supplied)</t>
  </si>
  <si>
    <t>FCFF checkpoint</t>
  </si>
  <si>
    <t>Cash available to equity</t>
  </si>
  <si>
    <t>After-tax interest</t>
  </si>
  <si>
    <t>Interest × (1 − tax rate).</t>
  </si>
  <si>
    <t>Net borrowing</t>
  </si>
  <si>
    <t>New debt issued less debt repaid.</t>
  </si>
  <si>
    <t>FCFE</t>
  </si>
  <si>
    <t>FCFF − after-tax interest + net borrowing.</t>
  </si>
  <si>
    <t>FCFE from CFO (supplied)</t>
  </si>
  <si>
    <t>FCFE checkpoint</t>
  </si>
  <si>
    <t>Cash on hand after existing distributions</t>
  </si>
  <si>
    <t>Beginning cash</t>
  </si>
  <si>
    <t>CFO</t>
  </si>
  <si>
    <t>Less: dividends already paid</t>
  </si>
  <si>
    <t>Less: share repurchases</t>
  </si>
  <si>
    <t>Ending cash before additional payout</t>
  </si>
  <si>
    <t>Beginning cash + CFO − CapEx + net borrowing − dividends + stock issued − repurchases.</t>
  </si>
  <si>
    <t>Cash checkpoint</t>
  </si>
  <si>
    <t>Operating context</t>
  </si>
  <si>
    <t>EBIT margin</t>
  </si>
  <si>
    <t>Operating NWC / revenue</t>
  </si>
  <si>
    <t>Explain the working-capital effect</t>
  </si>
  <si>
    <t>Coastal Outfitters: decide and explain</t>
  </si>
  <si>
    <t>Use base inputs for the recommendation. Cash generation is a flow over the year; ending cash is a balance at a date. Restore inventory after the experiment.</t>
  </si>
  <si>
    <t>Payout capacity</t>
  </si>
  <si>
    <t>FCFE for the year</t>
  </si>
  <si>
    <t>Share repurchases already made</t>
  </si>
  <si>
    <t>FCFE less existing distributions</t>
  </si>
  <si>
    <t>This is current-year FCFE left after existing payouts, not the cash balance.</t>
  </si>
  <si>
    <t>Proposed additional payout</t>
  </si>
  <si>
    <t>Cash after proposed payout</t>
  </si>
  <si>
    <t>Reserve surplus / (shortfall)</t>
  </si>
  <si>
    <t>Maximum additional payout</t>
  </si>
  <si>
    <t>Use MAX(0, cash before payout − reserve). A ceiling is not a recommendation.</t>
  </si>
  <si>
    <t>Recommended additional payout</t>
  </si>
  <si>
    <t>Enter a nonnegative dollar amount. Explain any choice below the maximum.</t>
  </si>
  <si>
    <t>Payout calculation checkpoint</t>
  </si>
  <si>
    <t>Recommendation feasibility</t>
  </si>
  <si>
    <t>Checks the reserve only. Explain business risk and alternatives below.</t>
  </si>
  <si>
    <t>Recommendation: cite three numeric facts</t>
  </si>
  <si>
    <t>Claim and evidence</t>
  </si>
  <si>
    <t>Risk and monitoring trigger</t>
  </si>
  <si>
    <t>FCFE versus cash on hand</t>
  </si>
  <si>
    <t>Borrowing and operating performance</t>
  </si>
  <si>
    <t>FCFF: discount rate and value</t>
  </si>
  <si>
    <t>FCFE: discount rate and value</t>
  </si>
  <si>
    <t>Inventory experiment: predict, change, explain, restore</t>
  </si>
  <si>
    <t>First predict the effect of $60 million more ending inventory. Then change Inputs!C17 from 170 to 230. Record the observed changes below. Restore 170 before submitting.</t>
  </si>
  <si>
    <t>Prediction before changing the input</t>
  </si>
  <si>
    <t>Observed results and explanation</t>
  </si>
  <si>
    <t>Does negative FCF mean failure?</t>
  </si>
  <si>
    <t>Inventory restored</t>
  </si>
  <si>
    <t>Restore the base case before finalizing the payout recommendation.</t>
  </si>
  <si>
    <t>Optional: connect cash flow to the balance sheet</t>
  </si>
  <si>
    <t>Complete after the required activity. Opening balances and routine links are supplied. Yellow cells are the optional rollforwards and totals; this sheet does not feed the core decision.</t>
  </si>
  <si>
    <t>Balance sheet</t>
  </si>
  <si>
    <t>Total current assets</t>
  </si>
  <si>
    <t>Opening PP&amp;E + CapEx − D&amp;A.</t>
  </si>
  <si>
    <t>Total assets</t>
  </si>
  <si>
    <t>Opening debt + new borrowing − repayments.</t>
  </si>
  <si>
    <t>Total liabilities</t>
  </si>
  <si>
    <t>Opening contributed capital + new stock issued.</t>
  </si>
  <si>
    <t>Opening treasury stock + repurchases; subtract this contra-equity balance in total equity.</t>
  </si>
  <si>
    <t>Opening retained earnings + net income − dividends.</t>
  </si>
  <si>
    <t>Total equity</t>
  </si>
  <si>
    <t>Common stock &amp; APIC − treasury stock + retained earnings.</t>
  </si>
  <si>
    <t>Total liabilities and equity</t>
  </si>
  <si>
    <t>Balance-sheet checkpoint</t>
  </si>
  <si>
    <t>A balanced statement alone does not prove every formula is correct. Trace each rollforward to its labeled inputs.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</si>
</sst>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;&quot;–&quot;"/>
    <numFmt numFmtId="165" formatCode="0.0%"/>
  </numFmts>
  <fonts count="8">
    <font>
      <sz val="11"/>
      <name val="Carlito"/>
    </font>
    <font>
      <sz val="11"/>
      <color rgb="FF182B3A"/>
      <name val="Arial"/>
      <family val="2"/>
    </font>
    <font>
      <b/>
      <sz val="16"/>
      <color rgb="FF0A2540"/>
      <name val="Arial"/>
      <family val="2"/>
    </font>
    <font>
      <i/>
      <sz val="11"/>
      <color rgb="FF182B3A"/>
      <name val="Arial"/>
      <family val="2"/>
    </font>
    <font>
      <b/>
      <sz val="11"/>
      <color rgb="FFFFFFFF"/>
      <name val="Arial"/>
      <family val="2"/>
    </font>
    <font>
      <b/>
      <sz val="11"/>
      <color rgb="FF182B3A"/>
      <name val="Arial"/>
      <family val="2"/>
    </font>
    <font>
      <sz val="11"/>
      <color rgb="FF0000FF"/>
      <name val="Arial"/>
      <family val="2"/>
    </font>
    <font>
      <sz val="11"/>
      <color rgb="FF008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A2540"/>
      </patternFill>
    </fill>
    <fill>
      <patternFill patternType="solid">
        <fgColor rgb="FFFFF2CC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164" fontId="6" fillId="0" borderId="0" xfId="0" applyNumberFormat="1" applyFont="1" applyAlignment="1">
      <alignment vertical="center"/>
    </xf>
    <xf numFmtId="165" fontId="6" fillId="0" borderId="0" xfId="0" applyNumberFormat="1" applyFont="1" applyAlignment="1">
      <alignment vertical="center"/>
    </xf>
    <xf numFmtId="164" fontId="6" fillId="3" borderId="0" xfId="0" applyNumberFormat="1" applyFont="1" applyFill="1" applyAlignment="1">
      <alignment vertical="center"/>
    </xf>
    <xf numFmtId="164" fontId="7" fillId="0" borderId="0" xfId="0" applyNumberFormat="1" applyFont="1" applyAlignment="1">
      <alignment vertical="center"/>
    </xf>
    <xf numFmtId="164" fontId="1" fillId="3" borderId="0" xfId="0" applyNumberFormat="1" applyFont="1" applyFill="1" applyAlignment="1">
      <alignment vertical="center"/>
    </xf>
    <xf numFmtId="165" fontId="7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5" fillId="4" borderId="0" xfId="0" applyFont="1" applyFill="1" applyAlignment="1">
      <alignment vertical="center"/>
    </xf>
    <xf numFmtId="164" fontId="5" fillId="0" borderId="0" xfId="0" applyNumberFormat="1" applyFont="1" applyAlignment="1">
      <alignment vertical="center"/>
    </xf>
    <xf numFmtId="164" fontId="5" fillId="3" borderId="0" xfId="0" applyNumberFormat="1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4" fillId="2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4" fontId="4" fillId="2" borderId="0" xfId="0" applyNumberFormat="1" applyFont="1" applyFill="1" applyAlignment="1">
      <alignment vertical="center"/>
    </xf>
    <xf numFmtId="164" fontId="1" fillId="3" borderId="0" xfId="0" applyNumberFormat="1" applyFont="1" applyFill="1" applyAlignment="1">
      <alignment vertical="top" wrapText="1"/>
    </xf>
    <xf numFmtId="0" fontId="1" fillId="3" borderId="0" xfId="0" applyFont="1" applyFill="1" applyAlignment="1">
      <alignment vertical="top" wrapText="1"/>
    </xf>
  </cellXfs>
  <cellStyles count="1">
    <cellStyle name="Normal" xfId="0" builtinId="0"/>
  </cellStyles>
  <dxfs count="8">
    <dxf>
      <font>
        <b/>
        <color rgb="FF9C2B21"/>
      </font>
      <fill>
        <patternFill patternType="solid">
          <bgColor rgb="FFFCE4D6"/>
        </patternFill>
      </fill>
    </dxf>
    <dxf>
      <font>
        <b/>
        <color rgb="FF9C2B21"/>
      </font>
      <fill>
        <patternFill patternType="solid">
          <bgColor rgb="FFFCE4D6"/>
        </patternFill>
      </fill>
    </dxf>
    <dxf>
      <font>
        <b/>
        <color rgb="FF9C2B21"/>
      </font>
      <fill>
        <patternFill patternType="solid">
          <bgColor rgb="FFFCE4D6"/>
        </patternFill>
      </fill>
    </dxf>
    <dxf>
      <font>
        <b/>
        <color rgb="FF9C2B21"/>
      </font>
      <fill>
        <patternFill patternType="solid">
          <bgColor rgb="FFFCE4D6"/>
        </patternFill>
      </fill>
    </dxf>
    <dxf>
      <font>
        <b/>
        <color rgb="FF9C2B21"/>
      </font>
      <fill>
        <patternFill patternType="solid">
          <bgColor rgb="FFFCE4D6"/>
        </patternFill>
      </fill>
    </dxf>
    <dxf>
      <font>
        <b/>
        <color rgb="FF9C2B21"/>
      </font>
      <fill>
        <patternFill patternType="solid">
          <bgColor rgb="FFFCE4D6"/>
        </patternFill>
      </fill>
    </dxf>
    <dxf>
      <font>
        <b/>
        <color rgb="FF9C2B21"/>
      </font>
      <fill>
        <patternFill patternType="solid">
          <bgColor rgb="FFFCE4D6"/>
        </patternFill>
      </fill>
    </dxf>
    <dxf>
      <font>
        <b/>
        <color rgb="FF9C2B21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"/>
  <sheetViews>
    <sheetView showGridLines="0" tabSelected="1" workbookViewId="0">
      <pane ySplit="5" topLeftCell="A12" activePane="bottomLeft" state="frozen"/>
      <selection pane="bottomLeft" activeCell="A17" sqref="A17:XFD20"/>
    </sheetView>
  </sheetViews>
  <sheetFormatPr baseColWidth="10" defaultColWidth="8.83203125" defaultRowHeight="14"/>
  <cols>
    <col min="1" max="1" width="42" customWidth="1"/>
    <col min="2" max="3" width="16" customWidth="1"/>
    <col min="4" max="4" width="5" customWidth="1"/>
    <col min="5" max="5" width="66" customWidth="1"/>
  </cols>
  <sheetData>
    <row r="1" spans="1:5" ht="32" customHeight="1">
      <c r="A1" s="16" t="s">
        <v>0</v>
      </c>
      <c r="B1" s="16"/>
      <c r="C1" s="16"/>
      <c r="D1" s="16"/>
      <c r="E1" s="16"/>
    </row>
    <row r="2" spans="1:5" ht="23" customHeight="1">
      <c r="A2" s="17" t="s">
        <v>1</v>
      </c>
      <c r="B2" s="17"/>
      <c r="C2" s="17"/>
      <c r="D2" s="17"/>
      <c r="E2" s="17"/>
    </row>
    <row r="3" spans="1:5" ht="23" customHeight="1">
      <c r="A3" s="17"/>
      <c r="B3" s="17"/>
      <c r="C3" s="17"/>
      <c r="D3" s="17"/>
      <c r="E3" s="17"/>
    </row>
    <row r="4" spans="1:5" ht="23" customHeight="1">
      <c r="A4" s="1"/>
      <c r="B4" s="1"/>
      <c r="C4" s="1"/>
      <c r="D4" s="1"/>
      <c r="E4" s="1"/>
    </row>
    <row r="5" spans="1:5" ht="27" customHeight="1">
      <c r="A5" s="18" t="s">
        <v>2</v>
      </c>
      <c r="B5" s="18"/>
      <c r="C5" s="18"/>
      <c r="D5" s="18"/>
      <c r="E5" s="18"/>
    </row>
    <row r="6" spans="1:5" ht="23" customHeight="1">
      <c r="A6" s="19" t="s">
        <v>3</v>
      </c>
      <c r="B6" s="20"/>
      <c r="C6" s="20"/>
      <c r="D6" s="19"/>
      <c r="E6" s="19"/>
    </row>
    <row r="7" spans="1:5" ht="23" customHeight="1">
      <c r="A7" s="19"/>
      <c r="B7" s="20"/>
      <c r="C7" s="20"/>
      <c r="D7" s="19"/>
      <c r="E7" s="19"/>
    </row>
    <row r="8" spans="1:5" ht="23" customHeight="1">
      <c r="A8" s="1"/>
      <c r="B8" s="2"/>
      <c r="C8" s="2"/>
      <c r="D8" s="1"/>
      <c r="E8" s="1"/>
    </row>
    <row r="9" spans="1:5" ht="23" customHeight="1">
      <c r="A9" s="5" t="s">
        <v>4</v>
      </c>
      <c r="B9" s="20" t="s">
        <v>5</v>
      </c>
      <c r="C9" s="20"/>
      <c r="D9" s="19"/>
      <c r="E9" s="19"/>
    </row>
    <row r="10" spans="1:5" ht="23" customHeight="1">
      <c r="A10" s="1"/>
      <c r="B10" s="20"/>
      <c r="C10" s="20"/>
      <c r="D10" s="19"/>
      <c r="E10" s="19"/>
    </row>
    <row r="11" spans="1:5" ht="23" customHeight="1">
      <c r="A11" s="1"/>
      <c r="B11" s="2"/>
      <c r="C11" s="2"/>
      <c r="D11" s="1"/>
      <c r="E11" s="1"/>
    </row>
    <row r="12" spans="1:5" ht="23" customHeight="1">
      <c r="A12" s="5" t="s">
        <v>6</v>
      </c>
      <c r="B12" s="20" t="s">
        <v>7</v>
      </c>
      <c r="C12" s="20"/>
      <c r="D12" s="19"/>
      <c r="E12" s="19"/>
    </row>
    <row r="13" spans="1:5" ht="23" customHeight="1">
      <c r="A13" s="1"/>
      <c r="B13" s="20"/>
      <c r="C13" s="20"/>
      <c r="D13" s="19"/>
      <c r="E13" s="19"/>
    </row>
    <row r="14" spans="1:5" ht="23" customHeight="1">
      <c r="A14" s="1"/>
      <c r="B14" s="2"/>
      <c r="C14" s="2"/>
      <c r="D14" s="1"/>
      <c r="E14" s="1"/>
    </row>
    <row r="15" spans="1:5" ht="23" customHeight="1">
      <c r="A15" s="5" t="s">
        <v>8</v>
      </c>
      <c r="B15" s="20" t="s">
        <v>9</v>
      </c>
      <c r="C15" s="20"/>
      <c r="D15" s="19"/>
      <c r="E15" s="19"/>
    </row>
    <row r="16" spans="1:5" ht="23" customHeight="1">
      <c r="A16" s="1"/>
      <c r="B16" s="20"/>
      <c r="C16" s="20"/>
      <c r="D16" s="19"/>
      <c r="E16" s="19"/>
    </row>
    <row r="17" spans="1:5" ht="23" customHeight="1">
      <c r="A17" s="1"/>
      <c r="B17" s="2"/>
      <c r="C17" s="2"/>
      <c r="D17" s="1"/>
      <c r="E17" s="1"/>
    </row>
    <row r="18" spans="1:5" ht="27" customHeight="1">
      <c r="A18" s="18" t="s">
        <v>10</v>
      </c>
      <c r="B18" s="21"/>
      <c r="C18" s="21"/>
      <c r="D18" s="18"/>
      <c r="E18" s="18"/>
    </row>
    <row r="19" spans="1:5" ht="23" customHeight="1">
      <c r="A19" s="19" t="s">
        <v>11</v>
      </c>
      <c r="B19" s="20"/>
      <c r="C19" s="20"/>
      <c r="D19" s="19"/>
      <c r="E19" s="19"/>
    </row>
    <row r="20" spans="1:5" ht="23" customHeight="1">
      <c r="A20" s="19" t="s">
        <v>12</v>
      </c>
      <c r="B20" s="20"/>
      <c r="C20" s="20"/>
      <c r="D20" s="19"/>
      <c r="E20" s="19"/>
    </row>
    <row r="21" spans="1:5" ht="23" customHeight="1">
      <c r="A21" s="19" t="s">
        <v>13</v>
      </c>
      <c r="B21" s="20"/>
      <c r="C21" s="20"/>
      <c r="D21" s="19"/>
      <c r="E21" s="19"/>
    </row>
    <row r="22" spans="1:5" ht="23" customHeight="1">
      <c r="A22" s="19" t="s">
        <v>14</v>
      </c>
      <c r="B22" s="20"/>
      <c r="C22" s="20"/>
      <c r="D22" s="19"/>
      <c r="E22" s="19"/>
    </row>
    <row r="23" spans="1:5" ht="23" customHeight="1">
      <c r="A23" s="19" t="s">
        <v>15</v>
      </c>
      <c r="B23" s="20"/>
      <c r="C23" s="20"/>
      <c r="D23" s="19"/>
      <c r="E23" s="19"/>
    </row>
    <row r="24" spans="1:5" ht="23" customHeight="1">
      <c r="A24" s="19" t="s">
        <v>16</v>
      </c>
      <c r="B24" s="20"/>
      <c r="C24" s="20"/>
      <c r="D24" s="19"/>
      <c r="E24" s="19"/>
    </row>
    <row r="25" spans="1:5" ht="23" customHeight="1">
      <c r="A25" s="1"/>
      <c r="B25" s="2"/>
      <c r="C25" s="2"/>
      <c r="D25" s="1"/>
      <c r="E25" s="1"/>
    </row>
  </sheetData>
  <mergeCells count="14">
    <mergeCell ref="A20:E20"/>
    <mergeCell ref="A21:E21"/>
    <mergeCell ref="A22:E22"/>
    <mergeCell ref="A23:E23"/>
    <mergeCell ref="A24:E24"/>
    <mergeCell ref="B12:E13"/>
    <mergeCell ref="B15:E16"/>
    <mergeCell ref="A18:E18"/>
    <mergeCell ref="A19:E19"/>
    <mergeCell ref="A1:E1"/>
    <mergeCell ref="A2:E3"/>
    <mergeCell ref="A5:E5"/>
    <mergeCell ref="A6:E7"/>
    <mergeCell ref="B9:E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4"/>
  <sheetViews>
    <sheetView showGridLines="0" workbookViewId="0">
      <pane ySplit="5" topLeftCell="A30" activePane="bottomLeft" state="frozen"/>
      <selection pane="bottomLeft" sqref="A1:E1"/>
    </sheetView>
  </sheetViews>
  <sheetFormatPr baseColWidth="10" defaultColWidth="8.83203125" defaultRowHeight="14"/>
  <cols>
    <col min="1" max="1" width="42" customWidth="1"/>
    <col min="2" max="3" width="16" customWidth="1"/>
    <col min="4" max="4" width="5" customWidth="1"/>
    <col min="5" max="5" width="66" customWidth="1"/>
  </cols>
  <sheetData>
    <row r="1" spans="1:5" ht="32" customHeight="1">
      <c r="A1" s="16" t="s">
        <v>17</v>
      </c>
      <c r="B1" s="16"/>
      <c r="C1" s="16"/>
      <c r="D1" s="16"/>
      <c r="E1" s="16"/>
    </row>
    <row r="2" spans="1:5" ht="23" customHeight="1">
      <c r="A2" s="17" t="s">
        <v>18</v>
      </c>
      <c r="B2" s="17"/>
      <c r="C2" s="17"/>
      <c r="D2" s="17"/>
      <c r="E2" s="17"/>
    </row>
    <row r="3" spans="1:5" ht="23" customHeight="1">
      <c r="A3" s="17"/>
      <c r="B3" s="17"/>
      <c r="C3" s="17"/>
      <c r="D3" s="17"/>
      <c r="E3" s="17"/>
    </row>
    <row r="4" spans="1:5" ht="23" customHeight="1">
      <c r="A4" s="1"/>
      <c r="B4" s="1"/>
      <c r="C4" s="1"/>
      <c r="D4" s="1"/>
      <c r="E4" s="1"/>
    </row>
    <row r="5" spans="1:5" ht="23" customHeight="1">
      <c r="A5" s="13" t="s">
        <v>19</v>
      </c>
      <c r="B5" s="13" t="s">
        <v>20</v>
      </c>
      <c r="C5" s="13" t="s">
        <v>21</v>
      </c>
      <c r="D5" s="1"/>
      <c r="E5" s="1"/>
    </row>
    <row r="6" spans="1:5" ht="23" customHeight="1">
      <c r="A6" s="1" t="s">
        <v>22</v>
      </c>
      <c r="B6" s="6">
        <v>1000</v>
      </c>
      <c r="C6" s="6">
        <v>1120</v>
      </c>
      <c r="D6" s="1"/>
      <c r="E6" s="1"/>
    </row>
    <row r="7" spans="1:5" ht="23" customHeight="1">
      <c r="A7" s="1" t="s">
        <v>23</v>
      </c>
      <c r="B7" s="6">
        <v>600</v>
      </c>
      <c r="C7" s="6">
        <v>650</v>
      </c>
      <c r="D7" s="1"/>
      <c r="E7" s="1"/>
    </row>
    <row r="8" spans="1:5" ht="23" customHeight="1">
      <c r="A8" s="1" t="s">
        <v>24</v>
      </c>
      <c r="B8" s="6">
        <v>220</v>
      </c>
      <c r="C8" s="6">
        <v>250</v>
      </c>
      <c r="D8" s="1"/>
      <c r="E8" s="1"/>
    </row>
    <row r="9" spans="1:5" ht="23" customHeight="1">
      <c r="A9" s="1" t="s">
        <v>25</v>
      </c>
      <c r="B9" s="6">
        <v>50</v>
      </c>
      <c r="C9" s="6">
        <v>55</v>
      </c>
      <c r="D9" s="1"/>
      <c r="E9" s="1"/>
    </row>
    <row r="10" spans="1:5" ht="23" customHeight="1">
      <c r="A10" s="1" t="s">
        <v>26</v>
      </c>
      <c r="B10" s="6">
        <v>20</v>
      </c>
      <c r="C10" s="6">
        <v>22</v>
      </c>
      <c r="D10" s="1"/>
      <c r="E10" s="1"/>
    </row>
    <row r="11" spans="1:5" ht="23" customHeight="1">
      <c r="A11" s="1" t="s">
        <v>27</v>
      </c>
      <c r="B11" s="7">
        <v>0.25</v>
      </c>
      <c r="C11" s="7">
        <v>0.25</v>
      </c>
      <c r="D11" s="1"/>
      <c r="E11" s="1"/>
    </row>
    <row r="12" spans="1:5" ht="23" customHeight="1">
      <c r="A12" s="1" t="s">
        <v>28</v>
      </c>
      <c r="B12" s="6">
        <v>25</v>
      </c>
      <c r="C12" s="6">
        <v>30</v>
      </c>
      <c r="D12" s="1"/>
      <c r="E12" s="1"/>
    </row>
    <row r="13" spans="1:5" ht="23" customHeight="1">
      <c r="A13" s="1"/>
      <c r="B13" s="2"/>
      <c r="C13" s="2"/>
      <c r="D13" s="1"/>
      <c r="E13" s="1"/>
    </row>
    <row r="14" spans="1:5" ht="27" customHeight="1">
      <c r="A14" s="18" t="s">
        <v>29</v>
      </c>
      <c r="B14" s="21"/>
      <c r="C14" s="21"/>
      <c r="D14" s="18"/>
      <c r="E14" s="18"/>
    </row>
    <row r="15" spans="1:5" ht="23" customHeight="1">
      <c r="A15" s="1"/>
      <c r="B15" s="2"/>
      <c r="C15" s="2"/>
      <c r="D15" s="1"/>
      <c r="E15" s="1"/>
    </row>
    <row r="16" spans="1:5" ht="23" customHeight="1">
      <c r="A16" s="1" t="s">
        <v>30</v>
      </c>
      <c r="B16" s="6">
        <v>110</v>
      </c>
      <c r="C16" s="6">
        <v>135</v>
      </c>
      <c r="D16" s="1"/>
      <c r="E16" s="1"/>
    </row>
    <row r="17" spans="1:5" ht="34" customHeight="1">
      <c r="A17" s="1" t="s">
        <v>31</v>
      </c>
      <c r="B17" s="6">
        <v>145</v>
      </c>
      <c r="C17" s="8">
        <v>170</v>
      </c>
      <c r="D17" s="1"/>
      <c r="E17" s="3" t="s">
        <v>32</v>
      </c>
    </row>
    <row r="18" spans="1:5" ht="23" customHeight="1">
      <c r="A18" s="1" t="s">
        <v>33</v>
      </c>
      <c r="B18" s="6">
        <v>20</v>
      </c>
      <c r="C18" s="6">
        <v>22</v>
      </c>
      <c r="D18" s="1"/>
      <c r="E18" s="1"/>
    </row>
    <row r="19" spans="1:5" ht="23" customHeight="1">
      <c r="A19" s="1" t="s">
        <v>34</v>
      </c>
      <c r="B19" s="6">
        <v>90</v>
      </c>
      <c r="C19" s="6">
        <v>100</v>
      </c>
      <c r="D19" s="1"/>
      <c r="E19" s="1"/>
    </row>
    <row r="20" spans="1:5" ht="46" customHeight="1">
      <c r="A20" s="1" t="s">
        <v>35</v>
      </c>
      <c r="B20" s="6">
        <v>40</v>
      </c>
      <c r="C20" s="6">
        <v>43</v>
      </c>
      <c r="D20" s="1"/>
      <c r="E20" s="3" t="s">
        <v>36</v>
      </c>
    </row>
    <row r="21" spans="1:5" ht="23" customHeight="1">
      <c r="A21" s="1"/>
      <c r="B21" s="2"/>
      <c r="C21" s="2"/>
      <c r="D21" s="1"/>
      <c r="E21" s="1"/>
    </row>
    <row r="22" spans="1:5" ht="27" customHeight="1">
      <c r="A22" s="18" t="s">
        <v>37</v>
      </c>
      <c r="B22" s="21"/>
      <c r="C22" s="21"/>
      <c r="D22" s="18"/>
      <c r="E22" s="18"/>
    </row>
    <row r="23" spans="1:5" ht="23" customHeight="1">
      <c r="A23" s="1"/>
      <c r="B23" s="2"/>
      <c r="C23" s="2"/>
      <c r="D23" s="1"/>
      <c r="E23" s="1"/>
    </row>
    <row r="24" spans="1:5" ht="23" customHeight="1">
      <c r="A24" s="1" t="s">
        <v>38</v>
      </c>
      <c r="B24" s="6">
        <v>80</v>
      </c>
      <c r="C24" s="6"/>
      <c r="D24" s="1"/>
      <c r="E24" s="1"/>
    </row>
    <row r="25" spans="1:5" ht="23" customHeight="1">
      <c r="A25" s="1" t="s">
        <v>39</v>
      </c>
      <c r="B25" s="6">
        <v>420</v>
      </c>
      <c r="C25" s="6"/>
      <c r="D25" s="1"/>
      <c r="E25" s="1"/>
    </row>
    <row r="26" spans="1:5" ht="23" customHeight="1">
      <c r="A26" s="1" t="s">
        <v>40</v>
      </c>
      <c r="B26" s="6">
        <v>40</v>
      </c>
      <c r="C26" s="6">
        <v>40</v>
      </c>
      <c r="D26" s="1"/>
      <c r="E26" s="1"/>
    </row>
    <row r="27" spans="1:5" ht="23" customHeight="1">
      <c r="A27" s="1" t="s">
        <v>41</v>
      </c>
      <c r="B27" s="6">
        <v>250</v>
      </c>
      <c r="C27" s="6"/>
      <c r="D27" s="1"/>
      <c r="E27" s="1"/>
    </row>
    <row r="28" spans="1:5" ht="23" customHeight="1">
      <c r="A28" s="1" t="s">
        <v>42</v>
      </c>
      <c r="B28" s="6">
        <v>160</v>
      </c>
      <c r="C28" s="6"/>
      <c r="D28" s="1"/>
      <c r="E28" s="1"/>
    </row>
    <row r="29" spans="1:5" ht="23" customHeight="1">
      <c r="A29" s="1" t="s">
        <v>43</v>
      </c>
      <c r="B29" s="6">
        <v>0</v>
      </c>
      <c r="C29" s="6"/>
      <c r="D29" s="1"/>
      <c r="E29" s="1"/>
    </row>
    <row r="30" spans="1:5" ht="23" customHeight="1">
      <c r="A30" s="1" t="s">
        <v>44</v>
      </c>
      <c r="B30" s="6">
        <v>275</v>
      </c>
      <c r="C30" s="6"/>
      <c r="D30" s="1"/>
      <c r="E30" s="1"/>
    </row>
    <row r="31" spans="1:5" ht="23" customHeight="1">
      <c r="A31" s="1"/>
      <c r="B31" s="2"/>
      <c r="C31" s="2"/>
      <c r="D31" s="1"/>
      <c r="E31" s="1"/>
    </row>
    <row r="32" spans="1:5" ht="27" customHeight="1">
      <c r="A32" s="18" t="s">
        <v>45</v>
      </c>
      <c r="B32" s="21"/>
      <c r="C32" s="21"/>
      <c r="D32" s="18"/>
      <c r="E32" s="18"/>
    </row>
    <row r="33" spans="1:5" ht="23" customHeight="1">
      <c r="A33" s="1"/>
      <c r="B33" s="2"/>
      <c r="C33" s="2"/>
      <c r="D33" s="1"/>
      <c r="E33" s="1"/>
    </row>
    <row r="34" spans="1:5" ht="34" customHeight="1">
      <c r="A34" s="1" t="s">
        <v>46</v>
      </c>
      <c r="B34" s="6"/>
      <c r="C34" s="6">
        <v>85</v>
      </c>
      <c r="D34" s="1"/>
      <c r="E34" s="3" t="s">
        <v>47</v>
      </c>
    </row>
    <row r="35" spans="1:5" ht="23" customHeight="1">
      <c r="A35" s="1" t="s">
        <v>48</v>
      </c>
      <c r="B35" s="6"/>
      <c r="C35" s="6">
        <v>30</v>
      </c>
      <c r="D35" s="1"/>
      <c r="E35" s="1"/>
    </row>
    <row r="36" spans="1:5" ht="23" customHeight="1">
      <c r="A36" s="1" t="s">
        <v>49</v>
      </c>
      <c r="B36" s="6"/>
      <c r="C36" s="6">
        <v>20</v>
      </c>
      <c r="D36" s="1"/>
      <c r="E36" s="1"/>
    </row>
    <row r="37" spans="1:5" ht="23" customHeight="1">
      <c r="A37" s="1" t="s">
        <v>50</v>
      </c>
      <c r="B37" s="6"/>
      <c r="C37" s="6">
        <v>0</v>
      </c>
      <c r="D37" s="1"/>
      <c r="E37" s="1"/>
    </row>
    <row r="38" spans="1:5" ht="23" customHeight="1">
      <c r="A38" s="1" t="s">
        <v>51</v>
      </c>
      <c r="B38" s="6"/>
      <c r="C38" s="6">
        <v>0</v>
      </c>
      <c r="D38" s="1"/>
      <c r="E38" s="1"/>
    </row>
    <row r="39" spans="1:5" ht="23" customHeight="1">
      <c r="A39" s="1"/>
      <c r="B39" s="2"/>
      <c r="C39" s="2"/>
      <c r="D39" s="1"/>
      <c r="E39" s="1"/>
    </row>
    <row r="40" spans="1:5" ht="27" customHeight="1">
      <c r="A40" s="18" t="s">
        <v>52</v>
      </c>
      <c r="B40" s="21"/>
      <c r="C40" s="21"/>
      <c r="D40" s="18"/>
      <c r="E40" s="18"/>
    </row>
    <row r="41" spans="1:5" ht="23" customHeight="1">
      <c r="A41" s="1"/>
      <c r="B41" s="2"/>
      <c r="C41" s="2"/>
      <c r="D41" s="1"/>
      <c r="E41" s="1"/>
    </row>
    <row r="42" spans="1:5" ht="34" customHeight="1">
      <c r="A42" s="1" t="s">
        <v>53</v>
      </c>
      <c r="B42" s="6"/>
      <c r="C42" s="6">
        <v>50</v>
      </c>
      <c r="D42" s="1"/>
      <c r="E42" s="3" t="s">
        <v>54</v>
      </c>
    </row>
    <row r="43" spans="1:5" ht="23" customHeight="1">
      <c r="A43" s="1" t="s">
        <v>55</v>
      </c>
      <c r="B43" s="6"/>
      <c r="C43" s="6">
        <v>90</v>
      </c>
      <c r="D43" s="1"/>
      <c r="E43" s="1"/>
    </row>
    <row r="44" spans="1:5" ht="23" customHeight="1">
      <c r="A44" s="1"/>
      <c r="B44" s="2"/>
      <c r="C44" s="2"/>
      <c r="D44" s="1"/>
      <c r="E44" s="1"/>
    </row>
  </sheetData>
  <mergeCells count="6">
    <mergeCell ref="A40:E40"/>
    <mergeCell ref="A1:E1"/>
    <mergeCell ref="A2:E3"/>
    <mergeCell ref="A14:E14"/>
    <mergeCell ref="A22:E22"/>
    <mergeCell ref="A32:E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1"/>
  <sheetViews>
    <sheetView showGridLines="0" workbookViewId="0">
      <pane ySplit="5" topLeftCell="A47" activePane="bottomLeft" state="frozen"/>
      <selection pane="bottomLeft" activeCell="C23" sqref="C23"/>
    </sheetView>
  </sheetViews>
  <sheetFormatPr baseColWidth="10" defaultColWidth="8.83203125" defaultRowHeight="14"/>
  <cols>
    <col min="1" max="1" width="42" customWidth="1"/>
    <col min="2" max="3" width="16" customWidth="1"/>
    <col min="4" max="4" width="5" customWidth="1"/>
    <col min="5" max="5" width="66" customWidth="1"/>
  </cols>
  <sheetData>
    <row r="1" spans="1:5" ht="32" customHeight="1">
      <c r="A1" s="16" t="s">
        <v>56</v>
      </c>
      <c r="B1" s="16"/>
      <c r="C1" s="16"/>
      <c r="D1" s="16"/>
      <c r="E1" s="16"/>
    </row>
    <row r="2" spans="1:5" ht="23" customHeight="1">
      <c r="A2" s="17" t="s">
        <v>57</v>
      </c>
      <c r="B2" s="17"/>
      <c r="C2" s="17"/>
      <c r="D2" s="17"/>
      <c r="E2" s="17"/>
    </row>
    <row r="3" spans="1:5" ht="23" customHeight="1">
      <c r="A3" s="17"/>
      <c r="B3" s="17"/>
      <c r="C3" s="17"/>
      <c r="D3" s="17"/>
      <c r="E3" s="17"/>
    </row>
    <row r="4" spans="1:5" ht="23" customHeight="1">
      <c r="A4" s="1"/>
      <c r="B4" s="1"/>
      <c r="C4" s="1"/>
      <c r="D4" s="1"/>
      <c r="E4" s="1"/>
    </row>
    <row r="5" spans="1:5" ht="23" customHeight="1">
      <c r="A5" s="13" t="s">
        <v>58</v>
      </c>
      <c r="B5" s="13" t="s">
        <v>20</v>
      </c>
      <c r="C5" s="13" t="s">
        <v>21</v>
      </c>
      <c r="D5" s="1"/>
      <c r="E5" s="1"/>
    </row>
    <row r="6" spans="1:5" ht="27" customHeight="1">
      <c r="A6" s="18" t="s">
        <v>59</v>
      </c>
      <c r="B6" s="21"/>
      <c r="C6" s="21"/>
      <c r="D6" s="18"/>
      <c r="E6" s="18"/>
    </row>
    <row r="7" spans="1:5" ht="23" customHeight="1">
      <c r="A7" s="1" t="s">
        <v>22</v>
      </c>
      <c r="B7" s="9">
        <f>Inputs!B6</f>
        <v>1000</v>
      </c>
      <c r="C7" s="9">
        <f>Inputs!C6</f>
        <v>1120</v>
      </c>
      <c r="D7" s="1"/>
      <c r="E7" s="1"/>
    </row>
    <row r="8" spans="1:5" ht="23" customHeight="1">
      <c r="A8" s="1" t="s">
        <v>23</v>
      </c>
      <c r="B8" s="9">
        <f>Inputs!B7</f>
        <v>600</v>
      </c>
      <c r="C8" s="9">
        <f>Inputs!C7</f>
        <v>650</v>
      </c>
      <c r="D8" s="1"/>
      <c r="E8" s="1"/>
    </row>
    <row r="9" spans="1:5" ht="23" customHeight="1">
      <c r="A9" s="1" t="s">
        <v>24</v>
      </c>
      <c r="B9" s="9">
        <f>Inputs!B8</f>
        <v>220</v>
      </c>
      <c r="C9" s="9">
        <f>Inputs!C8</f>
        <v>250</v>
      </c>
      <c r="D9" s="1"/>
      <c r="E9" s="1"/>
    </row>
    <row r="10" spans="1:5" ht="23" customHeight="1">
      <c r="A10" s="1" t="s">
        <v>25</v>
      </c>
      <c r="B10" s="9">
        <f>Inputs!B9</f>
        <v>50</v>
      </c>
      <c r="C10" s="9">
        <f>Inputs!C9</f>
        <v>55</v>
      </c>
      <c r="D10" s="1"/>
      <c r="E10" s="1"/>
    </row>
    <row r="11" spans="1:5" ht="34" customHeight="1">
      <c r="A11" s="4" t="s">
        <v>60</v>
      </c>
      <c r="B11" s="14">
        <f>B7-B8-B9-B10</f>
        <v>130</v>
      </c>
      <c r="C11" s="15"/>
      <c r="D11" s="1"/>
      <c r="E11" s="3" t="s">
        <v>61</v>
      </c>
    </row>
    <row r="12" spans="1:5" ht="23" customHeight="1">
      <c r="A12" s="1" t="s">
        <v>26</v>
      </c>
      <c r="B12" s="9">
        <f>Inputs!B10</f>
        <v>20</v>
      </c>
      <c r="C12" s="9">
        <f>Inputs!C10</f>
        <v>22</v>
      </c>
      <c r="D12" s="1"/>
      <c r="E12" s="1"/>
    </row>
    <row r="13" spans="1:5" ht="23" customHeight="1">
      <c r="A13" s="1" t="s">
        <v>27</v>
      </c>
      <c r="B13" s="11">
        <f>Inputs!B11</f>
        <v>0.25</v>
      </c>
      <c r="C13" s="11">
        <f>Inputs!C11</f>
        <v>0.25</v>
      </c>
      <c r="D13" s="1"/>
      <c r="E13" s="1"/>
    </row>
    <row r="14" spans="1:5" ht="34" customHeight="1">
      <c r="A14" s="4" t="s">
        <v>62</v>
      </c>
      <c r="B14" s="14">
        <f>(B11-B12)*(1-B13)</f>
        <v>82.5</v>
      </c>
      <c r="C14" s="15"/>
      <c r="D14" s="1"/>
      <c r="E14" s="3" t="s">
        <v>63</v>
      </c>
    </row>
    <row r="15" spans="1:5" ht="34" customHeight="1">
      <c r="A15" s="4" t="s">
        <v>64</v>
      </c>
      <c r="B15" s="2"/>
      <c r="C15" s="2" t="str">
        <f>IF(AND(ISNUMBER(C11),ISNUMBER(C14)),IF(ABS(ABS(C11-(C7-C8-C9-C10))+ABS(C14-(C7-C8-C9-C10-C12)*(1-C13)))&lt;0.01,"OK","CHECK"),"BUILD")</f>
        <v>BUILD</v>
      </c>
      <c r="D15" s="1"/>
      <c r="E15" s="3" t="s">
        <v>65</v>
      </c>
    </row>
    <row r="16" spans="1:5" ht="27" customHeight="1">
      <c r="A16" s="18" t="s">
        <v>66</v>
      </c>
      <c r="B16" s="21"/>
      <c r="C16" s="21"/>
      <c r="D16" s="18"/>
      <c r="E16" s="18"/>
    </row>
    <row r="17" spans="1:5" ht="23" customHeight="1">
      <c r="A17" s="1" t="s">
        <v>30</v>
      </c>
      <c r="B17" s="9">
        <f>Inputs!B16</f>
        <v>110</v>
      </c>
      <c r="C17" s="9">
        <f>Inputs!C16</f>
        <v>135</v>
      </c>
      <c r="D17" s="1"/>
      <c r="E17" s="1"/>
    </row>
    <row r="18" spans="1:5" ht="23" customHeight="1">
      <c r="A18" s="1" t="s">
        <v>31</v>
      </c>
      <c r="B18" s="9">
        <f>Inputs!B17</f>
        <v>145</v>
      </c>
      <c r="C18" s="9">
        <f>Inputs!C17</f>
        <v>170</v>
      </c>
      <c r="D18" s="1"/>
      <c r="E18" s="1"/>
    </row>
    <row r="19" spans="1:5" ht="23" customHeight="1">
      <c r="A19" s="1" t="s">
        <v>33</v>
      </c>
      <c r="B19" s="9">
        <f>Inputs!B18</f>
        <v>20</v>
      </c>
      <c r="C19" s="9">
        <f>Inputs!C18</f>
        <v>22</v>
      </c>
      <c r="D19" s="1"/>
      <c r="E19" s="1"/>
    </row>
    <row r="20" spans="1:5" ht="23" customHeight="1">
      <c r="A20" s="1" t="s">
        <v>34</v>
      </c>
      <c r="B20" s="9">
        <f>Inputs!B19</f>
        <v>90</v>
      </c>
      <c r="C20" s="9">
        <f>Inputs!C19</f>
        <v>100</v>
      </c>
      <c r="D20" s="1"/>
      <c r="E20" s="1"/>
    </row>
    <row r="21" spans="1:5" ht="23" customHeight="1">
      <c r="A21" s="1" t="s">
        <v>35</v>
      </c>
      <c r="B21" s="9">
        <f>Inputs!B20</f>
        <v>40</v>
      </c>
      <c r="C21" s="9">
        <f>Inputs!C20</f>
        <v>43</v>
      </c>
      <c r="D21" s="1"/>
      <c r="E21" s="1"/>
    </row>
    <row r="22" spans="1:5" ht="34" customHeight="1">
      <c r="A22" s="4" t="s">
        <v>67</v>
      </c>
      <c r="B22" s="15"/>
      <c r="C22" s="15"/>
      <c r="D22" s="1"/>
      <c r="E22" s="3" t="s">
        <v>68</v>
      </c>
    </row>
    <row r="23" spans="1:5" ht="34" customHeight="1">
      <c r="A23" s="1" t="s">
        <v>69</v>
      </c>
      <c r="B23" s="2"/>
      <c r="C23" s="10"/>
      <c r="D23" s="1"/>
      <c r="E23" s="3" t="s">
        <v>70</v>
      </c>
    </row>
    <row r="24" spans="1:5" ht="34" customHeight="1">
      <c r="A24" s="4" t="s">
        <v>71</v>
      </c>
      <c r="B24" s="2"/>
      <c r="C24" s="2" t="str">
        <f>IF(AND(ISNUMBER(B22),ISNUMBER(C22),ISNUMBER(C23)),IF(ABS(ABS(B22-(SUM(B17:B19)-SUM(B20:B21)))+ABS(C22-(SUM(C17:C19)-SUM(C20:C21)))+ABS(C23-(C22-B22)))&lt;0.01,"OK","CHECK"),"BUILD")</f>
        <v>BUILD</v>
      </c>
      <c r="D24" s="1"/>
      <c r="E24" s="3" t="s">
        <v>65</v>
      </c>
    </row>
    <row r="25" spans="1:5" ht="27" customHeight="1">
      <c r="A25" s="18" t="s">
        <v>72</v>
      </c>
      <c r="B25" s="21"/>
      <c r="C25" s="21"/>
      <c r="D25" s="18"/>
      <c r="E25" s="18"/>
    </row>
    <row r="26" spans="1:5" ht="23" customHeight="1">
      <c r="A26" s="1" t="s">
        <v>62</v>
      </c>
      <c r="B26" s="2"/>
      <c r="C26" s="2" t="str">
        <f>IF(ISNUMBER(C14),C14,"")</f>
        <v/>
      </c>
      <c r="D26" s="1"/>
      <c r="E26" s="1"/>
    </row>
    <row r="27" spans="1:5" ht="23" customHeight="1">
      <c r="A27" s="1" t="s">
        <v>73</v>
      </c>
      <c r="B27" s="2"/>
      <c r="C27" s="2">
        <f>C10</f>
        <v>55</v>
      </c>
      <c r="D27" s="1"/>
      <c r="E27" s="1"/>
    </row>
    <row r="28" spans="1:5" ht="23" customHeight="1">
      <c r="A28" s="1" t="s">
        <v>74</v>
      </c>
      <c r="B28" s="2"/>
      <c r="C28" s="2" t="str">
        <f>IF(ISNUMBER(C23),C23,"")</f>
        <v/>
      </c>
      <c r="D28" s="1"/>
      <c r="E28" s="1"/>
    </row>
    <row r="29" spans="1:5" ht="34" customHeight="1">
      <c r="A29" s="4" t="s">
        <v>75</v>
      </c>
      <c r="B29" s="14"/>
      <c r="C29" s="15"/>
      <c r="D29" s="1"/>
      <c r="E29" s="3" t="s">
        <v>76</v>
      </c>
    </row>
    <row r="30" spans="1:5" ht="34" customHeight="1">
      <c r="A30" s="4" t="s">
        <v>77</v>
      </c>
      <c r="B30" s="2"/>
      <c r="C30" s="2" t="str">
        <f>IF(AND(ISNUMBER(C26),ISNUMBER(C27),ISNUMBER(C28),ISNUMBER(C29)),IF(ABS(C29-(C26+C27-C28))&lt;0.01,"OK","CHECK"),"BUILD")</f>
        <v>BUILD</v>
      </c>
      <c r="D30" s="1"/>
      <c r="E30" s="3" t="s">
        <v>65</v>
      </c>
    </row>
    <row r="31" spans="1:5" ht="27" customHeight="1">
      <c r="A31" s="18" t="s">
        <v>78</v>
      </c>
      <c r="B31" s="21"/>
      <c r="C31" s="21"/>
      <c r="D31" s="18"/>
      <c r="E31" s="18"/>
    </row>
    <row r="32" spans="1:5" ht="34" customHeight="1">
      <c r="A32" s="1" t="s">
        <v>79</v>
      </c>
      <c r="B32" s="2"/>
      <c r="C32" s="10"/>
      <c r="D32" s="1"/>
      <c r="E32" s="3" t="s">
        <v>80</v>
      </c>
    </row>
    <row r="33" spans="1:5" ht="23" customHeight="1">
      <c r="A33" s="1" t="s">
        <v>73</v>
      </c>
      <c r="B33" s="2"/>
      <c r="C33" s="2">
        <f>C10</f>
        <v>55</v>
      </c>
      <c r="D33" s="1"/>
      <c r="E33" s="1"/>
    </row>
    <row r="34" spans="1:5" ht="23" customHeight="1">
      <c r="A34" s="1" t="s">
        <v>74</v>
      </c>
      <c r="B34" s="2"/>
      <c r="C34" s="2" t="str">
        <f>IF(ISNUMBER(C23),C23,"")</f>
        <v/>
      </c>
      <c r="D34" s="1"/>
      <c r="E34" s="1"/>
    </row>
    <row r="35" spans="1:5" ht="23" customHeight="1">
      <c r="A35" s="1" t="s">
        <v>81</v>
      </c>
      <c r="B35" s="2"/>
      <c r="C35" s="9">
        <f>Inputs!C34</f>
        <v>85</v>
      </c>
      <c r="D35" s="1"/>
      <c r="E35" s="1"/>
    </row>
    <row r="36" spans="1:5" ht="34" customHeight="1">
      <c r="A36" s="4" t="s">
        <v>82</v>
      </c>
      <c r="B36" s="14"/>
      <c r="C36" s="15"/>
      <c r="D36" s="1"/>
      <c r="E36" s="3" t="s">
        <v>83</v>
      </c>
    </row>
    <row r="37" spans="1:5" ht="23" customHeight="1">
      <c r="A37" s="1" t="s">
        <v>84</v>
      </c>
      <c r="B37" s="2"/>
      <c r="C37" s="2" t="str">
        <f>IF(ISNUMBER(C29),C29+C12*(1-C13)-C35,"")</f>
        <v/>
      </c>
      <c r="D37" s="1"/>
      <c r="E37" s="1"/>
    </row>
    <row r="38" spans="1:5" ht="34" customHeight="1">
      <c r="A38" s="4" t="s">
        <v>85</v>
      </c>
      <c r="B38" s="2"/>
      <c r="C38" s="2" t="str">
        <f>IF(AND(ISNUMBER(C32),ISNUMBER(C36),ISNUMBER(C37)),IF(ABS(ABS(C32-C11*(1-C13))+ABS(C36-C37))&lt;0.01,"OK","CHECK"),"BUILD")</f>
        <v>BUILD</v>
      </c>
      <c r="D38" s="1"/>
      <c r="E38" s="3" t="s">
        <v>65</v>
      </c>
    </row>
    <row r="39" spans="1:5" ht="27" customHeight="1">
      <c r="A39" s="18" t="s">
        <v>86</v>
      </c>
      <c r="B39" s="21"/>
      <c r="C39" s="21"/>
      <c r="D39" s="18"/>
      <c r="E39" s="18"/>
    </row>
    <row r="40" spans="1:5" ht="34" customHeight="1">
      <c r="A40" s="1" t="s">
        <v>87</v>
      </c>
      <c r="B40" s="2"/>
      <c r="C40" s="10"/>
      <c r="D40" s="1"/>
      <c r="E40" s="3" t="s">
        <v>88</v>
      </c>
    </row>
    <row r="41" spans="1:5" ht="34" customHeight="1">
      <c r="A41" s="1" t="s">
        <v>89</v>
      </c>
      <c r="B41" s="2"/>
      <c r="C41" s="10"/>
      <c r="D41" s="1"/>
      <c r="E41" s="3" t="s">
        <v>90</v>
      </c>
    </row>
    <row r="42" spans="1:5" ht="34" customHeight="1">
      <c r="A42" s="4" t="s">
        <v>91</v>
      </c>
      <c r="B42" s="14"/>
      <c r="C42" s="15"/>
      <c r="D42" s="1"/>
      <c r="E42" s="3" t="s">
        <v>92</v>
      </c>
    </row>
    <row r="43" spans="1:5" ht="23" customHeight="1">
      <c r="A43" s="1" t="s">
        <v>93</v>
      </c>
      <c r="B43" s="2"/>
      <c r="C43" s="2" t="str">
        <f>IF(AND(ISNUMBER(C29),ISNUMBER(C41)),C29-C35+C41,"")</f>
        <v/>
      </c>
      <c r="D43" s="1"/>
      <c r="E43" s="1"/>
    </row>
    <row r="44" spans="1:5" ht="34" customHeight="1">
      <c r="A44" s="4" t="s">
        <v>94</v>
      </c>
      <c r="B44" s="2"/>
      <c r="C44" s="9" t="str">
        <f>IF(AND(ISNUMBER(C40),ISNUMBER(C41),ISNUMBER(C42),ISNUMBER(C43)),IF(ABS(ABS(C40-C12*(1-C13))+ABS(C41-(Inputs!C35-Inputs!C36))+ABS(C42-C43))&lt;0.01,"OK","CHECK"),"BUILD")</f>
        <v>BUILD</v>
      </c>
      <c r="D44" s="1"/>
      <c r="E44" s="3" t="s">
        <v>65</v>
      </c>
    </row>
    <row r="45" spans="1:5" ht="27" customHeight="1">
      <c r="A45" s="18" t="s">
        <v>95</v>
      </c>
      <c r="B45" s="21"/>
      <c r="C45" s="21"/>
      <c r="D45" s="18"/>
      <c r="E45" s="18"/>
    </row>
    <row r="46" spans="1:5" ht="23" customHeight="1">
      <c r="A46" s="1" t="s">
        <v>96</v>
      </c>
      <c r="B46" s="2"/>
      <c r="C46" s="9">
        <f>Inputs!B24</f>
        <v>80</v>
      </c>
      <c r="D46" s="1"/>
      <c r="E46" s="1"/>
    </row>
    <row r="47" spans="1:5" ht="23" customHeight="1">
      <c r="A47" s="1" t="s">
        <v>97</v>
      </c>
      <c r="B47" s="2"/>
      <c r="C47" s="2" t="str">
        <f>IF(ISNUMBER(C29),C29,"")</f>
        <v/>
      </c>
      <c r="D47" s="1"/>
      <c r="E47" s="1"/>
    </row>
    <row r="48" spans="1:5" ht="23" customHeight="1">
      <c r="A48" s="1" t="s">
        <v>81</v>
      </c>
      <c r="B48" s="2"/>
      <c r="C48" s="2">
        <f>C35</f>
        <v>85</v>
      </c>
      <c r="D48" s="1"/>
      <c r="E48" s="1"/>
    </row>
    <row r="49" spans="1:5" ht="23" customHeight="1">
      <c r="A49" s="1" t="s">
        <v>89</v>
      </c>
      <c r="B49" s="2"/>
      <c r="C49" s="2" t="str">
        <f>IF(ISNUMBER(C41),C41,"")</f>
        <v/>
      </c>
      <c r="D49" s="1"/>
      <c r="E49" s="1"/>
    </row>
    <row r="50" spans="1:5" ht="23" customHeight="1">
      <c r="A50" s="1" t="s">
        <v>98</v>
      </c>
      <c r="B50" s="2"/>
      <c r="C50" s="9">
        <f>Inputs!C12</f>
        <v>30</v>
      </c>
      <c r="D50" s="1"/>
      <c r="E50" s="1"/>
    </row>
    <row r="51" spans="1:5" ht="23" customHeight="1">
      <c r="A51" s="1" t="s">
        <v>50</v>
      </c>
      <c r="B51" s="2"/>
      <c r="C51" s="9">
        <f>Inputs!C37</f>
        <v>0</v>
      </c>
      <c r="D51" s="1"/>
      <c r="E51" s="1"/>
    </row>
    <row r="52" spans="1:5" ht="23" customHeight="1">
      <c r="A52" s="1" t="s">
        <v>99</v>
      </c>
      <c r="B52" s="2"/>
      <c r="C52" s="9">
        <f>Inputs!C38</f>
        <v>0</v>
      </c>
      <c r="D52" s="1"/>
      <c r="E52" s="1"/>
    </row>
    <row r="53" spans="1:5" ht="34" customHeight="1">
      <c r="A53" s="4" t="s">
        <v>100</v>
      </c>
      <c r="B53" s="14"/>
      <c r="C53" s="15"/>
      <c r="D53" s="1"/>
      <c r="E53" s="3" t="s">
        <v>101</v>
      </c>
    </row>
    <row r="54" spans="1:5" ht="34" customHeight="1">
      <c r="A54" s="4" t="s">
        <v>102</v>
      </c>
      <c r="B54" s="2"/>
      <c r="C54" s="2" t="str">
        <f>IF(AND(ISNUMBER(C47),ISNUMBER(C49),ISNUMBER(C53)),IF(ABS(C53-(C46+C47-C48+C49-C50+C51-C52))&lt;0.01,"OK","CHECK"),"BUILD")</f>
        <v>BUILD</v>
      </c>
      <c r="D54" s="1"/>
      <c r="E54" s="3" t="s">
        <v>65</v>
      </c>
    </row>
    <row r="55" spans="1:5" ht="27" customHeight="1">
      <c r="A55" s="18" t="s">
        <v>103</v>
      </c>
      <c r="B55" s="21"/>
      <c r="C55" s="21"/>
      <c r="D55" s="18"/>
      <c r="E55" s="18"/>
    </row>
    <row r="56" spans="1:5" ht="23" customHeight="1">
      <c r="A56" s="1" t="s">
        <v>104</v>
      </c>
      <c r="B56" s="12">
        <f>B11/B7</f>
        <v>0.13</v>
      </c>
      <c r="C56" s="12" t="str">
        <f>IF(ISNUMBER(C11),C11/C7,"")</f>
        <v/>
      </c>
      <c r="D56" s="1"/>
      <c r="E56" s="1"/>
    </row>
    <row r="57" spans="1:5" ht="23" customHeight="1">
      <c r="A57" s="1" t="s">
        <v>105</v>
      </c>
      <c r="B57" s="12" t="str">
        <f>IF(ISNUMBER(B22),B22/B7,"")</f>
        <v/>
      </c>
      <c r="C57" s="12" t="str">
        <f>IF(ISNUMBER(C22),C22/C7,"")</f>
        <v/>
      </c>
      <c r="D57" s="1"/>
      <c r="E57" s="1"/>
    </row>
    <row r="58" spans="1:5" ht="23" customHeight="1">
      <c r="A58" s="1"/>
      <c r="B58" s="2"/>
      <c r="C58" s="2"/>
      <c r="D58" s="1"/>
      <c r="E58" s="1"/>
    </row>
    <row r="59" spans="1:5" ht="29" customHeight="1">
      <c r="A59" s="3" t="s">
        <v>106</v>
      </c>
      <c r="B59" s="22"/>
      <c r="C59" s="22"/>
      <c r="D59" s="23"/>
      <c r="E59" s="23"/>
    </row>
    <row r="60" spans="1:5" ht="29" customHeight="1">
      <c r="A60" s="1"/>
      <c r="B60" s="22"/>
      <c r="C60" s="22"/>
      <c r="D60" s="23"/>
      <c r="E60" s="23"/>
    </row>
    <row r="61" spans="1:5" ht="23" customHeight="1">
      <c r="A61" s="1"/>
      <c r="B61" s="2"/>
      <c r="C61" s="2"/>
      <c r="D61" s="1"/>
      <c r="E61" s="1"/>
    </row>
  </sheetData>
  <mergeCells count="10">
    <mergeCell ref="A31:E31"/>
    <mergeCell ref="A39:E39"/>
    <mergeCell ref="A45:E45"/>
    <mergeCell ref="A55:E55"/>
    <mergeCell ref="B59:E60"/>
    <mergeCell ref="A1:E1"/>
    <mergeCell ref="A2:E3"/>
    <mergeCell ref="A6:E6"/>
    <mergeCell ref="A16:E16"/>
    <mergeCell ref="A25:E25"/>
  </mergeCells>
  <conditionalFormatting sqref="C15">
    <cfRule type="containsText" dxfId="7" priority="1" operator="containsText" text="CHECK"/>
  </conditionalFormatting>
  <conditionalFormatting sqref="C24">
    <cfRule type="containsText" dxfId="6" priority="2" operator="containsText" text="CHECK"/>
  </conditionalFormatting>
  <conditionalFormatting sqref="C30">
    <cfRule type="containsText" dxfId="5" priority="3" operator="containsText" text="CHECK"/>
  </conditionalFormatting>
  <conditionalFormatting sqref="C38">
    <cfRule type="containsText" dxfId="4" priority="4" operator="containsText" text="CHECK"/>
  </conditionalFormatting>
  <conditionalFormatting sqref="C44">
    <cfRule type="containsText" dxfId="3" priority="5" operator="containsText" text="CHECK"/>
  </conditionalFormatting>
  <conditionalFormatting sqref="C54">
    <cfRule type="containsText" dxfId="2" priority="6" operator="containsText" text="CHECK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4"/>
  <sheetViews>
    <sheetView showGridLines="0" workbookViewId="0">
      <pane ySplit="5" topLeftCell="A6" activePane="bottomLeft" state="frozen"/>
      <selection pane="bottomLeft" sqref="A1:E1"/>
    </sheetView>
  </sheetViews>
  <sheetFormatPr baseColWidth="10" defaultColWidth="8.83203125" defaultRowHeight="14"/>
  <cols>
    <col min="1" max="1" width="42" customWidth="1"/>
    <col min="2" max="3" width="16" customWidth="1"/>
    <col min="4" max="4" width="5" customWidth="1"/>
    <col min="5" max="5" width="66" customWidth="1"/>
  </cols>
  <sheetData>
    <row r="1" spans="1:5" ht="32" customHeight="1">
      <c r="A1" s="16" t="s">
        <v>107</v>
      </c>
      <c r="B1" s="16"/>
      <c r="C1" s="16"/>
      <c r="D1" s="16"/>
      <c r="E1" s="16"/>
    </row>
    <row r="2" spans="1:5" ht="23" customHeight="1">
      <c r="A2" s="17" t="s">
        <v>108</v>
      </c>
      <c r="B2" s="17"/>
      <c r="C2" s="17"/>
      <c r="D2" s="17"/>
      <c r="E2" s="17"/>
    </row>
    <row r="3" spans="1:5" ht="23" customHeight="1">
      <c r="A3" s="17"/>
      <c r="B3" s="17"/>
      <c r="C3" s="17"/>
      <c r="D3" s="17"/>
      <c r="E3" s="17"/>
    </row>
    <row r="4" spans="1:5" ht="23" customHeight="1">
      <c r="A4" s="1"/>
      <c r="B4" s="1"/>
      <c r="C4" s="1"/>
      <c r="D4" s="1"/>
      <c r="E4" s="1"/>
    </row>
    <row r="5" spans="1:5" ht="27" customHeight="1">
      <c r="A5" s="18" t="s">
        <v>109</v>
      </c>
      <c r="B5" s="18"/>
      <c r="C5" s="18"/>
      <c r="D5" s="18"/>
      <c r="E5" s="18"/>
    </row>
    <row r="6" spans="1:5" ht="23" customHeight="1">
      <c r="A6" s="1" t="s">
        <v>110</v>
      </c>
      <c r="B6" s="2"/>
      <c r="C6" s="9" t="str">
        <f>IF(ISNUMBER('Cash Flow'!C42),'Cash Flow'!C42,"")</f>
        <v/>
      </c>
      <c r="D6" s="1"/>
      <c r="E6" s="1"/>
    </row>
    <row r="7" spans="1:5" ht="23" customHeight="1">
      <c r="A7" s="1" t="s">
        <v>28</v>
      </c>
      <c r="B7" s="2"/>
      <c r="C7" s="9">
        <f>Inputs!C12</f>
        <v>30</v>
      </c>
      <c r="D7" s="1"/>
      <c r="E7" s="1"/>
    </row>
    <row r="8" spans="1:5" ht="23" customHeight="1">
      <c r="A8" s="1" t="s">
        <v>111</v>
      </c>
      <c r="B8" s="2"/>
      <c r="C8" s="9">
        <f>Inputs!C38</f>
        <v>0</v>
      </c>
      <c r="D8" s="1"/>
      <c r="E8" s="1"/>
    </row>
    <row r="9" spans="1:5" ht="34" customHeight="1">
      <c r="A9" s="4" t="s">
        <v>112</v>
      </c>
      <c r="B9" s="14"/>
      <c r="C9" s="15"/>
      <c r="D9" s="1"/>
      <c r="E9" s="3" t="s">
        <v>113</v>
      </c>
    </row>
    <row r="10" spans="1:5" ht="23" customHeight="1">
      <c r="A10" s="1" t="s">
        <v>100</v>
      </c>
      <c r="B10" s="2"/>
      <c r="C10" s="9" t="str">
        <f>IF(ISNUMBER('Cash Flow'!C53),'Cash Flow'!C53,"")</f>
        <v/>
      </c>
      <c r="D10" s="1"/>
      <c r="E10" s="1"/>
    </row>
    <row r="11" spans="1:5" ht="23" customHeight="1">
      <c r="A11" s="1" t="s">
        <v>114</v>
      </c>
      <c r="B11" s="2"/>
      <c r="C11" s="9">
        <f>Inputs!C42</f>
        <v>50</v>
      </c>
      <c r="D11" s="1"/>
      <c r="E11" s="1"/>
    </row>
    <row r="12" spans="1:5" ht="23" customHeight="1">
      <c r="A12" s="4" t="s">
        <v>115</v>
      </c>
      <c r="B12" s="14"/>
      <c r="C12" s="15"/>
      <c r="D12" s="1"/>
      <c r="E12" s="1"/>
    </row>
    <row r="13" spans="1:5" ht="23" customHeight="1">
      <c r="A13" s="1" t="s">
        <v>55</v>
      </c>
      <c r="B13" s="2"/>
      <c r="C13" s="9">
        <f>Inputs!C43</f>
        <v>90</v>
      </c>
      <c r="D13" s="1"/>
      <c r="E13" s="1"/>
    </row>
    <row r="14" spans="1:5" ht="23" customHeight="1">
      <c r="A14" s="4" t="s">
        <v>116</v>
      </c>
      <c r="B14" s="14"/>
      <c r="C14" s="15"/>
      <c r="D14" s="1"/>
      <c r="E14" s="1"/>
    </row>
    <row r="15" spans="1:5" ht="34" customHeight="1">
      <c r="A15" s="4" t="s">
        <v>117</v>
      </c>
      <c r="B15" s="14"/>
      <c r="C15" s="15"/>
      <c r="D15" s="1"/>
      <c r="E15" s="3" t="s">
        <v>118</v>
      </c>
    </row>
    <row r="16" spans="1:5" ht="34" customHeight="1">
      <c r="A16" s="1" t="s">
        <v>119</v>
      </c>
      <c r="B16" s="2"/>
      <c r="C16" s="10"/>
      <c r="D16" s="1"/>
      <c r="E16" s="3" t="s">
        <v>120</v>
      </c>
    </row>
    <row r="17" spans="1:5" ht="34" customHeight="1">
      <c r="A17" s="4" t="s">
        <v>121</v>
      </c>
      <c r="B17" s="2"/>
      <c r="C17" s="2" t="str">
        <f>IF(AND(ISNUMBER(C6),ISNUMBER(C9),ISNUMBER(C10),ISNUMBER(C12),ISNUMBER(C14),ISNUMBER(C15)),IF(ABS(ABS(C9-(C6-C7-C8))+ABS(C12-(C10-C11))+ABS(C14-(C12-C13))+ABS(C15-MAX(0,C10-C13)))&lt;0.01,"OK","CHECK"),"BUILD")</f>
        <v>BUILD</v>
      </c>
      <c r="D17" s="1"/>
      <c r="E17" s="3" t="s">
        <v>65</v>
      </c>
    </row>
    <row r="18" spans="1:5" ht="34" customHeight="1">
      <c r="A18" s="1" t="s">
        <v>122</v>
      </c>
      <c r="B18" s="2"/>
      <c r="C18" s="2" t="str">
        <f>IF(AND(ISNUMBER(C10),ISNUMBER(C16)),IF(AND(C16&gt;=0,C10-C16&gt;=C13),"FEASIBLE","REVISE"),"BUILD")</f>
        <v>BUILD</v>
      </c>
      <c r="D18" s="1"/>
      <c r="E18" s="3" t="s">
        <v>123</v>
      </c>
    </row>
    <row r="19" spans="1:5" ht="23" customHeight="1">
      <c r="A19" s="1"/>
      <c r="B19" s="2"/>
      <c r="C19" s="2"/>
      <c r="D19" s="1"/>
      <c r="E19" s="1"/>
    </row>
    <row r="20" spans="1:5" ht="27" customHeight="1">
      <c r="A20" s="18" t="s">
        <v>124</v>
      </c>
      <c r="B20" s="21"/>
      <c r="C20" s="21"/>
      <c r="D20" s="18"/>
      <c r="E20" s="18"/>
    </row>
    <row r="21" spans="1:5" ht="29" customHeight="1">
      <c r="A21" s="3" t="s">
        <v>125</v>
      </c>
      <c r="B21" s="22"/>
      <c r="C21" s="22"/>
      <c r="D21" s="23"/>
      <c r="E21" s="23"/>
    </row>
    <row r="22" spans="1:5" ht="29" customHeight="1">
      <c r="A22" s="1"/>
      <c r="B22" s="22"/>
      <c r="C22" s="22"/>
      <c r="D22" s="23"/>
      <c r="E22" s="23"/>
    </row>
    <row r="23" spans="1:5" ht="23" customHeight="1">
      <c r="A23" s="1"/>
      <c r="B23" s="2"/>
      <c r="C23" s="2"/>
      <c r="D23" s="1"/>
      <c r="E23" s="1"/>
    </row>
    <row r="24" spans="1:5" ht="29" customHeight="1">
      <c r="A24" s="3" t="s">
        <v>126</v>
      </c>
      <c r="B24" s="22"/>
      <c r="C24" s="22"/>
      <c r="D24" s="23"/>
      <c r="E24" s="23"/>
    </row>
    <row r="25" spans="1:5" ht="29" customHeight="1">
      <c r="A25" s="1"/>
      <c r="B25" s="22"/>
      <c r="C25" s="22"/>
      <c r="D25" s="23"/>
      <c r="E25" s="23"/>
    </row>
    <row r="26" spans="1:5" ht="23" customHeight="1">
      <c r="A26" s="1"/>
      <c r="B26" s="2"/>
      <c r="C26" s="2"/>
      <c r="D26" s="1"/>
      <c r="E26" s="1"/>
    </row>
    <row r="27" spans="1:5" ht="29" customHeight="1">
      <c r="A27" s="3" t="s">
        <v>127</v>
      </c>
      <c r="B27" s="22"/>
      <c r="C27" s="22"/>
      <c r="D27" s="23"/>
      <c r="E27" s="23"/>
    </row>
    <row r="28" spans="1:5" ht="29" customHeight="1">
      <c r="A28" s="1"/>
      <c r="B28" s="22"/>
      <c r="C28" s="22"/>
      <c r="D28" s="23"/>
      <c r="E28" s="23"/>
    </row>
    <row r="29" spans="1:5" ht="23" customHeight="1">
      <c r="A29" s="1"/>
      <c r="B29" s="2"/>
      <c r="C29" s="2"/>
      <c r="D29" s="1"/>
      <c r="E29" s="1"/>
    </row>
    <row r="30" spans="1:5" ht="29" customHeight="1">
      <c r="A30" s="3" t="s">
        <v>128</v>
      </c>
      <c r="B30" s="22"/>
      <c r="C30" s="22"/>
      <c r="D30" s="23"/>
      <c r="E30" s="23"/>
    </row>
    <row r="31" spans="1:5" ht="29" customHeight="1">
      <c r="A31" s="1"/>
      <c r="B31" s="22"/>
      <c r="C31" s="22"/>
      <c r="D31" s="23"/>
      <c r="E31" s="23"/>
    </row>
    <row r="32" spans="1:5" ht="23" customHeight="1">
      <c r="A32" s="1"/>
      <c r="B32" s="2"/>
      <c r="C32" s="2"/>
      <c r="D32" s="1"/>
      <c r="E32" s="1"/>
    </row>
    <row r="33" spans="1:5" ht="29" customHeight="1">
      <c r="A33" s="3" t="s">
        <v>129</v>
      </c>
      <c r="B33" s="22"/>
      <c r="C33" s="22"/>
      <c r="D33" s="23"/>
      <c r="E33" s="23"/>
    </row>
    <row r="34" spans="1:5" ht="29" customHeight="1">
      <c r="A34" s="1"/>
      <c r="B34" s="22"/>
      <c r="C34" s="22"/>
      <c r="D34" s="23"/>
      <c r="E34" s="23"/>
    </row>
    <row r="35" spans="1:5" ht="23" customHeight="1">
      <c r="A35" s="1"/>
      <c r="B35" s="2"/>
      <c r="C35" s="2"/>
      <c r="D35" s="1"/>
      <c r="E35" s="1"/>
    </row>
    <row r="36" spans="1:5" ht="29" customHeight="1">
      <c r="A36" s="3" t="s">
        <v>130</v>
      </c>
      <c r="B36" s="22"/>
      <c r="C36" s="22"/>
      <c r="D36" s="23"/>
      <c r="E36" s="23"/>
    </row>
    <row r="37" spans="1:5" ht="29" customHeight="1">
      <c r="A37" s="1"/>
      <c r="B37" s="22"/>
      <c r="C37" s="22"/>
      <c r="D37" s="23"/>
      <c r="E37" s="23"/>
    </row>
    <row r="38" spans="1:5" ht="23" customHeight="1">
      <c r="A38" s="1"/>
      <c r="B38" s="2"/>
      <c r="C38" s="2"/>
      <c r="D38" s="1"/>
      <c r="E38" s="1"/>
    </row>
    <row r="39" spans="1:5" ht="27" customHeight="1">
      <c r="A39" s="18" t="s">
        <v>131</v>
      </c>
      <c r="B39" s="21"/>
      <c r="C39" s="21"/>
      <c r="D39" s="18"/>
      <c r="E39" s="18"/>
    </row>
    <row r="40" spans="1:5" ht="23" customHeight="1">
      <c r="A40" s="19" t="s">
        <v>132</v>
      </c>
      <c r="B40" s="20"/>
      <c r="C40" s="20"/>
      <c r="D40" s="19"/>
      <c r="E40" s="19"/>
    </row>
    <row r="41" spans="1:5" ht="23" customHeight="1">
      <c r="A41" s="19"/>
      <c r="B41" s="20"/>
      <c r="C41" s="20"/>
      <c r="D41" s="19"/>
      <c r="E41" s="19"/>
    </row>
    <row r="42" spans="1:5" ht="29" customHeight="1">
      <c r="A42" s="3" t="s">
        <v>133</v>
      </c>
      <c r="B42" s="22"/>
      <c r="C42" s="22"/>
      <c r="D42" s="23"/>
      <c r="E42" s="23"/>
    </row>
    <row r="43" spans="1:5" ht="29" customHeight="1">
      <c r="A43" s="1"/>
      <c r="B43" s="22"/>
      <c r="C43" s="22"/>
      <c r="D43" s="23"/>
      <c r="E43" s="23"/>
    </row>
    <row r="44" spans="1:5" ht="23" customHeight="1">
      <c r="A44" s="1"/>
      <c r="B44" s="2"/>
      <c r="C44" s="2"/>
      <c r="D44" s="1"/>
      <c r="E44" s="1"/>
    </row>
    <row r="45" spans="1:5" ht="29" customHeight="1">
      <c r="A45" s="3" t="s">
        <v>134</v>
      </c>
      <c r="B45" s="22"/>
      <c r="C45" s="22"/>
      <c r="D45" s="23"/>
      <c r="E45" s="23"/>
    </row>
    <row r="46" spans="1:5" ht="29" customHeight="1">
      <c r="A46" s="1"/>
      <c r="B46" s="22"/>
      <c r="C46" s="22"/>
      <c r="D46" s="23"/>
      <c r="E46" s="23"/>
    </row>
    <row r="47" spans="1:5" ht="23" customHeight="1">
      <c r="A47" s="1"/>
      <c r="B47" s="2"/>
      <c r="C47" s="2"/>
      <c r="D47" s="1"/>
      <c r="E47" s="1"/>
    </row>
    <row r="48" spans="1:5" ht="29" customHeight="1">
      <c r="A48" s="3" t="s">
        <v>135</v>
      </c>
      <c r="B48" s="22"/>
      <c r="C48" s="22"/>
      <c r="D48" s="23"/>
      <c r="E48" s="23"/>
    </row>
    <row r="49" spans="1:5" ht="29" customHeight="1">
      <c r="A49" s="1"/>
      <c r="B49" s="22"/>
      <c r="C49" s="22"/>
      <c r="D49" s="23"/>
      <c r="E49" s="23"/>
    </row>
    <row r="50" spans="1:5" ht="23" customHeight="1">
      <c r="A50" s="1"/>
      <c r="B50" s="2"/>
      <c r="C50" s="2"/>
      <c r="D50" s="1"/>
      <c r="E50" s="1"/>
    </row>
    <row r="51" spans="1:5" ht="34" customHeight="1">
      <c r="A51" s="1" t="s">
        <v>136</v>
      </c>
      <c r="B51" s="2"/>
      <c r="C51" s="9" t="str">
        <f>IF(Inputs!C17=170,"RESTORED","RESTORE")</f>
        <v>RESTORED</v>
      </c>
      <c r="D51" s="1"/>
      <c r="E51" s="3" t="s">
        <v>137</v>
      </c>
    </row>
    <row r="52" spans="1:5" ht="23" customHeight="1">
      <c r="A52" s="1"/>
      <c r="B52" s="2"/>
      <c r="C52" s="2"/>
      <c r="D52" s="1"/>
      <c r="E52" s="1"/>
    </row>
    <row r="53" spans="1:5" ht="23" customHeight="1">
      <c r="A53" s="1"/>
      <c r="B53" s="2"/>
      <c r="C53" s="2"/>
      <c r="D53" s="1"/>
      <c r="E53" s="1"/>
    </row>
    <row r="54" spans="1:5" ht="23" customHeight="1">
      <c r="A54" s="1"/>
      <c r="B54" s="2"/>
      <c r="C54" s="2"/>
      <c r="D54" s="1"/>
      <c r="E54" s="1"/>
    </row>
  </sheetData>
  <mergeCells count="15">
    <mergeCell ref="A39:E39"/>
    <mergeCell ref="A40:E41"/>
    <mergeCell ref="B42:E43"/>
    <mergeCell ref="B45:E46"/>
    <mergeCell ref="B48:E49"/>
    <mergeCell ref="B24:E25"/>
    <mergeCell ref="B27:E28"/>
    <mergeCell ref="B30:E31"/>
    <mergeCell ref="B33:E34"/>
    <mergeCell ref="B36:E37"/>
    <mergeCell ref="A1:E1"/>
    <mergeCell ref="A2:E3"/>
    <mergeCell ref="A5:E5"/>
    <mergeCell ref="A20:E20"/>
    <mergeCell ref="B21:E22"/>
  </mergeCells>
  <conditionalFormatting sqref="C17">
    <cfRule type="containsText" dxfId="1" priority="1" operator="containsText" text="CHECK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0"/>
  <sheetViews>
    <sheetView showGridLines="0" workbookViewId="0">
      <pane ySplit="5" topLeftCell="A6" activePane="bottomLeft" state="frozen"/>
      <selection pane="bottomLeft" sqref="A1:E1"/>
    </sheetView>
  </sheetViews>
  <sheetFormatPr baseColWidth="10" defaultColWidth="8.83203125" defaultRowHeight="14"/>
  <cols>
    <col min="1" max="1" width="42" customWidth="1"/>
    <col min="2" max="3" width="16" customWidth="1"/>
    <col min="4" max="4" width="5" customWidth="1"/>
    <col min="5" max="5" width="66" customWidth="1"/>
  </cols>
  <sheetData>
    <row r="1" spans="1:5" ht="32" customHeight="1">
      <c r="A1" s="16" t="s">
        <v>138</v>
      </c>
      <c r="B1" s="16"/>
      <c r="C1" s="16"/>
      <c r="D1" s="16"/>
      <c r="E1" s="16"/>
    </row>
    <row r="2" spans="1:5" ht="23" customHeight="1">
      <c r="A2" s="17" t="s">
        <v>139</v>
      </c>
      <c r="B2" s="17"/>
      <c r="C2" s="17"/>
      <c r="D2" s="17"/>
      <c r="E2" s="17"/>
    </row>
    <row r="3" spans="1:5" ht="23" customHeight="1">
      <c r="A3" s="17"/>
      <c r="B3" s="17"/>
      <c r="C3" s="17"/>
      <c r="D3" s="17"/>
      <c r="E3" s="17"/>
    </row>
    <row r="4" spans="1:5" ht="23" customHeight="1">
      <c r="A4" s="1"/>
      <c r="B4" s="1"/>
      <c r="C4" s="1"/>
      <c r="D4" s="1"/>
      <c r="E4" s="1"/>
    </row>
    <row r="5" spans="1:5" ht="23" customHeight="1">
      <c r="A5" s="13" t="s">
        <v>140</v>
      </c>
      <c r="B5" s="13" t="s">
        <v>20</v>
      </c>
      <c r="C5" s="13" t="s">
        <v>21</v>
      </c>
      <c r="D5" s="1"/>
      <c r="E5" s="1"/>
    </row>
    <row r="6" spans="1:5" ht="23" customHeight="1">
      <c r="A6" s="1" t="s">
        <v>38</v>
      </c>
      <c r="B6" s="9">
        <f>Inputs!B24</f>
        <v>80</v>
      </c>
      <c r="C6" s="9" t="str">
        <f>IF(ISNUMBER('Cash Flow'!C53),'Cash Flow'!C53,"")</f>
        <v/>
      </c>
      <c r="D6" s="1"/>
      <c r="E6" s="1"/>
    </row>
    <row r="7" spans="1:5" ht="23" customHeight="1">
      <c r="A7" s="1" t="s">
        <v>30</v>
      </c>
      <c r="B7" s="9">
        <f>Inputs!B16</f>
        <v>110</v>
      </c>
      <c r="C7" s="9">
        <f>Inputs!C16</f>
        <v>135</v>
      </c>
      <c r="D7" s="1"/>
      <c r="E7" s="1"/>
    </row>
    <row r="8" spans="1:5" ht="23" customHeight="1">
      <c r="A8" s="1" t="s">
        <v>31</v>
      </c>
      <c r="B8" s="9">
        <f>Inputs!B17</f>
        <v>145</v>
      </c>
      <c r="C8" s="9">
        <f>Inputs!C17</f>
        <v>170</v>
      </c>
      <c r="D8" s="1"/>
      <c r="E8" s="1"/>
    </row>
    <row r="9" spans="1:5" ht="23" customHeight="1">
      <c r="A9" s="1" t="s">
        <v>33</v>
      </c>
      <c r="B9" s="9">
        <f>Inputs!B18</f>
        <v>20</v>
      </c>
      <c r="C9" s="9">
        <f>Inputs!C18</f>
        <v>22</v>
      </c>
      <c r="D9" s="1"/>
      <c r="E9" s="1"/>
    </row>
    <row r="10" spans="1:5" ht="23" customHeight="1">
      <c r="A10" s="1" t="s">
        <v>141</v>
      </c>
      <c r="B10" s="2">
        <f>SUM(B6:B9)</f>
        <v>355</v>
      </c>
      <c r="C10" s="10"/>
      <c r="D10" s="1"/>
      <c r="E10" s="1"/>
    </row>
    <row r="11" spans="1:5" ht="34" customHeight="1">
      <c r="A11" s="1" t="s">
        <v>39</v>
      </c>
      <c r="B11" s="9">
        <f>Inputs!B25</f>
        <v>420</v>
      </c>
      <c r="C11" s="10"/>
      <c r="D11" s="1"/>
      <c r="E11" s="3" t="s">
        <v>142</v>
      </c>
    </row>
    <row r="12" spans="1:5" ht="23" customHeight="1">
      <c r="A12" s="1" t="s">
        <v>40</v>
      </c>
      <c r="B12" s="9">
        <f>Inputs!B26</f>
        <v>40</v>
      </c>
      <c r="C12" s="9">
        <f>Inputs!C26</f>
        <v>40</v>
      </c>
      <c r="D12" s="1"/>
      <c r="E12" s="1"/>
    </row>
    <row r="13" spans="1:5" ht="23" customHeight="1">
      <c r="A13" s="1" t="s">
        <v>143</v>
      </c>
      <c r="B13" s="2">
        <f>SUM(B10:B12)</f>
        <v>815</v>
      </c>
      <c r="C13" s="10"/>
      <c r="D13" s="1"/>
      <c r="E13" s="1"/>
    </row>
    <row r="14" spans="1:5" ht="23" customHeight="1">
      <c r="A14" s="1"/>
      <c r="B14" s="2"/>
      <c r="C14" s="2"/>
      <c r="D14" s="1"/>
      <c r="E14" s="1"/>
    </row>
    <row r="15" spans="1:5" ht="23" customHeight="1">
      <c r="A15" s="1"/>
      <c r="B15" s="2"/>
      <c r="C15" s="2"/>
      <c r="D15" s="1"/>
      <c r="E15" s="1"/>
    </row>
    <row r="16" spans="1:5" ht="23" customHeight="1">
      <c r="A16" s="1" t="s">
        <v>34</v>
      </c>
      <c r="B16" s="9">
        <f>Inputs!B19</f>
        <v>90</v>
      </c>
      <c r="C16" s="9">
        <f>Inputs!C19</f>
        <v>100</v>
      </c>
      <c r="D16" s="1"/>
      <c r="E16" s="1"/>
    </row>
    <row r="17" spans="1:5" ht="23" customHeight="1">
      <c r="A17" s="1" t="s">
        <v>35</v>
      </c>
      <c r="B17" s="9">
        <f>Inputs!B20</f>
        <v>40</v>
      </c>
      <c r="C17" s="9">
        <f>Inputs!C20</f>
        <v>43</v>
      </c>
      <c r="D17" s="1"/>
      <c r="E17" s="1"/>
    </row>
    <row r="18" spans="1:5" ht="34" customHeight="1">
      <c r="A18" s="1" t="s">
        <v>41</v>
      </c>
      <c r="B18" s="9">
        <f>Inputs!B27</f>
        <v>250</v>
      </c>
      <c r="C18" s="10"/>
      <c r="D18" s="1"/>
      <c r="E18" s="3" t="s">
        <v>144</v>
      </c>
    </row>
    <row r="19" spans="1:5" ht="23" customHeight="1">
      <c r="A19" s="1" t="s">
        <v>145</v>
      </c>
      <c r="B19" s="2">
        <f>SUM(B16:B18)</f>
        <v>380</v>
      </c>
      <c r="C19" s="10"/>
      <c r="D19" s="1"/>
      <c r="E19" s="1"/>
    </row>
    <row r="20" spans="1:5" ht="23" customHeight="1">
      <c r="A20" s="1"/>
      <c r="B20" s="2"/>
      <c r="C20" s="2"/>
      <c r="D20" s="1"/>
      <c r="E20" s="1"/>
    </row>
    <row r="21" spans="1:5" ht="23" customHeight="1">
      <c r="A21" s="1"/>
      <c r="B21" s="2"/>
      <c r="C21" s="2"/>
      <c r="D21" s="1"/>
      <c r="E21" s="1"/>
    </row>
    <row r="22" spans="1:5" ht="34" customHeight="1">
      <c r="A22" s="1" t="s">
        <v>42</v>
      </c>
      <c r="B22" s="9">
        <f>Inputs!B28</f>
        <v>160</v>
      </c>
      <c r="C22" s="10"/>
      <c r="D22" s="1"/>
      <c r="E22" s="3" t="s">
        <v>146</v>
      </c>
    </row>
    <row r="23" spans="1:5" ht="34" customHeight="1">
      <c r="A23" s="1" t="s">
        <v>43</v>
      </c>
      <c r="B23" s="9">
        <f>Inputs!B29</f>
        <v>0</v>
      </c>
      <c r="C23" s="10"/>
      <c r="D23" s="1"/>
      <c r="E23" s="3" t="s">
        <v>147</v>
      </c>
    </row>
    <row r="24" spans="1:5" ht="34" customHeight="1">
      <c r="A24" s="1" t="s">
        <v>44</v>
      </c>
      <c r="B24" s="9">
        <f>Inputs!B30</f>
        <v>275</v>
      </c>
      <c r="C24" s="10"/>
      <c r="D24" s="1"/>
      <c r="E24" s="3" t="s">
        <v>148</v>
      </c>
    </row>
    <row r="25" spans="1:5" ht="34" customHeight="1">
      <c r="A25" s="1" t="s">
        <v>149</v>
      </c>
      <c r="B25" s="2">
        <f>B22-B23+B24</f>
        <v>435</v>
      </c>
      <c r="C25" s="10"/>
      <c r="D25" s="1"/>
      <c r="E25" s="3" t="s">
        <v>150</v>
      </c>
    </row>
    <row r="26" spans="1:5" ht="23" customHeight="1">
      <c r="A26" s="1" t="s">
        <v>151</v>
      </c>
      <c r="B26" s="2">
        <f>B19+B25</f>
        <v>815</v>
      </c>
      <c r="C26" s="10"/>
      <c r="D26" s="1"/>
      <c r="E26" s="1"/>
    </row>
    <row r="27" spans="1:5" ht="23" customHeight="1">
      <c r="A27" s="1"/>
      <c r="B27" s="2"/>
      <c r="C27" s="2"/>
      <c r="D27" s="1"/>
      <c r="E27" s="1"/>
    </row>
    <row r="28" spans="1:5" ht="34" customHeight="1">
      <c r="A28" s="4" t="s">
        <v>152</v>
      </c>
      <c r="B28" s="2"/>
      <c r="C28" s="2" t="str">
        <f>IF(AND(ISNUMBER(C6),ISNUMBER(C10),ISNUMBER(C11),ISNUMBER(C13),ISNUMBER(C18),ISNUMBER(C19),ISNUMBER(C22),ISNUMBER(C23),ISNUMBER(C24),ISNUMBER(C25),ISNUMBER(C26)),IF(ABS(C13-C26)&lt;0.01,"OK","CHECK"),"BUILD")</f>
        <v>BUILD</v>
      </c>
      <c r="D28" s="1"/>
      <c r="E28" s="3" t="s">
        <v>65</v>
      </c>
    </row>
    <row r="29" spans="1:5" ht="46" customHeight="1">
      <c r="A29" s="1"/>
      <c r="B29" s="2"/>
      <c r="C29" s="2"/>
      <c r="D29" s="1"/>
      <c r="E29" s="3" t="s">
        <v>153</v>
      </c>
    </row>
    <row r="30" spans="1:5" ht="23" customHeight="1">
      <c r="A30" s="1"/>
      <c r="B30" s="2"/>
      <c r="C30" s="2"/>
      <c r="D30" s="1"/>
      <c r="E30" s="1"/>
    </row>
  </sheetData>
  <mergeCells count="2">
    <mergeCell ref="A1:E1"/>
    <mergeCell ref="A2:E3"/>
  </mergeCells>
  <conditionalFormatting sqref="C28">
    <cfRule type="containsText" dxfId="0" priority="1" operator="containsText" text="CHECK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Inputs</vt:lpstr>
      <vt:lpstr>Cash Flow</vt:lpstr>
      <vt:lpstr>Decision Memo</vt:lpstr>
      <vt:lpstr>Statement Extension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Bethany Evitts</cp:lastModifiedBy>
  <dcterms:modified xsi:type="dcterms:W3CDTF">2026-09-15T19:48:48Z</dcterms:modified>
</cp:coreProperties>
</file>