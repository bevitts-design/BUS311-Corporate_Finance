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63d88adb4a47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970ab401d28c4ad6"/>
    <x:sheet xmlns:r="http://schemas.openxmlformats.org/officeDocument/2006/relationships" name="Inputs" sheetId="2" r:id="R4ba09713b6fd4a65"/>
    <x:sheet xmlns:r="http://schemas.openxmlformats.org/officeDocument/2006/relationships" name="Model" sheetId="3" r:id="R98e1b5d88bbf43ca"/>
    <x:sheet xmlns:r="http://schemas.openxmlformats.org/officeDocument/2006/relationships" name="Decision Memo" sheetId="4" r:id="R7060336ac8a6495c"/>
    <x:sheet xmlns:r="http://schemas.openxmlformats.org/officeDocument/2006/relationships" name="Checks" sheetId="5" r:id="R5ff20531c7114a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;[Red](#,##0.0);-"/>
    <x:numFmt numFmtId="201" formatCode="0.0%;[Red](0.0%);-"/>
    <x:numFmt numFmtId="202" formatCode="0.0;[Red](0.0);-"/>
  </x:numFmts>
  <x:fonts count="13">
    <x:font>
      <x:sz val="11"/>
      <x:name val="Carlito"/>
    </x:font>
    <x:font>
      <x:sz val="11"/>
      <x:color rgb="FF20242A"/>
      <x:name val="Carlito"/>
    </x:font>
    <x:font>
      <x:b/>
      <x:sz val="11"/>
      <x:color rgb="FFFFFFFF"/>
      <x:name val="Carlito"/>
    </x:font>
    <x:font>
      <x:b/>
      <x:sz val="11"/>
      <x:color rgb="FF355773"/>
      <x:name val="Carlito"/>
    </x:font>
    <x:font>
      <x:b/>
      <x:sz val="11"/>
      <x:color rgb="FF20242A"/>
      <x:name val="Carlito"/>
    </x:font>
    <x:font>
      <x:b/>
      <x:sz val="11"/>
      <x:color rgb="FF0000FF"/>
      <x:name val="Carlito"/>
    </x:font>
    <x:font>
      <x:b/>
      <x:sz val="11"/>
      <x:color rgb="FF008000"/>
      <x:name val="Carlito"/>
    </x:font>
    <x:font>
      <x:b/>
      <x:sz val="11"/>
      <x:color rgb="FF000000"/>
      <x:name val="Carlito"/>
    </x:font>
    <x:font>
      <x:b/>
      <x:sz val="11"/>
      <x:color rgb="FF6B4B14"/>
      <x:name val="Carlito"/>
    </x:font>
    <x:font>
      <x:i/>
      <x:sz val="11"/>
      <x:color rgb="FF667085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color rgb="FF000000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9C4A2B"/>
      </x:patternFill>
    </x:fill>
    <x:fill>
      <x:patternFill patternType="solid">
        <x:fgColor rgb="FF355773"/>
      </x:patternFill>
    </x:fill>
    <x:fill>
      <x:patternFill patternType="solid">
        <x:fgColor rgb="FFF7F9FC"/>
      </x:patternFill>
    </x:fill>
    <x:fill>
      <x:patternFill patternType="solid">
        <x:fgColor rgb="FFF2EEE5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EFDF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E7E9ED"/>
      </x:patternFill>
    </x:fill>
    <x:fill>
      <x:patternFill patternType="solid">
        <x:fgColor rgb="FFF4F4F4"/>
      </x:patternFill>
    </x:fill>
    <x:fill>
      <x:patternFill patternType="solid">
        <x:fgColor rgb="FFE7EEF4"/>
      </x:patternFill>
    </x:fill>
  </x:fills>
  <x:borders count="39">
    <x:border/>
    <x:border>
      <x:left style="thin">
        <x:color rgb="FF355773"/>
      </x:left>
      <x:top style="thin">
        <x:color rgb="FF355773"/>
      </x:top>
    </x:border>
    <x:border>
      <x:top style="thin">
        <x:color rgb="FF355773"/>
      </x:top>
    </x:border>
    <x:border>
      <x:right style="thin">
        <x:color rgb="FF355773"/>
      </x:right>
      <x:top style="thin">
        <x:color rgb="FF355773"/>
      </x:top>
    </x:border>
    <x:border>
      <x:left style="thin">
        <x:color rgb="FF355773"/>
      </x:left>
      <x:bottom style="thin">
        <x:color rgb="FF355773"/>
      </x:bottom>
    </x:border>
    <x:border>
      <x:bottom style="thin">
        <x:color rgb="FF355773"/>
      </x:bottom>
    </x:border>
    <x:border>
      <x:right style="thin">
        <x:color rgb="FF355773"/>
      </x:right>
      <x:bottom style="thin">
        <x:color rgb="FF355773"/>
      </x:bottom>
    </x:border>
    <x:border>
      <x:left style="thin">
        <x:color rgb="FFD9D5CB"/>
      </x:left>
      <x:right style="thin">
        <x:color rgb="FFD9D5CB"/>
      </x:right>
      <x:top style="thin">
        <x:color rgb="FFD9D5CB"/>
      </x:top>
      <x:bottom style="thin">
        <x:color rgb="FFD9D5CB"/>
      </x:bottom>
    </x:border>
    <x:border>
      <x:right style="thin">
        <x:color rgb="FFD9D5CB"/>
      </x:right>
    </x:border>
    <x:border>
      <x:left style="thin">
        <x:color rgb="FFD9D5CB"/>
      </x:left>
      <x:right style="thin">
        <x:color rgb="FFD9D5CB"/>
      </x:right>
    </x:border>
    <x:border>
      <x:left style="thin">
        <x:color rgb="FFD9D5CB"/>
      </x:left>
    </x:border>
    <x:border>
      <x:left style="thin">
        <x:color rgb="FFD9D5CB"/>
      </x:left>
      <x:right style="thin">
        <x:color rgb="FFD9D5CB"/>
      </x:right>
      <x:top style="thin">
        <x:color rgb="FFD9D5CB"/>
      </x:top>
    </x:border>
    <x:border>
      <x:left style="thin">
        <x:color rgb="FFD9D5CB"/>
      </x:left>
      <x:right style="thin">
        <x:color rgb="FFD9D5CB"/>
      </x:right>
      <x:bottom style="thin">
        <x:color rgb="FFD9D5CB"/>
      </x:bottom>
    </x:border>
    <x:border>
      <x:left style="thin">
        <x:color rgb="FFD9D5CB"/>
      </x:left>
      <x:top style="thin">
        <x:color rgb="FFD9D5CB"/>
      </x:top>
    </x:border>
    <x:border>
      <x:top style="thin">
        <x:color rgb="FFD9D5CB"/>
      </x:top>
    </x:border>
    <x:border>
      <x:right style="thin">
        <x:color rgb="FFD9D5CB"/>
      </x:right>
      <x:top style="thin">
        <x:color rgb="FFD9D5CB"/>
      </x:top>
    </x:border>
    <x:border>
      <x:left style="thin">
        <x:color rgb="FFD9D5CB"/>
      </x:left>
      <x:bottom style="thin">
        <x:color rgb="FFD9D5CB"/>
      </x:bottom>
    </x:border>
    <x:border>
      <x:bottom style="thin">
        <x:color rgb="FFD9D5CB"/>
      </x:bottom>
    </x:border>
    <x:border>
      <x:right style="thin">
        <x:color rgb="FFD9D5CB"/>
      </x:right>
      <x:bottom style="thin">
        <x:color rgb="FFD9D5CB"/>
      </x:bottom>
    </x:border>
    <x:border>
      <x:left style="thin">
        <x:color rgb="FFB8843D"/>
      </x:left>
      <x:top style="thin">
        <x:color rgb="FFB8843D"/>
      </x:top>
      <x:bottom style="thin">
        <x:color rgb="FFB8843D"/>
      </x:bottom>
    </x:border>
    <x:border>
      <x:top style="thin">
        <x:color rgb="FFB8843D"/>
      </x:top>
      <x:bottom style="thin">
        <x:color rgb="FFB8843D"/>
      </x:bottom>
    </x:border>
    <x:border>
      <x:right style="thin">
        <x:color rgb="FFB8843D"/>
      </x:right>
      <x:top style="thin">
        <x:color rgb="FFB8843D"/>
      </x:top>
      <x:bottom style="thin">
        <x:color rgb="FFB8843D"/>
      </x:bottom>
    </x:border>
    <x:border>
      <x:left style="thin">
        <x:color rgb="FFD9D5CB"/>
      </x:left>
      <x:top style="thin">
        <x:color rgb="FFD9D5CB"/>
      </x:top>
      <x:bottom style="thin">
        <x:color rgb="FFD9D5CB"/>
      </x:bottom>
    </x:border>
    <x:border>
      <x:right style="thin">
        <x:color rgb="FFD9D5CB"/>
      </x:right>
      <x:top style="thin">
        <x:color rgb="FFD9D5CB"/>
      </x:top>
      <x:bottom style="thin">
        <x:color rgb="FFD9D5CB"/>
      </x:bottom>
    </x:border>
    <x:border>
      <x:left style="thin">
        <x:color rgb="FFD9D5CB"/>
      </x:left>
      <x:right style="thin">
        <x:color rgb="FFD9D5CB"/>
      </x:right>
      <x:top style="thin">
        <x:color rgb="FFD9D5CB"/>
      </x:top>
      <x:bottom style="double">
        <x:color rgb="FF4A7C5E"/>
      </x:bottom>
    </x:border>
    <x:border>
      <x:left style="thin">
        <x:color rgb="FF355773"/>
      </x:left>
      <x:right style="thin">
        <x:color rgb="FF355773"/>
      </x:right>
      <x:top style="thin">
        <x:color rgb="FF355773"/>
      </x:top>
      <x:bottom style="thin">
        <x:color rgb="FF355773"/>
      </x:bottom>
    </x:border>
    <x:border>
      <x:bottom style="double">
        <x:color rgb="FF9C4A2B"/>
      </x:bottom>
    </x:border>
    <x:border>
      <x:left style="thin">
        <x:color rgb="FFD9D5CB"/>
      </x:left>
      <x:right style="thin">
        <x:color rgb="FFD9D5CB"/>
      </x:right>
      <x:bottom style="double">
        <x:color rgb="FF9C4A2B"/>
      </x:bottom>
    </x:border>
    <x:border>
      <x:left style="thin">
        <x:color rgb="FFD9D5CB"/>
      </x:left>
      <x:bottom style="double">
        <x:color rgb="FF9C4A2B"/>
      </x:bottom>
    </x:border>
    <x:border>
      <x:bottom style="double">
        <x:color rgb="FF4A7C5E"/>
      </x:bottom>
    </x:border>
    <x:border>
      <x:left style="thin">
        <x:color rgb="FFD9D5CB"/>
      </x:left>
      <x:bottom style="double">
        <x:color rgb="FF4A7C5E"/>
      </x:bottom>
    </x:border>
    <x:border>
      <x:bottom style="double">
        <x:color rgb="FFB8843D"/>
      </x:bottom>
    </x:border>
    <x:border>
      <x:left style="thin">
        <x:color rgb="FFD9D5CB"/>
      </x:left>
      <x:right style="thin">
        <x:color rgb="FFD9D5CB"/>
      </x:right>
      <x:bottom style="double">
        <x:color rgb="FFB8843D"/>
      </x:bottom>
    </x:border>
    <x:border>
      <x:left style="thin">
        <x:color rgb="FFD9D5CB"/>
      </x:left>
      <x:bottom style="double">
        <x:color rgb="FFB8843D"/>
      </x:bottom>
    </x:border>
    <x:border>
      <x:left style="thin">
        <x:color rgb="FFD9D5CB"/>
      </x:left>
      <x:top style="thin">
        <x:color rgb="FFD9D5CB"/>
      </x:top>
      <x:bottom style="double">
        <x:color rgb="FF4A7C5E"/>
      </x:bottom>
    </x:border>
    <x:border>
      <x:left style="thin">
        <x:color rgb="FF355773"/>
      </x:left>
      <x:right style="thin">
        <x:color rgb="FF355773"/>
      </x:right>
      <x:top style="thin">
        <x:color rgb="FF355773"/>
      </x:top>
      <x:bottom style="double">
        <x:color rgb="FFB8843D"/>
      </x:bottom>
    </x:border>
    <x:border>
      <x:left style="thin">
        <x:color rgb="FF355773"/>
      </x:left>
      <x:top style="thin">
        <x:color rgb="FF355773"/>
      </x:top>
      <x:bottom style="double">
        <x:color rgb="FFB8843D"/>
      </x:bottom>
    </x:border>
    <x:border>
      <x:left style="thin">
        <x:color rgb="FF355773"/>
      </x:left>
      <x:top style="thin">
        <x:color rgb="FF355773"/>
      </x:top>
      <x:bottom style="double">
        <x:color rgb="FF9C4A2B"/>
      </x:bottom>
    </x:border>
    <x:border>
      <x:top style="thin">
        <x:color rgb="FFD9D5CB"/>
      </x:top>
      <x:bottom style="thin">
        <x:color rgb="FFD9D5CB"/>
      </x:bottom>
    </x:border>
  </x:borders>
  <x:cellStyleXfs count="1">
    <x:xf numFmtId="0" fontId="0" fillId="0" borderId="0"/>
  </x:cellStyleXfs>
  <x:cellXfs count="24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2" xfId="0" applyNumberFormat="1" applyFont="1" applyFill="1" applyBorder="1"/>
    <x:xf numFmtId="0" fontId="3" fillId="5" borderId="3" xfId="0" applyNumberFormat="1" applyFont="1" applyFill="1" applyBorder="1"/>
    <x:xf numFmtId="0" fontId="3" fillId="5" borderId="4" xfId="0" applyNumberFormat="1" applyFont="1" applyFill="1" applyBorder="1"/>
    <x:xf numFmtId="0" fontId="3" fillId="5" borderId="5" xfId="0" applyNumberFormat="1" applyFont="1" applyFill="1" applyBorder="1"/>
    <x:xf numFmtId="0" fontId="3" fillId="5" borderId="6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wrapText="1"/>
    </x:xf>
    <x:xf numFmtId="0" fontId="3" fillId="5" borderId="3" xfId="0" applyNumberFormat="1" applyFont="1" applyFill="1" applyBorder="1" applyAlignment="1">
      <x:alignment wrapText="1"/>
    </x:xf>
    <x:xf numFmtId="0" fontId="3" fillId="5" borderId="4" xfId="0" applyNumberFormat="1" applyFont="1" applyFill="1" applyBorder="1" applyAlignment="1">
      <x:alignment wrapText="1"/>
    </x:xf>
    <x:xf numFmtId="0" fontId="3" fillId="5" borderId="5" xfId="0" applyNumberFormat="1" applyFont="1" applyFill="1" applyBorder="1" applyAlignment="1">
      <x:alignment wrapText="1"/>
    </x:xf>
    <x:xf numFmtId="0" fontId="3" fillId="5" borderId="6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7" xfId="0" applyNumberFormat="1" applyFont="1" applyFill="1" applyBorder="1"/>
    <x:xf numFmtId="0" fontId="4" fillId="6" borderId="7" xfId="0" applyNumberFormat="1" applyFont="1" applyFill="1" applyBorder="1" applyAlignment="1">
      <x:alignment wrapText="1"/>
    </x:xf>
    <x:xf numFmtId="0" fontId="4" fillId="6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horizontal="center" vertical="center" wrapText="1"/>
    </x:xf>
    <x:xf numFmtId="0" fontId="1" fillId="0" borderId="11" xfId="0" applyNumberFormat="1" applyFont="1" applyFill="1" applyBorder="1" applyAlignment="1">
      <x:alignment horizontal="center"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horizontal="center" vertical="center" wrapText="1"/>
    </x:xf>
    <x:xf numFmtId="0" fontId="1" fillId="0" borderId="12" xfId="0" applyNumberFormat="1" applyFont="1" applyFill="1" applyBorder="1" applyAlignment="1">
      <x:alignment horizontal="center"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/>
    <x:xf numFmtId="0" fontId="5" fillId="7" borderId="0" xfId="0" applyNumberFormat="1" applyFont="1" applyFill="1" applyBorder="1"/>
    <x:xf numFmtId="0" fontId="6" fillId="7" borderId="0" xfId="0" applyNumberFormat="1" applyFont="1" applyFill="1" applyBorder="1"/>
    <x:xf numFmtId="0" fontId="1" fillId="8" borderId="0" xfId="0" applyNumberFormat="1" applyFont="1" applyFill="1" applyBorder="1"/>
    <x:xf numFmtId="0" fontId="7" fillId="8" borderId="0" xfId="0" applyNumberFormat="1" applyFont="1" applyFill="1" applyBorder="1"/>
    <x:xf numFmtId="0" fontId="1" fillId="9" borderId="0" xfId="0" applyNumberFormat="1" applyFont="1" applyFill="1" applyBorder="1"/>
    <x:xf numFmtId="0" fontId="7" fillId="9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5" fillId="7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6" fillId="7" borderId="10" xfId="0" applyNumberFormat="1" applyFont="1" applyFill="1" applyBorder="1"/>
    <x:xf numFmtId="0" fontId="7" fillId="8" borderId="10" xfId="0" applyNumberFormat="1" applyFont="1" applyFill="1" applyBorder="1"/>
    <x:xf numFmtId="0" fontId="7" fillId="9" borderId="16" xfId="0" applyNumberFormat="1" applyFont="1" applyFill="1" applyBorder="1"/>
    <x:xf numFmtId="0" fontId="1" fillId="0" borderId="17" xfId="0" applyNumberFormat="1" applyFont="1" applyFill="1" applyBorder="1"/>
    <x:xf numFmtId="0" fontId="1" fillId="0" borderId="17" xfId="0" applyNumberFormat="1" applyFont="1" applyFill="1" applyBorder="1" applyAlignment="1">
      <x:alignment vertical="center" wrapText="1"/>
    </x:xf>
    <x:xf numFmtId="0" fontId="1" fillId="0" borderId="18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19" xfId="0" applyNumberFormat="1" applyFont="1" applyFill="1" applyBorder="1"/>
    <x:xf numFmtId="0" fontId="8" fillId="10" borderId="20" xfId="0" applyNumberFormat="1" applyFont="1" applyFill="1" applyBorder="1"/>
    <x:xf numFmtId="0" fontId="8" fillId="10" borderId="21" xfId="0" applyNumberFormat="1" applyFont="1" applyFill="1" applyBorder="1"/>
    <x:xf numFmtId="0" fontId="8" fillId="10" borderId="19" xfId="0" applyNumberFormat="1" applyFont="1" applyFill="1" applyBorder="1" applyAlignment="1">
      <x:alignment wrapText="1"/>
    </x:xf>
    <x:xf numFmtId="0" fontId="8" fillId="10" borderId="20" xfId="0" applyNumberFormat="1" applyFont="1" applyFill="1" applyBorder="1" applyAlignment="1">
      <x:alignment wrapText="1"/>
    </x:xf>
    <x:xf numFmtId="0" fontId="8" fillId="10" borderId="21" xfId="0" applyNumberFormat="1" applyFont="1" applyFill="1" applyBorder="1" applyAlignment="1">
      <x:alignment wrapText="1"/>
    </x:xf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vertical="center"/>
    </x:xf>
    <x:xf numFmtId="0" fontId="10" fillId="7" borderId="0" xfId="0" applyNumberFormat="1" applyFont="1" applyFill="1" applyBorder="1"/>
    <x:xf numFmtId="0" fontId="10" fillId="7" borderId="13" xfId="0" applyNumberFormat="1" applyFont="1" applyFill="1" applyBorder="1"/>
    <x:xf numFmtId="0" fontId="10" fillId="7" borderId="15" xfId="0" applyNumberFormat="1" applyFont="1" applyFill="1" applyBorder="1"/>
    <x:xf numFmtId="0" fontId="10" fillId="7" borderId="10" xfId="0" applyNumberFormat="1" applyFont="1" applyFill="1" applyBorder="1"/>
    <x:xf numFmtId="0" fontId="10" fillId="7" borderId="8" xfId="0" applyNumberFormat="1" applyFont="1" applyFill="1" applyBorder="1"/>
    <x:xf numFmtId="0" fontId="10" fillId="7" borderId="16" xfId="0" applyNumberFormat="1" applyFont="1" applyFill="1" applyBorder="1"/>
    <x:xf numFmtId="0" fontId="10" fillId="7" borderId="18" xfId="0" applyNumberFormat="1" applyFont="1" applyFill="1" applyBorder="1"/>
    <x:xf numFmtId="200" fontId="10" fillId="7" borderId="13" xfId="0" applyNumberFormat="1" applyFont="1" applyFill="1" applyBorder="1"/>
    <x:xf numFmtId="200" fontId="10" fillId="7" borderId="15" xfId="0" applyNumberFormat="1" applyFont="1" applyFill="1" applyBorder="1"/>
    <x:xf numFmtId="200" fontId="10" fillId="7" borderId="10" xfId="0" applyNumberFormat="1" applyFont="1" applyFill="1" applyBorder="1"/>
    <x:xf numFmtId="200" fontId="10" fillId="7" borderId="8" xfId="0" applyNumberFormat="1" applyFont="1" applyFill="1" applyBorder="1"/>
    <x:xf numFmtId="200" fontId="10" fillId="7" borderId="16" xfId="0" applyNumberFormat="1" applyFont="1" applyFill="1" applyBorder="1"/>
    <x:xf numFmtId="200" fontId="10" fillId="7" borderId="18" xfId="0" applyNumberFormat="1" applyFont="1" applyFill="1" applyBorder="1"/>
    <x:xf numFmtId="0" fontId="10" fillId="7" borderId="22" xfId="0" applyNumberFormat="1" applyFont="1" applyFill="1" applyBorder="1"/>
    <x:xf numFmtId="0" fontId="10" fillId="7" borderId="23" xfId="0" applyNumberFormat="1" applyFont="1" applyFill="1" applyBorder="1"/>
    <x:xf numFmtId="200" fontId="10" fillId="7" borderId="22" xfId="0" applyNumberFormat="1" applyFont="1" applyFill="1" applyBorder="1"/>
    <x:xf numFmtId="200" fontId="10" fillId="7" borderId="23" xfId="0" applyNumberFormat="1" applyFont="1" applyFill="1" applyBorder="1"/>
    <x:xf numFmtId="0" fontId="10" fillId="7" borderId="11" xfId="0" applyNumberFormat="1" applyFont="1" applyFill="1" applyBorder="1"/>
    <x:xf numFmtId="0" fontId="10" fillId="7" borderId="9" xfId="0" applyNumberFormat="1" applyFont="1" applyFill="1" applyBorder="1"/>
    <x:xf numFmtId="0" fontId="10" fillId="7" borderId="12" xfId="0" applyNumberFormat="1" applyFont="1" applyFill="1" applyBorder="1"/>
    <x:xf numFmtId="200" fontId="10" fillId="7" borderId="11" xfId="0" applyNumberFormat="1" applyFont="1" applyFill="1" applyBorder="1"/>
    <x:xf numFmtId="200" fontId="10" fillId="7" borderId="9" xfId="0" applyNumberFormat="1" applyFont="1" applyFill="1" applyBorder="1"/>
    <x:xf numFmtId="200" fontId="10" fillId="7" borderId="12" xfId="0" applyNumberFormat="1" applyFont="1" applyFill="1" applyBorder="1"/>
    <x:xf numFmtId="0" fontId="10" fillId="7" borderId="7" xfId="0" applyNumberFormat="1" applyFont="1" applyFill="1" applyBorder="1"/>
    <x:xf numFmtId="200" fontId="10" fillId="7" borderId="7" xfId="0" applyNumberFormat="1" applyFont="1" applyFill="1" applyBorder="1"/>
    <x:xf numFmtId="201" fontId="10" fillId="7" borderId="22" xfId="0" applyNumberFormat="1" applyFont="1" applyFill="1" applyBorder="1"/>
    <x:xf numFmtId="201" fontId="10" fillId="7" borderId="23" xfId="0" applyNumberFormat="1" applyFont="1" applyFill="1" applyBorder="1"/>
    <x:xf numFmtId="0" fontId="1" fillId="13" borderId="0" xfId="0" applyNumberFormat="1" applyFont="1" applyFill="1" applyBorder="1"/>
    <x:xf numFmtId="0" fontId="9" fillId="13" borderId="0" xfId="0" applyNumberFormat="1" applyFont="1" applyFill="1" applyBorder="1"/>
    <x:xf numFmtId="0" fontId="1" fillId="14" borderId="0" xfId="0" applyNumberFormat="1" applyFont="1" applyFill="1" applyBorder="1"/>
    <x:xf numFmtId="200" fontId="10" fillId="7" borderId="11" xfId="0" applyNumberFormat="1" applyFont="1" applyFill="1" applyBorder="1" applyAlignment="1">
      <x:alignment horizontal="right"/>
    </x:xf>
    <x:xf numFmtId="0" fontId="9" fillId="13" borderId="0" xfId="0" applyNumberFormat="1" applyFont="1" applyFill="1" applyBorder="1" applyAlignment="1">
      <x:alignment horizontal="right"/>
    </x:xf>
    <x:xf numFmtId="200" fontId="10" fillId="7" borderId="9" xfId="0" applyNumberFormat="1" applyFont="1" applyFill="1" applyBorder="1" applyAlignment="1">
      <x:alignment horizontal="right"/>
    </x:xf>
    <x:xf numFmtId="200" fontId="10" fillId="7" borderId="7" xfId="0" applyNumberFormat="1" applyFont="1" applyFill="1" applyBorder="1" applyAlignment="1">
      <x:alignment horizontal="right"/>
    </x:xf>
    <x:xf numFmtId="200" fontId="10" fillId="7" borderId="12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/>
    </x:xf>
    <x:xf numFmtId="0" fontId="2" fillId="12" borderId="0" xfId="0" applyNumberFormat="1" applyFont="1" applyFill="1" applyBorder="1" applyAlignment="1">
      <x:alignment horizontal="right" vertical="center"/>
    </x:xf>
    <x:xf numFmtId="0" fontId="4" fillId="6" borderId="7" xfId="0" applyNumberFormat="1" applyFont="1" applyFill="1" applyBorder="1" applyAlignment="1">
      <x:alignment horizontal="right" vertical="center" wrapText="1"/>
    </x:xf>
    <x:xf numFmtId="0" fontId="1" fillId="14" borderId="0" xfId="0" applyNumberFormat="1" applyFont="1" applyFill="1" applyBorder="1" applyAlignment="1">
      <x:alignment horizontal="right"/>
    </x:xf>
    <x:xf numFmtId="0" fontId="2" fillId="3" borderId="0" xfId="0" applyNumberFormat="1" applyFont="1" applyFill="1" applyBorder="1" applyAlignment="1">
      <x:alignment horizontal="right" vertical="center"/>
    </x:xf>
    <x:xf numFmtId="200" fontId="10" fillId="7" borderId="13" xfId="0" applyNumberFormat="1" applyFont="1" applyFill="1" applyBorder="1" applyAlignment="1">
      <x:alignment horizontal="right"/>
    </x:xf>
    <x:xf numFmtId="200" fontId="10" fillId="7" borderId="15" xfId="0" applyNumberFormat="1" applyFont="1" applyFill="1" applyBorder="1" applyAlignment="1">
      <x:alignment horizontal="right"/>
    </x:xf>
    <x:xf numFmtId="200" fontId="10" fillId="7" borderId="10" xfId="0" applyNumberFormat="1" applyFont="1" applyFill="1" applyBorder="1" applyAlignment="1">
      <x:alignment horizontal="right"/>
    </x:xf>
    <x:xf numFmtId="200" fontId="10" fillId="7" borderId="8" xfId="0" applyNumberFormat="1" applyFont="1" applyFill="1" applyBorder="1" applyAlignment="1">
      <x:alignment horizontal="right"/>
    </x:xf>
    <x:xf numFmtId="200" fontId="10" fillId="7" borderId="16" xfId="0" applyNumberFormat="1" applyFont="1" applyFill="1" applyBorder="1" applyAlignment="1">
      <x:alignment horizontal="right"/>
    </x:xf>
    <x:xf numFmtId="200" fontId="10" fillId="7" borderId="18" xfId="0" applyNumberFormat="1" applyFont="1" applyFill="1" applyBorder="1" applyAlignment="1">
      <x:alignment horizontal="right"/>
    </x:xf>
    <x:xf numFmtId="201" fontId="10" fillId="7" borderId="22" xfId="0" applyNumberFormat="1" applyFont="1" applyFill="1" applyBorder="1" applyAlignment="1">
      <x:alignment horizontal="right"/>
    </x:xf>
    <x:xf numFmtId="201" fontId="10" fillId="7" borderId="23" xfId="0" applyNumberFormat="1" applyFont="1" applyFill="1" applyBorder="1" applyAlignment="1">
      <x:alignment horizontal="right"/>
    </x:xf>
    <x:xf numFmtId="200" fontId="10" fillId="7" borderId="22" xfId="0" applyNumberFormat="1" applyFont="1" applyFill="1" applyBorder="1" applyAlignment="1">
      <x:alignment horizontal="right"/>
    </x:xf>
    <x:xf numFmtId="200" fontId="10" fillId="7" borderId="23" xfId="0" applyNumberFormat="1" applyFont="1" applyFill="1" applyBorder="1" applyAlignment="1">
      <x:alignment horizontal="right"/>
    </x:xf>
    <x:xf numFmtId="0" fontId="2" fillId="4" borderId="0" xfId="0" applyNumberFormat="1" applyFont="1" applyFill="1" applyBorder="1" applyAlignment="1">
      <x:alignment horizontal="right" vertical="center"/>
    </x:xf>
    <x:xf numFmtId="0" fontId="2" fillId="11" borderId="0" xfId="0" applyNumberFormat="1" applyFont="1" applyFill="1" applyBorder="1" applyAlignment="1">
      <x:alignment horizontal="right"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11" borderId="0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 applyAlignment="1">
      <x:alignment vertical="center" wrapText="1"/>
    </x:xf>
    <x:xf numFmtId="0" fontId="11" fillId="7" borderId="0" xfId="0" applyNumberFormat="1" applyFont="1" applyFill="1" applyBorder="1"/>
    <x:xf numFmtId="0" fontId="11" fillId="7" borderId="7" xfId="0" applyNumberFormat="1" applyFont="1" applyFill="1" applyBorder="1"/>
    <x:xf numFmtId="200" fontId="11" fillId="7" borderId="7" xfId="0" applyNumberFormat="1" applyFont="1" applyFill="1" applyBorder="1"/>
    <x:xf numFmtId="201" fontId="11" fillId="7" borderId="7" xfId="0" applyNumberFormat="1" applyFont="1" applyFill="1" applyBorder="1"/>
    <x:xf numFmtId="0" fontId="12" fillId="8" borderId="0" xfId="0" applyNumberFormat="1" applyFont="1" applyFill="1" applyBorder="1"/>
    <x:xf numFmtId="0" fontId="12" fillId="8" borderId="7" xfId="0" applyNumberFormat="1" applyFont="1" applyFill="1" applyBorder="1"/>
    <x:xf numFmtId="0" fontId="12" fillId="9" borderId="7" xfId="0" applyNumberFormat="1" applyFont="1" applyFill="1" applyBorder="1"/>
    <x:xf numFmtId="0" fontId="7" fillId="9" borderId="7" xfId="0" applyNumberFormat="1" applyFont="1" applyFill="1" applyBorder="1"/>
    <x:xf numFmtId="0" fontId="7" fillId="9" borderId="24" xfId="0" applyNumberFormat="1" applyFont="1" applyFill="1" applyBorder="1"/>
    <x:xf numFmtId="0" fontId="12" fillId="15" borderId="7" xfId="0" applyNumberFormat="1" applyFont="1" applyFill="1" applyBorder="1"/>
    <x:xf numFmtId="0" fontId="7" fillId="15" borderId="7" xfId="0" applyNumberFormat="1" applyFont="1" applyFill="1" applyBorder="1"/>
    <x:xf numFmtId="0" fontId="7" fillId="15" borderId="25" xfId="0" applyNumberFormat="1" applyFont="1" applyFill="1" applyBorder="1"/>
    <x:xf numFmtId="200" fontId="7" fillId="9" borderId="24" xfId="0" applyNumberFormat="1" applyFont="1" applyFill="1" applyBorder="1"/>
    <x:xf numFmtId="200" fontId="12" fillId="8" borderId="7" xfId="0" applyNumberFormat="1" applyFont="1" applyFill="1" applyBorder="1"/>
    <x:xf numFmtId="200" fontId="1" fillId="0" borderId="0" xfId="0" applyNumberFormat="1" applyFont="1" applyFill="1" applyBorder="1"/>
    <x:xf numFmtId="200" fontId="2" fillId="4" borderId="0" xfId="0" applyNumberFormat="1" applyFont="1" applyFill="1" applyBorder="1" applyAlignment="1">
      <x:alignment vertical="center"/>
    </x:xf>
    <x:xf numFmtId="200" fontId="2" fillId="11" borderId="0" xfId="0" applyNumberFormat="1" applyFont="1" applyFill="1" applyBorder="1" applyAlignment="1">
      <x:alignment vertical="center"/>
    </x:xf>
    <x:xf numFmtId="200" fontId="2" fillId="12" borderId="0" xfId="0" applyNumberFormat="1" applyFont="1" applyFill="1" applyBorder="1" applyAlignment="1">
      <x:alignment vertical="center"/>
    </x:xf>
    <x:xf numFmtId="200" fontId="7" fillId="15" borderId="25" xfId="0" applyNumberFormat="1" applyFont="1" applyFill="1" applyBorder="1"/>
    <x:xf numFmtId="200" fontId="2" fillId="3" borderId="0" xfId="0" applyNumberFormat="1" applyFont="1" applyFill="1" applyBorder="1" applyAlignment="1">
      <x:alignment vertical="center"/>
    </x:xf>
    <x:xf numFmtId="201" fontId="12" fillId="8" borderId="7" xfId="0" applyNumberFormat="1" applyFont="1" applyFill="1" applyBorder="1"/>
    <x:xf numFmtId="201" fontId="12" fillId="8" borderId="7" xfId="0" applyNumberFormat="1" applyFont="1" applyFill="1" applyBorder="1" applyAlignment="1">
      <x:alignment wrapText="1"/>
    </x:xf>
    <x:xf numFmtId="0" fontId="1" fillId="0" borderId="26" xfId="0" applyNumberFormat="1" applyFont="1" applyFill="1" applyBorder="1" applyAlignment="1">
      <x:alignment wrapText="1"/>
    </x:xf>
    <x:xf numFmtId="200" fontId="7" fillId="9" borderId="27" xfId="0" applyNumberFormat="1" applyFont="1" applyFill="1" applyBorder="1"/>
    <x:xf numFmtId="200" fontId="7" fillId="9" borderId="28" xfId="0" applyNumberFormat="1" applyFont="1" applyFill="1" applyBorder="1"/>
    <x:xf numFmtId="0" fontId="1" fillId="0" borderId="29" xfId="0" applyNumberFormat="1" applyFont="1" applyFill="1" applyBorder="1" applyAlignment="1">
      <x:alignment wrapText="1"/>
    </x:xf>
    <x:xf numFmtId="200" fontId="1" fillId="0" borderId="29" xfId="0" applyNumberFormat="1" applyFont="1" applyFill="1" applyBorder="1"/>
    <x:xf numFmtId="200" fontId="7" fillId="9" borderId="30" xfId="0" applyNumberFormat="1" applyFont="1" applyFill="1" applyBorder="1"/>
    <x:xf numFmtId="200" fontId="12" fillId="8" borderId="30" xfId="0" applyNumberFormat="1" applyFont="1" applyFill="1" applyBorder="1"/>
    <x:xf numFmtId="0" fontId="1" fillId="0" borderId="31" xfId="0" applyNumberFormat="1" applyFont="1" applyFill="1" applyBorder="1" applyAlignment="1">
      <x:alignment wrapText="1"/>
    </x:xf>
    <x:xf numFmtId="200" fontId="7" fillId="9" borderId="32" xfId="0" applyNumberFormat="1" applyFont="1" applyFill="1" applyBorder="1"/>
    <x:xf numFmtId="200" fontId="7" fillId="9" borderId="33" xfId="0" applyNumberFormat="1" applyFont="1" applyFill="1" applyBorder="1"/>
    <x:xf numFmtId="200" fontId="12" fillId="8" borderId="32" xfId="0" applyNumberFormat="1" applyFont="1" applyFill="1" applyBorder="1"/>
    <x:xf numFmtId="200" fontId="12" fillId="8" borderId="33" xfId="0" applyNumberFormat="1" applyFont="1" applyFill="1" applyBorder="1"/>
    <x:xf numFmtId="200" fontId="12" fillId="8" borderId="12" xfId="0" applyNumberFormat="1" applyFont="1" applyFill="1" applyBorder="1"/>
    <x:xf numFmtId="200" fontId="12" fillId="8" borderId="16" xfId="0" applyNumberFormat="1" applyFont="1" applyFill="1" applyBorder="1"/>
    <x:xf numFmtId="200" fontId="7" fillId="9" borderId="34" xfId="0" applyNumberFormat="1" applyFont="1" applyFill="1" applyBorder="1"/>
    <x:xf numFmtId="200" fontId="7" fillId="15" borderId="35" xfId="0" applyNumberFormat="1" applyFont="1" applyFill="1" applyBorder="1"/>
    <x:xf numFmtId="200" fontId="7" fillId="15" borderId="36" xfId="0" applyNumberFormat="1" applyFont="1" applyFill="1" applyBorder="1"/>
    <x:xf numFmtId="200" fontId="1" fillId="0" borderId="26" xfId="0" applyNumberFormat="1" applyFont="1" applyFill="1" applyBorder="1"/>
    <x:xf numFmtId="200" fontId="12" fillId="8" borderId="22" xfId="0" applyNumberFormat="1" applyFont="1" applyFill="1" applyBorder="1"/>
    <x:xf numFmtId="200" fontId="7" fillId="15" borderId="37" xfId="0" applyNumberFormat="1" applyFont="1" applyFill="1" applyBorder="1"/>
    <x:xf numFmtId="0" fontId="10" fillId="7" borderId="38" xfId="0" applyNumberFormat="1" applyFont="1" applyFill="1" applyBorder="1"/>
    <x:xf numFmtId="0" fontId="4" fillId="6" borderId="0" xfId="0" applyNumberFormat="1" applyFont="1" applyFill="1" applyBorder="1" applyAlignment="1">
      <x:alignment vertical="top"/>
    </x:xf>
    <x:xf numFmtId="0" fontId="12" fillId="8" borderId="13" xfId="0" applyNumberFormat="1" applyFont="1" applyFill="1" applyBorder="1"/>
    <x:xf numFmtId="0" fontId="12" fillId="8" borderId="14" xfId="0" applyNumberFormat="1" applyFont="1" applyFill="1" applyBorder="1"/>
    <x:xf numFmtId="0" fontId="12" fillId="8" borderId="15" xfId="0" applyNumberFormat="1" applyFont="1" applyFill="1" applyBorder="1"/>
    <x:xf numFmtId="0" fontId="12" fillId="8" borderId="16" xfId="0" applyNumberFormat="1" applyFont="1" applyFill="1" applyBorder="1"/>
    <x:xf numFmtId="0" fontId="12" fillId="8" borderId="17" xfId="0" applyNumberFormat="1" applyFont="1" applyFill="1" applyBorder="1"/>
    <x:xf numFmtId="0" fontId="12" fillId="8" borderId="18" xfId="0" applyNumberFormat="1" applyFont="1" applyFill="1" applyBorder="1"/>
    <x:xf numFmtId="0" fontId="12" fillId="8" borderId="13" xfId="0" applyNumberFormat="1" applyFont="1" applyFill="1" applyBorder="1" applyAlignment="1">
      <x:alignment wrapText="1"/>
    </x:xf>
    <x:xf numFmtId="0" fontId="12" fillId="8" borderId="14" xfId="0" applyNumberFormat="1" applyFont="1" applyFill="1" applyBorder="1" applyAlignment="1">
      <x:alignment wrapText="1"/>
    </x:xf>
    <x:xf numFmtId="0" fontId="12" fillId="8" borderId="15" xfId="0" applyNumberFormat="1" applyFont="1" applyFill="1" applyBorder="1" applyAlignment="1">
      <x:alignment wrapText="1"/>
    </x:xf>
    <x:xf numFmtId="0" fontId="12" fillId="8" borderId="16" xfId="0" applyNumberFormat="1" applyFont="1" applyFill="1" applyBorder="1" applyAlignment="1">
      <x:alignment wrapText="1"/>
    </x:xf>
    <x:xf numFmtId="0" fontId="12" fillId="8" borderId="17" xfId="0" applyNumberFormat="1" applyFont="1" applyFill="1" applyBorder="1" applyAlignment="1">
      <x:alignment wrapText="1"/>
    </x:xf>
    <x:xf numFmtId="0" fontId="12" fillId="8" borderId="18" xfId="0" applyNumberFormat="1" applyFont="1" applyFill="1" applyBorder="1" applyAlignment="1">
      <x:alignment wrapText="1"/>
    </x:xf>
    <x:xf numFmtId="0" fontId="12" fillId="8" borderId="13" xfId="0" applyNumberFormat="1" applyFont="1" applyFill="1" applyBorder="1" applyAlignment="1">
      <x:alignment vertical="top" wrapText="1"/>
    </x:xf>
    <x:xf numFmtId="0" fontId="12" fillId="8" borderId="14" xfId="0" applyNumberFormat="1" applyFont="1" applyFill="1" applyBorder="1" applyAlignment="1">
      <x:alignment vertical="top" wrapText="1"/>
    </x:xf>
    <x:xf numFmtId="0" fontId="12" fillId="8" borderId="15" xfId="0" applyNumberFormat="1" applyFont="1" applyFill="1" applyBorder="1" applyAlignment="1">
      <x:alignment vertical="top" wrapText="1"/>
    </x:xf>
    <x:xf numFmtId="0" fontId="12" fillId="8" borderId="16" xfId="0" applyNumberFormat="1" applyFont="1" applyFill="1" applyBorder="1" applyAlignment="1">
      <x:alignment vertical="top" wrapText="1"/>
    </x:xf>
    <x:xf numFmtId="0" fontId="12" fillId="8" borderId="17" xfId="0" applyNumberFormat="1" applyFont="1" applyFill="1" applyBorder="1" applyAlignment="1">
      <x:alignment vertical="top" wrapText="1"/>
    </x:xf>
    <x:xf numFmtId="0" fontId="12" fillId="8" borderId="18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202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202" fontId="1" fillId="0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 applyAlignment="1">
      <x:alignment horizontal="center"/>
    </x:xf>
    <x:xf numFmtId="0" fontId="1" fillId="0" borderId="18" xfId="0" applyNumberFormat="1" applyFont="1" applyFill="1" applyBorder="1"/>
    <x:xf numFmtId="0" fontId="1" fillId="0" borderId="12" xfId="0" applyNumberFormat="1" applyFont="1" applyFill="1" applyBorder="1" applyAlignment="1">
      <x:alignment horizontal="center"/>
    </x:xf>
    <x:xf numFmtId="0" fontId="1" fillId="0" borderId="16" xfId="0" applyNumberFormat="1" applyFont="1" applyFill="1" applyBorder="1"/>
    <x:xf numFmtId="0" fontId="1" fillId="0" borderId="23" xfId="0" applyNumberFormat="1" applyFont="1" applyFill="1" applyBorder="1"/>
    <x:xf numFmtId="202" fontId="1" fillId="0" borderId="7" xfId="0" applyNumberFormat="1" applyFont="1" applyFill="1" applyBorder="1" applyAlignment="1">
      <x:alignment horizontal="center"/>
    </x:xf>
    <x:xf numFmtId="0" fontId="1" fillId="0" borderId="7" xfId="0" applyNumberFormat="1" applyFont="1" applyFill="1" applyBorder="1" applyAlignment="1">
      <x:alignment horizontal="center"/>
    </x:xf>
    <x:xf numFmtId="0" fontId="1" fillId="0" borderId="22" xfId="0" applyNumberFormat="1" applyFont="1" applyFill="1" applyBorder="1"/>
    <x:xf numFmtId="0" fontId="1" fillId="0" borderId="15" xfId="0" applyNumberFormat="1" applyFont="1" applyFill="1" applyBorder="1"/>
    <x:xf numFmtId="201" fontId="1" fillId="0" borderId="11" xfId="0" applyNumberFormat="1" applyFont="1" applyFill="1" applyBorder="1" applyAlignment="1">
      <x:alignment horizontal="center"/>
    </x:xf>
    <x:xf numFmtId="202" fontId="1" fillId="0" borderId="11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1" fillId="0" borderId="13" xfId="0" applyNumberFormat="1" applyFont="1" applyFill="1" applyBorder="1"/>
    <x:xf numFmtId="0" fontId="1" fillId="0" borderId="18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horizontal="center" wrapText="1"/>
    </x:xf>
    <x:xf numFmtId="0" fontId="1" fillId="0" borderId="16" xfId="0" applyNumberFormat="1" applyFont="1" applyFill="1" applyBorder="1" applyAlignment="1">
      <x:alignment wrapText="1"/>
    </x:xf>
    <x:xf numFmtId="0" fontId="1" fillId="0" borderId="23" xfId="0" applyNumberFormat="1" applyFont="1" applyFill="1" applyBorder="1" applyAlignment="1">
      <x:alignment wrapText="1"/>
    </x:xf>
    <x:xf numFmtId="202" fontId="1" fillId="0" borderId="7" xfId="0" applyNumberFormat="1" applyFont="1" applyFill="1" applyBorder="1" applyAlignment="1">
      <x:alignment horizontal="center" wrapText="1"/>
    </x:xf>
    <x:xf numFmtId="0" fontId="1" fillId="0" borderId="7" xfId="0" applyNumberFormat="1" applyFont="1" applyFill="1" applyBorder="1" applyAlignment="1">
      <x:alignment horizontal="center" wrapText="1"/>
    </x:xf>
    <x:xf numFmtId="0" fontId="1" fillId="0" borderId="22" xfId="0" applyNumberFormat="1" applyFont="1" applyFill="1" applyBorder="1" applyAlignment="1">
      <x:alignment wrapText="1"/>
    </x:xf>
    <x:xf numFmtId="0" fontId="1" fillId="0" borderId="15" xfId="0" applyNumberFormat="1" applyFont="1" applyFill="1" applyBorder="1" applyAlignment="1">
      <x:alignment wrapText="1"/>
    </x:xf>
    <x:xf numFmtId="201" fontId="1" fillId="0" borderId="11" xfId="0" applyNumberFormat="1" applyFont="1" applyFill="1" applyBorder="1" applyAlignment="1">
      <x:alignment horizontal="center" wrapText="1"/>
    </x:xf>
    <x:xf numFmtId="202" fontId="1" fillId="0" borderId="11" xfId="0" applyNumberFormat="1" applyFont="1" applyFill="1" applyBorder="1" applyAlignment="1">
      <x:alignment horizontal="center" wrapText="1"/>
    </x:xf>
    <x:xf numFmtId="0" fontId="1" fillId="0" borderId="11" xfId="0" applyNumberFormat="1" applyFont="1" applyFill="1" applyBorder="1" applyAlignment="1">
      <x:alignment horizontal="center" wrapText="1"/>
    </x:xf>
    <x:xf numFmtId="0" fontId="1" fillId="0" borderId="13" xfId="0" applyNumberFormat="1" applyFont="1" applyFill="1" applyBorder="1" applyAlignment="1">
      <x:alignment wrapText="1"/>
    </x:xf>
    <x:xf numFmtId="0" fontId="1" fillId="0" borderId="16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center" wrapText="1"/>
    </x:xf>
    <x:xf numFmtId="202" fontId="1" fillId="0" borderId="7" xfId="0" applyNumberFormat="1" applyFont="1" applyFill="1" applyBorder="1" applyAlignment="1">
      <x:alignment horizontal="center" vertical="center" wrapText="1"/>
    </x:xf>
    <x:xf numFmtId="0" fontId="1" fillId="0" borderId="7" xfId="0" applyNumberFormat="1" applyFont="1" applyFill="1" applyBorder="1" applyAlignment="1">
      <x:alignment horizontal="center" vertical="center" wrapText="1"/>
    </x:xf>
    <x:xf numFmtId="0" fontId="1" fillId="0" borderId="22" xfId="0" applyNumberFormat="1" applyFont="1" applyFill="1" applyBorder="1" applyAlignment="1">
      <x:alignment vertical="center" wrapText="1"/>
    </x:xf>
    <x:xf numFmtId="201" fontId="1" fillId="0" borderId="11" xfId="0" applyNumberFormat="1" applyFont="1" applyFill="1" applyBorder="1" applyAlignment="1">
      <x:alignment horizontal="center" vertical="center" wrapText="1"/>
    </x:xf>
    <x:xf numFmtId="202" fontId="1" fillId="0" borderId="11" xfId="0" applyNumberFormat="1" applyFont="1" applyFill="1" applyBorder="1" applyAlignment="1">
      <x:alignment horizontal="center"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201" fontId="1" fillId="0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b/>
        <x:color rgb="FF1B5E20"/>
      </x:font>
      <x:fill>
        <x:patternFill patternType="solid">
          <x:bgColor rgb="FFE2F0D9"/>
        </x:patternFill>
      </x:fill>
    </x:dxf>
    <x:dxf>
      <x:font>
        <x:b/>
        <x:color rgb="FF7F0000"/>
      </x:font>
      <x:fill>
        <x:patternFill patternType="solid">
          <x:bgColor rgb="FFF4CCCC"/>
        </x:patternFill>
      </x:fill>
    </x:dxf>
    <x:dxf>
      <x:font>
        <x:b/>
        <x:color rgb="FF7A5200"/>
      </x:font>
      <x:fill>
        <x:patternFill patternType="solid">
          <x:bgColor rgb="FFFFF2CC"/>
        </x:patternFill>
      </x:fill>
    </x:dxf>
    <x:dxf>
      <x:font>
        <x:b/>
        <x:color rgb="FFFFFFFF"/>
      </x:font>
      <x:fill>
        <x:patternFill patternType="solid">
          <x:bgColor rgb="FF4A7C5E"/>
        </x:patternFill>
      </x:fill>
    </x:dxf>
    <x:dxf>
      <x:font>
        <x:b/>
        <x:color rgb="FFFFFFFF"/>
      </x:font>
      <x:fill>
        <x:patternFill patternType="solid">
          <x:bgColor rgb="FF9C0006"/>
        </x:patternFill>
      </x:fill>
    </x:dxf>
    <x:dxf>
      <x:font>
        <x:b/>
        <x:color rgb="FFFFFFFF"/>
      </x:font>
      <x:fill>
        <x:patternFill patternType="solid">
          <x:bgColor rgb="FFB8843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d226ea6f934a95" /><Relationship Type="http://schemas.openxmlformats.org/officeDocument/2006/relationships/theme" Target="/xl/theme/theme1.xml" Id="Red45618f542a406c" /><Relationship Type="http://schemas.openxmlformats.org/officeDocument/2006/relationships/sharedStrings" Target="/xl/sharedStrings.xml" Id="R365d752c52e9426d" /><Relationship Type="http://schemas.openxmlformats.org/officeDocument/2006/relationships/worksheet" Target="/xl/worksheets/sheet1.xml" Id="R970ab401d28c4ad6" /><Relationship Type="http://schemas.openxmlformats.org/officeDocument/2006/relationships/worksheet" Target="/xl/worksheets/sheet2.xml" Id="R4ba09713b6fd4a65" /><Relationship Type="http://schemas.openxmlformats.org/officeDocument/2006/relationships/worksheet" Target="/xl/worksheets/sheet3.xml" Id="R98e1b5d88bbf43ca" /><Relationship Type="http://schemas.openxmlformats.org/officeDocument/2006/relationships/worksheet" Target="/xl/worksheets/sheet4.xml" Id="R7060336ac8a6495c" /><Relationship Type="http://schemas.openxmlformats.org/officeDocument/2006/relationships/worksheet" Target="/xl/worksheets/sheet5.xml" Id="R5ff20531c7114a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3" hidden="0" customWidth="1"/>
    <x:col min="3" max="3" width="23" hidden="0" customWidth="1"/>
    <x:col min="4" max="4" width="23" hidden="0" customWidth="1"/>
    <x:col min="5" max="5" width="22" hidden="0" customWidth="1"/>
    <x:col min="6" max="6" width="22" hidden="0" customWidth="1"/>
  </x:cols>
  <x:sheetData>
    <x:row r="1" ht="30" customHeight="1">
      <x:c r="A1" s="4" t="str">
        <x:v>Financial Statements and Cash Flow</x:v>
      </x:c>
      <x:c r="B1" s="4" t="str">
        <x:v>Financial Statements and Cash Flow</x:v>
      </x:c>
      <x:c r="C1" s="4" t="str">
        <x:v>Financial Statements and Cash Flow</x:v>
      </x:c>
      <x:c r="D1" s="4" t="str">
        <x:v>Financial Statements and Cash Flow</x:v>
      </x:c>
      <x:c r="E1" s="4" t="str">
        <x:v>Financial Statements and Cash Flow</x:v>
      </x:c>
      <x:c r="F1" s="4" t="str">
        <x:v>Financial Statements and Cash Flow</x:v>
      </x:c>
    </x:row>
    <x:row r="2">
      <x:c r="A2" s="6" t="str">
        <x:v>BUS311 · intro-m03-l01 · Coastal Outfitters integrated statement model</x:v>
      </x:c>
      <x:c r="B2" s="6"/>
      <x:c r="C2" s="6"/>
      <x:c r="D2" s="6"/>
      <x:c r="E2" s="6"/>
      <x:c r="F2" s="6"/>
    </x:row>
    <x:row r="3">
      <x:c r="A3" s="1"/>
      <x:c r="B3" s="1"/>
      <x:c r="C3" s="1"/>
      <x:c r="D3" s="1"/>
      <x:c r="E3" s="1"/>
      <x:c r="F3" s="1"/>
    </x:row>
    <x:row r="4" ht="22" customHeight="1">
      <x:c r="A4" s="9" t="str">
        <x:v>Your decision</x:v>
      </x:c>
      <x:c r="B4" s="9" t="str">
        <x:v>Your decision</x:v>
      </x:c>
      <x:c r="C4" s="9" t="str">
        <x:v>Your decision</x:v>
      </x:c>
      <x:c r="D4" s="9" t="str">
        <x:v>Your decision</x:v>
      </x:c>
      <x:c r="E4" s="9" t="str">
        <x:v>Your decision</x:v>
      </x:c>
      <x:c r="F4" s="9" t="str">
        <x:v>Your decision</x:v>
      </x:c>
    </x:row>
    <x:row r="5" ht="28" customHeight="1">
      <x:c r="A5" s="24" t="str">
        <x:v>Should Coastal approve an additional $50.0 million shareholder distribution now while preserving at least $90.0 million of ending cash?</x:v>
      </x:c>
      <x:c r="B5" s="25"/>
      <x:c r="C5" s="25"/>
      <x:c r="D5" s="25"/>
      <x:c r="E5" s="25"/>
      <x:c r="F5" s="26"/>
    </x:row>
    <x:row r="6" ht="28" customHeight="1">
      <x:c r="A6" s="27"/>
      <x:c r="B6" s="28"/>
      <x:c r="C6" s="28"/>
      <x:c r="D6" s="28"/>
      <x:c r="E6" s="28"/>
      <x:c r="F6" s="29"/>
    </x:row>
    <x:row r="7">
      <x:c r="A7" s="1"/>
      <x:c r="B7" s="1"/>
      <x:c r="C7" s="1"/>
      <x:c r="D7" s="1"/>
      <x:c r="E7" s="1"/>
      <x:c r="F7" s="1"/>
    </x:row>
    <x:row r="8">
      <x:c r="A8" s="34" t="str">
        <x:v>Step</x:v>
      </x:c>
      <x:c r="B8" s="34" t="str">
        <x:v>What to build</x:v>
      </x:c>
      <x:c r="C8" s="34"/>
      <x:c r="D8" s="34"/>
      <x:c r="E8" s="34" t="str">
        <x:v>Why it matters</x:v>
      </x:c>
      <x:c r="F8" s="34"/>
    </x:row>
    <x:row r="9" ht="30" customHeight="1">
      <x:c r="A9" s="45" t="n">
        <x:v>1</x:v>
      </x:c>
      <x:c r="B9" s="46" t="str">
        <x:v>Audit the Inputs sheet and confirm units and signs.</x:v>
      </x:c>
      <x:c r="C9" s="46"/>
      <x:c r="D9" s="46"/>
      <x:c r="E9" s="46" t="str">
        <x:v>Separate givens from calculations.</x:v>
      </x:c>
      <x:c r="F9" s="46"/>
    </x:row>
    <x:row r="10" ht="30" customHeight="1">
      <x:c r="A10" s="47" t="n">
        <x:v>2</x:v>
      </x:c>
      <x:c r="B10" s="42" t="str">
        <x:v>Complete the two-year income statement and compact common-size comparison.</x:v>
      </x:c>
      <x:c r="C10" s="42"/>
      <x:c r="D10" s="42"/>
      <x:c r="E10" s="42" t="str">
        <x:v>See whether growth improved operating quality.</x:v>
      </x:c>
      <x:c r="F10" s="42"/>
    </x:row>
    <x:row r="11" ht="30" customHeight="1">
      <x:c r="A11" s="47" t="n">
        <x:v>3</x:v>
      </x:c>
      <x:c r="B11" s="42" t="str">
        <x:v>Build operating NWC, indirect OCF, and the cash rollforward.</x:v>
      </x:c>
      <x:c r="C11" s="42"/>
      <x:c r="D11" s="42"/>
      <x:c r="E11" s="42" t="str">
        <x:v>Trace accrual profit into cash.</x:v>
      </x:c>
      <x:c r="F11" s="42"/>
    </x:row>
    <x:row r="12" ht="30" customHeight="1">
      <x:c r="A12" s="47" t="n">
        <x:v>4</x:v>
      </x:c>
      <x:c r="B12" s="42" t="str">
        <x:v>Roll PP&amp;E, debt, treasury stock, and retained earnings into the balance sheet.</x:v>
      </x:c>
      <x:c r="C12" s="42"/>
      <x:c r="D12" s="42"/>
      <x:c r="E12" s="42" t="str">
        <x:v>Link investing and financing to the ending position.</x:v>
      </x:c>
      <x:c r="F12" s="42"/>
    </x:row>
    <x:row r="13" ht="30" customHeight="1">
      <x:c r="A13" s="47" t="n">
        <x:v>5</x:v>
      </x:c>
      <x:c r="B13" s="42" t="str">
        <x:v>Calculate FCFF and FCFE, then resolve every visible check.</x:v>
      </x:c>
      <x:c r="C13" s="42"/>
      <x:c r="D13" s="42"/>
      <x:c r="E13" s="42" t="str">
        <x:v>Match cash flow to the capital-provider claim.</x:v>
      </x:c>
      <x:c r="F13" s="42"/>
    </x:row>
    <x:row r="14" ht="30" customHeight="1">
      <x:c r="A14" s="48" t="n">
        <x:v>6</x:v>
      </x:c>
      <x:c r="B14" s="49" t="str">
        <x:v>Write a four-part decision memo using linked evidence.</x:v>
      </x:c>
      <x:c r="C14" s="49"/>
      <x:c r="D14" s="49"/>
      <x:c r="E14" s="49" t="str">
        <x:v>Recommend, support, qualify, and monitor.</x:v>
      </x:c>
      <x:c r="F14" s="49"/>
    </x:row>
    <x:row r="15">
      <x:c r="A15" s="1"/>
      <x:c r="B15" s="1"/>
      <x:c r="C15" s="1"/>
      <x:c r="D15" s="1"/>
      <x:c r="E15" s="1"/>
      <x:c r="F15" s="1"/>
    </x:row>
    <x:row r="16" ht="22" customHeight="1">
      <x:c r="A16" s="50" t="str">
        <x:v>Workbook conventions</x:v>
      </x:c>
      <x:c r="B16" s="50" t="str">
        <x:v>Workbook conventions</x:v>
      </x:c>
      <x:c r="C16" s="50" t="str">
        <x:v>Workbook conventions</x:v>
      </x:c>
      <x:c r="D16" s="50" t="str">
        <x:v>Workbook conventions</x:v>
      </x:c>
      <x:c r="E16" s="50" t="str">
        <x:v>Workbook conventions</x:v>
      </x:c>
      <x:c r="F16" s="50" t="str">
        <x:v>Workbook conventions</x:v>
      </x:c>
    </x:row>
    <x:row r="17">
      <x:c r="A17" s="60" t="str">
        <x:v>Blue text / blue fill</x:v>
      </x:c>
      <x:c r="B17" s="61" t="str">
        <x:v>Provided case inputs</x:v>
      </x:c>
      <x:c r="C17" s="61"/>
      <x:c r="D17" s="62" t="str">
        <x:v>Units: $ millions</x:v>
      </x:c>
      <x:c r="E17" s="62"/>
      <x:c r="F17" s="63"/>
    </x:row>
    <x:row r="18">
      <x:c r="A18" s="64" t="str">
        <x:v>Green text / blue fill</x:v>
      </x:c>
      <x:c r="B18" s="1" t="str">
        <x:v>Links to another worksheet</x:v>
      </x:c>
      <x:c r="C18" s="1"/>
      <x:c r="D18" s="59" t="str">
        <x:v>Costs, uses, and financing outflows are entered as positive inputs and subtracted in formulas.</x:v>
      </x:c>
      <x:c r="E18" s="59"/>
      <x:c r="F18" s="41"/>
    </x:row>
    <x:row r="19">
      <x:c r="A19" s="65" t="str">
        <x:v>Yellow fill</x:v>
      </x:c>
      <x:c r="B19" s="1" t="str">
        <x:v>Student calculation or memo cell</x:v>
      </x:c>
      <x:c r="C19" s="1"/>
      <x:c r="D19" s="59" t="str">
        <x:v>The model is illustrative and self-contained; no FactSet retrieval is required here.</x:v>
      </x:c>
      <x:c r="E19" s="59"/>
      <x:c r="F19" s="41"/>
    </x:row>
    <x:row r="20">
      <x:c r="A20" s="66" t="str">
        <x:v>Green fill</x:v>
      </x:c>
      <x:c r="B20" s="67" t="str">
        <x:v>Key output or completed total</x:v>
      </x:c>
      <x:c r="C20" s="67"/>
      <x:c r="D20" s="68" t="str">
        <x:v>Use the separate CAT workbook for historical company data and trend analysis.</x:v>
      </x:c>
      <x:c r="E20" s="68"/>
      <x:c r="F20" s="69"/>
    </x:row>
    <x:row r="21">
      <x:c r="A21" s="1"/>
      <x:c r="B21" s="1"/>
      <x:c r="C21" s="1"/>
      <x:c r="D21" s="1"/>
      <x:c r="E21" s="1"/>
      <x:c r="F21" s="1"/>
    </x:row>
    <x:row r="22" ht="28" customHeight="1">
      <x:c r="A22" s="75" t="str">
        <x:v>Deliverable: a balanced model, all checks at OK, and a concise decision memo that cites at least three linked outputs.</x:v>
      </x:c>
      <x:c r="B22" s="76"/>
      <x:c r="C22" s="76"/>
      <x:c r="D22" s="76"/>
      <x:c r="E22" s="76"/>
      <x:c r="F22" s="77"/>
    </x:row>
  </x:sheetData>
  <x:mergeCells>
    <x:mergeCell ref="A1:F1"/>
    <x:mergeCell ref="A2:F2"/>
    <x:mergeCell ref="A4:F4"/>
    <x:mergeCell ref="A5:F6"/>
    <x:mergeCell ref="B8:D8"/>
    <x:mergeCell ref="E8:F8"/>
    <x:mergeCell ref="B9:D9"/>
    <x:mergeCell ref="E9:F9"/>
    <x:mergeCell ref="B10:D10"/>
    <x:mergeCell ref="E10:F10"/>
    <x:mergeCell ref="B11:D11"/>
    <x:mergeCell ref="E11:F11"/>
    <x:mergeCell ref="B12:D12"/>
    <x:mergeCell ref="E12:F12"/>
    <x:mergeCell ref="B13:D13"/>
    <x:mergeCell ref="E13:F13"/>
    <x:mergeCell ref="B14:D14"/>
    <x:mergeCell ref="E14:F14"/>
    <x:mergeCell ref="A16:F16"/>
    <x:mergeCell ref="D17:F17"/>
    <x:mergeCell ref="D18:F18"/>
    <x:mergeCell ref="D19:F19"/>
    <x:mergeCell ref="D20:F20"/>
    <x:mergeCell ref="A22:F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43" hidden="0" customWidth="1"/>
  </x:cols>
  <x:sheetData>
    <x:row r="1" ht="30" customHeight="1">
      <x:c r="A1" s="4" t="str">
        <x:v>Coastal Outfitters — Provided Inputs</x:v>
      </x:c>
      <x:c r="B1" s="4" t="str">
        <x:v>Coastal Outfitters — Provided Inputs</x:v>
      </x:c>
      <x:c r="C1" s="4" t="str">
        <x:v>Coastal Outfitters — Provided Inputs</x:v>
      </x:c>
      <x:c r="D1" s="4" t="str">
        <x:v>Coastal Outfitters — Provided Inputs</x:v>
      </x:c>
    </x:row>
    <x:row r="2">
      <x:c r="A2" s="79" t="str">
        <x:v>Illustrative case · $ millions unless noted · 2025A is the opening/reference period; 2026A is the model year</x:v>
      </x:c>
      <x:c r="B2" s="79"/>
      <x:c r="C2" s="79"/>
      <x:c r="D2" s="79"/>
    </x:row>
    <x:row r="3">
      <x:c r="A3" s="1"/>
      <x:c r="B3" s="1"/>
      <x:c r="C3" s="1"/>
      <x:c r="D3" s="58"/>
    </x:row>
    <x:row r="4" ht="22" customHeight="1">
      <x:c r="A4" s="50" t="str">
        <x:v>Operating results</x:v>
      </x:c>
      <x:c r="B4" s="50" t="str">
        <x:v>Operating results</x:v>
      </x:c>
      <x:c r="C4" s="50" t="str">
        <x:v>Operating results</x:v>
      </x:c>
      <x:c r="D4" s="138" t="str">
        <x:v>Operating results</x:v>
      </x:c>
    </x:row>
    <x:row r="5">
      <x:c r="A5" s="34" t="str">
        <x:v>Input</x:v>
      </x:c>
      <x:c r="B5" s="34" t="str">
        <x:v>2025A</x:v>
      </x:c>
      <x:c r="C5" s="34" t="str">
        <x:v>2026A</x:v>
      </x:c>
      <x:c r="D5" s="34" t="str">
        <x:v>Interpretive note</x:v>
      </x:c>
    </x:row>
    <x:row r="6">
      <x:c r="A6" s="1" t="str">
        <x:v>Revenue</x:v>
      </x:c>
      <x:c r="B6" s="126" t="n">
        <x:v>1000</x:v>
      </x:c>
      <x:c r="C6" s="127" t="n">
        <x:v>1120</x:v>
      </x:c>
      <x:c r="D6" s="58" t="str">
        <x:v>Top-line sales</x:v>
      </x:c>
    </x:row>
    <x:row r="7">
      <x:c r="A7" s="1" t="str">
        <x:v>Cost of goods sold</x:v>
      </x:c>
      <x:c r="B7" s="128" t="n">
        <x:v>600</x:v>
      </x:c>
      <x:c r="C7" s="129" t="n">
        <x:v>650</x:v>
      </x:c>
      <x:c r="D7" s="58" t="str">
        <x:v>Product and fulfillment cost</x:v>
      </x:c>
    </x:row>
    <x:row r="8">
      <x:c r="A8" s="1" t="str">
        <x:v>Cash operating expenses</x:v>
      </x:c>
      <x:c r="B8" s="128" t="n">
        <x:v>220</x:v>
      </x:c>
      <x:c r="C8" s="129" t="n">
        <x:v>250</x:v>
      </x:c>
      <x:c r="D8" s="58" t="str">
        <x:v>Excludes D&amp;A</x:v>
      </x:c>
    </x:row>
    <x:row r="9">
      <x:c r="A9" s="1" t="str">
        <x:v>Depreciation &amp; amortization</x:v>
      </x:c>
      <x:c r="B9" s="128" t="n">
        <x:v>50</x:v>
      </x:c>
      <x:c r="C9" s="129" t="n">
        <x:v>55</x:v>
      </x:c>
      <x:c r="D9" s="58" t="str">
        <x:v>Noncash charge</x:v>
      </x:c>
    </x:row>
    <x:row r="10">
      <x:c r="A10" s="1" t="str">
        <x:v>Interest expense</x:v>
      </x:c>
      <x:c r="B10" s="130" t="n">
        <x:v>20</x:v>
      </x:c>
      <x:c r="C10" s="131" t="n">
        <x:v>22</x:v>
      </x:c>
      <x:c r="D10" s="58" t="str">
        <x:v>Financing cost</x:v>
      </x:c>
    </x:row>
    <x:row r="11">
      <x:c r="A11" s="1" t="str">
        <x:v>Effective tax rate</x:v>
      </x:c>
      <x:c r="B11" s="132" t="n">
        <x:v>0.25</x:v>
      </x:c>
      <x:c r="C11" s="133" t="n">
        <x:v>0.25</x:v>
      </x:c>
      <x:c r="D11" s="58" t="str">
        <x:v>Applied to earnings before tax</x:v>
      </x:c>
    </x:row>
    <x:row r="12">
      <x:c r="A12" s="1" t="str">
        <x:v>Dividends paid</x:v>
      </x:c>
      <x:c r="B12" s="134" t="n">
        <x:v>25</x:v>
      </x:c>
      <x:c r="C12" s="135" t="n">
        <x:v>30</x:v>
      </x:c>
      <x:c r="D12" s="58" t="str">
        <x:v>Cash distribution to shareholders</x:v>
      </x:c>
    </x:row>
    <x:row r="13">
      <x:c r="A13" s="1"/>
      <x:c r="B13" s="121"/>
      <x:c r="C13" s="121"/>
      <x:c r="D13" s="58"/>
    </x:row>
    <x:row r="14" ht="22" customHeight="1">
      <x:c r="A14" s="9" t="str">
        <x:v>Operating working capital</x:v>
      </x:c>
      <x:c r="B14" s="136" t="str">
        <x:v>Operating working capital</x:v>
      </x:c>
      <x:c r="C14" s="136" t="str">
        <x:v>Operating working capital</x:v>
      </x:c>
      <x:c r="D14" s="139" t="str">
        <x:v>Operating working capital</x:v>
      </x:c>
    </x:row>
    <x:row r="15">
      <x:c r="A15" s="34" t="str">
        <x:v>Input</x:v>
      </x:c>
      <x:c r="B15" s="123" t="str">
        <x:v>2025A</x:v>
      </x:c>
      <x:c r="C15" s="123" t="str">
        <x:v>2026A</x:v>
      </x:c>
      <x:c r="D15" s="34" t="str">
        <x:v>Interpretive note</x:v>
      </x:c>
    </x:row>
    <x:row r="16">
      <x:c r="A16" s="1" t="str">
        <x:v>Accounts receivable</x:v>
      </x:c>
      <x:c r="B16" s="126" t="n">
        <x:v>110</x:v>
      </x:c>
      <x:c r="C16" s="127" t="n">
        <x:v>135</x:v>
      </x:c>
      <x:c r="D16" s="58" t="str">
        <x:v>Operating current asset</x:v>
      </x:c>
    </x:row>
    <x:row r="17">
      <x:c r="A17" s="1" t="str">
        <x:v>Inventory</x:v>
      </x:c>
      <x:c r="B17" s="128" t="n">
        <x:v>145</x:v>
      </x:c>
      <x:c r="C17" s="129" t="n">
        <x:v>170</x:v>
      </x:c>
      <x:c r="D17" s="58" t="str">
        <x:v>Operating current asset</x:v>
      </x:c>
    </x:row>
    <x:row r="18">
      <x:c r="A18" s="1" t="str">
        <x:v>Other operating current assets</x:v>
      </x:c>
      <x:c r="B18" s="128" t="n">
        <x:v>20</x:v>
      </x:c>
      <x:c r="C18" s="129" t="n">
        <x:v>22</x:v>
      </x:c>
      <x:c r="D18" s="58" t="str">
        <x:v>Operating current asset</x:v>
      </x:c>
    </x:row>
    <x:row r="19">
      <x:c r="A19" s="1" t="str">
        <x:v>Accounts payable</x:v>
      </x:c>
      <x:c r="B19" s="128" t="n">
        <x:v>90</x:v>
      </x:c>
      <x:c r="C19" s="129" t="n">
        <x:v>100</x:v>
      </x:c>
      <x:c r="D19" s="58" t="str">
        <x:v>Operating current liability</x:v>
      </x:c>
    </x:row>
    <x:row r="20">
      <x:c r="A20" s="1" t="str">
        <x:v>Other operating current liabilities</x:v>
      </x:c>
      <x:c r="B20" s="130" t="n">
        <x:v>40</x:v>
      </x:c>
      <x:c r="C20" s="131" t="n">
        <x:v>43</x:v>
      </x:c>
      <x:c r="D20" s="58" t="str">
        <x:v>Operating current liability</x:v>
      </x:c>
    </x:row>
    <x:row r="21">
      <x:c r="A21" s="1"/>
      <x:c r="B21" s="121"/>
      <x:c r="C21" s="121"/>
      <x:c r="D21" s="58"/>
    </x:row>
    <x:row r="22" ht="22" customHeight="1">
      <x:c r="A22" s="82" t="str">
        <x:v>Opening balance sheet and continuing balances</x:v>
      </x:c>
      <x:c r="B22" s="137" t="str">
        <x:v>Opening balance sheet and continuing balances</x:v>
      </x:c>
      <x:c r="C22" s="137" t="str">
        <x:v>Opening balance sheet and continuing balances</x:v>
      </x:c>
      <x:c r="D22" s="140" t="str">
        <x:v>Opening balance sheet and continuing balances</x:v>
      </x:c>
    </x:row>
    <x:row r="23">
      <x:c r="A23" s="34" t="str">
        <x:v>Input</x:v>
      </x:c>
      <x:c r="B23" s="123" t="str">
        <x:v>2025A</x:v>
      </x:c>
      <x:c r="C23" s="123" t="str">
        <x:v>2026A</x:v>
      </x:c>
      <x:c r="D23" s="34" t="str">
        <x:v>How 2026 is determined</x:v>
      </x:c>
    </x:row>
    <x:row r="24">
      <x:c r="A24" s="1" t="str">
        <x:v>Cash</x:v>
      </x:c>
      <x:c r="B24" s="116" t="n">
        <x:v>80</x:v>
      </x:c>
      <x:c r="C24" s="117"/>
      <x:c r="D24" s="58" t="str">
        <x:v>Cash-flow output</x:v>
      </x:c>
    </x:row>
    <x:row r="25">
      <x:c r="A25" s="1" t="str">
        <x:v>Net PP&amp;E</x:v>
      </x:c>
      <x:c r="B25" s="118" t="n">
        <x:v>420</x:v>
      </x:c>
      <x:c r="C25" s="117"/>
      <x:c r="D25" s="58" t="str">
        <x:v>Opening PP&amp;E + CapEx − D&amp;A</x:v>
      </x:c>
    </x:row>
    <x:row r="26">
      <x:c r="A26" s="1" t="str">
        <x:v>Other assets</x:v>
      </x:c>
      <x:c r="B26" s="118" t="n">
        <x:v>40</x:v>
      </x:c>
      <x:c r="C26" s="119" t="n">
        <x:v>40</x:v>
      </x:c>
      <x:c r="D26" s="58" t="str">
        <x:v>Provided continuing balance</x:v>
      </x:c>
    </x:row>
    <x:row r="27">
      <x:c r="A27" s="1" t="str">
        <x:v>Long-term debt</x:v>
      </x:c>
      <x:c r="B27" s="118" t="n">
        <x:v>250</x:v>
      </x:c>
      <x:c r="C27" s="117"/>
      <x:c r="D27" s="58" t="str">
        <x:v>Opening debt + issuance − repayment</x:v>
      </x:c>
    </x:row>
    <x:row r="28">
      <x:c r="A28" s="1" t="str">
        <x:v>Common stock &amp; APIC</x:v>
      </x:c>
      <x:c r="B28" s="118" t="n">
        <x:v>160</x:v>
      </x:c>
      <x:c r="C28" s="117"/>
      <x:c r="D28" s="58" t="str">
        <x:v>Opening balance + stock issued</x:v>
      </x:c>
    </x:row>
    <x:row r="29">
      <x:c r="A29" s="1" t="str">
        <x:v>Treasury stock (contra-equity)</x:v>
      </x:c>
      <x:c r="B29" s="118" t="n">
        <x:v>0</x:v>
      </x:c>
      <x:c r="C29" s="117"/>
      <x:c r="D29" s="58" t="str">
        <x:v>Opening balance + repurchases</x:v>
      </x:c>
    </x:row>
    <x:row r="30">
      <x:c r="A30" s="1" t="str">
        <x:v>Retained earnings</x:v>
      </x:c>
      <x:c r="B30" s="120" t="n">
        <x:v>275</x:v>
      </x:c>
      <x:c r="C30" s="117"/>
      <x:c r="D30" s="58" t="str">
        <x:v>Opening RE + net income − dividends</x:v>
      </x:c>
    </x:row>
    <x:row r="31">
      <x:c r="A31" s="1"/>
      <x:c r="B31" s="121"/>
      <x:c r="C31" s="121"/>
      <x:c r="D31" s="58"/>
    </x:row>
    <x:row r="32" ht="22" customHeight="1">
      <x:c r="A32" s="85" t="str">
        <x:v>2026 investing and financing activity</x:v>
      </x:c>
      <x:c r="B32" s="122" t="str">
        <x:v>2026 investing and financing activity</x:v>
      </x:c>
      <x:c r="C32" s="122" t="str">
        <x:v>2026 investing and financing activity</x:v>
      </x:c>
      <x:c r="D32" s="141" t="str">
        <x:v>2026 investing and financing activity</x:v>
      </x:c>
    </x:row>
    <x:row r="33">
      <x:c r="A33" s="34" t="str">
        <x:v>Input</x:v>
      </x:c>
      <x:c r="B33" s="123" t="str">
        <x:v>2025A</x:v>
      </x:c>
      <x:c r="C33" s="123" t="str">
        <x:v>2026A</x:v>
      </x:c>
      <x:c r="D33" s="34" t="str">
        <x:v>Cash-flow classification</x:v>
      </x:c>
    </x:row>
    <x:row r="34">
      <x:c r="A34" s="1" t="str">
        <x:v>Capital expenditures</x:v>
      </x:c>
      <x:c r="B34" s="124"/>
      <x:c r="C34" s="116" t="n">
        <x:v>85</x:v>
      </x:c>
      <x:c r="D34" s="58" t="str">
        <x:v>Investing use; entered as positive</x:v>
      </x:c>
    </x:row>
    <x:row r="35">
      <x:c r="A35" s="1" t="str">
        <x:v>New debt issued</x:v>
      </x:c>
      <x:c r="B35" s="124"/>
      <x:c r="C35" s="118" t="n">
        <x:v>30</x:v>
      </x:c>
      <x:c r="D35" s="58" t="str">
        <x:v>Financing source</x:v>
      </x:c>
    </x:row>
    <x:row r="36">
      <x:c r="A36" s="1" t="str">
        <x:v>Debt repaid</x:v>
      </x:c>
      <x:c r="B36" s="124"/>
      <x:c r="C36" s="118" t="n">
        <x:v>20</x:v>
      </x:c>
      <x:c r="D36" s="58" t="str">
        <x:v>Financing use; entered as positive</x:v>
      </x:c>
    </x:row>
    <x:row r="37">
      <x:c r="A37" s="1" t="str">
        <x:v>New stock issued</x:v>
      </x:c>
      <x:c r="B37" s="124"/>
      <x:c r="C37" s="118" t="n">
        <x:v>0</x:v>
      </x:c>
      <x:c r="D37" s="58" t="str">
        <x:v>Financing source</x:v>
      </x:c>
    </x:row>
    <x:row r="38">
      <x:c r="A38" s="1" t="str">
        <x:v>Share repurchases</x:v>
      </x:c>
      <x:c r="B38" s="124"/>
      <x:c r="C38" s="120" t="n">
        <x:v>0</x:v>
      </x:c>
      <x:c r="D38" s="58" t="str">
        <x:v>Financing use; entered as positive</x:v>
      </x:c>
    </x:row>
    <x:row r="39">
      <x:c r="A39" s="1"/>
      <x:c r="B39" s="121"/>
      <x:c r="C39" s="121"/>
      <x:c r="D39" s="58"/>
    </x:row>
    <x:row r="40" ht="22" customHeight="1">
      <x:c r="A40" s="50" t="str">
        <x:v>Decision guardrails</x:v>
      </x:c>
      <x:c r="B40" s="125" t="str">
        <x:v>Decision guardrails</x:v>
      </x:c>
      <x:c r="C40" s="125" t="str">
        <x:v>Decision guardrails</x:v>
      </x:c>
      <x:c r="D40" s="138" t="str">
        <x:v>Decision guardrails</x:v>
      </x:c>
    </x:row>
    <x:row r="41">
      <x:c r="A41" s="34" t="str">
        <x:v>Input</x:v>
      </x:c>
      <x:c r="B41" s="123" t="str">
        <x:v>2025A</x:v>
      </x:c>
      <x:c r="C41" s="123" t="str">
        <x:v>2026A</x:v>
      </x:c>
      <x:c r="D41" s="34" t="str">
        <x:v>Decision use</x:v>
      </x:c>
    </x:row>
    <x:row r="42" ht="30" customHeight="1">
      <x:c r="A42" s="1" t="str">
        <x:v>Proposed additional shareholder distribution</x:v>
      </x:c>
      <x:c r="B42" s="124"/>
      <x:c r="C42" s="116" t="n">
        <x:v>50</x:v>
      </x:c>
      <x:c r="D42" s="58" t="str">
        <x:v>Test separately; not included in the model cash-flow statement</x:v>
      </x:c>
    </x:row>
    <x:row r="43" ht="22" customHeight="1">
      <x:c r="A43" s="1" t="str">
        <x:v>Minimum ending cash reserve</x:v>
      </x:c>
      <x:c r="B43" s="124"/>
      <x:c r="C43" s="120" t="n">
        <x:v>90</x:v>
      </x:c>
      <x:c r="D43" s="58" t="str">
        <x:v>Liquidity guardrail</x:v>
      </x:c>
    </x:row>
  </x:sheetData>
  <x:mergeCells>
    <x:mergeCell ref="A1:D1"/>
    <x:mergeCell ref="A2:D2"/>
    <x:mergeCell ref="A4:D4"/>
    <x:mergeCell ref="A14:D14"/>
    <x:mergeCell ref="A22:D22"/>
    <x:mergeCell ref="A32:D32"/>
    <x:mergeCell ref="A40:D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39" hidden="0" customWidth="1"/>
    <x:col min="5" max="5" width="29" hidden="0" customWidth="1"/>
  </x:cols>
  <x:sheetData>
    <x:row r="1" ht="30" customHeight="1">
      <x:c r="A1" s="4" t="str">
        <x:v>Coastal Outfitters — Integrated Three-Statement Model</x:v>
      </x:c>
      <x:c r="B1" s="4" t="str">
        <x:v>Coastal Outfitters — Integrated Three-Statement Model</x:v>
      </x:c>
      <x:c r="C1" s="4" t="str">
        <x:v>Coastal Outfitters — Integrated Three-Statement Model</x:v>
      </x:c>
      <x:c r="D1" s="4" t="str">
        <x:v>Coastal Outfitters — Integrated Three-Statement Model</x:v>
      </x:c>
      <x:c r="E1" s="4" t="str">
        <x:v>Coastal Outfitters — Integrated Three-Statement Model</x:v>
      </x:c>
    </x:row>
    <x:row r="2">
      <x:c r="A2" s="78" t="str">
        <x:v>Build in sequence. Yellow cells are student formulas; blue cells with green text are linked case inputs.</x:v>
      </x:c>
      <x:c r="B2" s="78"/>
      <x:c r="C2" s="78"/>
      <x:c r="D2" s="78"/>
      <x:c r="E2" s="78"/>
    </x:row>
    <x:row r="3">
      <x:c r="A3" s="34" t="str">
        <x:v>Line item</x:v>
      </x:c>
      <x:c r="B3" s="34" t="str">
        <x:v>2025A</x:v>
      </x:c>
      <x:c r="C3" s="34" t="str">
        <x:v>2026A</x:v>
      </x:c>
      <x:c r="D3" s="34" t="str">
        <x:v>Formula cue</x:v>
      </x:c>
      <x:c r="E3" s="34" t="str">
        <x:v>Why it matters</x:v>
      </x:c>
    </x:row>
    <x:row r="4">
      <x:c r="A4" s="1"/>
      <x:c r="B4" s="1"/>
      <x:c r="C4" s="1"/>
      <x:c r="D4" s="1"/>
      <x:c r="E4" s="1"/>
    </x:row>
    <x:row r="5" ht="22" customHeight="1">
      <x:c r="A5" s="50" t="str">
        <x:v>Income statement</x:v>
      </x:c>
      <x:c r="B5" s="50" t="str">
        <x:v>Income statement</x:v>
      </x:c>
      <x:c r="C5" s="50" t="str">
        <x:v>Income statement</x:v>
      </x:c>
      <x:c r="D5" s="50" t="str">
        <x:v>Income statement</x:v>
      </x:c>
      <x:c r="E5" s="50" t="str">
        <x:v>Income statement</x:v>
      </x:c>
    </x:row>
    <x:row r="6">
      <x:c r="A6" s="58" t="str">
        <x:v>Revenue</x:v>
      </x:c>
      <x:c r="B6" s="144" t="n">
        <x:f>'Inputs'!B6</x:f>
        <x:v>1000</x:v>
      </x:c>
      <x:c r="C6" s="144" t="n">
        <x:f>'Inputs'!C6</x:f>
        <x:v>1120</x:v>
      </x:c>
      <x:c r="D6" s="58" t="str">
        <x:v>Link provided sales</x:v>
      </x:c>
      <x:c r="E6" s="58" t="str">
        <x:v>Scale</x:v>
      </x:c>
    </x:row>
    <x:row r="7">
      <x:c r="A7" s="58" t="str">
        <x:v>Cost of goods sold</x:v>
      </x:c>
      <x:c r="B7" s="144" t="n">
        <x:f>'Inputs'!B7</x:f>
        <x:v>600</x:v>
      </x:c>
      <x:c r="C7" s="144" t="n">
        <x:f>'Inputs'!C7</x:f>
        <x:v>650</x:v>
      </x:c>
      <x:c r="D7" s="58" t="str">
        <x:v>Link provided COGS</x:v>
      </x:c>
      <x:c r="E7" s="58" t="str">
        <x:v>Product economics</x:v>
      </x:c>
    </x:row>
    <x:row r="8">
      <x:c r="A8" s="164" t="str">
        <x:v>Gross profit</x:v>
      </x:c>
      <x:c r="B8" s="165"/>
      <x:c r="C8" s="166"/>
      <x:c r="D8" s="58" t="str">
        <x:v>Revenue less COGS</x:v>
      </x:c>
      <x:c r="E8" s="58" t="str">
        <x:v>Contribution after product cost</x:v>
      </x:c>
    </x:row>
    <x:row r="9">
      <x:c r="A9" s="58" t="str">
        <x:v>Cash operating expenses</x:v>
      </x:c>
      <x:c r="B9" s="144" t="n">
        <x:f>'Inputs'!B8</x:f>
        <x:v>220</x:v>
      </x:c>
      <x:c r="C9" s="144" t="n">
        <x:f>'Inputs'!C8</x:f>
        <x:v>250</x:v>
      </x:c>
      <x:c r="D9" s="58" t="str">
        <x:v>Link cash OpEx</x:v>
      </x:c>
      <x:c r="E9" s="58" t="str">
        <x:v>Cash cost base</x:v>
      </x:c>
    </x:row>
    <x:row r="10">
      <x:c r="A10" s="58" t="str">
        <x:v>Depreciation &amp; amortization</x:v>
      </x:c>
      <x:c r="B10" s="144" t="n">
        <x:f>'Inputs'!B9</x:f>
        <x:v>50</x:v>
      </x:c>
      <x:c r="C10" s="144" t="n">
        <x:f>'Inputs'!C9</x:f>
        <x:v>55</x:v>
      </x:c>
      <x:c r="D10" s="58" t="str">
        <x:v>Link noncash charge</x:v>
      </x:c>
      <x:c r="E10" s="58" t="str">
        <x:v>Profit-to-cash bridge</x:v>
      </x:c>
    </x:row>
    <x:row r="11">
      <x:c r="A11" s="164" t="str">
        <x:v>EBIT</x:v>
      </x:c>
      <x:c r="B11" s="165"/>
      <x:c r="C11" s="166"/>
      <x:c r="D11" s="58" t="str">
        <x:v>Gross profit less cash OpEx and D&amp;A</x:v>
      </x:c>
      <x:c r="E11" s="58" t="str">
        <x:v>Operating profit before financing</x:v>
      </x:c>
    </x:row>
    <x:row r="12">
      <x:c r="A12" s="58" t="str">
        <x:v>Interest expense</x:v>
      </x:c>
      <x:c r="B12" s="144" t="n">
        <x:f>'Inputs'!B10</x:f>
        <x:v>20</x:v>
      </x:c>
      <x:c r="C12" s="144" t="n">
        <x:f>'Inputs'!C10</x:f>
        <x:v>22</x:v>
      </x:c>
      <x:c r="D12" s="58" t="str">
        <x:v>Link financing cost</x:v>
      </x:c>
      <x:c r="E12" s="58" t="str">
        <x:v>Debt claim</x:v>
      </x:c>
    </x:row>
    <x:row r="13">
      <x:c r="A13" s="58" t="str">
        <x:v>Earnings before tax</x:v>
      </x:c>
      <x:c r="B13" s="155"/>
      <x:c r="C13" s="155"/>
      <x:c r="D13" s="58" t="str">
        <x:v>EBIT less interest</x:v>
      </x:c>
      <x:c r="E13" s="58" t="str">
        <x:v>Pretax income</x:v>
      </x:c>
    </x:row>
    <x:row r="14">
      <x:c r="A14" s="58" t="str">
        <x:v>Effective tax rate</x:v>
      </x:c>
      <x:c r="B14" s="145" t="n">
        <x:f>'Inputs'!B11</x:f>
        <x:v>0.25</x:v>
      </x:c>
      <x:c r="C14" s="145" t="n">
        <x:f>'Inputs'!C11</x:f>
        <x:v>0.25</x:v>
      </x:c>
      <x:c r="D14" s="58" t="str">
        <x:v>Link tax rate</x:v>
      </x:c>
      <x:c r="E14" s="58" t="str">
        <x:v>After-tax conversion</x:v>
      </x:c>
    </x:row>
    <x:row r="15">
      <x:c r="A15" s="58" t="str">
        <x:v>Taxes</x:v>
      </x:c>
      <x:c r="B15" s="155"/>
      <x:c r="C15" s="155"/>
      <x:c r="D15" s="58" t="str">
        <x:v>Pretax income times tax rate</x:v>
      </x:c>
      <x:c r="E15" s="58" t="str">
        <x:v>Tax expense</x:v>
      </x:c>
    </x:row>
    <x:row r="16">
      <x:c r="A16" s="164" t="str">
        <x:v>Net income</x:v>
      </x:c>
      <x:c r="B16" s="165"/>
      <x:c r="C16" s="166"/>
      <x:c r="D16" s="58" t="str">
        <x:v>Pretax income less taxes</x:v>
      </x:c>
      <x:c r="E16" s="58" t="str">
        <x:v>Profit to equity</x:v>
      </x:c>
    </x:row>
    <x:row r="17">
      <x:c r="A17" s="58"/>
      <x:c r="B17" s="156"/>
      <x:c r="C17" s="156"/>
      <x:c r="D17" s="58"/>
      <x:c r="E17" s="58"/>
    </x:row>
    <x:row r="18" ht="22" customHeight="1">
      <x:c r="A18" s="139" t="str">
        <x:v>Operating net working capital</x:v>
      </x:c>
      <x:c r="B18" s="157" t="str">
        <x:v>Operating net working capital</x:v>
      </x:c>
      <x:c r="C18" s="157" t="str">
        <x:v>Operating net working capital</x:v>
      </x:c>
      <x:c r="D18" s="139" t="str">
        <x:v>Operating net working capital</x:v>
      </x:c>
      <x:c r="E18" s="139" t="str">
        <x:v>Operating net working capital</x:v>
      </x:c>
    </x:row>
    <x:row r="19">
      <x:c r="A19" s="58" t="str">
        <x:v>Accounts receivable</x:v>
      </x:c>
      <x:c r="B19" s="144" t="n">
        <x:f>'Inputs'!B16</x:f>
        <x:v>110</x:v>
      </x:c>
      <x:c r="C19" s="144" t="n">
        <x:f>'Inputs'!C16</x:f>
        <x:v>135</x:v>
      </x:c>
      <x:c r="D19" s="58" t="str">
        <x:v>Link operating current asset</x:v>
      </x:c>
      <x:c r="E19" s="58" t="str">
        <x:v>Cash not yet collected</x:v>
      </x:c>
    </x:row>
    <x:row r="20">
      <x:c r="A20" s="58" t="str">
        <x:v>Inventory</x:v>
      </x:c>
      <x:c r="B20" s="144" t="n">
        <x:f>'Inputs'!B17</x:f>
        <x:v>145</x:v>
      </x:c>
      <x:c r="C20" s="144" t="n">
        <x:f>'Inputs'!C17</x:f>
        <x:v>170</x:v>
      </x:c>
      <x:c r="D20" s="58" t="str">
        <x:v>Link operating current asset</x:v>
      </x:c>
      <x:c r="E20" s="58" t="str">
        <x:v>Cash held in stock</x:v>
      </x:c>
    </x:row>
    <x:row r="21">
      <x:c r="A21" s="58" t="str">
        <x:v>Other operating current assets</x:v>
      </x:c>
      <x:c r="B21" s="144" t="n">
        <x:f>'Inputs'!B18</x:f>
        <x:v>20</x:v>
      </x:c>
      <x:c r="C21" s="144" t="n">
        <x:f>'Inputs'!C18</x:f>
        <x:v>22</x:v>
      </x:c>
      <x:c r="D21" s="58" t="str">
        <x:v>Link operating current asset</x:v>
      </x:c>
      <x:c r="E21" s="58" t="str">
        <x:v>Other operating uses</x:v>
      </x:c>
    </x:row>
    <x:row r="22">
      <x:c r="A22" s="58" t="str">
        <x:v>Accounts payable</x:v>
      </x:c>
      <x:c r="B22" s="144" t="n">
        <x:f>'Inputs'!B19</x:f>
        <x:v>90</x:v>
      </x:c>
      <x:c r="C22" s="144" t="n">
        <x:f>'Inputs'!C19</x:f>
        <x:v>100</x:v>
      </x:c>
      <x:c r="D22" s="58" t="str">
        <x:v>Link operating current liability</x:v>
      </x:c>
      <x:c r="E22" s="58" t="str">
        <x:v>Supplier financing</x:v>
      </x:c>
    </x:row>
    <x:row r="23">
      <x:c r="A23" s="58" t="str">
        <x:v>Other operating current liabilities</x:v>
      </x:c>
      <x:c r="B23" s="144" t="n">
        <x:f>'Inputs'!B20</x:f>
        <x:v>40</x:v>
      </x:c>
      <x:c r="C23" s="144" t="n">
        <x:f>'Inputs'!C20</x:f>
        <x:v>43</x:v>
      </x:c>
      <x:c r="D23" s="58" t="str">
        <x:v>Link operating current liability</x:v>
      </x:c>
      <x:c r="E23" s="58" t="str">
        <x:v>Other operating sources</x:v>
      </x:c>
    </x:row>
    <x:row r="24" ht="30" customHeight="1">
      <x:c r="A24" s="58" t="str">
        <x:v>Operating NWC</x:v>
      </x:c>
      <x:c r="B24" s="154"/>
      <x:c r="C24" s="154"/>
      <x:c r="D24" s="58" t="str">
        <x:v>Operating current assets less operating current liabilities</x:v>
      </x:c>
      <x:c r="E24" s="58" t="str">
        <x:v>Liquidity invested in operations</x:v>
      </x:c>
    </x:row>
    <x:row r="25">
      <x:c r="A25" s="58" t="str">
        <x:v>Change in operating NWC</x:v>
      </x:c>
      <x:c r="B25" s="156" t="str">
        <x:v>—</x:v>
      </x:c>
      <x:c r="C25" s="155"/>
      <x:c r="D25" s="58" t="str">
        <x:v>2026 NWC less 2025 NWC</x:v>
      </x:c>
      <x:c r="E25" s="58" t="str">
        <x:v>Increase is a use of cash</x:v>
      </x:c>
    </x:row>
    <x:row r="26">
      <x:c r="A26" s="58"/>
      <x:c r="B26" s="156"/>
      <x:c r="C26" s="156"/>
      <x:c r="D26" s="58"/>
      <x:c r="E26" s="58"/>
    </x:row>
    <x:row r="27" ht="22" customHeight="1">
      <x:c r="A27" s="140" t="str">
        <x:v>2026 cash-flow statement</x:v>
      </x:c>
      <x:c r="B27" s="158" t="str">
        <x:v>2026 cash-flow statement</x:v>
      </x:c>
      <x:c r="C27" s="158" t="str">
        <x:v>2026 cash-flow statement</x:v>
      </x:c>
      <x:c r="D27" s="140" t="str">
        <x:v>2026 cash-flow statement</x:v>
      </x:c>
      <x:c r="E27" s="140" t="str">
        <x:v>2026 cash-flow statement</x:v>
      </x:c>
    </x:row>
    <x:row r="28">
      <x:c r="A28" s="58" t="str">
        <x:v>Net income</x:v>
      </x:c>
      <x:c r="B28" s="156"/>
      <x:c r="C28" s="155"/>
      <x:c r="D28" s="58" t="str">
        <x:v>Link from income statement</x:v>
      </x:c>
      <x:c r="E28" s="58" t="str">
        <x:v>Accrual starting point</x:v>
      </x:c>
    </x:row>
    <x:row r="29">
      <x:c r="A29" s="58" t="str">
        <x:v>+ Depreciation &amp; amortization</x:v>
      </x:c>
      <x:c r="B29" s="156"/>
      <x:c r="C29" s="155"/>
      <x:c r="D29" s="58" t="str">
        <x:v>Add back noncash charge</x:v>
      </x:c>
      <x:c r="E29" s="58" t="str">
        <x:v>No current-period cash use</x:v>
      </x:c>
    </x:row>
    <x:row r="30">
      <x:c r="A30" s="58" t="str">
        <x:v>− Change in operating NWC</x:v>
      </x:c>
      <x:c r="B30" s="156"/>
      <x:c r="C30" s="155"/>
      <x:c r="D30" s="58" t="str">
        <x:v>Subtract increase in NWC</x:v>
      </x:c>
      <x:c r="E30" s="58" t="str">
        <x:v>Working-capital use</x:v>
      </x:c>
    </x:row>
    <x:row r="31">
      <x:c r="A31" s="167" t="str">
        <x:v>Cash flow from operations (OCF)</x:v>
      </x:c>
      <x:c r="B31" s="168"/>
      <x:c r="C31" s="169"/>
      <x:c r="D31" s="58" t="str">
        <x:v>Net income + D&amp;A − ΔNWC</x:v>
      </x:c>
      <x:c r="E31" s="58" t="str">
        <x:v>Cash generated by operations</x:v>
      </x:c>
    </x:row>
    <x:row r="32">
      <x:c r="A32" s="58" t="str">
        <x:v>Capital expenditures</x:v>
      </x:c>
      <x:c r="B32" s="156"/>
      <x:c r="C32" s="144" t="n">
        <x:f>'Inputs'!C34</x:f>
        <x:v>85</x:v>
      </x:c>
      <x:c r="D32" s="58" t="str">
        <x:v>Link investing input</x:v>
      </x:c>
      <x:c r="E32" s="58" t="str">
        <x:v>Long-term reinvestment</x:v>
      </x:c>
    </x:row>
    <x:row r="33">
      <x:c r="A33" s="58" t="str">
        <x:v>Cash flow from investing (CFI)</x:v>
      </x:c>
      <x:c r="B33" s="156"/>
      <x:c r="C33" s="155"/>
      <x:c r="D33" s="58" t="str">
        <x:v>CapEx entered as a cash outflow</x:v>
      </x:c>
      <x:c r="E33" s="58" t="str">
        <x:v>Investing section</x:v>
      </x:c>
    </x:row>
    <x:row r="34">
      <x:c r="A34" s="58" t="str">
        <x:v>New debt issued</x:v>
      </x:c>
      <x:c r="B34" s="156"/>
      <x:c r="C34" s="144" t="n">
        <x:f>'Inputs'!C35</x:f>
        <x:v>30</x:v>
      </x:c>
      <x:c r="D34" s="58" t="str">
        <x:v>Link financing source</x:v>
      </x:c>
      <x:c r="E34" s="58" t="str">
        <x:v>Borrowing inflow</x:v>
      </x:c>
    </x:row>
    <x:row r="35">
      <x:c r="A35" s="58" t="str">
        <x:v>Debt repaid</x:v>
      </x:c>
      <x:c r="B35" s="156"/>
      <x:c r="C35" s="144" t="n">
        <x:f>'Inputs'!C36</x:f>
        <x:v>20</x:v>
      </x:c>
      <x:c r="D35" s="58" t="str">
        <x:v>Link financing use</x:v>
      </x:c>
      <x:c r="E35" s="58" t="str">
        <x:v>Debt outflow</x:v>
      </x:c>
    </x:row>
    <x:row r="36">
      <x:c r="A36" s="58" t="str">
        <x:v>Dividends paid</x:v>
      </x:c>
      <x:c r="B36" s="156"/>
      <x:c r="C36" s="144" t="n">
        <x:f>'Inputs'!C12</x:f>
        <x:v>30</x:v>
      </x:c>
      <x:c r="D36" s="58" t="str">
        <x:v>Link shareholder distribution</x:v>
      </x:c>
      <x:c r="E36" s="58" t="str">
        <x:v>Equity outflow</x:v>
      </x:c>
    </x:row>
    <x:row r="37">
      <x:c r="A37" s="58" t="str">
        <x:v>New stock issued</x:v>
      </x:c>
      <x:c r="B37" s="156"/>
      <x:c r="C37" s="144" t="n">
        <x:f>'Inputs'!C37</x:f>
        <x:v>0</x:v>
      </x:c>
      <x:c r="D37" s="58" t="str">
        <x:v>Link financing source</x:v>
      </x:c>
      <x:c r="E37" s="58" t="str">
        <x:v>Equity inflow</x:v>
      </x:c>
    </x:row>
    <x:row r="38">
      <x:c r="A38" s="58" t="str">
        <x:v>Share repurchases</x:v>
      </x:c>
      <x:c r="B38" s="156"/>
      <x:c r="C38" s="144" t="n">
        <x:f>'Inputs'!C38</x:f>
        <x:v>0</x:v>
      </x:c>
      <x:c r="D38" s="58" t="str">
        <x:v>Link financing use</x:v>
      </x:c>
      <x:c r="E38" s="58" t="str">
        <x:v>Equity outflow</x:v>
      </x:c>
    </x:row>
    <x:row r="39">
      <x:c r="A39" s="167" t="str">
        <x:v>Cash flow from financing (CFF)</x:v>
      </x:c>
      <x:c r="B39" s="168"/>
      <x:c r="C39" s="170"/>
      <x:c r="D39" s="58" t="str">
        <x:v>Sources less financing uses</x:v>
      </x:c>
      <x:c r="E39" s="58" t="str">
        <x:v>Financing section</x:v>
      </x:c>
    </x:row>
    <x:row r="40">
      <x:c r="A40" s="58" t="str">
        <x:v>Net change in cash</x:v>
      </x:c>
      <x:c r="B40" s="156"/>
      <x:c r="C40" s="155"/>
      <x:c r="D40" s="58" t="str">
        <x:v>OCF + CFI + CFF</x:v>
      </x:c>
      <x:c r="E40" s="58" t="str">
        <x:v>Three-section reconciliation</x:v>
      </x:c>
    </x:row>
    <x:row r="41">
      <x:c r="A41" s="58" t="str">
        <x:v>Beginning cash</x:v>
      </x:c>
      <x:c r="B41" s="156"/>
      <x:c r="C41" s="144" t="n">
        <x:f>'Inputs'!B24</x:f>
        <x:v>80</x:v>
      </x:c>
      <x:c r="D41" s="58" t="str">
        <x:v>Link opening balance</x:v>
      </x:c>
      <x:c r="E41" s="58" t="str">
        <x:v>Cash rollforward start</x:v>
      </x:c>
    </x:row>
    <x:row r="42">
      <x:c r="A42" s="167" t="str">
        <x:v>Ending cash</x:v>
      </x:c>
      <x:c r="B42" s="168"/>
      <x:c r="C42" s="169"/>
      <x:c r="D42" s="58" t="str">
        <x:v>Beginning cash + net change</x:v>
      </x:c>
      <x:c r="E42" s="58" t="str">
        <x:v>Balance-sheet cash</x:v>
      </x:c>
    </x:row>
    <x:row r="43">
      <x:c r="A43" s="58"/>
      <x:c r="B43" s="156"/>
      <x:c r="C43" s="156"/>
      <x:c r="D43" s="58"/>
      <x:c r="E43" s="58"/>
    </x:row>
    <x:row r="44" ht="22" customHeight="1">
      <x:c r="A44" s="141" t="str">
        <x:v>Balance sheet</x:v>
      </x:c>
      <x:c r="B44" s="159" t="str">
        <x:v>Balance sheet</x:v>
      </x:c>
      <x:c r="C44" s="159" t="str">
        <x:v>Balance sheet</x:v>
      </x:c>
      <x:c r="D44" s="141" t="str">
        <x:v>Balance sheet</x:v>
      </x:c>
      <x:c r="E44" s="141" t="str">
        <x:v>Balance sheet</x:v>
      </x:c>
    </x:row>
    <x:row r="45">
      <x:c r="A45" s="58" t="str">
        <x:v>Cash</x:v>
      </x:c>
      <x:c r="B45" s="144" t="n">
        <x:f>'Inputs'!B24</x:f>
        <x:v>80</x:v>
      </x:c>
      <x:c r="C45" s="155"/>
      <x:c r="D45" s="58" t="str">
        <x:v>2026 links to ending cash</x:v>
      </x:c>
      <x:c r="E45" s="58" t="str">
        <x:v>Closes the three-statement loop</x:v>
      </x:c>
    </x:row>
    <x:row r="46">
      <x:c r="A46" s="58" t="str">
        <x:v>Accounts receivable</x:v>
      </x:c>
      <x:c r="B46" s="144" t="n">
        <x:f>B19</x:f>
        <x:v>110</x:v>
      </x:c>
      <x:c r="C46" s="144" t="n">
        <x:f>C19</x:f>
        <x:v>135</x:v>
      </x:c>
      <x:c r="D46" s="58" t="str">
        <x:v>Link NWC schedule</x:v>
      </x:c>
      <x:c r="E46" s="58" t="str">
        <x:v>Operating asset</x:v>
      </x:c>
    </x:row>
    <x:row r="47">
      <x:c r="A47" s="58" t="str">
        <x:v>Inventory</x:v>
      </x:c>
      <x:c r="B47" s="144" t="n">
        <x:f>B20</x:f>
        <x:v>145</x:v>
      </x:c>
      <x:c r="C47" s="144" t="n">
        <x:f>C20</x:f>
        <x:v>170</x:v>
      </x:c>
      <x:c r="D47" s="58" t="str">
        <x:v>Link NWC schedule</x:v>
      </x:c>
      <x:c r="E47" s="58" t="str">
        <x:v>Operating asset</x:v>
      </x:c>
    </x:row>
    <x:row r="48">
      <x:c r="A48" s="58" t="str">
        <x:v>Other operating current assets</x:v>
      </x:c>
      <x:c r="B48" s="144" t="n">
        <x:f>B21</x:f>
        <x:v>20</x:v>
      </x:c>
      <x:c r="C48" s="144" t="n">
        <x:f>C21</x:f>
        <x:v>22</x:v>
      </x:c>
      <x:c r="D48" s="58" t="str">
        <x:v>Link NWC schedule</x:v>
      </x:c>
      <x:c r="E48" s="58" t="str">
        <x:v>Operating asset</x:v>
      </x:c>
    </x:row>
    <x:row r="49">
      <x:c r="A49" s="58" t="str">
        <x:v>Total current assets</x:v>
      </x:c>
      <x:c r="B49" s="155"/>
      <x:c r="C49" s="155"/>
      <x:c r="D49" s="58" t="str">
        <x:v>Sum cash through other current assets</x:v>
      </x:c>
      <x:c r="E49" s="58" t="str">
        <x:v>Liquidity base</x:v>
      </x:c>
    </x:row>
    <x:row r="50">
      <x:c r="A50" s="58" t="str">
        <x:v>Net PP&amp;E</x:v>
      </x:c>
      <x:c r="B50" s="144" t="n">
        <x:f>'Inputs'!B25</x:f>
        <x:v>420</x:v>
      </x:c>
      <x:c r="C50" s="155"/>
      <x:c r="D50" s="58" t="str">
        <x:v>Opening PP&amp;E + CapEx − D&amp;A</x:v>
      </x:c>
      <x:c r="E50" s="58" t="str">
        <x:v>Investing rollforward</x:v>
      </x:c>
    </x:row>
    <x:row r="51">
      <x:c r="A51" s="58" t="str">
        <x:v>Other assets</x:v>
      </x:c>
      <x:c r="B51" s="144" t="n">
        <x:f>'Inputs'!B26</x:f>
        <x:v>40</x:v>
      </x:c>
      <x:c r="C51" s="144" t="n">
        <x:f>'Inputs'!C26</x:f>
        <x:v>40</x:v>
      </x:c>
      <x:c r="D51" s="58" t="str">
        <x:v>Link provided balance</x:v>
      </x:c>
      <x:c r="E51" s="58" t="str">
        <x:v>Non-current assets</x:v>
      </x:c>
    </x:row>
    <x:row r="52">
      <x:c r="A52" s="171" t="str">
        <x:v>Total assets</x:v>
      </x:c>
      <x:c r="B52" s="172"/>
      <x:c r="C52" s="173"/>
      <x:c r="D52" s="58" t="str">
        <x:v>Current assets + PP&amp;E + other assets</x:v>
      </x:c>
      <x:c r="E52" s="58" t="str">
        <x:v>Resources controlled</x:v>
      </x:c>
    </x:row>
    <x:row r="53">
      <x:c r="A53" s="58"/>
      <x:c r="B53" s="156"/>
      <x:c r="C53" s="156"/>
      <x:c r="D53" s="58"/>
      <x:c r="E53" s="58"/>
    </x:row>
    <x:row r="54">
      <x:c r="A54" s="58" t="str">
        <x:v>Accounts payable</x:v>
      </x:c>
      <x:c r="B54" s="144" t="n">
        <x:f>B22</x:f>
        <x:v>90</x:v>
      </x:c>
      <x:c r="C54" s="144" t="n">
        <x:f>C22</x:f>
        <x:v>100</x:v>
      </x:c>
      <x:c r="D54" s="58" t="str">
        <x:v>Link NWC schedule</x:v>
      </x:c>
      <x:c r="E54" s="58" t="str">
        <x:v>Operating liability</x:v>
      </x:c>
    </x:row>
    <x:row r="55">
      <x:c r="A55" s="58" t="str">
        <x:v>Other operating current liabilities</x:v>
      </x:c>
      <x:c r="B55" s="144" t="n">
        <x:f>B23</x:f>
        <x:v>40</x:v>
      </x:c>
      <x:c r="C55" s="144" t="n">
        <x:f>C23</x:f>
        <x:v>43</x:v>
      </x:c>
      <x:c r="D55" s="58" t="str">
        <x:v>Link NWC schedule</x:v>
      </x:c>
      <x:c r="E55" s="58" t="str">
        <x:v>Operating liability</x:v>
      </x:c>
    </x:row>
    <x:row r="56">
      <x:c r="A56" s="58" t="str">
        <x:v>Long-term debt</x:v>
      </x:c>
      <x:c r="B56" s="144" t="n">
        <x:f>'Inputs'!B27</x:f>
        <x:v>250</x:v>
      </x:c>
      <x:c r="C56" s="155"/>
      <x:c r="D56" s="58" t="str">
        <x:v>Opening debt + issued − repaid</x:v>
      </x:c>
      <x:c r="E56" s="58" t="str">
        <x:v>Creditor claim</x:v>
      </x:c>
    </x:row>
    <x:row r="57">
      <x:c r="A57" s="171" t="str">
        <x:v>Total liabilities</x:v>
      </x:c>
      <x:c r="B57" s="174"/>
      <x:c r="C57" s="175"/>
      <x:c r="D57" s="58" t="str">
        <x:v>Sum liabilities</x:v>
      </x:c>
      <x:c r="E57" s="58" t="str">
        <x:v>Non-owner claims</x:v>
      </x:c>
    </x:row>
    <x:row r="58">
      <x:c r="A58" s="58"/>
      <x:c r="B58" s="156"/>
      <x:c r="C58" s="156"/>
      <x:c r="D58" s="58"/>
      <x:c r="E58" s="58"/>
    </x:row>
    <x:row r="59">
      <x:c r="A59" s="58" t="str">
        <x:v>Common stock &amp; APIC</x:v>
      </x:c>
      <x:c r="B59" s="144" t="n">
        <x:f>'Inputs'!B28</x:f>
        <x:v>160</x:v>
      </x:c>
      <x:c r="C59" s="155"/>
      <x:c r="D59" s="58" t="str">
        <x:v>Opening balance + stock issued</x:v>
      </x:c>
      <x:c r="E59" s="58" t="str">
        <x:v>Contributed capital</x:v>
      </x:c>
    </x:row>
    <x:row r="60">
      <x:c r="A60" s="58" t="str">
        <x:v>Treasury stock (contra-equity)</x:v>
      </x:c>
      <x:c r="B60" s="144" t="n">
        <x:f>'Inputs'!B29</x:f>
        <x:v>0</x:v>
      </x:c>
      <x:c r="C60" s="155"/>
      <x:c r="D60" s="58" t="str">
        <x:v>Opening balance + repurchases</x:v>
      </x:c>
      <x:c r="E60" s="58" t="str">
        <x:v>Reduces equity</x:v>
      </x:c>
    </x:row>
    <x:row r="61">
      <x:c r="A61" s="58" t="str">
        <x:v>Retained earnings</x:v>
      </x:c>
      <x:c r="B61" s="144" t="n">
        <x:f>'Inputs'!B30</x:f>
        <x:v>275</x:v>
      </x:c>
      <x:c r="C61" s="155"/>
      <x:c r="D61" s="58" t="str">
        <x:v>Opening RE + net income − dividends</x:v>
      </x:c>
      <x:c r="E61" s="58" t="str">
        <x:v>Profit retained in business</x:v>
      </x:c>
    </x:row>
    <x:row r="62">
      <x:c r="A62" s="58" t="str">
        <x:v>Total equity</x:v>
      </x:c>
      <x:c r="B62" s="176"/>
      <x:c r="C62" s="177"/>
      <x:c r="D62" s="58" t="str">
        <x:v>Common stock − treasury stock + retained earnings</x:v>
      </x:c>
      <x:c r="E62" s="58" t="str">
        <x:v>Owner claim</x:v>
      </x:c>
    </x:row>
    <x:row r="63">
      <x:c r="A63" s="58" t="str">
        <x:v>Total liabilities &amp; equity</x:v>
      </x:c>
      <x:c r="B63" s="154"/>
      <x:c r="C63" s="178"/>
      <x:c r="D63" s="58" t="str">
        <x:v>Liabilities + equity</x:v>
      </x:c>
      <x:c r="E63" s="58" t="str">
        <x:v>Financing of assets</x:v>
      </x:c>
    </x:row>
    <x:row r="64">
      <x:c r="A64" s="171" t="str">
        <x:v>Balance check</x:v>
      </x:c>
      <x:c r="B64" s="179"/>
      <x:c r="C64" s="180"/>
      <x:c r="D64" s="58" t="str">
        <x:v>Assets less liabilities and equity</x:v>
      </x:c>
      <x:c r="E64" s="58" t="str">
        <x:v>Must equal zero</x:v>
      </x:c>
    </x:row>
    <x:row r="65">
      <x:c r="A65" s="58"/>
      <x:c r="B65" s="156"/>
      <x:c r="C65" s="156"/>
      <x:c r="D65" s="58"/>
      <x:c r="E65" s="58"/>
    </x:row>
    <x:row r="66" ht="22" customHeight="1">
      <x:c r="A66" s="138" t="str">
        <x:v>Free cash flow bridge</x:v>
      </x:c>
      <x:c r="B66" s="161" t="str">
        <x:v>Free cash flow bridge</x:v>
      </x:c>
      <x:c r="C66" s="161" t="str">
        <x:v>Free cash flow bridge</x:v>
      </x:c>
      <x:c r="D66" s="138" t="str">
        <x:v>Free cash flow bridge</x:v>
      </x:c>
      <x:c r="E66" s="138" t="str">
        <x:v>Free cash flow bridge</x:v>
      </x:c>
    </x:row>
    <x:row r="67">
      <x:c r="A67" s="58" t="str">
        <x:v>NOPAT</x:v>
      </x:c>
      <x:c r="B67" s="156"/>
      <x:c r="C67" s="155"/>
      <x:c r="D67" s="58" t="str">
        <x:v>EBIT × (1 − tax rate)</x:v>
      </x:c>
      <x:c r="E67" s="58" t="str">
        <x:v>After-tax operating profit</x:v>
      </x:c>
    </x:row>
    <x:row r="68">
      <x:c r="A68" s="58" t="str">
        <x:v>+ Depreciation &amp; amortization</x:v>
      </x:c>
      <x:c r="B68" s="156"/>
      <x:c r="C68" s="155"/>
      <x:c r="D68" s="58" t="str">
        <x:v>Link noncash charge</x:v>
      </x:c>
      <x:c r="E68" s="58" t="str">
        <x:v>Add back</x:v>
      </x:c>
    </x:row>
    <x:row r="69">
      <x:c r="A69" s="58" t="str">
        <x:v>− Change in operating NWC</x:v>
      </x:c>
      <x:c r="B69" s="156"/>
      <x:c r="C69" s="155"/>
      <x:c r="D69" s="58" t="str">
        <x:v>Link ΔNWC</x:v>
      </x:c>
      <x:c r="E69" s="58" t="str">
        <x:v>Operating reinvestment</x:v>
      </x:c>
    </x:row>
    <x:row r="70">
      <x:c r="A70" s="58" t="str">
        <x:v>− Capital expenditures</x:v>
      </x:c>
      <x:c r="B70" s="156"/>
      <x:c r="C70" s="155"/>
      <x:c r="D70" s="58" t="str">
        <x:v>Link CapEx</x:v>
      </x:c>
      <x:c r="E70" s="58" t="str">
        <x:v>Long-term reinvestment</x:v>
      </x:c>
    </x:row>
    <x:row r="71">
      <x:c r="A71" s="164" t="str">
        <x:v>FCFF</x:v>
      </x:c>
      <x:c r="B71" s="181"/>
      <x:c r="C71" s="166"/>
      <x:c r="D71" s="58" t="str">
        <x:v>NOPAT + D&amp;A − ΔNWC − CapEx</x:v>
      </x:c>
      <x:c r="E71" s="58" t="str">
        <x:v>Cash for debt and equity</x:v>
      </x:c>
    </x:row>
    <x:row r="72">
      <x:c r="A72" s="58" t="str">
        <x:v>After-tax interest</x:v>
      </x:c>
      <x:c r="B72" s="156"/>
      <x:c r="C72" s="155"/>
      <x:c r="D72" s="58" t="str">
        <x:v>Interest × (1 − tax rate)</x:v>
      </x:c>
      <x:c r="E72" s="58" t="str">
        <x:v>Financing claim after tax</x:v>
      </x:c>
    </x:row>
    <x:row r="73">
      <x:c r="A73" s="58" t="str">
        <x:v>Net borrowing</x:v>
      </x:c>
      <x:c r="B73" s="156"/>
      <x:c r="C73" s="155"/>
      <x:c r="D73" s="58" t="str">
        <x:v>Debt issued less debt repaid</x:v>
      </x:c>
      <x:c r="E73" s="58" t="str">
        <x:v>Current financing source</x:v>
      </x:c>
    </x:row>
    <x:row r="74">
      <x:c r="A74" s="58" t="str">
        <x:v>FCFE</x:v>
      </x:c>
      <x:c r="B74" s="156"/>
      <x:c r="C74" s="169"/>
      <x:c r="D74" s="58" t="str">
        <x:v>FCFF − after-tax interest + net borrowing</x:v>
      </x:c>
      <x:c r="E74" s="58" t="str">
        <x:v>Cash available to equity</x:v>
      </x:c>
    </x:row>
    <x:row r="75">
      <x:c r="A75" s="58" t="str">
        <x:v>FCFE — alternate route</x:v>
      </x:c>
      <x:c r="B75" s="156"/>
      <x:c r="C75" s="182"/>
      <x:c r="D75" s="58" t="str">
        <x:v>OCF − CapEx + net borrowing</x:v>
      </x:c>
      <x:c r="E75" s="58" t="str">
        <x:v>Independent route</x:v>
      </x:c>
    </x:row>
    <x:row r="76">
      <x:c r="A76" s="164" t="str">
        <x:v>FCFE route tie</x:v>
      </x:c>
      <x:c r="B76" s="181"/>
      <x:c r="C76" s="183"/>
      <x:c r="D76" s="58" t="str">
        <x:v>Primary FCFE less alternate FCFE</x:v>
      </x:c>
      <x:c r="E76" s="58" t="str">
        <x:v>Must equal zero</x:v>
      </x:c>
    </x:row>
    <x:row r="77">
      <x:c r="A77" s="58"/>
      <x:c r="B77" s="1"/>
      <x:c r="C77" s="1"/>
      <x:c r="D77" s="58"/>
      <x:c r="E77" s="58"/>
    </x:row>
    <x:row r="78" ht="22" customHeight="1">
      <x:c r="A78" s="139" t="str">
        <x:v>Compact common-size and trend view</x:v>
      </x:c>
      <x:c r="B78" s="9" t="str">
        <x:v>Compact common-size and trend view</x:v>
      </x:c>
      <x:c r="C78" s="9" t="str">
        <x:v>Compact common-size and trend view</x:v>
      </x:c>
      <x:c r="D78" s="139" t="str">
        <x:v>Compact common-size and trend view</x:v>
      </x:c>
      <x:c r="E78" s="139" t="str">
        <x:v>Compact common-size and trend view</x:v>
      </x:c>
    </x:row>
    <x:row r="79">
      <x:c r="A79" s="34" t="str">
        <x:v>Metric</x:v>
      </x:c>
      <x:c r="B79" s="34" t="str">
        <x:v>2025A</x:v>
      </x:c>
      <x:c r="C79" s="34" t="str">
        <x:v>2026A</x:v>
      </x:c>
      <x:c r="D79" s="34" t="str">
        <x:v>Change</x:v>
      </x:c>
      <x:c r="E79" s="34" t="str">
        <x:v>Decision use</x:v>
      </x:c>
    </x:row>
    <x:row r="80">
      <x:c r="A80" s="58" t="str">
        <x:v>Gross margin</x:v>
      </x:c>
      <x:c r="B80" s="162"/>
      <x:c r="C80" s="162"/>
      <x:c r="D80" s="163"/>
      <x:c r="E80" s="58" t="str">
        <x:v>Product economics</x:v>
      </x:c>
    </x:row>
    <x:row r="81">
      <x:c r="A81" s="58" t="str">
        <x:v>EBIT margin</x:v>
      </x:c>
      <x:c r="B81" s="162"/>
      <x:c r="C81" s="162"/>
      <x:c r="D81" s="163"/>
      <x:c r="E81" s="58" t="str">
        <x:v>Operating quality</x:v>
      </x:c>
    </x:row>
    <x:row r="82">
      <x:c r="A82" s="58" t="str">
        <x:v>Net margin</x:v>
      </x:c>
      <x:c r="B82" s="162"/>
      <x:c r="C82" s="162"/>
      <x:c r="D82" s="163"/>
      <x:c r="E82" s="58" t="str">
        <x:v>Profit after financing and tax</x:v>
      </x:c>
    </x:row>
    <x:row r="83">
      <x:c r="A83" s="58" t="str">
        <x:v>Operating NWC / Revenue</x:v>
      </x:c>
      <x:c r="B83" s="162"/>
      <x:c r="C83" s="162"/>
      <x:c r="D83" s="163"/>
      <x:c r="E83" s="58" t="str">
        <x:v>Cash tied up per sales dollar</x:v>
      </x:c>
    </x:row>
  </x:sheetData>
  <x:mergeCells>
    <x:mergeCell ref="A1:E1"/>
    <x:mergeCell ref="A2:E2"/>
    <x:mergeCell ref="A5:E5"/>
    <x:mergeCell ref="A18:E18"/>
    <x:mergeCell ref="A27:E27"/>
    <x:mergeCell ref="A44:E44"/>
    <x:mergeCell ref="A66:E66"/>
    <x:mergeCell ref="A78:E7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31" hidden="0" customWidth="1"/>
    <x:col min="4" max="4" width="31" hidden="0" customWidth="1"/>
  </x:cols>
  <x:sheetData>
    <x:row r="1" ht="30" customHeight="1">
      <x:c r="A1" s="4" t="str">
        <x:v>Cash-Flow Decision Memo</x:v>
      </x:c>
      <x:c r="B1" s="4" t="str">
        <x:v>Cash-Flow Decision Memo</x:v>
      </x:c>
      <x:c r="C1" s="4" t="str">
        <x:v>Cash-Flow Decision Memo</x:v>
      </x:c>
      <x:c r="D1" s="4" t="str">
        <x:v>Cash-Flow Decision Memo</x:v>
      </x:c>
    </x:row>
    <x:row r="2">
      <x:c r="A2" s="79" t="str">
        <x:v>Decision: approve, resize, or defer the additional shareholder distribution while protecting liquidity.</x:v>
      </x:c>
      <x:c r="B2" s="79"/>
      <x:c r="C2" s="79"/>
      <x:c r="D2" s="79"/>
    </x:row>
    <x:row r="3">
      <x:c r="A3" s="1"/>
      <x:c r="B3" s="1"/>
      <x:c r="C3" s="1"/>
      <x:c r="D3" s="1"/>
    </x:row>
    <x:row r="4" ht="22" customHeight="1">
      <x:c r="A4" s="50" t="str">
        <x:v>Recommendation</x:v>
      </x:c>
      <x:c r="B4" s="50" t="str">
        <x:v>Recommendation</x:v>
      </x:c>
      <x:c r="C4" s="50" t="str">
        <x:v>Recommendation</x:v>
      </x:c>
      <x:c r="D4" s="50" t="str">
        <x:v>Recommendation</x:v>
      </x:c>
    </x:row>
    <x:row r="5">
      <x:c r="A5" s="1" t="str">
        <x:v>Decision</x:v>
      </x:c>
      <x:c r="B5" s="99"/>
      <x:c r="C5" s="184"/>
      <x:c r="D5" s="100"/>
    </x:row>
    <x:row r="6">
      <x:c r="A6" s="1"/>
      <x:c r="B6" s="1"/>
      <x:c r="C6" s="1"/>
      <x:c r="D6" s="1"/>
    </x:row>
    <x:row r="7" ht="22" customHeight="1">
      <x:c r="A7" s="9" t="str">
        <x:v>Linked evidence</x:v>
      </x:c>
      <x:c r="B7" s="9" t="str">
        <x:v>Linked evidence</x:v>
      </x:c>
      <x:c r="C7" s="9" t="str">
        <x:v>Linked evidence</x:v>
      </x:c>
      <x:c r="D7" s="9" t="str">
        <x:v>Linked evidence</x:v>
      </x:c>
    </x:row>
    <x:row r="8">
      <x:c r="A8" s="34" t="str">
        <x:v>Metric</x:v>
      </x:c>
      <x:c r="B8" s="34" t="str">
        <x:v>Model evidence</x:v>
      </x:c>
      <x:c r="C8" s="34" t="str">
        <x:v>How to use it</x:v>
      </x:c>
      <x:c r="D8" s="34"/>
    </x:row>
    <x:row r="9">
      <x:c r="A9" s="1" t="str">
        <x:v>FCFE</x:v>
      </x:c>
      <x:c r="B9" s="155"/>
      <x:c r="C9" s="58" t="str">
        <x:v>Compare equity cash capacity with the proposed distribution</x:v>
      </x:c>
      <x:c r="D9" s="58"/>
    </x:row>
    <x:row r="10">
      <x:c r="A10" s="1" t="str">
        <x:v>Ending cash before proposed distribution</x:v>
      </x:c>
      <x:c r="B10" s="155"/>
      <x:c r="C10" s="58" t="str">
        <x:v>Starting point for the liquidity test</x:v>
      </x:c>
      <x:c r="D10" s="58"/>
    </x:row>
    <x:row r="11">
      <x:c r="A11" s="1" t="str">
        <x:v>Proposed additional distribution</x:v>
      </x:c>
      <x:c r="B11" s="155"/>
      <x:c r="C11" s="58" t="str">
        <x:v>Decision amount; not included in the modeled CFF</x:v>
      </x:c>
      <x:c r="D11" s="58"/>
    </x:row>
    <x:row r="12">
      <x:c r="A12" s="1" t="str">
        <x:v>Ending cash after proposed distribution</x:v>
      </x:c>
      <x:c r="B12" s="155"/>
      <x:c r="C12" s="58" t="str">
        <x:v>Cash remaining if the decision is approved</x:v>
      </x:c>
      <x:c r="D12" s="58"/>
    </x:row>
    <x:row r="13">
      <x:c r="A13" s="1" t="str">
        <x:v>Minimum ending cash reserve</x:v>
      </x:c>
      <x:c r="B13" s="155"/>
      <x:c r="C13" s="58" t="str">
        <x:v>Liquidity guardrail</x:v>
      </x:c>
      <x:c r="D13" s="58"/>
    </x:row>
    <x:row r="14">
      <x:c r="A14" s="1" t="str">
        <x:v>Reserve surplus / (shortfall)</x:v>
      </x:c>
      <x:c r="B14" s="155"/>
      <x:c r="C14" s="58" t="str">
        <x:v>Primary constraint</x:v>
      </x:c>
      <x:c r="D14" s="58"/>
    </x:row>
    <x:row r="15">
      <x:c r="A15" s="1" t="str">
        <x:v>Change in operating NWC</x:v>
      </x:c>
      <x:c r="B15" s="155"/>
      <x:c r="C15" s="58" t="str">
        <x:v>Shows cash absorbed by growth</x:v>
      </x:c>
      <x:c r="D15" s="58"/>
    </x:row>
    <x:row r="16">
      <x:c r="A16" s="1" t="str">
        <x:v>Change in EBIT margin</x:v>
      </x:c>
      <x:c r="B16" s="162"/>
      <x:c r="C16" s="58" t="str">
        <x:v>Tests whether operating quality improved</x:v>
      </x:c>
      <x:c r="D16" s="58"/>
    </x:row>
    <x:row r="17">
      <x:c r="A17" s="1"/>
      <x:c r="B17" s="1"/>
      <x:c r="C17" s="1"/>
      <x:c r="D17" s="1"/>
    </x:row>
    <x:row r="18" ht="22" customHeight="1">
      <x:c r="A18" s="82" t="str">
        <x:v>Four-part memo</x:v>
      </x:c>
      <x:c r="B18" s="82" t="str">
        <x:v>Four-part memo</x:v>
      </x:c>
      <x:c r="C18" s="82" t="str">
        <x:v>Four-part memo</x:v>
      </x:c>
      <x:c r="D18" s="82" t="str">
        <x:v>Four-part memo</x:v>
      </x:c>
    </x:row>
    <x:row r="19" ht="32" customHeight="1">
      <x:c r="A19" s="185" t="str">
        <x:v>Claim</x:v>
      </x:c>
      <x:c r="B19" s="198" t="str">
        <x:v>State the recommendation in one sentence.</x:v>
      </x:c>
      <x:c r="C19" s="199"/>
      <x:c r="D19" s="200"/>
    </x:row>
    <x:row r="20" ht="32" customHeight="1">
      <x:c r="A20" s="1"/>
      <x:c r="B20" s="201"/>
      <x:c r="C20" s="202"/>
      <x:c r="D20" s="203"/>
    </x:row>
    <x:row r="21">
      <x:c r="A21" s="1"/>
      <x:c r="B21" s="1"/>
      <x:c r="C21" s="1"/>
      <x:c r="D21" s="1"/>
    </x:row>
    <x:row r="22" ht="32" customHeight="1">
      <x:c r="A22" s="185" t="str">
        <x:v>Evidence</x:v>
      </x:c>
      <x:c r="B22" s="198" t="str">
        <x:v>Use at least three linked outputs and explain what each implies.</x:v>
      </x:c>
      <x:c r="C22" s="199"/>
      <x:c r="D22" s="200"/>
    </x:row>
    <x:row r="23" ht="32" customHeight="1">
      <x:c r="A23" s="1"/>
      <x:c r="B23" s="201"/>
      <x:c r="C23" s="202"/>
      <x:c r="D23" s="203"/>
    </x:row>
    <x:row r="24">
      <x:c r="A24" s="1"/>
      <x:c r="B24" s="1"/>
      <x:c r="C24" s="1"/>
      <x:c r="D24" s="1"/>
    </x:row>
    <x:row r="25" ht="32" customHeight="1">
      <x:c r="A25" s="185" t="str">
        <x:v>Risk / alternative</x:v>
      </x:c>
      <x:c r="B25" s="198" t="str">
        <x:v>Name the strongest counterargument or a smaller feasible action.</x:v>
      </x:c>
      <x:c r="C25" s="199"/>
      <x:c r="D25" s="200"/>
    </x:row>
    <x:row r="26" ht="32" customHeight="1">
      <x:c r="A26" s="1"/>
      <x:c r="B26" s="201"/>
      <x:c r="C26" s="202"/>
      <x:c r="D26" s="203"/>
    </x:row>
    <x:row r="27">
      <x:c r="A27" s="1"/>
      <x:c r="B27" s="1"/>
      <x:c r="C27" s="1"/>
      <x:c r="D27" s="1"/>
    </x:row>
    <x:row r="28" ht="32" customHeight="1">
      <x:c r="A28" s="185" t="str">
        <x:v>Monitoring trigger</x:v>
      </x:c>
      <x:c r="B28" s="198" t="str">
        <x:v>Identify the metric and threshold that would change the decision.</x:v>
      </x:c>
      <x:c r="C28" s="199"/>
      <x:c r="D28" s="200"/>
    </x:row>
    <x:row r="29" ht="32" customHeight="1">
      <x:c r="B29" s="201"/>
      <x:c r="C29" s="202"/>
      <x:c r="D29" s="203"/>
    </x:row>
  </x:sheetData>
  <x:mergeCells>
    <x:mergeCell ref="A1:D1"/>
    <x:mergeCell ref="A2:D2"/>
    <x:mergeCell ref="A4:D4"/>
    <x:mergeCell ref="B5:D5"/>
    <x:mergeCell ref="A7:D7"/>
    <x:mergeCell ref="C8:D8"/>
    <x:mergeCell ref="C9:D9"/>
    <x:mergeCell ref="C10:D10"/>
    <x:mergeCell ref="C11:D11"/>
    <x:mergeCell ref="C12:D12"/>
    <x:mergeCell ref="C13:D13"/>
    <x:mergeCell ref="C14:D14"/>
    <x:mergeCell ref="C15:D15"/>
    <x:mergeCell ref="C16:D16"/>
    <x:mergeCell ref="A18:D18"/>
    <x:mergeCell ref="B19:D20"/>
    <x:mergeCell ref="B22:D23"/>
    <x:mergeCell ref="B25:D26"/>
    <x:mergeCell ref="B28:D29"/>
  </x:mergeCells>
  <x:dataValidations count="1">
    <x:dataValidation type="list" sqref="B5:D5">
      <x:formula1>"Approve now,Defer or resize,Need more evidence"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16" hidden="0" customWidth="1"/>
    <x:col min="5" max="5" width="14" hidden="0" customWidth="1"/>
    <x:col min="6" max="6" width="43" hidden="0" customWidth="1"/>
  </x:cols>
  <x:sheetData>
    <x:row r="1" ht="30" customHeight="1">
      <x:c r="A1" s="4" t="str">
        <x:v>Model Checks</x:v>
      </x:c>
      <x:c r="B1" s="4" t="str">
        <x:v>Model Checks</x:v>
      </x:c>
      <x:c r="C1" s="4" t="str">
        <x:v>Model Checks</x:v>
      </x:c>
      <x:c r="D1" s="4" t="str">
        <x:v>Model Checks</x:v>
      </x:c>
      <x:c r="E1" s="4" t="str">
        <x:v>Model Checks</x:v>
      </x:c>
      <x:c r="F1" s="4" t="str">
        <x:v>Model Checks</x:v>
      </x:c>
    </x:row>
    <x:row r="2">
      <x:c r="A2" s="78" t="str">
        <x:v>These checks test identities, signs, and reasonableness; numeric tie-outs use invariant zero targets.</x:v>
      </x:c>
      <x:c r="B2" s="78"/>
      <x:c r="C2" s="78"/>
      <x:c r="D2" s="78"/>
      <x:c r="E2" s="78"/>
      <x:c r="F2" s="78"/>
    </x:row>
    <x:row r="3">
      <x:c r="A3" s="1"/>
      <x:c r="B3" s="1"/>
      <x:c r="C3" s="1"/>
      <x:c r="D3" s="1"/>
      <x:c r="E3" s="1"/>
      <x:c r="F3" s="1"/>
    </x:row>
    <x:row r="4" ht="28" customHeight="1">
      <x:c r="A4" s="4" t="str">
        <x:v>MODEL STATUS</x:v>
      </x:c>
      <x:c r="B4" s="4" t="str">
        <x:f>IF(E7&lt;&gt;"OK","BUILD",IF(COUNTIF(E8:E16,"CHECK")&gt;0,"CHECK","OK"))</x:f>
        <x:v>BUILD</x:v>
      </x:c>
      <x:c r="C4" s="4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34" t="str">
        <x:v>Check</x:v>
      </x:c>
      <x:c r="B6" s="34" t="str">
        <x:v>Actual / delta</x:v>
      </x:c>
      <x:c r="C6" s="34" t="str">
        <x:v>Target / rule</x:v>
      </x:c>
      <x:c r="D6" s="34" t="str">
        <x:v>Tolerance</x:v>
      </x:c>
      <x:c r="E6" s="34" t="str">
        <x:v>Status</x:v>
      </x:c>
      <x:c r="F6" s="34" t="str">
        <x:v>What to inspect</x:v>
      </x:c>
    </x:row>
    <x:row r="7" ht="28" customHeight="1">
      <x:c r="A7" s="242" t="str">
        <x:v>Required model and evidence cells complete</x:v>
      </x:c>
      <x:c r="B7" s="237" t="str">
        <x:f>IF(OR('Model'!B8="",'Model'!C8="",'Model'!B11="",'Model'!C11="",'Model'!B16="",'Model'!C16="",'Model'!B24="",'Model'!C24="",'Model'!C25="",'Model'!C31="",'Model'!C42="",'Model'!C52="",'Model'!C63="",'Model'!C71="",'Model'!C74="",'Model'!B80="",'Model'!C83="",'Decision Memo'!B9="",'Decision Memo'!B16=""),"Incomplete","Ready")</x:f>
        <x:v>Incomplete</x:v>
      </x:c>
      <x:c r="C7" s="237" t="str">
        <x:v>All required</x:v>
      </x:c>
      <x:c r="D7" s="237"/>
      <x:c r="E7" s="237" t="str">
        <x:f>IF(B7="Ready","OK","BUILD")</x:f>
        <x:v>BUILD</x:v>
      </x:c>
      <x:c r="F7" s="242" t="str">
        <x:v>Finish yellow model and evidence cells</x:v>
      </x:c>
    </x:row>
    <x:row r="8" ht="28" customHeight="1">
      <x:c r="A8" s="242" t="str">
        <x:v>Balance sheet balances</x:v>
      </x:c>
      <x:c r="B8" s="236" t="str">
        <x:f>IF($E$7&lt;&gt;"OK","",'Model'!C64)</x:f>
      </x:c>
      <x:c r="C8" s="236" t="n">
        <x:v>0</x:v>
      </x:c>
      <x:c r="D8" s="236" t="n">
        <x:v>0.01</x:v>
      </x:c>
      <x:c r="E8" s="237" t="str">
        <x:f>IF($E$7&lt;&gt;"OK","BUILD",IF(ABS(B8-C8)&lt;=D8,"OK","CHECK"))</x:f>
        <x:v>BUILD</x:v>
      </x:c>
      <x:c r="F8" s="242" t="str">
        <x:v>Assets and liabilities/equity rollforwards</x:v>
      </x:c>
    </x:row>
    <x:row r="9" ht="28" customHeight="1">
      <x:c r="A9" s="242" t="str">
        <x:v>Cash rollforward</x:v>
      </x:c>
      <x:c r="B9" s="236" t="str">
        <x:f>IF($E$7&lt;&gt;"OK","",'Model'!C42-('Model'!C41+'Model'!C40))</x:f>
      </x:c>
      <x:c r="C9" s="236" t="n">
        <x:v>0</x:v>
      </x:c>
      <x:c r="D9" s="236" t="n">
        <x:v>0.01</x:v>
      </x:c>
      <x:c r="E9" s="237" t="str">
        <x:f>IF($E$7&lt;&gt;"OK","BUILD",IF(ABS(B9-C9)&lt;=D9,"OK","CHECK"))</x:f>
        <x:v>BUILD</x:v>
      </x:c>
      <x:c r="F9" s="242" t="str">
        <x:v>Beginning cash, three cash-flow sections, ending cash</x:v>
      </x:c>
    </x:row>
    <x:row r="10" ht="28" customHeight="1">
      <x:c r="A10" s="242" t="str">
        <x:v>Net PP&amp;E rollforward</x:v>
      </x:c>
      <x:c r="B10" s="236" t="str">
        <x:f>IF($E$7&lt;&gt;"OK","",'Model'!C50-('Model'!B50+'Model'!C32-'Model'!C29))</x:f>
      </x:c>
      <x:c r="C10" s="236" t="n">
        <x:v>0</x:v>
      </x:c>
      <x:c r="D10" s="236" t="n">
        <x:v>0.01</x:v>
      </x:c>
      <x:c r="E10" s="237" t="str">
        <x:f>IF($E$7&lt;&gt;"OK","BUILD",IF(ABS(B10-C10)&lt;=D10,"OK","CHECK"))</x:f>
        <x:v>BUILD</x:v>
      </x:c>
      <x:c r="F10" s="242" t="str">
        <x:v>Opening PP&amp;E, CapEx, D&amp;A</x:v>
      </x:c>
    </x:row>
    <x:row r="11" ht="28" customHeight="1">
      <x:c r="A11" s="242" t="str">
        <x:v>Debt rollforward</x:v>
      </x:c>
      <x:c r="B11" s="236" t="str">
        <x:f>IF($E$7&lt;&gt;"OK","",'Model'!C56-('Model'!B56+'Model'!C34-'Model'!C35))</x:f>
      </x:c>
      <x:c r="C11" s="236" t="n">
        <x:v>0</x:v>
      </x:c>
      <x:c r="D11" s="236" t="n">
        <x:v>0.01</x:v>
      </x:c>
      <x:c r="E11" s="237" t="str">
        <x:f>IF($E$7&lt;&gt;"OK","BUILD",IF(ABS(B11-C11)&lt;=D11,"OK","CHECK"))</x:f>
        <x:v>BUILD</x:v>
      </x:c>
      <x:c r="F11" s="242" t="str">
        <x:v>Opening debt, issuance, repayment</x:v>
      </x:c>
    </x:row>
    <x:row r="12" ht="28" customHeight="1">
      <x:c r="A12" s="242" t="str">
        <x:v>Retained earnings rollforward</x:v>
      </x:c>
      <x:c r="B12" s="236" t="str">
        <x:f>IF($E$7&lt;&gt;"OK","",'Model'!C61-('Model'!B61+'Model'!C28-'Model'!C36))</x:f>
      </x:c>
      <x:c r="C12" s="236" t="n">
        <x:v>0</x:v>
      </x:c>
      <x:c r="D12" s="236" t="n">
        <x:v>0.01</x:v>
      </x:c>
      <x:c r="E12" s="237" t="str">
        <x:f>IF($E$7&lt;&gt;"OK","BUILD",IF(ABS(B12-C12)&lt;=D12,"OK","CHECK"))</x:f>
        <x:v>BUILD</x:v>
      </x:c>
      <x:c r="F12" s="242" t="str">
        <x:v>Opening RE, net income, dividends</x:v>
      </x:c>
    </x:row>
    <x:row r="13" ht="28" customHeight="1">
      <x:c r="A13" s="242" t="str">
        <x:v>FCFF route tie</x:v>
      </x:c>
      <x:c r="B13" s="236" t="str">
        <x:f>IF($E$7&lt;&gt;"OK","",'Model'!C71-('Model'!C31+'Model'!C72-'Model'!C70))</x:f>
      </x:c>
      <x:c r="C13" s="236" t="n">
        <x:v>0</x:v>
      </x:c>
      <x:c r="D13" s="236" t="n">
        <x:v>0.01</x:v>
      </x:c>
      <x:c r="E13" s="237" t="str">
        <x:f>IF($E$7&lt;&gt;"OK","BUILD",IF(ABS(B13-C13)&lt;=D13,"OK","CHECK"))</x:f>
        <x:v>BUILD</x:v>
      </x:c>
      <x:c r="F13" s="242" t="str">
        <x:v>EBIT route versus OCF route</x:v>
      </x:c>
    </x:row>
    <x:row r="14" ht="28" customHeight="1">
      <x:c r="A14" s="242" t="str">
        <x:v>FCFE route tie</x:v>
      </x:c>
      <x:c r="B14" s="236" t="str">
        <x:f>IF($E$7&lt;&gt;"OK","",'Model'!C76)</x:f>
      </x:c>
      <x:c r="C14" s="236" t="n">
        <x:v>0</x:v>
      </x:c>
      <x:c r="D14" s="236" t="n">
        <x:v>0.01</x:v>
      </x:c>
      <x:c r="E14" s="237" t="str">
        <x:f>IF($E$7&lt;&gt;"OK","BUILD",IF(ABS(B14-C14)&lt;=D14,"OK","CHECK"))</x:f>
        <x:v>BUILD</x:v>
      </x:c>
      <x:c r="F14" s="242" t="str">
        <x:v>FCFF route versus OCF route</x:v>
      </x:c>
    </x:row>
    <x:row r="15" ht="28" customHeight="1">
      <x:c r="A15" s="242" t="str">
        <x:v>Provided use/outflow signs</x:v>
      </x:c>
      <x:c r="B15" s="236" t="str">
        <x:f>IF($E$7&lt;&gt;"OK","",MIN('Model'!C10,'Model'!C32,'Model'!C35,'Model'!C36,'Model'!C38))</x:f>
      </x:c>
      <x:c r="C15" s="236" t="str">
        <x:v>&gt;= 0</x:v>
      </x:c>
      <x:c r="D15" s="236"/>
      <x:c r="E15" s="237" t="str">
        <x:f>IF($E$7&lt;&gt;"OK","BUILD",IF(B15&gt;=0,"OK","CHECK"))</x:f>
        <x:v>BUILD</x:v>
      </x:c>
      <x:c r="F15" s="242" t="str">
        <x:v>CapEx, repayment, dividends, repurchases</x:v>
      </x:c>
    </x:row>
    <x:row r="16" ht="28" customHeight="1">
      <x:c r="A16" s="242" t="str">
        <x:v>Income-statement margins reasonable</x:v>
      </x:c>
      <x:c r="B16" s="243" t="str">
        <x:f>IF($E$7&lt;&gt;"OK","",MAX(ABS('Model'!B80),ABS('Model'!C80),ABS('Model'!B81),ABS('Model'!C81),ABS('Model'!B82),ABS('Model'!C82)))</x:f>
      </x:c>
      <x:c r="C16" s="236" t="str">
        <x:v>&lt;= 100%</x:v>
      </x:c>
      <x:c r="D16" s="236"/>
      <x:c r="E16" s="237" t="str">
        <x:f>IF($E$7&lt;&gt;"OK","BUILD",IF(B16&lt;=1,"OK","CHECK"))</x:f>
        <x:v>BUILD</x:v>
      </x:c>
      <x:c r="F16" s="242" t="str">
        <x:v>Revenue base and margin formulas</x:v>
      </x:c>
    </x:row>
  </x:sheetData>
  <x:mergeCells>
    <x:mergeCell ref="A1:F1"/>
    <x:mergeCell ref="A2:F2"/>
    <x:mergeCell ref="B4:C4"/>
  </x:mergeCells>
  <x:conditionalFormatting sqref="E7:E16">
    <x:cfRule type="containsText" dxfId="0" priority="1" operator="containsText" text="OK"/>
    <x:cfRule type="containsText" dxfId="1" priority="2" operator="containsText" text="CHECK"/>
    <x:cfRule type="containsText" dxfId="2" priority="3" operator="containsText" text="BUILD"/>
  </x:conditionalFormatting>
  <x:conditionalFormatting sqref="B4:C4">
    <x:cfRule type="containsText" dxfId="3" priority="4" operator="containsText" text="OK"/>
    <x:cfRule type="containsText" dxfId="4" priority="5" operator="containsText" text="CHECK"/>
    <x:cfRule type="containsText" dxfId="5" priority="6" operator="containsText" text="BUILD"/>
  </x:conditionalFormatting>
  <x:pageMargins left="0.7" right="0.7" top="0.75" bottom="0.75" header="0.3" footer="0.3"/>
</x:worksheet>
</file>