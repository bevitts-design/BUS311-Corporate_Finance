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e92d61d9d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f7c6ca9e4ff4c91"/>
    <x:sheet xmlns:r="http://schemas.openxmlformats.org/officeDocument/2006/relationships" name="Inputs" sheetId="2" r:id="R85b11fedec884385"/>
    <x:sheet xmlns:r="http://schemas.openxmlformats.org/officeDocument/2006/relationships" name="Cash Flow" sheetId="3" r:id="R6d7b0c0dc3dc4c40"/>
    <x:sheet xmlns:r="http://schemas.openxmlformats.org/officeDocument/2006/relationships" name="Decision Memo" sheetId="4" r:id="Rba792613b26144f5"/>
    <x:sheet xmlns:r="http://schemas.openxmlformats.org/officeDocument/2006/relationships" name="Statement Extension" sheetId="5" r:id="R01ed2ab46865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&quot;–&quot;"/>
    <x:numFmt numFmtId="201" formatCode="0.0%"/>
  </x:numFmts>
  <x:fonts count="8">
    <x:font>
      <x:sz val="11"/>
      <x:name val="Carlito"/>
    </x:font>
    <x:font>
      <x:sz val="11"/>
      <x:color rgb="FF182B3A"/>
      <x:name val="Arial"/>
    </x:font>
    <x:font>
      <x:b/>
      <x:sz val="16"/>
      <x:color rgb="FF0A2540"/>
      <x:name val="Arial"/>
    </x:font>
    <x:font>
      <x:i/>
      <x:sz val="11"/>
      <x:color rgb="FF182B3A"/>
      <x:name val="Arial"/>
    </x:font>
    <x:font>
      <x:b/>
      <x:sz val="11"/>
      <x:color rgb="FFFFFFFF"/>
      <x:name val="Arial"/>
    </x:font>
    <x:font>
      <x:b/>
      <x:sz val="11"/>
      <x:color rgb="FF182B3A"/>
      <x:name val="Arial"/>
    </x:font>
    <x:font>
      <x:sz val="11"/>
      <x:color rgb="FF0000FF"/>
      <x:name val="Arial"/>
    </x:font>
    <x:font>
      <x:sz val="11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2540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9C2B21"/>
      </x:font>
      <x:fill>
        <x:patternFill patternType="solid">
          <x:bgColor rgb="FFFCE4D6"/>
        </x:patternFill>
      </x:fill>
    </x:dxf>
    <x:dxf>
      <x:font>
        <x:b/>
        <x:color rgb="FF9C2B21"/>
      </x:font>
      <x:fill>
        <x:patternFill patternType="solid">
          <x:bgColor rgb="FFFCE4D6"/>
        </x:patternFill>
      </x:fill>
    </x:dxf>
    <x:dxf>
      <x:font>
        <x:b/>
        <x:color rgb="FF9C2B21"/>
      </x:font>
      <x:fill>
        <x:patternFill patternType="solid">
          <x:bgColor rgb="FFFCE4D6"/>
        </x:patternFill>
      </x:fill>
    </x:dxf>
    <x:dxf>
      <x:font>
        <x:b/>
        <x:color rgb="FF9C2B21"/>
      </x:font>
      <x:fill>
        <x:patternFill patternType="solid">
          <x:bgColor rgb="FFFCE4D6"/>
        </x:patternFill>
      </x:fill>
    </x:dxf>
    <x:dxf>
      <x:font>
        <x:b/>
        <x:color rgb="FF9C2B21"/>
      </x:font>
      <x:fill>
        <x:patternFill patternType="solid">
          <x:bgColor rgb="FFFCE4D6"/>
        </x:patternFill>
      </x:fill>
    </x:dxf>
    <x:dxf>
      <x:font>
        <x:b/>
        <x:color rgb="FF9C2B21"/>
      </x:font>
      <x:fill>
        <x:patternFill patternType="solid">
          <x:bgColor rgb="FFFCE4D6"/>
        </x:patternFill>
      </x:fill>
    </x:dxf>
    <x:dxf>
      <x:font>
        <x:b/>
        <x:color rgb="FF9C2B21"/>
      </x:font>
      <x:fill>
        <x:patternFill patternType="solid">
          <x:bgColor rgb="FFFCE4D6"/>
        </x:patternFill>
      </x:fill>
    </x:dxf>
    <x:dxf>
      <x:font>
        <x:b/>
        <x:color rgb="FF9C2B21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8675776a34d99" /><Relationship Type="http://schemas.openxmlformats.org/officeDocument/2006/relationships/theme" Target="/xl/theme/theme1.xml" Id="R306d2c8f316646d4" /><Relationship Type="http://schemas.openxmlformats.org/officeDocument/2006/relationships/sharedStrings" Target="/xl/sharedStrings.xml" Id="R3e10bfd8eb9a425a" /><Relationship Type="http://schemas.openxmlformats.org/officeDocument/2006/relationships/worksheet" Target="/xl/worksheets/sheet1.xml" Id="R0f7c6ca9e4ff4c91" /><Relationship Type="http://schemas.openxmlformats.org/officeDocument/2006/relationships/worksheet" Target="/xl/worksheets/sheet2.xml" Id="R85b11fedec884385" /><Relationship Type="http://schemas.openxmlformats.org/officeDocument/2006/relationships/worksheet" Target="/xl/worksheets/sheet3.xml" Id="R6d7b0c0dc3dc4c40" /><Relationship Type="http://schemas.openxmlformats.org/officeDocument/2006/relationships/worksheet" Target="/xl/worksheets/sheet4.xml" Id="Rba792613b26144f5" /><Relationship Type="http://schemas.openxmlformats.org/officeDocument/2006/relationships/worksheet" Target="/xl/worksheets/sheet5.xml" Id="R01ed2ab46865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5" hidden="0" customWidth="1"/>
    <x:col min="5" max="5" width="66" hidden="0" customWidth="1"/>
  </x:cols>
  <x:sheetData>
    <x:row r="1" ht="32" customHeight="1">
      <x:c r="A1" s="3" t="str">
        <x:v>Coastal Outfitters: profit, cash and payout capacity</x:v>
      </x:c>
      <x:c r="B1" s="3"/>
      <x:c r="C1" s="3"/>
      <x:c r="D1" s="3"/>
      <x:c r="E1" s="3"/>
    </x:row>
    <x:row r="2" ht="23" customHeight="1">
      <x:c r="A2" s="5" t="str">
        <x:v>BUS311 M03 · Illustrative case · All monetary amounts are $ millions.</x:v>
      </x:c>
      <x:c r="B2" s="5"/>
      <x:c r="C2" s="5"/>
      <x:c r="D2" s="5"/>
      <x:c r="E2" s="5"/>
    </x:row>
    <x:row r="3" ht="23" customHeight="1">
      <x:c r="A3" s="5"/>
      <x:c r="B3" s="5"/>
      <x:c r="C3" s="5"/>
      <x:c r="D3" s="5"/>
      <x:c r="E3" s="5"/>
    </x:row>
    <x:row r="4" ht="23" customHeight="1">
      <x:c r="A4" s="2"/>
      <x:c r="B4" s="2"/>
      <x:c r="C4" s="2"/>
      <x:c r="D4" s="2"/>
      <x:c r="E4" s="2"/>
    </x:row>
    <x:row r="5" ht="27" customHeight="1">
      <x:c r="A5" s="8" t="str">
        <x:v>Decision</x:v>
      </x:c>
      <x:c r="B5" s="8"/>
      <x:c r="C5" s="8"/>
      <x:c r="D5" s="8"/>
      <x:c r="E5" s="8"/>
    </x:row>
    <x:row r="6" ht="23" customHeight="1">
      <x:c r="A6" s="9" t="str">
        <x:v>Can Coastal pay an additional $50 million while keeping at least $90 million in cash? Calculate the maximum affordable payout, then recommend an amount.</x:v>
      </x:c>
      <x:c r="B6" s="10"/>
      <x:c r="C6" s="10"/>
      <x:c r="D6" s="9"/>
      <x:c r="E6" s="9"/>
    </x:row>
    <x:row r="7" ht="23" customHeight="1">
      <x:c r="A7" s="9"/>
      <x:c r="B7" s="10"/>
      <x:c r="C7" s="10"/>
      <x:c r="D7" s="9"/>
      <x:c r="E7" s="9"/>
    </x:row>
    <x:row r="8" ht="23" customHeight="1">
      <x:c r="A8" s="2"/>
      <x:c r="B8" s="6"/>
      <x:c r="C8" s="6"/>
      <x:c r="D8" s="2"/>
      <x:c r="E8" s="2"/>
    </x:row>
    <x:row r="9" ht="23" customHeight="1">
      <x:c r="A9" s="12" t="str">
        <x:v>Required: Cash Flow</x:v>
      </x:c>
      <x:c r="B9" s="10" t="str">
        <x:v>Work with a partner for 20 minutes. Complete yellow cells in Cash Flow, then explain the profit-to-cash and firm-to-equity bridges.</x:v>
      </x:c>
      <x:c r="C9" s="10"/>
      <x:c r="D9" s="9"/>
      <x:c r="E9" s="9"/>
    </x:row>
    <x:row r="10" ht="23" customHeight="1">
      <x:c r="A10" s="2"/>
      <x:c r="B10" s="10"/>
      <x:c r="C10" s="10"/>
      <x:c r="D10" s="9"/>
      <x:c r="E10" s="9"/>
    </x:row>
    <x:row r="11" ht="23" customHeight="1">
      <x:c r="A11" s="2"/>
      <x:c r="B11" s="6"/>
      <x:c r="C11" s="6"/>
      <x:c r="D11" s="2"/>
      <x:c r="E11" s="2"/>
    </x:row>
    <x:row r="12" ht="23" customHeight="1">
      <x:c r="A12" s="12" t="str">
        <x:v>Required: Decision Memo</x:v>
      </x:c>
      <x:c r="B12" s="10" t="str">
        <x:v>Draft the payout decision (10 min), then test inventory (5 min). Finalize after the debrief. Complete discount-rate responses after the valuation discussion.</x:v>
      </x:c>
      <x:c r="C12" s="10"/>
      <x:c r="D12" s="9"/>
      <x:c r="E12" s="9"/>
    </x:row>
    <x:row r="13" ht="23" customHeight="1">
      <x:c r="A13" s="2"/>
      <x:c r="B13" s="10"/>
      <x:c r="C13" s="10"/>
      <x:c r="D13" s="9"/>
      <x:c r="E13" s="9"/>
    </x:row>
    <x:row r="14" ht="23" customHeight="1">
      <x:c r="A14" s="2"/>
      <x:c r="B14" s="6"/>
      <x:c r="C14" s="6"/>
      <x:c r="D14" s="2"/>
      <x:c r="E14" s="2"/>
    </x:row>
    <x:row r="15" ht="23" customHeight="1">
      <x:c r="A15" s="12" t="str">
        <x:v>Optional: Statement Extension</x:v>
      </x:c>
      <x:c r="B15" s="10" t="str">
        <x:v>Build the closing balance sheet after completing the core activity. This extension is not required for the cash-flow decision.</x:v>
      </x:c>
      <x:c r="C15" s="10"/>
      <x:c r="D15" s="9"/>
      <x:c r="E15" s="9"/>
    </x:row>
    <x:row r="16" ht="23" customHeight="1">
      <x:c r="A16" s="2"/>
      <x:c r="B16" s="10"/>
      <x:c r="C16" s="10"/>
      <x:c r="D16" s="9"/>
      <x:c r="E16" s="9"/>
    </x:row>
    <x:row r="17" ht="23" customHeight="1">
      <x:c r="A17" s="2"/>
      <x:c r="B17" s="6"/>
      <x:c r="C17" s="6"/>
      <x:c r="D17" s="2"/>
      <x:c r="E17" s="2"/>
    </x:row>
    <x:row r="18" ht="27" customHeight="1">
      <x:c r="A18" s="8" t="str">
        <x:v>How to work</x:v>
      </x:c>
      <x:c r="B18" s="14"/>
      <x:c r="C18" s="14"/>
      <x:c r="D18" s="8"/>
      <x:c r="E18" s="8"/>
    </x:row>
    <x:row r="19" ht="23" customHeight="1">
      <x:c r="A19" s="9" t="str">
        <x:v>Yellow cells: enter a formula, prediction or written response. All other links are supplied.</x:v>
      </x:c>
      <x:c r="B19" s="10"/>
      <x:c r="C19" s="10"/>
      <x:c r="D19" s="9"/>
      <x:c r="E19" s="9"/>
    </x:row>
    <x:row r="20" ht="23" customHeight="1">
      <x:c r="A20" s="9" t="str">
        <x:v>Inputs are blue text. Costs and cash uses are positive inputs and subtracted in formulas.</x:v>
      </x:c>
      <x:c r="B20" s="10"/>
      <x:c r="C20" s="10"/>
      <x:c r="D20" s="9"/>
      <x:c r="E20" s="9"/>
    </x:row>
    <x:row r="21" ht="23" customHeight="1">
      <x:c r="A21" s="9" t="str">
        <x:v>A minus sign in a row label means subtract the positive amount; do not negate the input too.</x:v>
      </x:c>
      <x:c r="B21" s="10"/>
      <x:c r="C21" s="10"/>
      <x:c r="D21" s="9"/>
      <x:c r="E21" s="9"/>
    </x:row>
    <x:row r="22" ht="23" customHeight="1">
      <x:c r="A22" s="9" t="str">
        <x:v>Checks assess each section separately. An OK calculation check does not grade your explanation.</x:v>
      </x:c>
      <x:c r="B22" s="10"/>
      <x:c r="C22" s="10"/>
      <x:c r="D22" s="9"/>
      <x:c r="E22" s="9"/>
    </x:row>
    <x:row r="23" ht="23" customHeight="1">
      <x:c r="A23" s="9" t="str">
        <x:v>Submit Cash Flow and Decision Memo with three numeric facts supporting your recommendation.</x:v>
      </x:c>
      <x:c r="B23" s="10"/>
      <x:c r="C23" s="10"/>
      <x:c r="D23" s="9"/>
      <x:c r="E23" s="9"/>
    </x:row>
    <x:row r="24" ht="23" customHeight="1">
      <x:c r="A24" s="9" t="str">
        <x:v>Restore Inputs!C17 to 170 after the inventory experiment.</x:v>
      </x:c>
      <x:c r="B24" s="10"/>
      <x:c r="C24" s="10"/>
      <x:c r="D24" s="9"/>
      <x:c r="E24" s="9"/>
    </x:row>
    <x:row r="25" ht="23" customHeight="1">
      <x:c r="A25" s="2"/>
      <x:c r="B25" s="6"/>
      <x:c r="C25" s="6"/>
      <x:c r="D25" s="2"/>
      <x:c r="E25" s="2"/>
    </x:row>
  </x:sheetData>
  <x:mergeCells>
    <x:mergeCell ref="A1:E1"/>
    <x:mergeCell ref="A2:E3"/>
    <x:mergeCell ref="A5:E5"/>
    <x:mergeCell ref="A6:E7"/>
    <x:mergeCell ref="B9:E10"/>
    <x:mergeCell ref="B12:E13"/>
    <x:mergeCell ref="B15:E16"/>
    <x:mergeCell ref="A18:E18"/>
    <x:mergeCell ref="A19:E19"/>
    <x:mergeCell ref="A20:E20"/>
    <x:mergeCell ref="A21:E21"/>
    <x:mergeCell ref="A22:E22"/>
    <x:mergeCell ref="A23:E23"/>
    <x:mergeCell ref="A24:E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5" hidden="0" customWidth="1"/>
    <x:col min="5" max="5" width="66" hidden="0" customWidth="1"/>
  </x:cols>
  <x:sheetData>
    <x:row r="1" ht="32" customHeight="1">
      <x:c r="A1" s="3" t="str">
        <x:v>Coastal Outfitters: supplied inputs</x:v>
      </x:c>
      <x:c r="B1" s="3"/>
      <x:c r="C1" s="3"/>
      <x:c r="D1" s="3"/>
      <x:c r="E1" s="3"/>
    </x:row>
    <x:row r="2" ht="23" customHeight="1">
      <x:c r="A2" s="5" t="str">
        <x:v>Illustrative annual data. 2025 is the opening/reference period; 2026 is the model year. Cash taxes equal tax expense; D&amp;A relates to PP&amp;E; no other noncash adjustments or asset disposals.</x:v>
      </x:c>
      <x:c r="B2" s="5"/>
      <x:c r="C2" s="5"/>
      <x:c r="D2" s="5"/>
      <x:c r="E2" s="5"/>
    </x:row>
    <x:row r="3" ht="23" customHeight="1">
      <x:c r="A3" s="5"/>
      <x:c r="B3" s="5"/>
      <x:c r="C3" s="5"/>
      <x:c r="D3" s="5"/>
      <x:c r="E3" s="5"/>
    </x:row>
    <x:row r="4" ht="23" customHeight="1">
      <x:c r="A4" s="2"/>
      <x:c r="B4" s="2"/>
      <x:c r="C4" s="2"/>
      <x:c r="D4" s="2"/>
      <x:c r="E4" s="2"/>
    </x:row>
    <x:row r="5" ht="23" customHeight="1">
      <x:c r="A5" s="28" t="str">
        <x:v>Operating results</x:v>
      </x:c>
      <x:c r="B5" s="28" t="str">
        <x:v>2025</x:v>
      </x:c>
      <x:c r="C5" s="28" t="str">
        <x:v>2026</x:v>
      </x:c>
      <x:c r="D5" s="2"/>
      <x:c r="E5" s="2"/>
    </x:row>
    <x:row r="6" ht="23" customHeight="1">
      <x:c r="A6" s="2" t="str">
        <x:v>Revenue</x:v>
      </x:c>
      <x:c r="B6" s="15" t="n">
        <x:v>1000</x:v>
      </x:c>
      <x:c r="C6" s="15" t="n">
        <x:v>1120</x:v>
      </x:c>
      <x:c r="D6" s="2"/>
      <x:c r="E6" s="2"/>
    </x:row>
    <x:row r="7" ht="23" customHeight="1">
      <x:c r="A7" s="2" t="str">
        <x:v>Cost of goods sold</x:v>
      </x:c>
      <x:c r="B7" s="15" t="n">
        <x:v>600</x:v>
      </x:c>
      <x:c r="C7" s="15" t="n">
        <x:v>650</x:v>
      </x:c>
      <x:c r="D7" s="2"/>
      <x:c r="E7" s="2"/>
    </x:row>
    <x:row r="8" ht="23" customHeight="1">
      <x:c r="A8" s="2" t="str">
        <x:v>Cash operating expenses</x:v>
      </x:c>
      <x:c r="B8" s="15" t="n">
        <x:v>220</x:v>
      </x:c>
      <x:c r="C8" s="15" t="n">
        <x:v>250</x:v>
      </x:c>
      <x:c r="D8" s="2"/>
      <x:c r="E8" s="2"/>
    </x:row>
    <x:row r="9" ht="23" customHeight="1">
      <x:c r="A9" s="2" t="str">
        <x:v>Depreciation &amp; amortization</x:v>
      </x:c>
      <x:c r="B9" s="15" t="n">
        <x:v>50</x:v>
      </x:c>
      <x:c r="C9" s="15" t="n">
        <x:v>55</x:v>
      </x:c>
      <x:c r="D9" s="2"/>
      <x:c r="E9" s="2"/>
    </x:row>
    <x:row r="10" ht="23" customHeight="1">
      <x:c r="A10" s="2" t="str">
        <x:v>Interest expense</x:v>
      </x:c>
      <x:c r="B10" s="15" t="n">
        <x:v>20</x:v>
      </x:c>
      <x:c r="C10" s="15" t="n">
        <x:v>22</x:v>
      </x:c>
      <x:c r="D10" s="2"/>
      <x:c r="E10" s="2"/>
    </x:row>
    <x:row r="11" ht="23" customHeight="1">
      <x:c r="A11" s="2" t="str">
        <x:v>Tax rate</x:v>
      </x:c>
      <x:c r="B11" s="16" t="n">
        <x:v>0.25</x:v>
      </x:c>
      <x:c r="C11" s="16" t="n">
        <x:v>0.25</x:v>
      </x:c>
      <x:c r="D11" s="2"/>
      <x:c r="E11" s="2"/>
    </x:row>
    <x:row r="12" ht="23" customHeight="1">
      <x:c r="A12" s="2" t="str">
        <x:v>Dividends already paid</x:v>
      </x:c>
      <x:c r="B12" s="15" t="n">
        <x:v>25</x:v>
      </x:c>
      <x:c r="C12" s="15" t="n">
        <x:v>30</x:v>
      </x:c>
      <x:c r="D12" s="2"/>
      <x:c r="E12" s="2"/>
    </x:row>
    <x:row r="13" ht="23" customHeight="1">
      <x:c r="A13" s="2"/>
      <x:c r="B13" s="6"/>
      <x:c r="C13" s="6"/>
      <x:c r="D13" s="2"/>
      <x:c r="E13" s="2"/>
    </x:row>
    <x:row r="14" ht="27" customHeight="1">
      <x:c r="A14" s="8" t="str">
        <x:v>Operating working capital</x:v>
      </x:c>
      <x:c r="B14" s="14"/>
      <x:c r="C14" s="14"/>
      <x:c r="D14" s="8"/>
      <x:c r="E14" s="8"/>
    </x:row>
    <x:row r="15" ht="23" customHeight="1">
      <x:c r="A15" s="2"/>
      <x:c r="B15" s="6"/>
      <x:c r="C15" s="6"/>
      <x:c r="D15" s="2"/>
      <x:c r="E15" s="2"/>
    </x:row>
    <x:row r="16" ht="23" customHeight="1">
      <x:c r="A16" s="2" t="str">
        <x:v>Accounts receivable</x:v>
      </x:c>
      <x:c r="B16" s="15" t="n">
        <x:v>110</x:v>
      </x:c>
      <x:c r="C16" s="15" t="n">
        <x:v>135</x:v>
      </x:c>
      <x:c r="D16" s="2"/>
      <x:c r="E16" s="2"/>
    </x:row>
    <x:row r="17" ht="34" customHeight="1">
      <x:c r="A17" s="2" t="str">
        <x:v>Inventory</x:v>
      </x:c>
      <x:c r="B17" s="15" t="n">
        <x:v>145</x:v>
      </x:c>
      <x:c r="C17" s="17" t="n">
        <x:v>170</x:v>
      </x:c>
      <x:c r="D17" s="2"/>
      <x:c r="E17" s="9" t="str">
        <x:v>Experiment: change 170 to 230 only after recording your prediction. Restore 170 afterward.</x:v>
      </x:c>
    </x:row>
    <x:row r="18" ht="23" customHeight="1">
      <x:c r="A18" s="2" t="str">
        <x:v>Other operating current assets</x:v>
      </x:c>
      <x:c r="B18" s="15" t="n">
        <x:v>20</x:v>
      </x:c>
      <x:c r="C18" s="15" t="n">
        <x:v>22</x:v>
      </x:c>
      <x:c r="D18" s="2"/>
      <x:c r="E18" s="2"/>
    </x:row>
    <x:row r="19" ht="23" customHeight="1">
      <x:c r="A19" s="2" t="str">
        <x:v>Accounts payable</x:v>
      </x:c>
      <x:c r="B19" s="15" t="n">
        <x:v>90</x:v>
      </x:c>
      <x:c r="C19" s="15" t="n">
        <x:v>100</x:v>
      </x:c>
      <x:c r="D19" s="2"/>
      <x:c r="E19" s="2"/>
    </x:row>
    <x:row r="20" ht="46" customHeight="1">
      <x:c r="A20" s="2" t="str">
        <x:v>Other operating current liabilities</x:v>
      </x:c>
      <x:c r="B20" s="15" t="n">
        <x:v>40</x:v>
      </x:c>
      <x:c r="C20" s="15" t="n">
        <x:v>43</x:v>
      </x:c>
      <x:c r="D20" s="2"/>
      <x:c r="E20" s="9" t="str">
        <x:v>Operating NWC excludes cash and interest-bearing debt. General NWC includes all current assets and liabilities.</x:v>
      </x:c>
    </x:row>
    <x:row r="21" ht="23" customHeight="1">
      <x:c r="A21" s="2"/>
      <x:c r="B21" s="6"/>
      <x:c r="C21" s="6"/>
      <x:c r="D21" s="2"/>
      <x:c r="E21" s="2"/>
    </x:row>
    <x:row r="22" ht="27" customHeight="1">
      <x:c r="A22" s="8" t="str">
        <x:v>Opening balance sheet and continuing balances</x:v>
      </x:c>
      <x:c r="B22" s="14"/>
      <x:c r="C22" s="14"/>
      <x:c r="D22" s="8"/>
      <x:c r="E22" s="8"/>
    </x:row>
    <x:row r="23" ht="23" customHeight="1">
      <x:c r="A23" s="2"/>
      <x:c r="B23" s="6"/>
      <x:c r="C23" s="6"/>
      <x:c r="D23" s="2"/>
      <x:c r="E23" s="2"/>
    </x:row>
    <x:row r="24" ht="23" customHeight="1">
      <x:c r="A24" s="2" t="str">
        <x:v>Cash</x:v>
      </x:c>
      <x:c r="B24" s="15" t="n">
        <x:v>80</x:v>
      </x:c>
      <x:c r="C24" s="15"/>
      <x:c r="D24" s="2"/>
      <x:c r="E24" s="2"/>
    </x:row>
    <x:row r="25" ht="23" customHeight="1">
      <x:c r="A25" s="2" t="str">
        <x:v>Net PP&amp;E</x:v>
      </x:c>
      <x:c r="B25" s="15" t="n">
        <x:v>420</x:v>
      </x:c>
      <x:c r="C25" s="15"/>
      <x:c r="D25" s="2"/>
      <x:c r="E25" s="2"/>
    </x:row>
    <x:row r="26" ht="23" customHeight="1">
      <x:c r="A26" s="2" t="str">
        <x:v>Other assets</x:v>
      </x:c>
      <x:c r="B26" s="15" t="n">
        <x:v>40</x:v>
      </x:c>
      <x:c r="C26" s="15" t="n">
        <x:v>40</x:v>
      </x:c>
      <x:c r="D26" s="2"/>
      <x:c r="E26" s="2"/>
    </x:row>
    <x:row r="27" ht="23" customHeight="1">
      <x:c r="A27" s="2" t="str">
        <x:v>Long-term debt</x:v>
      </x:c>
      <x:c r="B27" s="15" t="n">
        <x:v>250</x:v>
      </x:c>
      <x:c r="C27" s="15"/>
      <x:c r="D27" s="2"/>
      <x:c r="E27" s="2"/>
    </x:row>
    <x:row r="28" ht="23" customHeight="1">
      <x:c r="A28" s="2" t="str">
        <x:v>Common stock &amp; APIC</x:v>
      </x:c>
      <x:c r="B28" s="15" t="n">
        <x:v>160</x:v>
      </x:c>
      <x:c r="C28" s="15"/>
      <x:c r="D28" s="2"/>
      <x:c r="E28" s="2"/>
    </x:row>
    <x:row r="29" ht="23" customHeight="1">
      <x:c r="A29" s="2" t="str">
        <x:v>Treasury stock (contra-equity)</x:v>
      </x:c>
      <x:c r="B29" s="15" t="n">
        <x:v>0</x:v>
      </x:c>
      <x:c r="C29" s="15"/>
      <x:c r="D29" s="2"/>
      <x:c r="E29" s="2"/>
    </x:row>
    <x:row r="30" ht="23" customHeight="1">
      <x:c r="A30" s="2" t="str">
        <x:v>Retained earnings</x:v>
      </x:c>
      <x:c r="B30" s="15" t="n">
        <x:v>275</x:v>
      </x:c>
      <x:c r="C30" s="15"/>
      <x:c r="D30" s="2"/>
      <x:c r="E30" s="2"/>
    </x:row>
    <x:row r="31" ht="23" customHeight="1">
      <x:c r="A31" s="2"/>
      <x:c r="B31" s="6"/>
      <x:c r="C31" s="6"/>
      <x:c r="D31" s="2"/>
      <x:c r="E31" s="2"/>
    </x:row>
    <x:row r="32" ht="27" customHeight="1">
      <x:c r="A32" s="8" t="str">
        <x:v>2026 investing and financing activity</x:v>
      </x:c>
      <x:c r="B32" s="14"/>
      <x:c r="C32" s="14"/>
      <x:c r="D32" s="8"/>
      <x:c r="E32" s="8"/>
    </x:row>
    <x:row r="33" ht="23" customHeight="1">
      <x:c r="A33" s="2"/>
      <x:c r="B33" s="6"/>
      <x:c r="C33" s="6"/>
      <x:c r="D33" s="2"/>
      <x:c r="E33" s="2"/>
    </x:row>
    <x:row r="34" ht="34" customHeight="1">
      <x:c r="A34" s="2" t="str">
        <x:v>Capital expenditures</x:v>
      </x:c>
      <x:c r="B34" s="15"/>
      <x:c r="C34" s="15" t="n">
        <x:v>85</x:v>
      </x:c>
      <x:c r="D34" s="2"/>
      <x:c r="E34" s="9" t="str">
        <x:v>CapEx, dividends, debt repayment and repurchases are entered as positive uses.</x:v>
      </x:c>
    </x:row>
    <x:row r="35" ht="23" customHeight="1">
      <x:c r="A35" s="2" t="str">
        <x:v>New debt issued</x:v>
      </x:c>
      <x:c r="B35" s="15"/>
      <x:c r="C35" s="15" t="n">
        <x:v>30</x:v>
      </x:c>
      <x:c r="D35" s="2"/>
      <x:c r="E35" s="2"/>
    </x:row>
    <x:row r="36" ht="23" customHeight="1">
      <x:c r="A36" s="2" t="str">
        <x:v>Debt repaid</x:v>
      </x:c>
      <x:c r="B36" s="15"/>
      <x:c r="C36" s="15" t="n">
        <x:v>20</x:v>
      </x:c>
      <x:c r="D36" s="2"/>
      <x:c r="E36" s="2"/>
    </x:row>
    <x:row r="37" ht="23" customHeight="1">
      <x:c r="A37" s="2" t="str">
        <x:v>New stock issued</x:v>
      </x:c>
      <x:c r="B37" s="15"/>
      <x:c r="C37" s="15" t="n">
        <x:v>0</x:v>
      </x:c>
      <x:c r="D37" s="2"/>
      <x:c r="E37" s="2"/>
    </x:row>
    <x:row r="38" ht="23" customHeight="1">
      <x:c r="A38" s="2" t="str">
        <x:v>Share repurchases</x:v>
      </x:c>
      <x:c r="B38" s="15"/>
      <x:c r="C38" s="15" t="n">
        <x:v>0</x:v>
      </x:c>
      <x:c r="D38" s="2"/>
      <x:c r="E38" s="2"/>
    </x:row>
    <x:row r="39" ht="23" customHeight="1">
      <x:c r="A39" s="2"/>
      <x:c r="B39" s="6"/>
      <x:c r="C39" s="6"/>
      <x:c r="D39" s="2"/>
      <x:c r="E39" s="2"/>
    </x:row>
    <x:row r="40" ht="27" customHeight="1">
      <x:c r="A40" s="8" t="str">
        <x:v>Decision guardrails</x:v>
      </x:c>
      <x:c r="B40" s="14"/>
      <x:c r="C40" s="14"/>
      <x:c r="D40" s="8"/>
      <x:c r="E40" s="8"/>
    </x:row>
    <x:row r="41" ht="23" customHeight="1">
      <x:c r="A41" s="2"/>
      <x:c r="B41" s="6"/>
      <x:c r="C41" s="6"/>
      <x:c r="D41" s="2"/>
      <x:c r="E41" s="2"/>
    </x:row>
    <x:row r="42" ht="34" customHeight="1">
      <x:c r="A42" s="2" t="str">
        <x:v>Proposed additional distribution</x:v>
      </x:c>
      <x:c r="B42" s="15"/>
      <x:c r="C42" s="15" t="n">
        <x:v>50</x:v>
      </x:c>
      <x:c r="D42" s="2"/>
      <x:c r="E42" s="9" t="str">
        <x:v>Additional payout is tested separately; it is not included in the base cash rollforward.</x:v>
      </x:c>
    </x:row>
    <x:row r="43" ht="23" customHeight="1">
      <x:c r="A43" s="2" t="str">
        <x:v>Minimum cash reserve</x:v>
      </x:c>
      <x:c r="B43" s="15"/>
      <x:c r="C43" s="15" t="n">
        <x:v>90</x:v>
      </x:c>
      <x:c r="D43" s="2"/>
      <x:c r="E43" s="2"/>
    </x:row>
    <x:row r="44" ht="23" customHeight="1">
      <x:c r="A44" s="2"/>
      <x:c r="B44" s="6"/>
      <x:c r="C44" s="6"/>
      <x:c r="D44" s="2"/>
      <x:c r="E44" s="2"/>
    </x:row>
  </x:sheetData>
  <x:mergeCells>
    <x:mergeCell ref="A1:E1"/>
    <x:mergeCell ref="A2:E3"/>
    <x:mergeCell ref="A14:E14"/>
    <x:mergeCell ref="A22:E22"/>
    <x:mergeCell ref="A32:E32"/>
    <x:mergeCell ref="A40:E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5" hidden="0" customWidth="1"/>
    <x:col min="5" max="5" width="66" hidden="0" customWidth="1"/>
  </x:cols>
  <x:sheetData>
    <x:row r="1" ht="32" customHeight="1">
      <x:c r="A1" s="3" t="str">
        <x:v>Coastal Outfitters: follow the cash</x:v>
      </x:c>
      <x:c r="B1" s="3"/>
      <x:c r="C1" s="3"/>
      <x:c r="D1" s="3"/>
      <x:c r="E1" s="3"/>
    </x:row>
    <x:row r="2" ht="23" customHeight="1">
      <x:c r="A2" s="5" t="str">
        <x:v>Complete yellow cells in order. CFO means statement cash flow from operations. Checks activate section by section. The optional balance sheet does not feed this model.</x:v>
      </x:c>
      <x:c r="B2" s="5"/>
      <x:c r="C2" s="5"/>
      <x:c r="D2" s="5"/>
      <x:c r="E2" s="5"/>
    </x:row>
    <x:row r="3" ht="23" customHeight="1">
      <x:c r="A3" s="5"/>
      <x:c r="B3" s="5"/>
      <x:c r="C3" s="5"/>
      <x:c r="D3" s="5"/>
      <x:c r="E3" s="5"/>
    </x:row>
    <x:row r="4" ht="23" customHeight="1">
      <x:c r="A4" s="2"/>
      <x:c r="B4" s="2"/>
      <x:c r="C4" s="2"/>
      <x:c r="D4" s="2"/>
      <x:c r="E4" s="2"/>
    </x:row>
    <x:row r="5" ht="23" customHeight="1">
      <x:c r="A5" s="28" t="str">
        <x:v>Line item</x:v>
      </x:c>
      <x:c r="B5" s="28" t="str">
        <x:v>2025</x:v>
      </x:c>
      <x:c r="C5" s="28" t="str">
        <x:v>2026</x:v>
      </x:c>
      <x:c r="D5" s="2"/>
      <x:c r="E5" s="2"/>
    </x:row>
    <x:row r="6" ht="27" customHeight="1">
      <x:c r="A6" s="8" t="str">
        <x:v>Profit</x:v>
      </x:c>
      <x:c r="B6" s="14"/>
      <x:c r="C6" s="14"/>
      <x:c r="D6" s="8"/>
      <x:c r="E6" s="8"/>
    </x:row>
    <x:row r="7" ht="23" customHeight="1">
      <x:c r="A7" s="2" t="str">
        <x:v>Revenue</x:v>
      </x:c>
      <x:c r="B7" s="18" t="n">
        <x:f>'Inputs'!B6</x:f>
        <x:v>1000</x:v>
      </x:c>
      <x:c r="C7" s="18" t="n">
        <x:f>'Inputs'!C6</x:f>
        <x:v>1120</x:v>
      </x:c>
      <x:c r="D7" s="2"/>
      <x:c r="E7" s="2"/>
    </x:row>
    <x:row r="8" ht="23" customHeight="1">
      <x:c r="A8" s="2" t="str">
        <x:v>Cost of goods sold</x:v>
      </x:c>
      <x:c r="B8" s="18" t="n">
        <x:f>'Inputs'!B7</x:f>
        <x:v>600</x:v>
      </x:c>
      <x:c r="C8" s="18" t="n">
        <x:f>'Inputs'!C7</x:f>
        <x:v>650</x:v>
      </x:c>
      <x:c r="D8" s="2"/>
      <x:c r="E8" s="2"/>
    </x:row>
    <x:row r="9" ht="23" customHeight="1">
      <x:c r="A9" s="2" t="str">
        <x:v>Cash operating expenses</x:v>
      </x:c>
      <x:c r="B9" s="18" t="n">
        <x:f>'Inputs'!B8</x:f>
        <x:v>220</x:v>
      </x:c>
      <x:c r="C9" s="18" t="n">
        <x:f>'Inputs'!C8</x:f>
        <x:v>250</x:v>
      </x:c>
      <x:c r="D9" s="2"/>
      <x:c r="E9" s="2"/>
    </x:row>
    <x:row r="10" ht="23" customHeight="1">
      <x:c r="A10" s="2" t="str">
        <x:v>Depreciation &amp; amortization</x:v>
      </x:c>
      <x:c r="B10" s="18" t="n">
        <x:f>'Inputs'!B9</x:f>
        <x:v>50</x:v>
      </x:c>
      <x:c r="C10" s="18" t="n">
        <x:f>'Inputs'!C9</x:f>
        <x:v>55</x:v>
      </x:c>
      <x:c r="D10" s="2"/>
      <x:c r="E10" s="2"/>
    </x:row>
    <x:row r="11" ht="34" customHeight="1">
      <x:c r="A11" s="11" t="str">
        <x:v>EBIT</x:v>
      </x:c>
      <x:c r="B11" s="29" t="n">
        <x:f>B7-B8-B9-B10</x:f>
        <x:v>130</x:v>
      </x:c>
      <x:c r="C11" s="30"/>
      <x:c r="D11" s="2"/>
      <x:c r="E11" s="9" t="str">
        <x:v>Revenue less COGS, cash OpEx and D&amp;A.</x:v>
      </x:c>
    </x:row>
    <x:row r="12" ht="23" customHeight="1">
      <x:c r="A12" s="2" t="str">
        <x:v>Interest expense</x:v>
      </x:c>
      <x:c r="B12" s="18" t="n">
        <x:f>'Inputs'!B10</x:f>
        <x:v>20</x:v>
      </x:c>
      <x:c r="C12" s="18" t="n">
        <x:f>'Inputs'!C10</x:f>
        <x:v>22</x:v>
      </x:c>
      <x:c r="D12" s="2"/>
      <x:c r="E12" s="2"/>
    </x:row>
    <x:row r="13" ht="23" customHeight="1">
      <x:c r="A13" s="2" t="str">
        <x:v>Tax rate</x:v>
      </x:c>
      <x:c r="B13" s="20" t="n">
        <x:f>'Inputs'!B11</x:f>
        <x:v>0.25</x:v>
      </x:c>
      <x:c r="C13" s="20" t="n">
        <x:f>'Inputs'!C11</x:f>
        <x:v>0.25</x:v>
      </x:c>
      <x:c r="D13" s="2"/>
      <x:c r="E13" s="2"/>
    </x:row>
    <x:row r="14" ht="34" customHeight="1">
      <x:c r="A14" s="11" t="str">
        <x:v>Net income</x:v>
      </x:c>
      <x:c r="B14" s="29" t="n">
        <x:f>(B11-B12)*(1-B13)</x:f>
        <x:v>82.5</x:v>
      </x:c>
      <x:c r="C14" s="30"/>
      <x:c r="D14" s="2"/>
      <x:c r="E14" s="9" t="str">
        <x:v>Subtract interest from EBIT, then apply the tax rate.</x:v>
      </x:c>
    </x:row>
    <x:row r="15" ht="34" customHeight="1">
      <x:c r="A15" s="11" t="str">
        <x:v>Profit checkpoint</x:v>
      </x:c>
      <x:c r="B15" s="6"/>
      <x:c r="C15" s="6" t="str">
        <x:f>IF(AND(ISNUMBER(C11),ISNUMBER(C14)),IF(ABS(ABS(C11-(C7-C8-C9-C10))+ABS(C14-(C7-C8-C9-C10-C12)*(1-C13)))&lt;0.01,"OK","CHECK"),"BUILD")</x:f>
        <x:v>BUILD</x:v>
      </x:c>
      <x:c r="D15" s="2"/>
      <x:c r="E15" s="9" t="str">
        <x:v>BUILD: complete this section. CHECK: revisit its inputs, signs and formula.</x:v>
      </x:c>
    </x:row>
    <x:row r="16" ht="27" customHeight="1">
      <x:c r="A16" s="8" t="str">
        <x:v>Cash tied up in operations</x:v>
      </x:c>
      <x:c r="B16" s="14"/>
      <x:c r="C16" s="14"/>
      <x:c r="D16" s="8"/>
      <x:c r="E16" s="8"/>
    </x:row>
    <x:row r="17" ht="23" customHeight="1">
      <x:c r="A17" s="2" t="str">
        <x:v>Accounts receivable</x:v>
      </x:c>
      <x:c r="B17" s="18" t="n">
        <x:f>'Inputs'!B16</x:f>
        <x:v>110</x:v>
      </x:c>
      <x:c r="C17" s="18" t="n">
        <x:f>'Inputs'!C16</x:f>
        <x:v>135</x:v>
      </x:c>
      <x:c r="D17" s="2"/>
      <x:c r="E17" s="2"/>
    </x:row>
    <x:row r="18" ht="23" customHeight="1">
      <x:c r="A18" s="2" t="str">
        <x:v>Inventory</x:v>
      </x:c>
      <x:c r="B18" s="18" t="n">
        <x:f>'Inputs'!B17</x:f>
        <x:v>145</x:v>
      </x:c>
      <x:c r="C18" s="18" t="n">
        <x:f>'Inputs'!C17</x:f>
        <x:v>170</x:v>
      </x:c>
      <x:c r="D18" s="2"/>
      <x:c r="E18" s="2"/>
    </x:row>
    <x:row r="19" ht="23" customHeight="1">
      <x:c r="A19" s="2" t="str">
        <x:v>Other operating current assets</x:v>
      </x:c>
      <x:c r="B19" s="18" t="n">
        <x:f>'Inputs'!B18</x:f>
        <x:v>20</x:v>
      </x:c>
      <x:c r="C19" s="18" t="n">
        <x:f>'Inputs'!C18</x:f>
        <x:v>22</x:v>
      </x:c>
      <x:c r="D19" s="2"/>
      <x:c r="E19" s="2"/>
    </x:row>
    <x:row r="20" ht="23" customHeight="1">
      <x:c r="A20" s="2" t="str">
        <x:v>Accounts payable</x:v>
      </x:c>
      <x:c r="B20" s="18" t="n">
        <x:f>'Inputs'!B19</x:f>
        <x:v>90</x:v>
      </x:c>
      <x:c r="C20" s="18" t="n">
        <x:f>'Inputs'!C19</x:f>
        <x:v>100</x:v>
      </x:c>
      <x:c r="D20" s="2"/>
      <x:c r="E20" s="2"/>
    </x:row>
    <x:row r="21" ht="23" customHeight="1">
      <x:c r="A21" s="2" t="str">
        <x:v>Other operating current liabilities</x:v>
      </x:c>
      <x:c r="B21" s="18" t="n">
        <x:f>'Inputs'!B20</x:f>
        <x:v>40</x:v>
      </x:c>
      <x:c r="C21" s="18" t="n">
        <x:f>'Inputs'!C20</x:f>
        <x:v>43</x:v>
      </x:c>
      <x:c r="D21" s="2"/>
      <x:c r="E21" s="2"/>
    </x:row>
    <x:row r="22" ht="34" customHeight="1">
      <x:c r="A22" s="11" t="str">
        <x:v>Operating NWC</x:v>
      </x:c>
      <x:c r="B22" s="30"/>
      <x:c r="C22" s="30"/>
      <x:c r="D22" s="2"/>
      <x:c r="E22" s="9" t="str">
        <x:v>Operating current assets less operating current liabilities.</x:v>
      </x:c>
    </x:row>
    <x:row r="23" ht="34" customHeight="1">
      <x:c r="A23" s="2" t="str">
        <x:v>Change in operating NWC</x:v>
      </x:c>
      <x:c r="B23" s="6"/>
      <x:c r="C23" s="19"/>
      <x:c r="D23" s="2"/>
      <x:c r="E23" s="9" t="str">
        <x:v>Ending operating NWC less beginning operating NWC.</x:v>
      </x:c>
    </x:row>
    <x:row r="24" ht="34" customHeight="1">
      <x:c r="A24" s="11" t="str">
        <x:v>Working-capital checkpoint</x:v>
      </x:c>
      <x:c r="B24" s="6"/>
      <x:c r="C24" s="6" t="str">
        <x:f>IF(AND(ISNUMBER(B22),ISNUMBER(C22),ISNUMBER(C23)),IF(ABS(ABS(B22-(SUM(B17:B19)-SUM(B20:B21)))+ABS(C22-(SUM(C17:C19)-SUM(C20:C21)))+ABS(C23-(C22-B22)))&lt;0.01,"OK","CHECK"),"BUILD")</x:f>
        <x:v>BUILD</x:v>
      </x:c>
      <x:c r="D24" s="2"/>
      <x:c r="E24" s="9" t="str">
        <x:v>BUILD: complete this section. CHECK: revisit its inputs, signs and formula.</x:v>
      </x:c>
    </x:row>
    <x:row r="25" ht="27" customHeight="1">
      <x:c r="A25" s="8" t="str">
        <x:v>Profit to cash</x:v>
      </x:c>
      <x:c r="B25" s="14"/>
      <x:c r="C25" s="14"/>
      <x:c r="D25" s="8"/>
      <x:c r="E25" s="8"/>
    </x:row>
    <x:row r="26" ht="23" customHeight="1">
      <x:c r="A26" s="2" t="str">
        <x:v>Net income</x:v>
      </x:c>
      <x:c r="B26" s="6"/>
      <x:c r="C26" s="6" t="str">
        <x:f>IF(ISNUMBER(C14),C14,"")</x:f>
      </x:c>
      <x:c r="D26" s="2"/>
      <x:c r="E26" s="2"/>
    </x:row>
    <x:row r="27" ht="23" customHeight="1">
      <x:c r="A27" s="2" t="str">
        <x:v>Add: D&amp;A</x:v>
      </x:c>
      <x:c r="B27" s="6"/>
      <x:c r="C27" s="6" t="n">
        <x:f>C10</x:f>
        <x:v>55</x:v>
      </x:c>
      <x:c r="D27" s="2"/>
      <x:c r="E27" s="2"/>
    </x:row>
    <x:row r="28" ht="23" customHeight="1">
      <x:c r="A28" s="2" t="str">
        <x:v>Less: increase in operating NWC</x:v>
      </x:c>
      <x:c r="B28" s="6"/>
      <x:c r="C28" s="6" t="str">
        <x:f>IF(ISNUMBER(C23),C23,"")</x:f>
      </x:c>
      <x:c r="D28" s="2"/>
      <x:c r="E28" s="2"/>
    </x:row>
    <x:row r="29" ht="34" customHeight="1">
      <x:c r="A29" s="11" t="str">
        <x:v>Cash flow from operations (CFO)</x:v>
      </x:c>
      <x:c r="B29" s="29"/>
      <x:c r="C29" s="30"/>
      <x:c r="D29" s="2"/>
      <x:c r="E29" s="9" t="str">
        <x:v>Net income + D&amp;A − change in operating NWC. Interest is already reflected in net income.</x:v>
      </x:c>
    </x:row>
    <x:row r="30" ht="34" customHeight="1">
      <x:c r="A30" s="11" t="str">
        <x:v>CFO checkpoint</x:v>
      </x:c>
      <x:c r="B30" s="6"/>
      <x:c r="C30" s="6" t="str">
        <x:f>IF(AND(ISNUMBER(C26),ISNUMBER(C27),ISNUMBER(C28),ISNUMBER(C29)),IF(ABS(C29-(C26+C27-C28))&lt;0.01,"OK","CHECK"),"BUILD")</x:f>
        <x:v>BUILD</x:v>
      </x:c>
      <x:c r="D30" s="2"/>
      <x:c r="E30" s="9" t="str">
        <x:v>BUILD: complete this section. CHECK: revisit its inputs, signs and formula.</x:v>
      </x:c>
    </x:row>
    <x:row r="31" ht="27" customHeight="1">
      <x:c r="A31" s="8" t="str">
        <x:v>Cash available to debt and equity</x:v>
      </x:c>
      <x:c r="B31" s="14"/>
      <x:c r="C31" s="14"/>
      <x:c r="D31" s="8"/>
      <x:c r="E31" s="8"/>
    </x:row>
    <x:row r="32" ht="34" customHeight="1">
      <x:c r="A32" s="2" t="str">
        <x:v>NOPAT</x:v>
      </x:c>
      <x:c r="B32" s="6"/>
      <x:c r="C32" s="19"/>
      <x:c r="D32" s="2"/>
      <x:c r="E32" s="9" t="str">
        <x:v>EBIT × (1 − tax rate). This removes the financing choice.</x:v>
      </x:c>
    </x:row>
    <x:row r="33" ht="23" customHeight="1">
      <x:c r="A33" s="2" t="str">
        <x:v>Add: D&amp;A</x:v>
      </x:c>
      <x:c r="B33" s="6"/>
      <x:c r="C33" s="6" t="n">
        <x:f>C10</x:f>
        <x:v>55</x:v>
      </x:c>
      <x:c r="D33" s="2"/>
      <x:c r="E33" s="2"/>
    </x:row>
    <x:row r="34" ht="23" customHeight="1">
      <x:c r="A34" s="2" t="str">
        <x:v>Less: increase in operating NWC</x:v>
      </x:c>
      <x:c r="B34" s="6"/>
      <x:c r="C34" s="6" t="str">
        <x:f>IF(ISNUMBER(C23),C23,"")</x:f>
      </x:c>
      <x:c r="D34" s="2"/>
      <x:c r="E34" s="2"/>
    </x:row>
    <x:row r="35" ht="23" customHeight="1">
      <x:c r="A35" s="2" t="str">
        <x:v>Less: CapEx</x:v>
      </x:c>
      <x:c r="B35" s="6"/>
      <x:c r="C35" s="18" t="n">
        <x:f>'Inputs'!C34</x:f>
        <x:v>85</x:v>
      </x:c>
      <x:c r="D35" s="2"/>
      <x:c r="E35" s="2"/>
    </x:row>
    <x:row r="36" ht="34" customHeight="1">
      <x:c r="A36" s="11" t="str">
        <x:v>FCFF</x:v>
      </x:c>
      <x:c r="B36" s="29"/>
      <x:c r="C36" s="30"/>
      <x:c r="D36" s="2"/>
      <x:c r="E36" s="9" t="str">
        <x:v>NOPAT + D&amp;A − change in operating NWC − CapEx.</x:v>
      </x:c>
    </x:row>
    <x:row r="37" ht="23" customHeight="1">
      <x:c r="A37" s="2" t="str">
        <x:v>FCFF from CFO (supplied)</x:v>
      </x:c>
      <x:c r="B37" s="6"/>
      <x:c r="C37" s="6" t="str">
        <x:f>IF(ISNUMBER(C29),C29+C12*(1-C13)-C35,"")</x:f>
      </x:c>
      <x:c r="D37" s="2"/>
      <x:c r="E37" s="2"/>
    </x:row>
    <x:row r="38" ht="34" customHeight="1">
      <x:c r="A38" s="11" t="str">
        <x:v>FCFF checkpoint</x:v>
      </x:c>
      <x:c r="B38" s="6"/>
      <x:c r="C38" s="6" t="str">
        <x:f>IF(AND(ISNUMBER(C32),ISNUMBER(C36),ISNUMBER(C37)),IF(ABS(ABS(C32-C11*(1-C13))+ABS(C36-C37))&lt;0.01,"OK","CHECK"),"BUILD")</x:f>
        <x:v>BUILD</x:v>
      </x:c>
      <x:c r="D38" s="2"/>
      <x:c r="E38" s="9" t="str">
        <x:v>BUILD: complete this section. CHECK: revisit its inputs, signs and formula.</x:v>
      </x:c>
    </x:row>
    <x:row r="39" ht="27" customHeight="1">
      <x:c r="A39" s="8" t="str">
        <x:v>Cash available to equity</x:v>
      </x:c>
      <x:c r="B39" s="14"/>
      <x:c r="C39" s="14"/>
      <x:c r="D39" s="8"/>
      <x:c r="E39" s="8"/>
    </x:row>
    <x:row r="40" ht="34" customHeight="1">
      <x:c r="A40" s="2" t="str">
        <x:v>After-tax interest</x:v>
      </x:c>
      <x:c r="B40" s="6"/>
      <x:c r="C40" s="19"/>
      <x:c r="D40" s="2"/>
      <x:c r="E40" s="9" t="str">
        <x:v>Interest × (1 − tax rate).</x:v>
      </x:c>
    </x:row>
    <x:row r="41" ht="34" customHeight="1">
      <x:c r="A41" s="2" t="str">
        <x:v>Net borrowing</x:v>
      </x:c>
      <x:c r="B41" s="6"/>
      <x:c r="C41" s="19"/>
      <x:c r="D41" s="2"/>
      <x:c r="E41" s="9" t="str">
        <x:v>New debt issued less debt repaid.</x:v>
      </x:c>
    </x:row>
    <x:row r="42" ht="34" customHeight="1">
      <x:c r="A42" s="11" t="str">
        <x:v>FCFE</x:v>
      </x:c>
      <x:c r="B42" s="29"/>
      <x:c r="C42" s="30"/>
      <x:c r="D42" s="2"/>
      <x:c r="E42" s="9" t="str">
        <x:v>FCFF − after-tax interest + net borrowing.</x:v>
      </x:c>
    </x:row>
    <x:row r="43" ht="23" customHeight="1">
      <x:c r="A43" s="2" t="str">
        <x:v>FCFE from CFO (supplied)</x:v>
      </x:c>
      <x:c r="B43" s="6"/>
      <x:c r="C43" s="6" t="str">
        <x:f>IF(AND(ISNUMBER(C29),ISNUMBER(C41)),C29-C35+C41,"")</x:f>
      </x:c>
      <x:c r="D43" s="2"/>
      <x:c r="E43" s="2"/>
    </x:row>
    <x:row r="44" ht="34" customHeight="1">
      <x:c r="A44" s="11" t="str">
        <x:v>FCFE checkpoint</x:v>
      </x:c>
      <x:c r="B44" s="6"/>
      <x:c r="C44" s="18" t="str">
        <x:f>IF(AND(ISNUMBER(C40),ISNUMBER(C41),ISNUMBER(C42),ISNUMBER(C43)),IF(ABS(ABS(C40-C12*(1-C13))+ABS(C41-(Inputs!C35-Inputs!C36))+ABS(C42-C43))&lt;0.01,"OK","CHECK"),"BUILD")</x:f>
        <x:v>BUILD</x:v>
      </x:c>
      <x:c r="D44" s="2"/>
      <x:c r="E44" s="9" t="str">
        <x:v>BUILD: complete this section. CHECK: revisit its inputs, signs and formula.</x:v>
      </x:c>
    </x:row>
    <x:row r="45" ht="27" customHeight="1">
      <x:c r="A45" s="8" t="str">
        <x:v>Cash on hand after existing distributions</x:v>
      </x:c>
      <x:c r="B45" s="14"/>
      <x:c r="C45" s="14"/>
      <x:c r="D45" s="8"/>
      <x:c r="E45" s="8"/>
    </x:row>
    <x:row r="46" ht="23" customHeight="1">
      <x:c r="A46" s="2" t="str">
        <x:v>Beginning cash</x:v>
      </x:c>
      <x:c r="B46" s="6"/>
      <x:c r="C46" s="18" t="n">
        <x:f>'Inputs'!B24</x:f>
        <x:v>80</x:v>
      </x:c>
      <x:c r="D46" s="2"/>
      <x:c r="E46" s="2"/>
    </x:row>
    <x:row r="47" ht="23" customHeight="1">
      <x:c r="A47" s="2" t="str">
        <x:v>CFO</x:v>
      </x:c>
      <x:c r="B47" s="6"/>
      <x:c r="C47" s="6" t="str">
        <x:f>IF(ISNUMBER(C29),C29,"")</x:f>
      </x:c>
      <x:c r="D47" s="2"/>
      <x:c r="E47" s="2"/>
    </x:row>
    <x:row r="48" ht="23" customHeight="1">
      <x:c r="A48" s="2" t="str">
        <x:v>Less: CapEx</x:v>
      </x:c>
      <x:c r="B48" s="6"/>
      <x:c r="C48" s="6" t="n">
        <x:f>C35</x:f>
        <x:v>85</x:v>
      </x:c>
      <x:c r="D48" s="2"/>
      <x:c r="E48" s="2"/>
    </x:row>
    <x:row r="49" ht="23" customHeight="1">
      <x:c r="A49" s="2" t="str">
        <x:v>Net borrowing</x:v>
      </x:c>
      <x:c r="B49" s="6"/>
      <x:c r="C49" s="6" t="str">
        <x:f>IF(ISNUMBER(C41),C41,"")</x:f>
      </x:c>
      <x:c r="D49" s="2"/>
      <x:c r="E49" s="2"/>
    </x:row>
    <x:row r="50" ht="23" customHeight="1">
      <x:c r="A50" s="2" t="str">
        <x:v>Less: dividends already paid</x:v>
      </x:c>
      <x:c r="B50" s="6"/>
      <x:c r="C50" s="18" t="n">
        <x:f>'Inputs'!C12</x:f>
        <x:v>30</x:v>
      </x:c>
      <x:c r="D50" s="2"/>
      <x:c r="E50" s="2"/>
    </x:row>
    <x:row r="51" ht="23" customHeight="1">
      <x:c r="A51" s="2" t="str">
        <x:v>New stock issued</x:v>
      </x:c>
      <x:c r="B51" s="6"/>
      <x:c r="C51" s="18" t="n">
        <x:f>'Inputs'!C37</x:f>
        <x:v>0</x:v>
      </x:c>
      <x:c r="D51" s="2"/>
      <x:c r="E51" s="2"/>
    </x:row>
    <x:row r="52" ht="23" customHeight="1">
      <x:c r="A52" s="2" t="str">
        <x:v>Less: share repurchases</x:v>
      </x:c>
      <x:c r="B52" s="6"/>
      <x:c r="C52" s="18" t="n">
        <x:f>'Inputs'!C38</x:f>
        <x:v>0</x:v>
      </x:c>
      <x:c r="D52" s="2"/>
      <x:c r="E52" s="2"/>
    </x:row>
    <x:row r="53" ht="34" customHeight="1">
      <x:c r="A53" s="11" t="str">
        <x:v>Ending cash before additional payout</x:v>
      </x:c>
      <x:c r="B53" s="29"/>
      <x:c r="C53" s="30"/>
      <x:c r="D53" s="2"/>
      <x:c r="E53" s="9" t="str">
        <x:v>Beginning cash + CFO − CapEx + net borrowing − dividends + stock issued − repurchases.</x:v>
      </x:c>
    </x:row>
    <x:row r="54" ht="34" customHeight="1">
      <x:c r="A54" s="11" t="str">
        <x:v>Cash checkpoint</x:v>
      </x:c>
      <x:c r="B54" s="6"/>
      <x:c r="C54" s="6" t="str">
        <x:f>IF(AND(ISNUMBER(C47),ISNUMBER(C49),ISNUMBER(C53)),IF(ABS(C53-(C46+C47-C48+C49-C50+C51-C52))&lt;0.01,"OK","CHECK"),"BUILD")</x:f>
        <x:v>BUILD</x:v>
      </x:c>
      <x:c r="D54" s="2"/>
      <x:c r="E54" s="9" t="str">
        <x:v>BUILD: complete this section. CHECK: revisit its inputs, signs and formula.</x:v>
      </x:c>
    </x:row>
    <x:row r="55" ht="27" customHeight="1">
      <x:c r="A55" s="8" t="str">
        <x:v>Operating context</x:v>
      </x:c>
      <x:c r="B55" s="14"/>
      <x:c r="C55" s="14"/>
      <x:c r="D55" s="8"/>
      <x:c r="E55" s="8"/>
    </x:row>
    <x:row r="56" ht="23" customHeight="1">
      <x:c r="A56" s="2" t="str">
        <x:v>EBIT margin</x:v>
      </x:c>
      <x:c r="B56" s="21" t="n">
        <x:f>B11/B7</x:f>
        <x:v>0.13</x:v>
      </x:c>
      <x:c r="C56" s="21" t="str">
        <x:f>IF(ISNUMBER(C11),C11/C7,"")</x:f>
      </x:c>
      <x:c r="D56" s="2"/>
      <x:c r="E56" s="2"/>
    </x:row>
    <x:row r="57" ht="23" customHeight="1">
      <x:c r="A57" s="2" t="str">
        <x:v>Operating NWC / revenue</x:v>
      </x:c>
      <x:c r="B57" s="21" t="str">
        <x:f>IF(ISNUMBER(B22),B22/B7,"")</x:f>
      </x:c>
      <x:c r="C57" s="21" t="str">
        <x:f>IF(ISNUMBER(C22),C22/C7,"")</x:f>
      </x:c>
      <x:c r="D57" s="2"/>
      <x:c r="E57" s="2"/>
    </x:row>
    <x:row r="58" ht="23" customHeight="1">
      <x:c r="A58" s="2"/>
      <x:c r="B58" s="6"/>
      <x:c r="C58" s="6"/>
      <x:c r="D58" s="2"/>
      <x:c r="E58" s="2"/>
    </x:row>
    <x:row r="59" ht="29" customHeight="1">
      <x:c r="A59" s="9" t="str">
        <x:v>Explain the working-capital effect</x:v>
      </x:c>
      <x:c r="B59" s="25"/>
      <x:c r="C59" s="25"/>
      <x:c r="D59" s="26"/>
      <x:c r="E59" s="26"/>
    </x:row>
    <x:row r="60" ht="29" customHeight="1">
      <x:c r="A60" s="2"/>
      <x:c r="B60" s="25"/>
      <x:c r="C60" s="25"/>
      <x:c r="D60" s="26"/>
      <x:c r="E60" s="26"/>
    </x:row>
    <x:row r="61" ht="23" customHeight="1">
      <x:c r="A61" s="2"/>
      <x:c r="B61" s="6"/>
      <x:c r="C61" s="6"/>
      <x:c r="D61" s="2"/>
      <x:c r="E61" s="2"/>
    </x:row>
  </x:sheetData>
  <x:mergeCells>
    <x:mergeCell ref="A1:E1"/>
    <x:mergeCell ref="A2:E3"/>
    <x:mergeCell ref="A6:E6"/>
    <x:mergeCell ref="A16:E16"/>
    <x:mergeCell ref="A25:E25"/>
    <x:mergeCell ref="A31:E31"/>
    <x:mergeCell ref="A39:E39"/>
    <x:mergeCell ref="A45:E45"/>
    <x:mergeCell ref="A55:E55"/>
    <x:mergeCell ref="B59:E60"/>
  </x:mergeCells>
  <x:conditionalFormatting sqref="C15:C15">
    <x:cfRule type="containsText" dxfId="0" priority="1" operator="containsText" text="CHECK"/>
  </x:conditionalFormatting>
  <x:conditionalFormatting sqref="C24:C24">
    <x:cfRule type="containsText" dxfId="1" priority="2" operator="containsText" text="CHECK"/>
  </x:conditionalFormatting>
  <x:conditionalFormatting sqref="C30:C30">
    <x:cfRule type="containsText" dxfId="2" priority="3" operator="containsText" text="CHECK"/>
  </x:conditionalFormatting>
  <x:conditionalFormatting sqref="C38:C38">
    <x:cfRule type="containsText" dxfId="3" priority="4" operator="containsText" text="CHECK"/>
  </x:conditionalFormatting>
  <x:conditionalFormatting sqref="C44:C44">
    <x:cfRule type="containsText" dxfId="4" priority="5" operator="containsText" text="CHECK"/>
  </x:conditionalFormatting>
  <x:conditionalFormatting sqref="C54:C54">
    <x:cfRule type="containsText" dxfId="5" priority="6" operator="containsText" text="CHECK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5" hidden="0" customWidth="1"/>
    <x:col min="5" max="5" width="66" hidden="0" customWidth="1"/>
  </x:cols>
  <x:sheetData>
    <x:row r="1" ht="32" customHeight="1">
      <x:c r="A1" s="3" t="str">
        <x:v>Coastal Outfitters: decide and explain</x:v>
      </x:c>
      <x:c r="B1" s="3"/>
      <x:c r="C1" s="3"/>
      <x:c r="D1" s="3"/>
      <x:c r="E1" s="3"/>
    </x:row>
    <x:row r="2" ht="23" customHeight="1">
      <x:c r="A2" s="5" t="str">
        <x:v>Draft the payout decision first. After the inventory experiment, restore 170 and finalize your recommendation. Complete the discount-rate responses after the valuation discussion.</x:v>
      </x:c>
      <x:c r="B2" s="5"/>
      <x:c r="C2" s="5"/>
      <x:c r="D2" s="5"/>
      <x:c r="E2" s="5"/>
    </x:row>
    <x:row r="3" ht="23" customHeight="1">
      <x:c r="A3" s="5"/>
      <x:c r="B3" s="5"/>
      <x:c r="C3" s="5"/>
      <x:c r="D3" s="5"/>
      <x:c r="E3" s="5"/>
    </x:row>
    <x:row r="4" ht="23" customHeight="1">
      <x:c r="A4" s="2"/>
      <x:c r="B4" s="2"/>
      <x:c r="C4" s="2"/>
      <x:c r="D4" s="2"/>
      <x:c r="E4" s="2"/>
    </x:row>
    <x:row r="5" ht="27" customHeight="1">
      <x:c r="A5" s="8" t="str">
        <x:v>Payout capacity</x:v>
      </x:c>
      <x:c r="B5" s="8"/>
      <x:c r="C5" s="8"/>
      <x:c r="D5" s="8"/>
      <x:c r="E5" s="8"/>
    </x:row>
    <x:row r="6" ht="23" customHeight="1">
      <x:c r="A6" s="2" t="str">
        <x:v>FCFE for the year</x:v>
      </x:c>
      <x:c r="B6" s="6"/>
      <x:c r="C6" s="18" t="str">
        <x:f>IF(ISNUMBER('Cash Flow'!C42),'Cash Flow'!C42,"")</x:f>
      </x:c>
      <x:c r="D6" s="2"/>
      <x:c r="E6" s="2"/>
    </x:row>
    <x:row r="7" ht="23" customHeight="1">
      <x:c r="A7" s="2" t="str">
        <x:v>Dividends already paid</x:v>
      </x:c>
      <x:c r="B7" s="6"/>
      <x:c r="C7" s="18" t="n">
        <x:f>'Inputs'!C12</x:f>
        <x:v>30</x:v>
      </x:c>
      <x:c r="D7" s="2"/>
      <x:c r="E7" s="2"/>
    </x:row>
    <x:row r="8" ht="23" customHeight="1">
      <x:c r="A8" s="2" t="str">
        <x:v>Share repurchases already made</x:v>
      </x:c>
      <x:c r="B8" s="6"/>
      <x:c r="C8" s="18" t="n">
        <x:f>'Inputs'!C38</x:f>
        <x:v>0</x:v>
      </x:c>
      <x:c r="D8" s="2"/>
      <x:c r="E8" s="2"/>
    </x:row>
    <x:row r="9" ht="34" customHeight="1">
      <x:c r="A9" s="11" t="str">
        <x:v>FCFE less existing distributions</x:v>
      </x:c>
      <x:c r="B9" s="29"/>
      <x:c r="C9" s="30"/>
      <x:c r="D9" s="2"/>
      <x:c r="E9" s="9" t="str">
        <x:v>This is current-year FCFE left after existing payouts, not the cash balance.</x:v>
      </x:c>
    </x:row>
    <x:row r="10" ht="23" customHeight="1">
      <x:c r="A10" s="2" t="str">
        <x:v>Ending cash before additional payout</x:v>
      </x:c>
      <x:c r="B10" s="6"/>
      <x:c r="C10" s="18" t="str">
        <x:f>IF(ISNUMBER('Cash Flow'!C53),'Cash Flow'!C53,"")</x:f>
      </x:c>
      <x:c r="D10" s="2"/>
      <x:c r="E10" s="2"/>
    </x:row>
    <x:row r="11" ht="23" customHeight="1">
      <x:c r="A11" s="2" t="str">
        <x:v>Proposed additional payout</x:v>
      </x:c>
      <x:c r="B11" s="6"/>
      <x:c r="C11" s="18" t="n">
        <x:f>'Inputs'!C42</x:f>
        <x:v>50</x:v>
      </x:c>
      <x:c r="D11" s="2"/>
      <x:c r="E11" s="2"/>
    </x:row>
    <x:row r="12" ht="23" customHeight="1">
      <x:c r="A12" s="11" t="str">
        <x:v>Cash after proposed payout</x:v>
      </x:c>
      <x:c r="B12" s="29"/>
      <x:c r="C12" s="30"/>
      <x:c r="D12" s="2"/>
      <x:c r="E12" s="2"/>
    </x:row>
    <x:row r="13" ht="23" customHeight="1">
      <x:c r="A13" s="2" t="str">
        <x:v>Minimum cash reserve</x:v>
      </x:c>
      <x:c r="B13" s="6"/>
      <x:c r="C13" s="18" t="n">
        <x:f>'Inputs'!C43</x:f>
        <x:v>90</x:v>
      </x:c>
      <x:c r="D13" s="2"/>
      <x:c r="E13" s="2"/>
    </x:row>
    <x:row r="14" ht="23" customHeight="1">
      <x:c r="A14" s="11" t="str">
        <x:v>Reserve surplus / (shortfall)</x:v>
      </x:c>
      <x:c r="B14" s="29"/>
      <x:c r="C14" s="30"/>
      <x:c r="D14" s="2"/>
      <x:c r="E14" s="2"/>
    </x:row>
    <x:row r="15" ht="34" customHeight="1">
      <x:c r="A15" s="11" t="str">
        <x:v>Maximum additional payout</x:v>
      </x:c>
      <x:c r="B15" s="29"/>
      <x:c r="C15" s="30"/>
      <x:c r="D15" s="2"/>
      <x:c r="E15" s="9" t="str">
        <x:v>Use MAX(0, cash before payout − reserve). A ceiling is not a recommendation.</x:v>
      </x:c>
    </x:row>
    <x:row r="16" ht="34" customHeight="1">
      <x:c r="A16" s="2" t="str">
        <x:v>Recommended additional payout</x:v>
      </x:c>
      <x:c r="B16" s="6"/>
      <x:c r="C16" s="19"/>
      <x:c r="D16" s="2"/>
      <x:c r="E16" s="9" t="str">
        <x:v>Enter a nonnegative dollar amount. Explain any choice below the maximum.</x:v>
      </x:c>
    </x:row>
    <x:row r="17" ht="34" customHeight="1">
      <x:c r="A17" s="11" t="str">
        <x:v>Payout calculation checkpoint</x:v>
      </x:c>
      <x:c r="B17" s="6"/>
      <x:c r="C17" s="6" t="str">
        <x:f>IF(AND(ISNUMBER(C6),ISNUMBER(C9),ISNUMBER(C10),ISNUMBER(C12),ISNUMBER(C14),ISNUMBER(C15)),IF(ABS(ABS(C9-(C6-C7-C8))+ABS(C12-(C10-C11))+ABS(C14-(C12-C13))+ABS(C15-MAX(0,C10-C13)))&lt;0.01,"OK","CHECK"),"BUILD")</x:f>
        <x:v>BUILD</x:v>
      </x:c>
      <x:c r="D17" s="2"/>
      <x:c r="E17" s="9" t="str">
        <x:v>BUILD: complete this section. CHECK: revisit its inputs, signs and formula.</x:v>
      </x:c>
    </x:row>
    <x:row r="18" ht="34" customHeight="1">
      <x:c r="A18" s="2" t="str">
        <x:v>Recommendation feasibility</x:v>
      </x:c>
      <x:c r="B18" s="6"/>
      <x:c r="C18" s="6" t="str">
        <x:f>IF(AND(ISNUMBER(C10),ISNUMBER(C16)),IF(AND(C16&gt;=0,C10-C16&gt;=C13),"FEASIBLE","REVISE"),"BUILD")</x:f>
        <x:v>BUILD</x:v>
      </x:c>
      <x:c r="D18" s="2"/>
      <x:c r="E18" s="9" t="str">
        <x:v>Checks the reserve only. Explain business risk and alternatives below.</x:v>
      </x:c>
    </x:row>
    <x:row r="19" ht="23" customHeight="1">
      <x:c r="A19" s="2"/>
      <x:c r="B19" s="6"/>
      <x:c r="C19" s="6"/>
      <x:c r="D19" s="2"/>
      <x:c r="E19" s="2"/>
    </x:row>
    <x:row r="20" ht="27" customHeight="1">
      <x:c r="A20" s="8" t="str">
        <x:v>Draft now; finalize after the experiment and debrief</x:v>
      </x:c>
      <x:c r="B20" s="14"/>
      <x:c r="C20" s="14"/>
      <x:c r="D20" s="8"/>
      <x:c r="E20" s="8"/>
    </x:row>
    <x:row r="21" ht="29" customHeight="1">
      <x:c r="A21" s="9" t="str">
        <x:v>Claim and evidence</x:v>
      </x:c>
      <x:c r="B21" s="25"/>
      <x:c r="C21" s="25"/>
      <x:c r="D21" s="26"/>
      <x:c r="E21" s="26"/>
    </x:row>
    <x:row r="22" ht="29" customHeight="1">
      <x:c r="A22" s="2"/>
      <x:c r="B22" s="25"/>
      <x:c r="C22" s="25"/>
      <x:c r="D22" s="26"/>
      <x:c r="E22" s="26"/>
    </x:row>
    <x:row r="23" ht="23" customHeight="1">
      <x:c r="A23" s="2"/>
      <x:c r="B23" s="6"/>
      <x:c r="C23" s="6"/>
      <x:c r="D23" s="2"/>
      <x:c r="E23" s="2"/>
    </x:row>
    <x:row r="24" ht="29" customHeight="1">
      <x:c r="A24" s="9" t="str">
        <x:v>Risk and monitoring trigger</x:v>
      </x:c>
      <x:c r="B24" s="25"/>
      <x:c r="C24" s="25"/>
      <x:c r="D24" s="26"/>
      <x:c r="E24" s="26"/>
    </x:row>
    <x:row r="25" ht="29" customHeight="1">
      <x:c r="A25" s="2"/>
      <x:c r="B25" s="25"/>
      <x:c r="C25" s="25"/>
      <x:c r="D25" s="26"/>
      <x:c r="E25" s="26"/>
    </x:row>
    <x:row r="26" ht="23" customHeight="1">
      <x:c r="A26" s="2"/>
      <x:c r="B26" s="6"/>
      <x:c r="C26" s="6"/>
      <x:c r="D26" s="2"/>
      <x:c r="E26" s="2"/>
    </x:row>
    <x:row r="27" ht="29" customHeight="1">
      <x:c r="A27" s="9" t="str">
        <x:v>FCFE versus cash on hand</x:v>
      </x:c>
      <x:c r="B27" s="25"/>
      <x:c r="C27" s="25"/>
      <x:c r="D27" s="26"/>
      <x:c r="E27" s="26"/>
    </x:row>
    <x:row r="28" ht="29" customHeight="1">
      <x:c r="A28" s="2"/>
      <x:c r="B28" s="25"/>
      <x:c r="C28" s="25"/>
      <x:c r="D28" s="26"/>
      <x:c r="E28" s="26"/>
    </x:row>
    <x:row r="29" ht="23" customHeight="1">
      <x:c r="A29" s="2"/>
      <x:c r="B29" s="6"/>
      <x:c r="C29" s="6"/>
      <x:c r="D29" s="2"/>
      <x:c r="E29" s="2"/>
    </x:row>
    <x:row r="30" ht="29" customHeight="1">
      <x:c r="A30" s="9" t="str">
        <x:v>Borrowing and operating performance</x:v>
      </x:c>
      <x:c r="B30" s="25"/>
      <x:c r="C30" s="25"/>
      <x:c r="D30" s="26"/>
      <x:c r="E30" s="26"/>
    </x:row>
    <x:row r="31" ht="29" customHeight="1">
      <x:c r="A31" s="2"/>
      <x:c r="B31" s="25"/>
      <x:c r="C31" s="25"/>
      <x:c r="D31" s="26"/>
      <x:c r="E31" s="26"/>
    </x:row>
    <x:row r="32" ht="23" customHeight="1">
      <x:c r="A32" s="2"/>
      <x:c r="B32" s="6"/>
      <x:c r="C32" s="6"/>
      <x:c r="D32" s="2"/>
      <x:c r="E32" s="2"/>
    </x:row>
    <x:row r="33" ht="29" customHeight="1">
      <x:c r="A33" s="9" t="str">
        <x:v>After valuation: FCFF rate and value</x:v>
      </x:c>
      <x:c r="B33" s="25"/>
      <x:c r="C33" s="25"/>
      <x:c r="D33" s="26"/>
      <x:c r="E33" s="26"/>
    </x:row>
    <x:row r="34" ht="29" customHeight="1">
      <x:c r="A34" s="2"/>
      <x:c r="B34" s="25"/>
      <x:c r="C34" s="25"/>
      <x:c r="D34" s="26"/>
      <x:c r="E34" s="26"/>
    </x:row>
    <x:row r="35" ht="23" customHeight="1">
      <x:c r="A35" s="2"/>
      <x:c r="B35" s="6"/>
      <x:c r="C35" s="6"/>
      <x:c r="D35" s="2"/>
      <x:c r="E35" s="2"/>
    </x:row>
    <x:row r="36" ht="29" customHeight="1">
      <x:c r="A36" s="9" t="str">
        <x:v>After valuation: FCFE rate and value</x:v>
      </x:c>
      <x:c r="B36" s="25"/>
      <x:c r="C36" s="25"/>
      <x:c r="D36" s="26"/>
      <x:c r="E36" s="26"/>
    </x:row>
    <x:row r="37" ht="29" customHeight="1">
      <x:c r="A37" s="2"/>
      <x:c r="B37" s="25"/>
      <x:c r="C37" s="25"/>
      <x:c r="D37" s="26"/>
      <x:c r="E37" s="26"/>
    </x:row>
    <x:row r="38" ht="23" customHeight="1">
      <x:c r="A38" s="2"/>
      <x:c r="B38" s="6"/>
      <x:c r="C38" s="6"/>
      <x:c r="D38" s="2"/>
      <x:c r="E38" s="2"/>
    </x:row>
    <x:row r="39" ht="27" customHeight="1">
      <x:c r="A39" s="8" t="str">
        <x:v>Inventory experiment: predict, change, explain, restore</x:v>
      </x:c>
      <x:c r="B39" s="14"/>
      <x:c r="C39" s="14"/>
      <x:c r="D39" s="8"/>
      <x:c r="E39" s="8"/>
    </x:row>
    <x:row r="40" ht="23" customHeight="1">
      <x:c r="A40" s="9" t="str">
        <x:v>First predict the effect of $60 million more ending inventory. Then change Inputs!C17 from 170 to 230. Record the observed changes below. Restore 170 before submitting.</x:v>
      </x:c>
      <x:c r="B40" s="10"/>
      <x:c r="C40" s="10"/>
      <x:c r="D40" s="9"/>
      <x:c r="E40" s="9"/>
    </x:row>
    <x:row r="41" ht="23" customHeight="1">
      <x:c r="A41" s="9"/>
      <x:c r="B41" s="10"/>
      <x:c r="C41" s="10"/>
      <x:c r="D41" s="9"/>
      <x:c r="E41" s="9"/>
    </x:row>
    <x:row r="42" ht="29" customHeight="1">
      <x:c r="A42" s="9" t="str">
        <x:v>Prediction before changing the input</x:v>
      </x:c>
      <x:c r="B42" s="25"/>
      <x:c r="C42" s="25"/>
      <x:c r="D42" s="26"/>
      <x:c r="E42" s="26"/>
    </x:row>
    <x:row r="43" ht="29" customHeight="1">
      <x:c r="A43" s="2"/>
      <x:c r="B43" s="25"/>
      <x:c r="C43" s="25"/>
      <x:c r="D43" s="26"/>
      <x:c r="E43" s="26"/>
    </x:row>
    <x:row r="44" ht="23" customHeight="1">
      <x:c r="A44" s="2"/>
      <x:c r="B44" s="6"/>
      <x:c r="C44" s="6"/>
      <x:c r="D44" s="2"/>
      <x:c r="E44" s="2"/>
    </x:row>
    <x:row r="45" ht="29" customHeight="1">
      <x:c r="A45" s="9" t="str">
        <x:v>Observed results and explanation</x:v>
      </x:c>
      <x:c r="B45" s="25"/>
      <x:c r="C45" s="25"/>
      <x:c r="D45" s="26"/>
      <x:c r="E45" s="26"/>
    </x:row>
    <x:row r="46" ht="29" customHeight="1">
      <x:c r="A46" s="2"/>
      <x:c r="B46" s="25"/>
      <x:c r="C46" s="25"/>
      <x:c r="D46" s="26"/>
      <x:c r="E46" s="26"/>
    </x:row>
    <x:row r="47" ht="23" customHeight="1">
      <x:c r="A47" s="2"/>
      <x:c r="B47" s="6"/>
      <x:c r="C47" s="6"/>
      <x:c r="D47" s="2"/>
      <x:c r="E47" s="2"/>
    </x:row>
    <x:row r="48" ht="29" customHeight="1">
      <x:c r="A48" s="9" t="str">
        <x:v>Does negative FCF mean failure?</x:v>
      </x:c>
      <x:c r="B48" s="25"/>
      <x:c r="C48" s="25"/>
      <x:c r="D48" s="26"/>
      <x:c r="E48" s="26"/>
    </x:row>
    <x:row r="49" ht="29" customHeight="1">
      <x:c r="A49" s="2"/>
      <x:c r="B49" s="25"/>
      <x:c r="C49" s="25"/>
      <x:c r="D49" s="26"/>
      <x:c r="E49" s="26"/>
    </x:row>
    <x:row r="50" ht="23" customHeight="1">
      <x:c r="A50" s="2"/>
      <x:c r="B50" s="6"/>
      <x:c r="C50" s="6"/>
      <x:c r="D50" s="2"/>
      <x:c r="E50" s="2"/>
    </x:row>
    <x:row r="51" ht="34" customHeight="1">
      <x:c r="A51" s="2" t="str">
        <x:v>Inventory restored</x:v>
      </x:c>
      <x:c r="B51" s="6"/>
      <x:c r="C51" s="18" t="str">
        <x:f>IF(Inputs!C17=170,"RESTORED","RESTORE")</x:f>
        <x:v>RESTORED</x:v>
      </x:c>
      <x:c r="D51" s="2"/>
      <x:c r="E51" s="9" t="str">
        <x:v>Restore the base case before finalizing the payout recommendation.</x:v>
      </x:c>
    </x:row>
    <x:row r="52" ht="23" customHeight="1">
      <x:c r="A52" s="2"/>
      <x:c r="B52" s="6"/>
      <x:c r="C52" s="6"/>
      <x:c r="D52" s="2"/>
      <x:c r="E52" s="2"/>
    </x:row>
    <x:row r="53" ht="23" customHeight="1">
      <x:c r="A53" s="2"/>
      <x:c r="B53" s="6"/>
      <x:c r="C53" s="6"/>
      <x:c r="D53" s="2"/>
      <x:c r="E53" s="2"/>
    </x:row>
    <x:row r="54" ht="23" customHeight="1">
      <x:c r="A54" s="2"/>
      <x:c r="B54" s="6"/>
      <x:c r="C54" s="6"/>
      <x:c r="D54" s="2"/>
      <x:c r="E54" s="2"/>
    </x:row>
  </x:sheetData>
  <x:mergeCells>
    <x:mergeCell ref="A1:E1"/>
    <x:mergeCell ref="A2:E3"/>
    <x:mergeCell ref="A5:E5"/>
    <x:mergeCell ref="A20:E20"/>
    <x:mergeCell ref="B21:E22"/>
    <x:mergeCell ref="B24:E25"/>
    <x:mergeCell ref="B27:E28"/>
    <x:mergeCell ref="B30:E31"/>
    <x:mergeCell ref="B33:E34"/>
    <x:mergeCell ref="B36:E37"/>
    <x:mergeCell ref="A39:E39"/>
    <x:mergeCell ref="A40:E41"/>
    <x:mergeCell ref="B42:E43"/>
    <x:mergeCell ref="B45:E46"/>
    <x:mergeCell ref="B48:E49"/>
  </x:mergeCells>
  <x:conditionalFormatting sqref="C17:C17">
    <x:cfRule type="containsText" dxfId="6" priority="1" operator="containsText" text="CHEC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5" hidden="0" customWidth="1"/>
    <x:col min="5" max="5" width="66" hidden="0" customWidth="1"/>
  </x:cols>
  <x:sheetData>
    <x:row r="1" ht="32" customHeight="1">
      <x:c r="A1" s="3" t="str">
        <x:v>Optional: connect cash flow to the balance sheet</x:v>
      </x:c>
      <x:c r="B1" s="3"/>
      <x:c r="C1" s="3"/>
      <x:c r="D1" s="3"/>
      <x:c r="E1" s="3"/>
    </x:row>
    <x:row r="2" ht="23" customHeight="1">
      <x:c r="A2" s="5" t="str">
        <x:v>Complete after the required activity. Opening balances and routine links are supplied. Yellow cells are the optional rollforwards and totals; this sheet does not feed the core decision.</x:v>
      </x:c>
      <x:c r="B2" s="5"/>
      <x:c r="C2" s="5"/>
      <x:c r="D2" s="5"/>
      <x:c r="E2" s="5"/>
    </x:row>
    <x:row r="3" ht="23" customHeight="1">
      <x:c r="A3" s="5"/>
      <x:c r="B3" s="5"/>
      <x:c r="C3" s="5"/>
      <x:c r="D3" s="5"/>
      <x:c r="E3" s="5"/>
    </x:row>
    <x:row r="4" ht="23" customHeight="1">
      <x:c r="A4" s="2"/>
      <x:c r="B4" s="2"/>
      <x:c r="C4" s="2"/>
      <x:c r="D4" s="2"/>
      <x:c r="E4" s="2"/>
    </x:row>
    <x:row r="5" ht="23" customHeight="1">
      <x:c r="A5" s="28" t="str">
        <x:v>Balance sheet</x:v>
      </x:c>
      <x:c r="B5" s="28" t="str">
        <x:v>2025</x:v>
      </x:c>
      <x:c r="C5" s="28" t="str">
        <x:v>2026</x:v>
      </x:c>
      <x:c r="D5" s="2"/>
      <x:c r="E5" s="2"/>
    </x:row>
    <x:row r="6" ht="23" customHeight="1">
      <x:c r="A6" s="2" t="str">
        <x:v>Cash</x:v>
      </x:c>
      <x:c r="B6" s="18" t="n">
        <x:f>'Inputs'!B24</x:f>
        <x:v>80</x:v>
      </x:c>
      <x:c r="C6" s="18" t="str">
        <x:f>IF(ISNUMBER('Cash Flow'!C53),'Cash Flow'!C53,"")</x:f>
      </x:c>
      <x:c r="D6" s="2"/>
      <x:c r="E6" s="2"/>
    </x:row>
    <x:row r="7" ht="23" customHeight="1">
      <x:c r="A7" s="2" t="str">
        <x:v>Accounts receivable</x:v>
      </x:c>
      <x:c r="B7" s="18" t="n">
        <x:f>'Inputs'!B16</x:f>
        <x:v>110</x:v>
      </x:c>
      <x:c r="C7" s="18" t="n">
        <x:f>'Inputs'!C16</x:f>
        <x:v>135</x:v>
      </x:c>
      <x:c r="D7" s="2"/>
      <x:c r="E7" s="2"/>
    </x:row>
    <x:row r="8" ht="23" customHeight="1">
      <x:c r="A8" s="2" t="str">
        <x:v>Inventory</x:v>
      </x:c>
      <x:c r="B8" s="18" t="n">
        <x:f>'Inputs'!B17</x:f>
        <x:v>145</x:v>
      </x:c>
      <x:c r="C8" s="18" t="n">
        <x:f>'Inputs'!C17</x:f>
        <x:v>170</x:v>
      </x:c>
      <x:c r="D8" s="2"/>
      <x:c r="E8" s="2"/>
    </x:row>
    <x:row r="9" ht="23" customHeight="1">
      <x:c r="A9" s="2" t="str">
        <x:v>Other operating current assets</x:v>
      </x:c>
      <x:c r="B9" s="18" t="n">
        <x:f>'Inputs'!B18</x:f>
        <x:v>20</x:v>
      </x:c>
      <x:c r="C9" s="18" t="n">
        <x:f>'Inputs'!C18</x:f>
        <x:v>22</x:v>
      </x:c>
      <x:c r="D9" s="2"/>
      <x:c r="E9" s="2"/>
    </x:row>
    <x:row r="10" ht="23" customHeight="1">
      <x:c r="A10" s="2" t="str">
        <x:v>Total current assets</x:v>
      </x:c>
      <x:c r="B10" s="6" t="n">
        <x:f>SUM(B6:B9)</x:f>
        <x:v>355</x:v>
      </x:c>
      <x:c r="C10" s="19"/>
      <x:c r="D10" s="2"/>
      <x:c r="E10" s="2"/>
    </x:row>
    <x:row r="11" ht="34" customHeight="1">
      <x:c r="A11" s="2" t="str">
        <x:v>Net PP&amp;E</x:v>
      </x:c>
      <x:c r="B11" s="18" t="n">
        <x:f>'Inputs'!B25</x:f>
        <x:v>420</x:v>
      </x:c>
      <x:c r="C11" s="19"/>
      <x:c r="D11" s="2"/>
      <x:c r="E11" s="9" t="str">
        <x:v>Opening PP&amp;E + CapEx − D&amp;A.</x:v>
      </x:c>
    </x:row>
    <x:row r="12" ht="23" customHeight="1">
      <x:c r="A12" s="2" t="str">
        <x:v>Other assets</x:v>
      </x:c>
      <x:c r="B12" s="18" t="n">
        <x:f>'Inputs'!B26</x:f>
        <x:v>40</x:v>
      </x:c>
      <x:c r="C12" s="18" t="n">
        <x:f>'Inputs'!C26</x:f>
        <x:v>40</x:v>
      </x:c>
      <x:c r="D12" s="2"/>
      <x:c r="E12" s="2"/>
    </x:row>
    <x:row r="13" ht="23" customHeight="1">
      <x:c r="A13" s="2" t="str">
        <x:v>Total assets</x:v>
      </x:c>
      <x:c r="B13" s="6" t="n">
        <x:f>SUM(B10:B12)</x:f>
        <x:v>815</x:v>
      </x:c>
      <x:c r="C13" s="19"/>
      <x:c r="D13" s="2"/>
      <x:c r="E13" s="2"/>
    </x:row>
    <x:row r="14" ht="23" customHeight="1">
      <x:c r="A14" s="2"/>
      <x:c r="B14" s="6"/>
      <x:c r="C14" s="6"/>
      <x:c r="D14" s="2"/>
      <x:c r="E14" s="2"/>
    </x:row>
    <x:row r="15" ht="23" customHeight="1">
      <x:c r="A15" s="2"/>
      <x:c r="B15" s="6"/>
      <x:c r="C15" s="6"/>
      <x:c r="D15" s="2"/>
      <x:c r="E15" s="2"/>
    </x:row>
    <x:row r="16" ht="23" customHeight="1">
      <x:c r="A16" s="2" t="str">
        <x:v>Accounts payable</x:v>
      </x:c>
      <x:c r="B16" s="18" t="n">
        <x:f>'Inputs'!B19</x:f>
        <x:v>90</x:v>
      </x:c>
      <x:c r="C16" s="18" t="n">
        <x:f>'Inputs'!C19</x:f>
        <x:v>100</x:v>
      </x:c>
      <x:c r="D16" s="2"/>
      <x:c r="E16" s="2"/>
    </x:row>
    <x:row r="17" ht="23" customHeight="1">
      <x:c r="A17" s="2" t="str">
        <x:v>Other operating current liabilities</x:v>
      </x:c>
      <x:c r="B17" s="18" t="n">
        <x:f>'Inputs'!B20</x:f>
        <x:v>40</x:v>
      </x:c>
      <x:c r="C17" s="18" t="n">
        <x:f>'Inputs'!C20</x:f>
        <x:v>43</x:v>
      </x:c>
      <x:c r="D17" s="2"/>
      <x:c r="E17" s="2"/>
    </x:row>
    <x:row r="18" ht="34" customHeight="1">
      <x:c r="A18" s="2" t="str">
        <x:v>Long-term debt</x:v>
      </x:c>
      <x:c r="B18" s="18" t="n">
        <x:f>'Inputs'!B27</x:f>
        <x:v>250</x:v>
      </x:c>
      <x:c r="C18" s="19"/>
      <x:c r="D18" s="2"/>
      <x:c r="E18" s="9" t="str">
        <x:v>Opening debt + new borrowing − repayments.</x:v>
      </x:c>
    </x:row>
    <x:row r="19" ht="23" customHeight="1">
      <x:c r="A19" s="2" t="str">
        <x:v>Total liabilities</x:v>
      </x:c>
      <x:c r="B19" s="6" t="n">
        <x:f>SUM(B16:B18)</x:f>
        <x:v>380</x:v>
      </x:c>
      <x:c r="C19" s="19"/>
      <x:c r="D19" s="2"/>
      <x:c r="E19" s="2"/>
    </x:row>
    <x:row r="20" ht="23" customHeight="1">
      <x:c r="A20" s="2"/>
      <x:c r="B20" s="6"/>
      <x:c r="C20" s="6"/>
      <x:c r="D20" s="2"/>
      <x:c r="E20" s="2"/>
    </x:row>
    <x:row r="21" ht="23" customHeight="1">
      <x:c r="A21" s="2"/>
      <x:c r="B21" s="6"/>
      <x:c r="C21" s="6"/>
      <x:c r="D21" s="2"/>
      <x:c r="E21" s="2"/>
    </x:row>
    <x:row r="22" ht="34" customHeight="1">
      <x:c r="A22" s="2" t="str">
        <x:v>Common stock &amp; APIC</x:v>
      </x:c>
      <x:c r="B22" s="18" t="n">
        <x:f>'Inputs'!B28</x:f>
        <x:v>160</x:v>
      </x:c>
      <x:c r="C22" s="19"/>
      <x:c r="D22" s="2"/>
      <x:c r="E22" s="9" t="str">
        <x:v>Opening contributed capital + new stock issued.</x:v>
      </x:c>
    </x:row>
    <x:row r="23" ht="34" customHeight="1">
      <x:c r="A23" s="2" t="str">
        <x:v>Treasury stock (contra-equity)</x:v>
      </x:c>
      <x:c r="B23" s="18" t="n">
        <x:f>'Inputs'!B29</x:f>
        <x:v>0</x:v>
      </x:c>
      <x:c r="C23" s="19"/>
      <x:c r="D23" s="2"/>
      <x:c r="E23" s="9" t="str">
        <x:v>Opening treasury stock + repurchases; subtract this contra-equity balance in total equity.</x:v>
      </x:c>
    </x:row>
    <x:row r="24" ht="34" customHeight="1">
      <x:c r="A24" s="2" t="str">
        <x:v>Retained earnings</x:v>
      </x:c>
      <x:c r="B24" s="18" t="n">
        <x:f>'Inputs'!B30</x:f>
        <x:v>275</x:v>
      </x:c>
      <x:c r="C24" s="19"/>
      <x:c r="D24" s="2"/>
      <x:c r="E24" s="9" t="str">
        <x:v>Opening retained earnings + net income − dividends.</x:v>
      </x:c>
    </x:row>
    <x:row r="25" ht="34" customHeight="1">
      <x:c r="A25" s="2" t="str">
        <x:v>Total equity</x:v>
      </x:c>
      <x:c r="B25" s="6" t="n">
        <x:f>B22-B23+B24</x:f>
        <x:v>435</x:v>
      </x:c>
      <x:c r="C25" s="19"/>
      <x:c r="D25" s="2"/>
      <x:c r="E25" s="9" t="str">
        <x:v>Common stock &amp; APIC − treasury stock + retained earnings.</x:v>
      </x:c>
    </x:row>
    <x:row r="26" ht="23" customHeight="1">
      <x:c r="A26" s="2" t="str">
        <x:v>Total liabilities and equity</x:v>
      </x:c>
      <x:c r="B26" s="6" t="n">
        <x:f>B19+B25</x:f>
        <x:v>815</x:v>
      </x:c>
      <x:c r="C26" s="19"/>
      <x:c r="D26" s="2"/>
      <x:c r="E26" s="2"/>
    </x:row>
    <x:row r="27" ht="23" customHeight="1">
      <x:c r="A27" s="2"/>
      <x:c r="B27" s="6"/>
      <x:c r="C27" s="6"/>
      <x:c r="D27" s="2"/>
      <x:c r="E27" s="2"/>
    </x:row>
    <x:row r="28" ht="34" customHeight="1">
      <x:c r="A28" s="11" t="str">
        <x:v>Balance-sheet checkpoint</x:v>
      </x:c>
      <x:c r="B28" s="6"/>
      <x:c r="C28" s="6" t="str">
        <x:f>IF(AND(ISNUMBER(C6),ISNUMBER(C10),ISNUMBER(C11),ISNUMBER(C13),ISNUMBER(C18),ISNUMBER(C19),ISNUMBER(C22),ISNUMBER(C23),ISNUMBER(C24),ISNUMBER(C25),ISNUMBER(C26)),IF(ABS(C13-C26)&lt;0.01,"OK","CHECK"),"BUILD")</x:f>
        <x:v>BUILD</x:v>
      </x:c>
      <x:c r="D28" s="2"/>
      <x:c r="E28" s="9" t="str">
        <x:v>BUILD: complete this section. CHECK: revisit its inputs, signs and formula.</x:v>
      </x:c>
    </x:row>
    <x:row r="29" ht="46" customHeight="1">
      <x:c r="A29" s="2"/>
      <x:c r="B29" s="6"/>
      <x:c r="C29" s="6"/>
      <x:c r="D29" s="2"/>
      <x:c r="E29" s="9" t="str">
        <x:v>A balanced statement alone does not prove every formula is correct. Trace each rollforward to its labeled inputs.</x:v>
      </x:c>
    </x:row>
    <x:row r="30" ht="23" customHeight="1">
      <x:c r="A30" s="2"/>
      <x:c r="B30" s="6"/>
      <x:c r="C30" s="6"/>
      <x:c r="D30" s="2"/>
      <x:c r="E30" s="2"/>
    </x:row>
  </x:sheetData>
  <x:mergeCells>
    <x:mergeCell ref="A1:E1"/>
    <x:mergeCell ref="A2:E3"/>
  </x:mergeCells>
  <x:conditionalFormatting sqref="C28:C28">
    <x:cfRule type="containsText" dxfId="7" priority="1" operator="containsText" text="CHECK"/>
  </x:conditionalFormatting>
  <x:pageMargins left="0.7" right="0.7" top="0.75" bottom="0.75" header="0.3" footer="0.3"/>
</x:worksheet>
</file>