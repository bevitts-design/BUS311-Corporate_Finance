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311-Corporate_Finance/01-INTRO/M03/"/>
    </mc:Choice>
  </mc:AlternateContent>
  <xr:revisionPtr revIDLastSave="0" documentId="13_ncr:1_{725F0FFC-E2D2-084C-BDF0-E3D7F1C9B232}" xr6:coauthVersionLast="47" xr6:coauthVersionMax="47" xr10:uidLastSave="{00000000-0000-0000-0000-000000000000}"/>
  <bookViews>
    <workbookView xWindow="0" yWindow="600" windowWidth="38400" windowHeight="20040" activeTab="2" xr2:uid="{00000000-000D-0000-FFFF-FFFF00000000}"/>
  </bookViews>
  <sheets>
    <sheet name="START HERE" sheetId="1" r:id="rId1"/>
    <sheet name="Inputs" sheetId="2" r:id="rId2"/>
    <sheet name="Model" sheetId="3" r:id="rId3"/>
    <sheet name="Decision Memo" sheetId="4" r:id="rId4"/>
    <sheet name="Check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E7" i="5" s="1"/>
  <c r="E16" i="5" l="1"/>
  <c r="B16" i="5"/>
  <c r="E15" i="5"/>
  <c r="B15" i="5"/>
  <c r="E14" i="5"/>
  <c r="B14" i="5"/>
  <c r="B9" i="5"/>
  <c r="E11" i="5"/>
  <c r="B10" i="5"/>
  <c r="E13" i="5"/>
  <c r="E8" i="5"/>
  <c r="B11" i="5"/>
  <c r="B13" i="5"/>
  <c r="B8" i="5"/>
  <c r="B4" i="5"/>
  <c r="E10" i="5"/>
  <c r="E9" i="5"/>
  <c r="E12" i="5"/>
  <c r="B12" i="5"/>
</calcChain>
</file>

<file path=xl/sharedStrings.xml><?xml version="1.0" encoding="utf-8"?>
<sst xmlns="http://schemas.openxmlformats.org/spreadsheetml/2006/main" count="465" uniqueCount="304">
  <si>
    <t>Financial Statements and Cash Flow</t>
  </si>
  <si>
    <t>BUS311 · intro-m03-l01 · Coastal Outfitters integrated statement model</t>
  </si>
  <si>
    <t>Your decision</t>
  </si>
  <si>
    <t>Should Coastal approve an additional $50.0 million shareholder distribution now while preserving at least $90.0 million of ending cash?</t>
  </si>
  <si>
    <t>Step</t>
  </si>
  <si>
    <t>What to build</t>
  </si>
  <si>
    <t>Why it matters</t>
  </si>
  <si>
    <t>Audit the Inputs sheet and confirm units and signs.</t>
  </si>
  <si>
    <t>Separate givens from calculations.</t>
  </si>
  <si>
    <t>Complete the two-year income statement and compact common-size comparison.</t>
  </si>
  <si>
    <t>See whether growth improved operating quality.</t>
  </si>
  <si>
    <t>Build operating NWC, indirect OCF, and the cash rollforward.</t>
  </si>
  <si>
    <t>Trace accrual profit into cash.</t>
  </si>
  <si>
    <t>Roll PP&amp;E, debt, treasury stock, and retained earnings into the balance sheet.</t>
  </si>
  <si>
    <t>Link investing and financing to the ending position.</t>
  </si>
  <si>
    <t>Calculate FCFF and FCFE, then resolve every visible check.</t>
  </si>
  <si>
    <t>Match cash flow to the capital-provider claim.</t>
  </si>
  <si>
    <t>Write a four-part decision memo using linked evidence.</t>
  </si>
  <si>
    <t>Recommend, support, qualify, and monitor.</t>
  </si>
  <si>
    <t>Workbook conventions</t>
  </si>
  <si>
    <t>Blue text / blue fill</t>
  </si>
  <si>
    <t>Provided case inputs</t>
  </si>
  <si>
    <t>Units: $ millions</t>
  </si>
  <si>
    <t>Green text / blue fill</t>
  </si>
  <si>
    <t>Links to another worksheet</t>
  </si>
  <si>
    <t>Costs, uses, and financing outflows are entered as positive inputs and subtracted in formulas.</t>
  </si>
  <si>
    <t>Yellow fill</t>
  </si>
  <si>
    <t>Student calculation or memo cell</t>
  </si>
  <si>
    <t>The model is illustrative and self-contained; no FactSet retrieval is required here.</t>
  </si>
  <si>
    <t>Green fill</t>
  </si>
  <si>
    <t>Key output or completed total</t>
  </si>
  <si>
    <t>Use the separate CAT workbook for historical company data and trend analysis.</t>
  </si>
  <si>
    <t>Deliverable: a balanced model, all checks at OK, and a concise decision memo that cites at least three linked outputs.</t>
  </si>
  <si>
    <t>Coastal Outfitters — Provided Inputs</t>
  </si>
  <si>
    <t>Illustrative case · $ millions unless noted · 2025A is the opening/reference period; 2026A is the model year</t>
  </si>
  <si>
    <t>Operating results</t>
  </si>
  <si>
    <t>Input</t>
  </si>
  <si>
    <t>2025A</t>
  </si>
  <si>
    <t>2026A</t>
  </si>
  <si>
    <t>Interpretive note</t>
  </si>
  <si>
    <t>Revenue</t>
  </si>
  <si>
    <t>Top-line sales</t>
  </si>
  <si>
    <t>Cost of goods sold</t>
  </si>
  <si>
    <t>Product and fulfillment cost</t>
  </si>
  <si>
    <t>Cash operating expenses</t>
  </si>
  <si>
    <t>Excludes D&amp;A</t>
  </si>
  <si>
    <t>Depreciation &amp; amortization</t>
  </si>
  <si>
    <t>Noncash charge</t>
  </si>
  <si>
    <t>Interest expense</t>
  </si>
  <si>
    <t>Financing cost</t>
  </si>
  <si>
    <t>Effective tax rate</t>
  </si>
  <si>
    <t>Applied to earnings before tax</t>
  </si>
  <si>
    <t>Dividends paid</t>
  </si>
  <si>
    <t>Cash distribution to shareholders</t>
  </si>
  <si>
    <t>Operating working capital</t>
  </si>
  <si>
    <t>Accounts receivable</t>
  </si>
  <si>
    <t>Operating current asset</t>
  </si>
  <si>
    <t>Inventory</t>
  </si>
  <si>
    <t>Other operating current assets</t>
  </si>
  <si>
    <t>Accounts payable</t>
  </si>
  <si>
    <t>Operating current liability</t>
  </si>
  <si>
    <t>Other operating current liabilities</t>
  </si>
  <si>
    <t>Opening balance sheet and continuing balances</t>
  </si>
  <si>
    <t>How 2026 is determined</t>
  </si>
  <si>
    <t>Cash</t>
  </si>
  <si>
    <t>Cash-flow output</t>
  </si>
  <si>
    <t>Net PP&amp;E</t>
  </si>
  <si>
    <t>Opening PP&amp;E + CapEx − D&amp;A</t>
  </si>
  <si>
    <t>Other assets</t>
  </si>
  <si>
    <t>Provided continuing balance</t>
  </si>
  <si>
    <t>Long-term debt</t>
  </si>
  <si>
    <t>Opening debt + issuance − repayment</t>
  </si>
  <si>
    <t>Common stock &amp; APIC</t>
  </si>
  <si>
    <t>Opening balance + stock issued</t>
  </si>
  <si>
    <t>Treasury stock (contra-equity)</t>
  </si>
  <si>
    <t>Opening balance + repurchases</t>
  </si>
  <si>
    <t>Retained earnings</t>
  </si>
  <si>
    <t>Opening RE + net income − dividends</t>
  </si>
  <si>
    <t>2026 investing and financing activity</t>
  </si>
  <si>
    <t>Cash-flow classification</t>
  </si>
  <si>
    <t>Capital expenditures</t>
  </si>
  <si>
    <t>Investing use; entered as positive</t>
  </si>
  <si>
    <t>New debt issued</t>
  </si>
  <si>
    <t>Financing source</t>
  </si>
  <si>
    <t>Debt repaid</t>
  </si>
  <si>
    <t>Financing use; entered as positive</t>
  </si>
  <si>
    <t>New stock issued</t>
  </si>
  <si>
    <t>Share repurchases</t>
  </si>
  <si>
    <t>Decision guardrails</t>
  </si>
  <si>
    <t>Decision use</t>
  </si>
  <si>
    <t>Proposed additional shareholder distribution</t>
  </si>
  <si>
    <t>Test separately; not included in the model cash-flow statement</t>
  </si>
  <si>
    <t>Minimum ending cash reserve</t>
  </si>
  <si>
    <t>Liquidity guardrail</t>
  </si>
  <si>
    <t>Coastal Outfitters — Integrated Three-Statement Model</t>
  </si>
  <si>
    <t>Build in sequence. Yellow cells are student formulas; blue cells with green text are linked case inputs.</t>
  </si>
  <si>
    <t>Line item</t>
  </si>
  <si>
    <t>Formula cue</t>
  </si>
  <si>
    <t>Income statement</t>
  </si>
  <si>
    <t>Link provided sales</t>
  </si>
  <si>
    <t>Scale</t>
  </si>
  <si>
    <t>Link provided COGS</t>
  </si>
  <si>
    <t>Product economics</t>
  </si>
  <si>
    <t>Gross profit</t>
  </si>
  <si>
    <t>Revenue less COGS</t>
  </si>
  <si>
    <t>Contribution after product cost</t>
  </si>
  <si>
    <t>Link cash OpEx</t>
  </si>
  <si>
    <t>Cash cost base</t>
  </si>
  <si>
    <t>Link noncash charge</t>
  </si>
  <si>
    <t>Profit-to-cash bridge</t>
  </si>
  <si>
    <t>EBIT</t>
  </si>
  <si>
    <t>Gross profit less cash OpEx and D&amp;A</t>
  </si>
  <si>
    <t>Operating profit before financing</t>
  </si>
  <si>
    <t>Link financing cost</t>
  </si>
  <si>
    <t>Debt claim</t>
  </si>
  <si>
    <t>Earnings before tax</t>
  </si>
  <si>
    <t>EBIT less interest</t>
  </si>
  <si>
    <t>Pretax income</t>
  </si>
  <si>
    <t>Link tax rate</t>
  </si>
  <si>
    <t>After-tax conversion</t>
  </si>
  <si>
    <t>Taxes</t>
  </si>
  <si>
    <t>Pretax income times tax rate</t>
  </si>
  <si>
    <t>Tax expense</t>
  </si>
  <si>
    <t>Net income</t>
  </si>
  <si>
    <t>Pretax income less taxes</t>
  </si>
  <si>
    <t>Profit to equity</t>
  </si>
  <si>
    <t>Operating net working capital</t>
  </si>
  <si>
    <t>Link operating current asset</t>
  </si>
  <si>
    <t>Cash not yet collected</t>
  </si>
  <si>
    <t>Cash held in stock</t>
  </si>
  <si>
    <t>Other operating uses</t>
  </si>
  <si>
    <t>Link operating current liability</t>
  </si>
  <si>
    <t>Supplier financing</t>
  </si>
  <si>
    <t>Other operating sources</t>
  </si>
  <si>
    <t>Operating NWC</t>
  </si>
  <si>
    <t>Operating current assets less operating current liabilities</t>
  </si>
  <si>
    <t>Liquidity invested in operations</t>
  </si>
  <si>
    <t>Change in operating NWC</t>
  </si>
  <si>
    <t>—</t>
  </si>
  <si>
    <t>2026 NWC less 2025 NWC</t>
  </si>
  <si>
    <t>Increase is a use of cash</t>
  </si>
  <si>
    <t>2026 cash-flow statement</t>
  </si>
  <si>
    <t>Link from income statement</t>
  </si>
  <si>
    <t>Accrual starting point</t>
  </si>
  <si>
    <t>+ Depreciation &amp; amortization</t>
  </si>
  <si>
    <t>Add back noncash charge</t>
  </si>
  <si>
    <t>No current-period cash use</t>
  </si>
  <si>
    <t>− Change in operating NWC</t>
  </si>
  <si>
    <t>Subtract increase in NWC</t>
  </si>
  <si>
    <t>Working-capital use</t>
  </si>
  <si>
    <t>Cash flow from operations (OCF)</t>
  </si>
  <si>
    <t>Net income + D&amp;A − ΔNWC</t>
  </si>
  <si>
    <t>Cash generated by operations</t>
  </si>
  <si>
    <t>Link investing input</t>
  </si>
  <si>
    <t>Long-term reinvestment</t>
  </si>
  <si>
    <t>Cash flow from investing (CFI)</t>
  </si>
  <si>
    <t>CapEx entered as a cash outflow</t>
  </si>
  <si>
    <t>Investing section</t>
  </si>
  <si>
    <t>Link financing source</t>
  </si>
  <si>
    <t>Borrowing inflow</t>
  </si>
  <si>
    <t>Link financing use</t>
  </si>
  <si>
    <t>Debt outflow</t>
  </si>
  <si>
    <t>Link shareholder distribution</t>
  </si>
  <si>
    <t>Equity outflow</t>
  </si>
  <si>
    <t>Equity inflow</t>
  </si>
  <si>
    <t>Cash flow from financing (CFF)</t>
  </si>
  <si>
    <t>Sources less financing uses</t>
  </si>
  <si>
    <t>Financing section</t>
  </si>
  <si>
    <t>Net change in cash</t>
  </si>
  <si>
    <t>OCF + CFI + CFF</t>
  </si>
  <si>
    <t>Three-section reconciliation</t>
  </si>
  <si>
    <t>Beginning cash</t>
  </si>
  <si>
    <t>Link opening balance</t>
  </si>
  <si>
    <t>Cash rollforward start</t>
  </si>
  <si>
    <t>Ending cash</t>
  </si>
  <si>
    <t>Beginning cash + net change</t>
  </si>
  <si>
    <t>Balance-sheet cash</t>
  </si>
  <si>
    <t>Balance sheet</t>
  </si>
  <si>
    <t>2026 links to ending cash</t>
  </si>
  <si>
    <t>Closes the three-statement loop</t>
  </si>
  <si>
    <t>Link NWC schedule</t>
  </si>
  <si>
    <t>Operating asset</t>
  </si>
  <si>
    <t>Total current assets</t>
  </si>
  <si>
    <t>Sum cash through other current assets</t>
  </si>
  <si>
    <t>Liquidity base</t>
  </si>
  <si>
    <t>Investing rollforward</t>
  </si>
  <si>
    <t>Link provided balance</t>
  </si>
  <si>
    <t>Non-current assets</t>
  </si>
  <si>
    <t>Total assets</t>
  </si>
  <si>
    <t>Current assets + PP&amp;E + other assets</t>
  </si>
  <si>
    <t>Resources controlled</t>
  </si>
  <si>
    <t>Operating liability</t>
  </si>
  <si>
    <t>Opening debt + issued − repaid</t>
  </si>
  <si>
    <t>Creditor claim</t>
  </si>
  <si>
    <t>Total liabilities</t>
  </si>
  <si>
    <t>Sum liabilities</t>
  </si>
  <si>
    <t>Non-owner claims</t>
  </si>
  <si>
    <t>Contributed capital</t>
  </si>
  <si>
    <t>Reduces equity</t>
  </si>
  <si>
    <t>Profit retained in business</t>
  </si>
  <si>
    <t>Total equity</t>
  </si>
  <si>
    <t>Common stock − treasury stock + retained earnings</t>
  </si>
  <si>
    <t>Owner claim</t>
  </si>
  <si>
    <t>Total liabilities &amp; equity</t>
  </si>
  <si>
    <t>Liabilities + equity</t>
  </si>
  <si>
    <t>Financing of assets</t>
  </si>
  <si>
    <t>Balance check</t>
  </si>
  <si>
    <t>Assets less liabilities and equity</t>
  </si>
  <si>
    <t>Must equal zero</t>
  </si>
  <si>
    <t>Free cash flow bridge</t>
  </si>
  <si>
    <t>NOPAT</t>
  </si>
  <si>
    <t>EBIT × (1 − tax rate)</t>
  </si>
  <si>
    <t>After-tax operating profit</t>
  </si>
  <si>
    <t>Add back</t>
  </si>
  <si>
    <t>Link ΔNWC</t>
  </si>
  <si>
    <t>Operating reinvestment</t>
  </si>
  <si>
    <t>− Capital expenditures</t>
  </si>
  <si>
    <t>Link CapEx</t>
  </si>
  <si>
    <t>FCFF</t>
  </si>
  <si>
    <t>NOPAT + D&amp;A − ΔNWC − CapEx</t>
  </si>
  <si>
    <t>Cash for debt and equity</t>
  </si>
  <si>
    <t>After-tax interest</t>
  </si>
  <si>
    <t>Interest × (1 − tax rate)</t>
  </si>
  <si>
    <t>Financing claim after tax</t>
  </si>
  <si>
    <t>Net borrowing</t>
  </si>
  <si>
    <t>Debt issued less debt repaid</t>
  </si>
  <si>
    <t>Current financing source</t>
  </si>
  <si>
    <t>FCFE</t>
  </si>
  <si>
    <t>FCFF − after-tax interest + net borrowing</t>
  </si>
  <si>
    <t>Cash available to equity</t>
  </si>
  <si>
    <t>FCFE — alternate route</t>
  </si>
  <si>
    <t>OCF − CapEx + net borrowing</t>
  </si>
  <si>
    <t>Independent route</t>
  </si>
  <si>
    <t>FCFE route tie</t>
  </si>
  <si>
    <t>Primary FCFE less alternate FCFE</t>
  </si>
  <si>
    <t>Compact common-size and trend view</t>
  </si>
  <si>
    <t>Metric</t>
  </si>
  <si>
    <t>Change</t>
  </si>
  <si>
    <t>Gross margin</t>
  </si>
  <si>
    <t>EBIT margin</t>
  </si>
  <si>
    <t>Operating quality</t>
  </si>
  <si>
    <t>Net margin</t>
  </si>
  <si>
    <t>Profit after financing and tax</t>
  </si>
  <si>
    <t>Operating NWC / Revenue</t>
  </si>
  <si>
    <t>Cash tied up per sales dollar</t>
  </si>
  <si>
    <t>Cash-Flow Decision Memo</t>
  </si>
  <si>
    <t>Decision: approve, resize, or defer the additional shareholder distribution while protecting liquidity.</t>
  </si>
  <si>
    <t>Recommendation</t>
  </si>
  <si>
    <t>Decision</t>
  </si>
  <si>
    <t>Linked evidence</t>
  </si>
  <si>
    <t>Model evidence</t>
  </si>
  <si>
    <t>How to use it</t>
  </si>
  <si>
    <t>Compare equity cash capacity with the proposed distribution</t>
  </si>
  <si>
    <t>Ending cash before proposed distribution</t>
  </si>
  <si>
    <t>Starting point for the liquidity test</t>
  </si>
  <si>
    <t>Proposed additional distribution</t>
  </si>
  <si>
    <t>Decision amount; not included in the modeled CFF</t>
  </si>
  <si>
    <t>Ending cash after proposed distribution</t>
  </si>
  <si>
    <t>Cash remaining if the decision is approved</t>
  </si>
  <si>
    <t>Reserve surplus / (shortfall)</t>
  </si>
  <si>
    <t>Primary constraint</t>
  </si>
  <si>
    <t>Shows cash absorbed by growth</t>
  </si>
  <si>
    <t>Change in EBIT margin</t>
  </si>
  <si>
    <t>Tests whether operating quality improved</t>
  </si>
  <si>
    <t>Four-part memo</t>
  </si>
  <si>
    <t>Claim</t>
  </si>
  <si>
    <t>State the recommendation in one sentence.</t>
  </si>
  <si>
    <t>Evidence</t>
  </si>
  <si>
    <t>Use at least three linked outputs and explain what each implies.</t>
  </si>
  <si>
    <t>Risk / alternative</t>
  </si>
  <si>
    <t>Name the strongest counterargument or a smaller feasible action.</t>
  </si>
  <si>
    <t>Monitoring trigger</t>
  </si>
  <si>
    <t>Identify the metric and threshold that would change the decision.</t>
  </si>
  <si>
    <t>Model Checks</t>
  </si>
  <si>
    <t>These checks test identities, signs, and reasonableness; numeric tie-outs use invariant zero targets.</t>
  </si>
  <si>
    <t>MODEL STATUS</t>
  </si>
  <si>
    <t>Check</t>
  </si>
  <si>
    <t>Actual / delta</t>
  </si>
  <si>
    <t>Target / rule</t>
  </si>
  <si>
    <t>Tolerance</t>
  </si>
  <si>
    <t>Status</t>
  </si>
  <si>
    <t>What to inspect</t>
  </si>
  <si>
    <t>Required model and evidence cells complete</t>
  </si>
  <si>
    <t>All required</t>
  </si>
  <si>
    <t>Finish yellow model and evidence cells</t>
  </si>
  <si>
    <t>Balance sheet balances</t>
  </si>
  <si>
    <t>Assets and liabilities/equity rollforwards</t>
  </si>
  <si>
    <t>Cash rollforward</t>
  </si>
  <si>
    <t>Beginning cash, three cash-flow sections, ending cash</t>
  </si>
  <si>
    <t>Net PP&amp;E rollforward</t>
  </si>
  <si>
    <t>Opening PP&amp;E, CapEx, D&amp;A</t>
  </si>
  <si>
    <t>Debt rollforward</t>
  </si>
  <si>
    <t>Opening debt, issuance, repayment</t>
  </si>
  <si>
    <t>Retained earnings rollforward</t>
  </si>
  <si>
    <t>Opening RE, net income, dividends</t>
  </si>
  <si>
    <t>FCFF route tie</t>
  </si>
  <si>
    <t>EBIT route versus OCF route</t>
  </si>
  <si>
    <t>FCFF route versus OCF route</t>
  </si>
  <si>
    <t>Provided use/outflow signs</t>
  </si>
  <si>
    <t>&gt;= 0</t>
  </si>
  <si>
    <t>CapEx, repayment, dividends, repurchases</t>
  </si>
  <si>
    <t>Income-statement margins reasonable</t>
  </si>
  <si>
    <t>&lt;= 100%</t>
  </si>
  <si>
    <t>Revenue base and margin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</si>
</sst>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\(#,##0.0\);\-"/>
    <numFmt numFmtId="165" formatCode="0.0%;[Red]\(0.0%\);\-"/>
    <numFmt numFmtId="166" formatCode="0.0;[Red]\(0.0\);\-"/>
  </numFmts>
  <fonts count="25">
    <font>
      <sz val="11"/>
      <name val="Carlito"/>
    </font>
    <font>
      <sz val="11"/>
      <color rgb="FF20242A"/>
      <name val="Carlito"/>
    </font>
    <font>
      <b/>
      <sz val="11"/>
      <color rgb="FFFFFFFF"/>
      <name val="Carlito"/>
    </font>
    <font>
      <b/>
      <sz val="11"/>
      <color rgb="FF20242A"/>
      <name val="Carlito"/>
    </font>
    <font>
      <i/>
      <sz val="11"/>
      <color rgb="FF667085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4"/>
      <color rgb="FFFFFFFF"/>
      <name val="Carlito"/>
    </font>
    <font>
      <sz val="14"/>
      <name val="Carlito"/>
    </font>
    <font>
      <sz val="14"/>
      <color rgb="FF20242A"/>
      <name val="Carlito"/>
    </font>
    <font>
      <b/>
      <sz val="14"/>
      <color rgb="FF20242A"/>
      <name val="Carlito"/>
    </font>
    <font>
      <b/>
      <sz val="14"/>
      <color rgb="FF000000"/>
      <name val="Carlito"/>
    </font>
    <font>
      <b/>
      <sz val="18"/>
      <color rgb="FFFFFFFF"/>
      <name val="Carlito"/>
    </font>
    <font>
      <sz val="18"/>
      <name val="Carlito"/>
    </font>
    <font>
      <sz val="18"/>
      <color rgb="FF20242A"/>
      <name val="Carlito"/>
    </font>
    <font>
      <b/>
      <sz val="18"/>
      <color rgb="FF355773"/>
      <name val="Carlito"/>
    </font>
    <font>
      <b/>
      <sz val="18"/>
      <color rgb="FF20242A"/>
      <name val="Carlito"/>
    </font>
    <font>
      <b/>
      <sz val="18"/>
      <color rgb="FF0000FF"/>
      <name val="Carlito"/>
    </font>
    <font>
      <b/>
      <sz val="18"/>
      <color rgb="FF008000"/>
      <name val="Carlito"/>
    </font>
    <font>
      <b/>
      <sz val="18"/>
      <color rgb="FF000000"/>
      <name val="Carlito"/>
    </font>
    <font>
      <b/>
      <sz val="18"/>
      <color rgb="FF6B4B14"/>
      <name val="Carlito"/>
    </font>
    <font>
      <i/>
      <sz val="14"/>
      <color rgb="FF667085"/>
      <name val="Carlito"/>
    </font>
    <font>
      <sz val="14"/>
      <color rgb="FF0000FF"/>
      <name val="Carlito"/>
    </font>
    <font>
      <sz val="14"/>
      <color rgb="FF008000"/>
      <name val="Carlito"/>
    </font>
    <font>
      <sz val="14"/>
      <color rgb="FF000000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0E1116"/>
      </patternFill>
    </fill>
    <fill>
      <patternFill patternType="solid">
        <fgColor rgb="FF9C4A2B"/>
      </patternFill>
    </fill>
    <fill>
      <patternFill patternType="solid">
        <fgColor rgb="FF355773"/>
      </patternFill>
    </fill>
    <fill>
      <patternFill patternType="solid">
        <fgColor rgb="FFF7F9FC"/>
      </patternFill>
    </fill>
    <fill>
      <patternFill patternType="solid">
        <fgColor rgb="FFF2EEE5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7EFDF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E7E9ED"/>
      </patternFill>
    </fill>
    <fill>
      <patternFill patternType="solid">
        <fgColor rgb="FFF4F4F4"/>
      </patternFill>
    </fill>
    <fill>
      <patternFill patternType="solid">
        <fgColor rgb="FFE7EEF4"/>
      </patternFill>
    </fill>
  </fills>
  <borders count="38">
    <border>
      <left/>
      <right/>
      <top/>
      <bottom/>
      <diagonal/>
    </border>
    <border>
      <left style="thin">
        <color rgb="FF355773"/>
      </left>
      <right/>
      <top style="thin">
        <color rgb="FF355773"/>
      </top>
      <bottom/>
      <diagonal/>
    </border>
    <border>
      <left/>
      <right/>
      <top style="thin">
        <color rgb="FF355773"/>
      </top>
      <bottom/>
      <diagonal/>
    </border>
    <border>
      <left/>
      <right style="thin">
        <color rgb="FF355773"/>
      </right>
      <top style="thin">
        <color rgb="FF355773"/>
      </top>
      <bottom/>
      <diagonal/>
    </border>
    <border>
      <left style="thin">
        <color rgb="FF355773"/>
      </left>
      <right/>
      <top/>
      <bottom style="thin">
        <color rgb="FF355773"/>
      </bottom>
      <diagonal/>
    </border>
    <border>
      <left/>
      <right/>
      <top/>
      <bottom style="thin">
        <color rgb="FF355773"/>
      </bottom>
      <diagonal/>
    </border>
    <border>
      <left/>
      <right style="thin">
        <color rgb="FF355773"/>
      </right>
      <top/>
      <bottom style="thin">
        <color rgb="FF355773"/>
      </bottom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  <border>
      <left/>
      <right style="thin">
        <color rgb="FFD9D5CB"/>
      </right>
      <top/>
      <bottom/>
      <diagonal/>
    </border>
    <border>
      <left style="thin">
        <color rgb="FFD9D5CB"/>
      </left>
      <right style="thin">
        <color rgb="FFD9D5CB"/>
      </right>
      <top/>
      <bottom/>
      <diagonal/>
    </border>
    <border>
      <left style="thin">
        <color rgb="FFD9D5CB"/>
      </left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/>
      <diagonal/>
    </border>
    <border>
      <left style="thin">
        <color rgb="FFD9D5CB"/>
      </left>
      <right style="thin">
        <color rgb="FFD9D5CB"/>
      </right>
      <top/>
      <bottom style="thin">
        <color rgb="FFD9D5CB"/>
      </bottom>
      <diagonal/>
    </border>
    <border>
      <left style="thin">
        <color rgb="FFD9D5CB"/>
      </left>
      <right/>
      <top style="thin">
        <color rgb="FFD9D5CB"/>
      </top>
      <bottom/>
      <diagonal/>
    </border>
    <border>
      <left/>
      <right/>
      <top style="thin">
        <color rgb="FFD9D5CB"/>
      </top>
      <bottom/>
      <diagonal/>
    </border>
    <border>
      <left/>
      <right style="thin">
        <color rgb="FFD9D5CB"/>
      </right>
      <top style="thin">
        <color rgb="FFD9D5CB"/>
      </top>
      <bottom/>
      <diagonal/>
    </border>
    <border>
      <left style="thin">
        <color rgb="FFD9D5CB"/>
      </left>
      <right/>
      <top/>
      <bottom style="thin">
        <color rgb="FFD9D5CB"/>
      </bottom>
      <diagonal/>
    </border>
    <border>
      <left/>
      <right/>
      <top/>
      <bottom style="thin">
        <color rgb="FFD9D5CB"/>
      </bottom>
      <diagonal/>
    </border>
    <border>
      <left/>
      <right style="thin">
        <color rgb="FFD9D5CB"/>
      </right>
      <top/>
      <bottom style="thin">
        <color rgb="FFD9D5CB"/>
      </bottom>
      <diagonal/>
    </border>
    <border>
      <left style="thin">
        <color rgb="FFB8843D"/>
      </left>
      <right/>
      <top style="thin">
        <color rgb="FFB8843D"/>
      </top>
      <bottom style="thin">
        <color rgb="FFB8843D"/>
      </bottom>
      <diagonal/>
    </border>
    <border>
      <left/>
      <right/>
      <top style="thin">
        <color rgb="FFB8843D"/>
      </top>
      <bottom style="thin">
        <color rgb="FFB8843D"/>
      </bottom>
      <diagonal/>
    </border>
    <border>
      <left/>
      <right style="thin">
        <color rgb="FFB8843D"/>
      </right>
      <top style="thin">
        <color rgb="FFB8843D"/>
      </top>
      <bottom style="thin">
        <color rgb="FFB8843D"/>
      </bottom>
      <diagonal/>
    </border>
    <border>
      <left style="thin">
        <color rgb="FFD9D5CB"/>
      </left>
      <right/>
      <top style="thin">
        <color rgb="FFD9D5CB"/>
      </top>
      <bottom style="thin">
        <color rgb="FFD9D5CB"/>
      </bottom>
      <diagonal/>
    </border>
    <border>
      <left/>
      <right style="thin">
        <color rgb="FFD9D5CB"/>
      </right>
      <top style="thin">
        <color rgb="FFD9D5CB"/>
      </top>
      <bottom style="thin">
        <color rgb="FFD9D5CB"/>
      </bottom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double">
        <color rgb="FF4A7C5E"/>
      </bottom>
      <diagonal/>
    </border>
    <border>
      <left/>
      <right/>
      <top/>
      <bottom style="double">
        <color rgb="FF9C4A2B"/>
      </bottom>
      <diagonal/>
    </border>
    <border>
      <left style="thin">
        <color rgb="FFD9D5CB"/>
      </left>
      <right style="thin">
        <color rgb="FFD9D5CB"/>
      </right>
      <top/>
      <bottom style="double">
        <color rgb="FF9C4A2B"/>
      </bottom>
      <diagonal/>
    </border>
    <border>
      <left style="thin">
        <color rgb="FFD9D5CB"/>
      </left>
      <right/>
      <top/>
      <bottom style="double">
        <color rgb="FF9C4A2B"/>
      </bottom>
      <diagonal/>
    </border>
    <border>
      <left/>
      <right/>
      <top/>
      <bottom style="double">
        <color rgb="FF4A7C5E"/>
      </bottom>
      <diagonal/>
    </border>
    <border>
      <left style="thin">
        <color rgb="FFD9D5CB"/>
      </left>
      <right/>
      <top/>
      <bottom style="double">
        <color rgb="FF4A7C5E"/>
      </bottom>
      <diagonal/>
    </border>
    <border>
      <left/>
      <right/>
      <top/>
      <bottom style="double">
        <color rgb="FFB8843D"/>
      </bottom>
      <diagonal/>
    </border>
    <border>
      <left style="thin">
        <color rgb="FFD9D5CB"/>
      </left>
      <right style="thin">
        <color rgb="FFD9D5CB"/>
      </right>
      <top/>
      <bottom style="double">
        <color rgb="FFB8843D"/>
      </bottom>
      <diagonal/>
    </border>
    <border>
      <left style="thin">
        <color rgb="FFD9D5CB"/>
      </left>
      <right/>
      <top/>
      <bottom style="double">
        <color rgb="FFB8843D"/>
      </bottom>
      <diagonal/>
    </border>
    <border>
      <left style="thin">
        <color rgb="FFD9D5CB"/>
      </left>
      <right/>
      <top style="thin">
        <color rgb="FFD9D5CB"/>
      </top>
      <bottom style="double">
        <color rgb="FF4A7C5E"/>
      </bottom>
      <diagonal/>
    </border>
    <border>
      <left style="thin">
        <color rgb="FF355773"/>
      </left>
      <right style="thin">
        <color rgb="FF355773"/>
      </right>
      <top style="thin">
        <color rgb="FF355773"/>
      </top>
      <bottom style="double">
        <color rgb="FFB8843D"/>
      </bottom>
      <diagonal/>
    </border>
    <border>
      <left style="thin">
        <color rgb="FF355773"/>
      </left>
      <right/>
      <top style="thin">
        <color rgb="FF355773"/>
      </top>
      <bottom style="double">
        <color rgb="FFB8843D"/>
      </bottom>
      <diagonal/>
    </border>
    <border>
      <left style="thin">
        <color rgb="FF355773"/>
      </left>
      <right/>
      <top style="thin">
        <color rgb="FF355773"/>
      </top>
      <bottom style="double">
        <color rgb="FF9C4A2B"/>
      </bottom>
      <diagonal/>
    </border>
    <border>
      <left/>
      <right/>
      <top style="thin">
        <color rgb="FFD9D5CB"/>
      </top>
      <bottom style="thin">
        <color rgb="FFD9D5CB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/>
    </xf>
    <xf numFmtId="0" fontId="3" fillId="6" borderId="7" xfId="0" applyFont="1" applyFill="1" applyBorder="1" applyAlignment="1">
      <alignment vertical="center" wrapText="1"/>
    </xf>
    <xf numFmtId="164" fontId="6" fillId="8" borderId="7" xfId="0" applyNumberFormat="1" applyFont="1" applyFill="1" applyBorder="1"/>
    <xf numFmtId="165" fontId="6" fillId="8" borderId="7" xfId="0" applyNumberFormat="1" applyFont="1" applyFill="1" applyBorder="1"/>
    <xf numFmtId="0" fontId="3" fillId="6" borderId="0" xfId="0" applyFont="1" applyFill="1" applyAlignment="1">
      <alignment vertical="top"/>
    </xf>
    <xf numFmtId="166" fontId="1" fillId="0" borderId="7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165" fontId="1" fillId="0" borderId="7" xfId="0" applyNumberFormat="1" applyFont="1" applyBorder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3" fillId="6" borderId="7" xfId="0" applyFont="1" applyFill="1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4" fillId="6" borderId="0" xfId="0" applyFont="1" applyFill="1" applyAlignment="1">
      <alignment wrapText="1"/>
    </xf>
    <xf numFmtId="0" fontId="2" fillId="11" borderId="0" xfId="0" applyFont="1" applyFill="1" applyAlignment="1">
      <alignment vertical="center"/>
    </xf>
    <xf numFmtId="0" fontId="4" fillId="6" borderId="0" xfId="0" applyFont="1" applyFill="1"/>
    <xf numFmtId="0" fontId="5" fillId="7" borderId="22" xfId="0" applyFont="1" applyFill="1" applyBorder="1"/>
    <xf numFmtId="0" fontId="5" fillId="7" borderId="37" xfId="0" applyFont="1" applyFill="1" applyBorder="1"/>
    <xf numFmtId="0" fontId="5" fillId="7" borderId="23" xfId="0" applyFont="1" applyFill="1" applyBorder="1"/>
    <xf numFmtId="0" fontId="1" fillId="0" borderId="0" xfId="0" applyFont="1" applyAlignment="1">
      <alignment wrapText="1"/>
    </xf>
    <xf numFmtId="0" fontId="6" fillId="8" borderId="13" xfId="0" applyFont="1" applyFill="1" applyBorder="1" applyAlignment="1">
      <alignment vertical="top" wrapText="1"/>
    </xf>
    <xf numFmtId="0" fontId="6" fillId="8" borderId="14" xfId="0" applyFont="1" applyFill="1" applyBorder="1" applyAlignment="1">
      <alignment vertical="top" wrapText="1"/>
    </xf>
    <xf numFmtId="0" fontId="6" fillId="8" borderId="15" xfId="0" applyFont="1" applyFill="1" applyBorder="1" applyAlignment="1">
      <alignment vertical="top" wrapText="1"/>
    </xf>
    <xf numFmtId="0" fontId="6" fillId="8" borderId="16" xfId="0" applyFont="1" applyFill="1" applyBorder="1" applyAlignment="1">
      <alignment vertical="top" wrapText="1"/>
    </xf>
    <xf numFmtId="0" fontId="6" fillId="8" borderId="17" xfId="0" applyFont="1" applyFill="1" applyBorder="1" applyAlignment="1">
      <alignment vertical="top" wrapText="1"/>
    </xf>
    <xf numFmtId="0" fontId="6" fillId="8" borderId="18" xfId="0" applyFont="1" applyFill="1" applyBorder="1" applyAlignment="1">
      <alignment vertical="top" wrapText="1"/>
    </xf>
    <xf numFmtId="0" fontId="7" fillId="2" borderId="0" xfId="0" applyFont="1" applyFill="1" applyAlignment="1">
      <alignment vertical="center"/>
    </xf>
    <xf numFmtId="0" fontId="8" fillId="0" borderId="0" xfId="0" applyFont="1"/>
    <xf numFmtId="0" fontId="9" fillId="0" borderId="0" xfId="0" applyFont="1"/>
    <xf numFmtId="0" fontId="7" fillId="4" borderId="0" xfId="0" applyFont="1" applyFill="1" applyAlignment="1">
      <alignment vertical="center"/>
    </xf>
    <xf numFmtId="0" fontId="10" fillId="6" borderId="7" xfId="0" applyFont="1" applyFill="1" applyBorder="1" applyAlignment="1">
      <alignment vertical="center" wrapText="1"/>
    </xf>
    <xf numFmtId="0" fontId="7" fillId="3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3" fillId="0" borderId="0" xfId="0" applyFont="1"/>
    <xf numFmtId="0" fontId="12" fillId="3" borderId="0" xfId="0" applyFont="1" applyFill="1"/>
    <xf numFmtId="0" fontId="14" fillId="0" borderId="0" xfId="0" applyFont="1"/>
    <xf numFmtId="0" fontId="12" fillId="4" borderId="0" xfId="0" applyFont="1" applyFill="1" applyAlignment="1">
      <alignment vertical="center"/>
    </xf>
    <xf numFmtId="0" fontId="15" fillId="5" borderId="1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vertical="center" wrapText="1"/>
    </xf>
    <xf numFmtId="0" fontId="15" fillId="5" borderId="3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15" fillId="5" borderId="5" xfId="0" applyFont="1" applyFill="1" applyBorder="1" applyAlignment="1">
      <alignment vertical="center" wrapText="1"/>
    </xf>
    <xf numFmtId="0" fontId="15" fillId="5" borderId="6" xfId="0" applyFont="1" applyFill="1" applyBorder="1" applyAlignment="1">
      <alignment vertical="center" wrapText="1"/>
    </xf>
    <xf numFmtId="0" fontId="16" fillId="6" borderId="7" xfId="0" applyFont="1" applyFill="1" applyBorder="1" applyAlignment="1">
      <alignment vertical="center" wrapText="1"/>
    </xf>
    <xf numFmtId="0" fontId="16" fillId="6" borderId="7" xfId="0" applyFont="1" applyFill="1" applyBorder="1" applyAlignment="1">
      <alignment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1" xfId="0" applyFont="1" applyBorder="1" applyAlignment="1">
      <alignment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9" xfId="0" applyFont="1" applyBorder="1" applyAlignment="1">
      <alignment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2" xfId="0" applyFont="1" applyBorder="1" applyAlignment="1">
      <alignment vertical="center" wrapText="1"/>
    </xf>
    <xf numFmtId="0" fontId="12" fillId="3" borderId="0" xfId="0" applyFont="1" applyFill="1" applyAlignment="1">
      <alignment vertical="center"/>
    </xf>
    <xf numFmtId="0" fontId="17" fillId="7" borderId="13" xfId="0" applyFont="1" applyFill="1" applyBorder="1"/>
    <xf numFmtId="0" fontId="14" fillId="0" borderId="14" xfId="0" applyFont="1" applyBorder="1"/>
    <xf numFmtId="0" fontId="14" fillId="0" borderId="14" xfId="0" applyFont="1" applyBorder="1" applyAlignment="1">
      <alignment vertical="center" wrapText="1"/>
    </xf>
    <xf numFmtId="0" fontId="14" fillId="0" borderId="15" xfId="0" applyFont="1" applyBorder="1" applyAlignment="1">
      <alignment vertical="center" wrapText="1"/>
    </xf>
    <xf numFmtId="0" fontId="18" fillId="7" borderId="10" xfId="0" applyFont="1" applyFill="1" applyBorder="1"/>
    <xf numFmtId="0" fontId="14" fillId="0" borderId="0" xfId="0" applyFont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9" fillId="8" borderId="10" xfId="0" applyFont="1" applyFill="1" applyBorder="1"/>
    <xf numFmtId="0" fontId="19" fillId="9" borderId="16" xfId="0" applyFont="1" applyFill="1" applyBorder="1"/>
    <xf numFmtId="0" fontId="14" fillId="0" borderId="17" xfId="0" applyFont="1" applyBorder="1"/>
    <xf numFmtId="0" fontId="14" fillId="0" borderId="17" xfId="0" applyFont="1" applyBorder="1" applyAlignment="1">
      <alignment vertical="center" wrapText="1"/>
    </xf>
    <xf numFmtId="0" fontId="14" fillId="0" borderId="18" xfId="0" applyFont="1" applyBorder="1" applyAlignment="1">
      <alignment vertical="center" wrapText="1"/>
    </xf>
    <xf numFmtId="0" fontId="20" fillId="10" borderId="19" xfId="0" applyFont="1" applyFill="1" applyBorder="1" applyAlignment="1">
      <alignment wrapText="1"/>
    </xf>
    <xf numFmtId="0" fontId="20" fillId="10" borderId="20" xfId="0" applyFont="1" applyFill="1" applyBorder="1" applyAlignment="1">
      <alignment wrapText="1"/>
    </xf>
    <xf numFmtId="0" fontId="20" fillId="10" borderId="21" xfId="0" applyFont="1" applyFill="1" applyBorder="1" applyAlignment="1">
      <alignment wrapText="1"/>
    </xf>
    <xf numFmtId="0" fontId="21" fillId="6" borderId="0" xfId="0" applyFont="1" applyFill="1" applyAlignment="1">
      <alignment wrapText="1"/>
    </xf>
    <xf numFmtId="0" fontId="9" fillId="0" borderId="0" xfId="0" applyFont="1" applyAlignment="1">
      <alignment wrapText="1"/>
    </xf>
    <xf numFmtId="0" fontId="7" fillId="3" borderId="0" xfId="0" applyFont="1" applyFill="1" applyAlignment="1">
      <alignment vertical="center" wrapText="1"/>
    </xf>
    <xf numFmtId="164" fontId="22" fillId="7" borderId="13" xfId="0" applyNumberFormat="1" applyFont="1" applyFill="1" applyBorder="1" applyAlignment="1">
      <alignment horizontal="right"/>
    </xf>
    <xf numFmtId="164" fontId="22" fillId="7" borderId="15" xfId="0" applyNumberFormat="1" applyFont="1" applyFill="1" applyBorder="1" applyAlignment="1">
      <alignment horizontal="right"/>
    </xf>
    <xf numFmtId="164" fontId="22" fillId="7" borderId="10" xfId="0" applyNumberFormat="1" applyFont="1" applyFill="1" applyBorder="1" applyAlignment="1">
      <alignment horizontal="right"/>
    </xf>
    <xf numFmtId="164" fontId="22" fillId="7" borderId="8" xfId="0" applyNumberFormat="1" applyFont="1" applyFill="1" applyBorder="1" applyAlignment="1">
      <alignment horizontal="right"/>
    </xf>
    <xf numFmtId="164" fontId="22" fillId="7" borderId="16" xfId="0" applyNumberFormat="1" applyFont="1" applyFill="1" applyBorder="1" applyAlignment="1">
      <alignment horizontal="right"/>
    </xf>
    <xf numFmtId="164" fontId="22" fillId="7" borderId="18" xfId="0" applyNumberFormat="1" applyFont="1" applyFill="1" applyBorder="1" applyAlignment="1">
      <alignment horizontal="right"/>
    </xf>
    <xf numFmtId="165" fontId="22" fillId="7" borderId="22" xfId="0" applyNumberFormat="1" applyFont="1" applyFill="1" applyBorder="1" applyAlignment="1">
      <alignment horizontal="right"/>
    </xf>
    <xf numFmtId="165" fontId="22" fillId="7" borderId="23" xfId="0" applyNumberFormat="1" applyFont="1" applyFill="1" applyBorder="1" applyAlignment="1">
      <alignment horizontal="right"/>
    </xf>
    <xf numFmtId="164" fontId="22" fillId="7" borderId="22" xfId="0" applyNumberFormat="1" applyFont="1" applyFill="1" applyBorder="1" applyAlignment="1">
      <alignment horizontal="right"/>
    </xf>
    <xf numFmtId="164" fontId="22" fillId="7" borderId="23" xfId="0" applyNumberFormat="1" applyFont="1" applyFill="1" applyBorder="1" applyAlignment="1">
      <alignment horizontal="right"/>
    </xf>
    <xf numFmtId="0" fontId="9" fillId="0" borderId="0" xfId="0" applyFont="1" applyAlignment="1">
      <alignment horizontal="right"/>
    </xf>
    <xf numFmtId="0" fontId="7" fillId="4" borderId="0" xfId="0" applyFont="1" applyFill="1" applyAlignment="1">
      <alignment horizontal="right" vertical="center"/>
    </xf>
    <xf numFmtId="0" fontId="7" fillId="4" borderId="0" xfId="0" applyFont="1" applyFill="1" applyAlignment="1">
      <alignment vertical="center" wrapText="1"/>
    </xf>
    <xf numFmtId="0" fontId="10" fillId="6" borderId="7" xfId="0" applyFont="1" applyFill="1" applyBorder="1" applyAlignment="1">
      <alignment horizontal="right" vertical="center" wrapText="1"/>
    </xf>
    <xf numFmtId="0" fontId="7" fillId="11" borderId="0" xfId="0" applyFont="1" applyFill="1" applyAlignment="1">
      <alignment vertical="center"/>
    </xf>
    <xf numFmtId="0" fontId="7" fillId="11" borderId="0" xfId="0" applyFont="1" applyFill="1" applyAlignment="1">
      <alignment horizontal="right" vertical="center"/>
    </xf>
    <xf numFmtId="0" fontId="7" fillId="11" borderId="0" xfId="0" applyFont="1" applyFill="1" applyAlignment="1">
      <alignment vertical="center" wrapText="1"/>
    </xf>
    <xf numFmtId="164" fontId="22" fillId="7" borderId="11" xfId="0" applyNumberFormat="1" applyFont="1" applyFill="1" applyBorder="1" applyAlignment="1">
      <alignment horizontal="right"/>
    </xf>
    <xf numFmtId="0" fontId="21" fillId="13" borderId="0" xfId="0" applyFont="1" applyFill="1" applyAlignment="1">
      <alignment horizontal="right"/>
    </xf>
    <xf numFmtId="164" fontId="22" fillId="7" borderId="9" xfId="0" applyNumberFormat="1" applyFont="1" applyFill="1" applyBorder="1" applyAlignment="1">
      <alignment horizontal="right"/>
    </xf>
    <xf numFmtId="164" fontId="22" fillId="7" borderId="7" xfId="0" applyNumberFormat="1" applyFont="1" applyFill="1" applyBorder="1" applyAlignment="1">
      <alignment horizontal="right"/>
    </xf>
    <xf numFmtId="164" fontId="22" fillId="7" borderId="12" xfId="0" applyNumberFormat="1" applyFont="1" applyFill="1" applyBorder="1" applyAlignment="1">
      <alignment horizontal="right"/>
    </xf>
    <xf numFmtId="0" fontId="7" fillId="12" borderId="0" xfId="0" applyFont="1" applyFill="1" applyAlignment="1">
      <alignment vertical="center"/>
    </xf>
    <xf numFmtId="0" fontId="7" fillId="12" borderId="0" xfId="0" applyFont="1" applyFill="1" applyAlignment="1">
      <alignment horizontal="right" vertical="center"/>
    </xf>
    <xf numFmtId="0" fontId="7" fillId="12" borderId="0" xfId="0" applyFont="1" applyFill="1" applyAlignment="1">
      <alignment vertical="center" wrapText="1"/>
    </xf>
    <xf numFmtId="0" fontId="9" fillId="14" borderId="0" xfId="0" applyFont="1" applyFill="1" applyAlignment="1">
      <alignment horizontal="right"/>
    </xf>
    <xf numFmtId="0" fontId="7" fillId="3" borderId="0" xfId="0" applyFont="1" applyFill="1" applyAlignment="1">
      <alignment horizontal="right" vertical="center"/>
    </xf>
    <xf numFmtId="0" fontId="21" fillId="6" borderId="0" xfId="0" applyFont="1" applyFill="1"/>
    <xf numFmtId="164" fontId="23" fillId="7" borderId="7" xfId="0" applyNumberFormat="1" applyFont="1" applyFill="1" applyBorder="1"/>
    <xf numFmtId="0" fontId="9" fillId="0" borderId="25" xfId="0" applyFont="1" applyBorder="1" applyAlignment="1">
      <alignment wrapText="1"/>
    </xf>
    <xf numFmtId="164" fontId="11" fillId="9" borderId="26" xfId="0" applyNumberFormat="1" applyFont="1" applyFill="1" applyBorder="1"/>
    <xf numFmtId="164" fontId="11" fillId="9" borderId="27" xfId="0" applyNumberFormat="1" applyFont="1" applyFill="1" applyBorder="1"/>
    <xf numFmtId="164" fontId="24" fillId="8" borderId="7" xfId="0" applyNumberFormat="1" applyFont="1" applyFill="1" applyBorder="1"/>
    <xf numFmtId="165" fontId="23" fillId="7" borderId="7" xfId="0" applyNumberFormat="1" applyFont="1" applyFill="1" applyBorder="1"/>
    <xf numFmtId="164" fontId="9" fillId="0" borderId="0" xfId="0" applyNumberFormat="1" applyFont="1"/>
    <xf numFmtId="164" fontId="7" fillId="4" borderId="0" xfId="0" applyNumberFormat="1" applyFont="1" applyFill="1" applyAlignment="1">
      <alignment vertical="center"/>
    </xf>
    <xf numFmtId="164" fontId="11" fillId="9" borderId="24" xfId="0" applyNumberFormat="1" applyFont="1" applyFill="1" applyBorder="1"/>
    <xf numFmtId="164" fontId="7" fillId="11" borderId="0" xfId="0" applyNumberFormat="1" applyFont="1" applyFill="1" applyAlignment="1">
      <alignment vertical="center"/>
    </xf>
    <xf numFmtId="0" fontId="9" fillId="0" borderId="28" xfId="0" applyFont="1" applyBorder="1" applyAlignment="1">
      <alignment wrapText="1"/>
    </xf>
    <xf numFmtId="164" fontId="9" fillId="0" borderId="28" xfId="0" applyNumberFormat="1" applyFont="1" applyBorder="1"/>
    <xf numFmtId="164" fontId="11" fillId="9" borderId="29" xfId="0" applyNumberFormat="1" applyFont="1" applyFill="1" applyBorder="1"/>
    <xf numFmtId="164" fontId="24" fillId="8" borderId="29" xfId="0" applyNumberFormat="1" applyFont="1" applyFill="1" applyBorder="1"/>
    <xf numFmtId="164" fontId="7" fillId="12" borderId="0" xfId="0" applyNumberFormat="1" applyFont="1" applyFill="1" applyAlignment="1">
      <alignment vertical="center"/>
    </xf>
    <xf numFmtId="0" fontId="9" fillId="0" borderId="30" xfId="0" applyFont="1" applyBorder="1" applyAlignment="1">
      <alignment wrapText="1"/>
    </xf>
    <xf numFmtId="164" fontId="11" fillId="9" borderId="31" xfId="0" applyNumberFormat="1" applyFont="1" applyFill="1" applyBorder="1"/>
    <xf numFmtId="164" fontId="11" fillId="9" borderId="32" xfId="0" applyNumberFormat="1" applyFont="1" applyFill="1" applyBorder="1"/>
    <xf numFmtId="164" fontId="24" fillId="8" borderId="31" xfId="0" applyNumberFormat="1" applyFont="1" applyFill="1" applyBorder="1"/>
    <xf numFmtId="164" fontId="24" fillId="8" borderId="32" xfId="0" applyNumberFormat="1" applyFont="1" applyFill="1" applyBorder="1"/>
    <xf numFmtId="164" fontId="24" fillId="8" borderId="12" xfId="0" applyNumberFormat="1" applyFont="1" applyFill="1" applyBorder="1"/>
    <xf numFmtId="164" fontId="24" fillId="8" borderId="16" xfId="0" applyNumberFormat="1" applyFont="1" applyFill="1" applyBorder="1"/>
    <xf numFmtId="164" fontId="11" fillId="9" borderId="33" xfId="0" applyNumberFormat="1" applyFont="1" applyFill="1" applyBorder="1"/>
    <xf numFmtId="164" fontId="11" fillId="15" borderId="34" xfId="0" applyNumberFormat="1" applyFont="1" applyFill="1" applyBorder="1"/>
    <xf numFmtId="164" fontId="11" fillId="15" borderId="35" xfId="0" applyNumberFormat="1" applyFont="1" applyFill="1" applyBorder="1"/>
    <xf numFmtId="164" fontId="7" fillId="3" borderId="0" xfId="0" applyNumberFormat="1" applyFont="1" applyFill="1" applyAlignment="1">
      <alignment vertical="center"/>
    </xf>
    <xf numFmtId="164" fontId="9" fillId="0" borderId="25" xfId="0" applyNumberFormat="1" applyFont="1" applyBorder="1"/>
    <xf numFmtId="164" fontId="24" fillId="8" borderId="22" xfId="0" applyNumberFormat="1" applyFont="1" applyFill="1" applyBorder="1"/>
    <xf numFmtId="164" fontId="11" fillId="15" borderId="36" xfId="0" applyNumberFormat="1" applyFont="1" applyFill="1" applyBorder="1"/>
    <xf numFmtId="165" fontId="24" fillId="8" borderId="7" xfId="0" applyNumberFormat="1" applyFont="1" applyFill="1" applyBorder="1"/>
    <xf numFmtId="165" fontId="24" fillId="8" borderId="7" xfId="0" applyNumberFormat="1" applyFont="1" applyFill="1" applyBorder="1" applyAlignment="1">
      <alignment wrapText="1"/>
    </xf>
  </cellXfs>
  <cellStyles count="1">
    <cellStyle name="Normal" xfId="0" builtinId="0"/>
  </cellStyles>
  <dxfs count="6">
    <dxf>
      <font>
        <b/>
        <color rgb="FF7A5200"/>
      </font>
      <fill>
        <patternFill patternType="solid">
          <bgColor rgb="FFFFF2CC"/>
        </patternFill>
      </fill>
    </dxf>
    <dxf>
      <font>
        <b/>
        <color rgb="FF7F0000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E2F0D9"/>
        </patternFill>
      </fill>
    </dxf>
    <dxf>
      <font>
        <b/>
        <color rgb="FFFFFFFF"/>
      </font>
      <fill>
        <patternFill patternType="solid">
          <bgColor rgb="FFB8843D"/>
        </patternFill>
      </fill>
    </dxf>
    <dxf>
      <font>
        <b/>
        <color rgb="FFFFFFFF"/>
      </font>
      <fill>
        <patternFill patternType="solid">
          <bgColor rgb="FF9C0006"/>
        </patternFill>
      </fill>
    </dxf>
    <dxf>
      <font>
        <b/>
        <color rgb="FFFFFFFF"/>
      </font>
      <fill>
        <patternFill patternType="solid">
          <bgColor rgb="FF4A7C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workbookViewId="0">
      <selection activeCell="N16" sqref="N16"/>
    </sheetView>
  </sheetViews>
  <sheetFormatPr baseColWidth="10" defaultColWidth="8.83203125" defaultRowHeight="23"/>
  <cols>
    <col min="1" max="1" width="32.6640625" style="35" customWidth="1"/>
    <col min="2" max="3" width="23" style="35" customWidth="1"/>
    <col min="4" max="4" width="31.33203125" style="35" customWidth="1"/>
    <col min="5" max="5" width="22" style="35" customWidth="1"/>
    <col min="6" max="6" width="42.33203125" style="35" customWidth="1"/>
    <col min="7" max="16384" width="8.83203125" style="35"/>
  </cols>
  <sheetData>
    <row r="1" spans="1:6">
      <c r="A1" s="34" t="s">
        <v>0</v>
      </c>
      <c r="B1" s="34" t="s">
        <v>0</v>
      </c>
      <c r="C1" s="34" t="s">
        <v>0</v>
      </c>
      <c r="D1" s="34" t="s">
        <v>0</v>
      </c>
      <c r="E1" s="34" t="s">
        <v>0</v>
      </c>
      <c r="F1" s="34" t="s">
        <v>0</v>
      </c>
    </row>
    <row r="2" spans="1:6">
      <c r="A2" s="36" t="s">
        <v>1</v>
      </c>
      <c r="B2" s="36"/>
      <c r="C2" s="36"/>
      <c r="D2" s="36"/>
      <c r="E2" s="36"/>
      <c r="F2" s="36"/>
    </row>
    <row r="3" spans="1:6">
      <c r="A3" s="37"/>
      <c r="B3" s="37"/>
      <c r="C3" s="37"/>
      <c r="D3" s="37"/>
      <c r="E3" s="37"/>
      <c r="F3" s="37"/>
    </row>
    <row r="4" spans="1:6">
      <c r="A4" s="38" t="s">
        <v>2</v>
      </c>
      <c r="B4" s="38" t="s">
        <v>2</v>
      </c>
      <c r="C4" s="38" t="s">
        <v>2</v>
      </c>
      <c r="D4" s="38" t="s">
        <v>2</v>
      </c>
      <c r="E4" s="38" t="s">
        <v>2</v>
      </c>
      <c r="F4" s="38" t="s">
        <v>2</v>
      </c>
    </row>
    <row r="5" spans="1:6">
      <c r="A5" s="39" t="s">
        <v>3</v>
      </c>
      <c r="B5" s="40"/>
      <c r="C5" s="40"/>
      <c r="D5" s="40"/>
      <c r="E5" s="40"/>
      <c r="F5" s="41"/>
    </row>
    <row r="6" spans="1:6" ht="42" customHeight="1">
      <c r="A6" s="42"/>
      <c r="B6" s="43"/>
      <c r="C6" s="43"/>
      <c r="D6" s="43"/>
      <c r="E6" s="43"/>
      <c r="F6" s="44"/>
    </row>
    <row r="7" spans="1:6">
      <c r="A7" s="37"/>
      <c r="B7" s="37"/>
      <c r="C7" s="37"/>
      <c r="D7" s="37"/>
      <c r="E7" s="37"/>
      <c r="F7" s="37"/>
    </row>
    <row r="8" spans="1:6" ht="24">
      <c r="A8" s="45" t="s">
        <v>4</v>
      </c>
      <c r="B8" s="46" t="s">
        <v>5</v>
      </c>
      <c r="C8" s="46"/>
      <c r="D8" s="46"/>
      <c r="E8" s="46" t="s">
        <v>6</v>
      </c>
      <c r="F8" s="46"/>
    </row>
    <row r="9" spans="1:6">
      <c r="A9" s="47">
        <v>1</v>
      </c>
      <c r="B9" s="48" t="s">
        <v>7</v>
      </c>
      <c r="C9" s="48"/>
      <c r="D9" s="48"/>
      <c r="E9" s="48" t="s">
        <v>8</v>
      </c>
      <c r="F9" s="48"/>
    </row>
    <row r="10" spans="1:6">
      <c r="A10" s="49">
        <v>2</v>
      </c>
      <c r="B10" s="50" t="s">
        <v>9</v>
      </c>
      <c r="C10" s="50"/>
      <c r="D10" s="50"/>
      <c r="E10" s="50" t="s">
        <v>10</v>
      </c>
      <c r="F10" s="50"/>
    </row>
    <row r="11" spans="1:6">
      <c r="A11" s="49">
        <v>3</v>
      </c>
      <c r="B11" s="50" t="s">
        <v>11</v>
      </c>
      <c r="C11" s="50"/>
      <c r="D11" s="50"/>
      <c r="E11" s="50" t="s">
        <v>12</v>
      </c>
      <c r="F11" s="50"/>
    </row>
    <row r="12" spans="1:6">
      <c r="A12" s="49">
        <v>4</v>
      </c>
      <c r="B12" s="50" t="s">
        <v>13</v>
      </c>
      <c r="C12" s="50"/>
      <c r="D12" s="50"/>
      <c r="E12" s="50" t="s">
        <v>14</v>
      </c>
      <c r="F12" s="50"/>
    </row>
    <row r="13" spans="1:6">
      <c r="A13" s="49">
        <v>5</v>
      </c>
      <c r="B13" s="50" t="s">
        <v>15</v>
      </c>
      <c r="C13" s="50"/>
      <c r="D13" s="50"/>
      <c r="E13" s="50" t="s">
        <v>16</v>
      </c>
      <c r="F13" s="50"/>
    </row>
    <row r="14" spans="1:6">
      <c r="A14" s="51">
        <v>6</v>
      </c>
      <c r="B14" s="52" t="s">
        <v>17</v>
      </c>
      <c r="C14" s="52"/>
      <c r="D14" s="52"/>
      <c r="E14" s="52" t="s">
        <v>18</v>
      </c>
      <c r="F14" s="52"/>
    </row>
    <row r="15" spans="1:6">
      <c r="A15" s="37"/>
      <c r="B15" s="37"/>
      <c r="C15" s="37"/>
      <c r="D15" s="37"/>
      <c r="E15" s="37"/>
      <c r="F15" s="37"/>
    </row>
    <row r="16" spans="1:6">
      <c r="A16" s="53" t="s">
        <v>19</v>
      </c>
      <c r="B16" s="53" t="s">
        <v>19</v>
      </c>
      <c r="C16" s="53" t="s">
        <v>19</v>
      </c>
      <c r="D16" s="53" t="s">
        <v>19</v>
      </c>
      <c r="E16" s="53" t="s">
        <v>19</v>
      </c>
      <c r="F16" s="53" t="s">
        <v>19</v>
      </c>
    </row>
    <row r="17" spans="1:6">
      <c r="A17" s="54" t="s">
        <v>20</v>
      </c>
      <c r="B17" s="55" t="s">
        <v>21</v>
      </c>
      <c r="C17" s="55"/>
      <c r="D17" s="56" t="s">
        <v>22</v>
      </c>
      <c r="E17" s="56"/>
      <c r="F17" s="57"/>
    </row>
    <row r="18" spans="1:6">
      <c r="A18" s="58" t="s">
        <v>23</v>
      </c>
      <c r="B18" s="37" t="s">
        <v>24</v>
      </c>
      <c r="C18" s="37"/>
      <c r="D18" s="59" t="s">
        <v>25</v>
      </c>
      <c r="E18" s="59"/>
      <c r="F18" s="60"/>
    </row>
    <row r="19" spans="1:6">
      <c r="A19" s="61" t="s">
        <v>26</v>
      </c>
      <c r="B19" s="37" t="s">
        <v>27</v>
      </c>
      <c r="C19" s="37"/>
      <c r="D19" s="59" t="s">
        <v>28</v>
      </c>
      <c r="E19" s="59"/>
      <c r="F19" s="60"/>
    </row>
    <row r="20" spans="1:6">
      <c r="A20" s="62" t="s">
        <v>29</v>
      </c>
      <c r="B20" s="63" t="s">
        <v>30</v>
      </c>
      <c r="C20" s="63"/>
      <c r="D20" s="64" t="s">
        <v>31</v>
      </c>
      <c r="E20" s="64"/>
      <c r="F20" s="65"/>
    </row>
    <row r="21" spans="1:6">
      <c r="A21" s="37"/>
      <c r="B21" s="37"/>
      <c r="C21" s="37"/>
      <c r="D21" s="37"/>
      <c r="E21" s="37"/>
      <c r="F21" s="37"/>
    </row>
    <row r="22" spans="1:6">
      <c r="A22" s="66" t="s">
        <v>32</v>
      </c>
      <c r="B22" s="67"/>
      <c r="C22" s="67"/>
      <c r="D22" s="67"/>
      <c r="E22" s="67"/>
      <c r="F22" s="68"/>
    </row>
  </sheetData>
  <mergeCells count="24">
    <mergeCell ref="A22:F22"/>
    <mergeCell ref="A16:F16"/>
    <mergeCell ref="D17:F17"/>
    <mergeCell ref="D18:F18"/>
    <mergeCell ref="D19:F19"/>
    <mergeCell ref="D20:F20"/>
    <mergeCell ref="B12:D12"/>
    <mergeCell ref="E12:F12"/>
    <mergeCell ref="B13:D13"/>
    <mergeCell ref="E13:F13"/>
    <mergeCell ref="B14:D14"/>
    <mergeCell ref="E14:F14"/>
    <mergeCell ref="B9:D9"/>
    <mergeCell ref="E9:F9"/>
    <mergeCell ref="B10:D10"/>
    <mergeCell ref="E10:F10"/>
    <mergeCell ref="B11:D11"/>
    <mergeCell ref="E11:F11"/>
    <mergeCell ref="A1:F1"/>
    <mergeCell ref="A2:F2"/>
    <mergeCell ref="A4:F4"/>
    <mergeCell ref="A5:F6"/>
    <mergeCell ref="B8:D8"/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3"/>
  <sheetViews>
    <sheetView showGridLines="0" workbookViewId="0">
      <selection activeCell="F20" sqref="F20"/>
    </sheetView>
  </sheetViews>
  <sheetFormatPr baseColWidth="10" defaultColWidth="8.83203125" defaultRowHeight="18"/>
  <cols>
    <col min="1" max="1" width="46.5" style="29" customWidth="1"/>
    <col min="2" max="2" width="14" style="29" customWidth="1"/>
    <col min="3" max="3" width="28" style="29" customWidth="1"/>
    <col min="4" max="4" width="43" style="29" customWidth="1"/>
    <col min="5" max="16384" width="8.83203125" style="29"/>
  </cols>
  <sheetData>
    <row r="1" spans="1:4" ht="30" customHeight="1">
      <c r="A1" s="28" t="s">
        <v>33</v>
      </c>
      <c r="B1" s="28" t="s">
        <v>33</v>
      </c>
      <c r="C1" s="28" t="s">
        <v>33</v>
      </c>
      <c r="D1" s="28" t="s">
        <v>33</v>
      </c>
    </row>
    <row r="2" spans="1:4">
      <c r="A2" s="69" t="s">
        <v>34</v>
      </c>
      <c r="B2" s="69"/>
      <c r="C2" s="69"/>
      <c r="D2" s="69"/>
    </row>
    <row r="3" spans="1:4">
      <c r="A3" s="30"/>
      <c r="B3" s="30"/>
      <c r="C3" s="30"/>
      <c r="D3" s="70"/>
    </row>
    <row r="4" spans="1:4" ht="22" customHeight="1">
      <c r="A4" s="33" t="s">
        <v>35</v>
      </c>
      <c r="B4" s="33" t="s">
        <v>35</v>
      </c>
      <c r="C4" s="33" t="s">
        <v>35</v>
      </c>
      <c r="D4" s="71" t="s">
        <v>35</v>
      </c>
    </row>
    <row r="5" spans="1:4" ht="19">
      <c r="A5" s="32" t="s">
        <v>36</v>
      </c>
      <c r="B5" s="32" t="s">
        <v>37</v>
      </c>
      <c r="C5" s="32" t="s">
        <v>38</v>
      </c>
      <c r="D5" s="32" t="s">
        <v>39</v>
      </c>
    </row>
    <row r="6" spans="1:4" ht="19">
      <c r="A6" s="30" t="s">
        <v>40</v>
      </c>
      <c r="B6" s="72">
        <v>1000</v>
      </c>
      <c r="C6" s="73">
        <v>1120</v>
      </c>
      <c r="D6" s="70" t="s">
        <v>41</v>
      </c>
    </row>
    <row r="7" spans="1:4" ht="19">
      <c r="A7" s="30" t="s">
        <v>42</v>
      </c>
      <c r="B7" s="74">
        <v>600</v>
      </c>
      <c r="C7" s="75">
        <v>650</v>
      </c>
      <c r="D7" s="70" t="s">
        <v>43</v>
      </c>
    </row>
    <row r="8" spans="1:4" ht="19">
      <c r="A8" s="30" t="s">
        <v>44</v>
      </c>
      <c r="B8" s="74">
        <v>220</v>
      </c>
      <c r="C8" s="75">
        <v>250</v>
      </c>
      <c r="D8" s="70" t="s">
        <v>45</v>
      </c>
    </row>
    <row r="9" spans="1:4" ht="19">
      <c r="A9" s="30" t="s">
        <v>46</v>
      </c>
      <c r="B9" s="74">
        <v>50</v>
      </c>
      <c r="C9" s="75">
        <v>55</v>
      </c>
      <c r="D9" s="70" t="s">
        <v>47</v>
      </c>
    </row>
    <row r="10" spans="1:4" ht="19">
      <c r="A10" s="30" t="s">
        <v>48</v>
      </c>
      <c r="B10" s="76">
        <v>20</v>
      </c>
      <c r="C10" s="77">
        <v>22</v>
      </c>
      <c r="D10" s="70" t="s">
        <v>49</v>
      </c>
    </row>
    <row r="11" spans="1:4" ht="19">
      <c r="A11" s="30" t="s">
        <v>50</v>
      </c>
      <c r="B11" s="78">
        <v>0.25</v>
      </c>
      <c r="C11" s="79">
        <v>0.25</v>
      </c>
      <c r="D11" s="70" t="s">
        <v>51</v>
      </c>
    </row>
    <row r="12" spans="1:4" ht="19">
      <c r="A12" s="30" t="s">
        <v>52</v>
      </c>
      <c r="B12" s="80">
        <v>25</v>
      </c>
      <c r="C12" s="81">
        <v>30</v>
      </c>
      <c r="D12" s="70" t="s">
        <v>53</v>
      </c>
    </row>
    <row r="13" spans="1:4">
      <c r="A13" s="30"/>
      <c r="B13" s="82"/>
      <c r="C13" s="82"/>
      <c r="D13" s="70"/>
    </row>
    <row r="14" spans="1:4" ht="22" customHeight="1">
      <c r="A14" s="31" t="s">
        <v>54</v>
      </c>
      <c r="B14" s="83" t="s">
        <v>54</v>
      </c>
      <c r="C14" s="83" t="s">
        <v>54</v>
      </c>
      <c r="D14" s="84" t="s">
        <v>54</v>
      </c>
    </row>
    <row r="15" spans="1:4" ht="19">
      <c r="A15" s="32" t="s">
        <v>36</v>
      </c>
      <c r="B15" s="85" t="s">
        <v>37</v>
      </c>
      <c r="C15" s="85" t="s">
        <v>38</v>
      </c>
      <c r="D15" s="32" t="s">
        <v>39</v>
      </c>
    </row>
    <row r="16" spans="1:4" ht="19">
      <c r="A16" s="30" t="s">
        <v>55</v>
      </c>
      <c r="B16" s="72">
        <v>110</v>
      </c>
      <c r="C16" s="73">
        <v>135</v>
      </c>
      <c r="D16" s="70" t="s">
        <v>56</v>
      </c>
    </row>
    <row r="17" spans="1:4" ht="19">
      <c r="A17" s="30" t="s">
        <v>57</v>
      </c>
      <c r="B17" s="74">
        <v>145</v>
      </c>
      <c r="C17" s="75">
        <v>170</v>
      </c>
      <c r="D17" s="70" t="s">
        <v>56</v>
      </c>
    </row>
    <row r="18" spans="1:4" ht="19">
      <c r="A18" s="30" t="s">
        <v>58</v>
      </c>
      <c r="B18" s="74">
        <v>20</v>
      </c>
      <c r="C18" s="75">
        <v>22</v>
      </c>
      <c r="D18" s="70" t="s">
        <v>56</v>
      </c>
    </row>
    <row r="19" spans="1:4" ht="19">
      <c r="A19" s="30" t="s">
        <v>59</v>
      </c>
      <c r="B19" s="74">
        <v>90</v>
      </c>
      <c r="C19" s="75">
        <v>100</v>
      </c>
      <c r="D19" s="70" t="s">
        <v>60</v>
      </c>
    </row>
    <row r="20" spans="1:4" ht="19">
      <c r="A20" s="30" t="s">
        <v>61</v>
      </c>
      <c r="B20" s="76">
        <v>40</v>
      </c>
      <c r="C20" s="77">
        <v>43</v>
      </c>
      <c r="D20" s="70" t="s">
        <v>60</v>
      </c>
    </row>
    <row r="21" spans="1:4">
      <c r="A21" s="30"/>
      <c r="B21" s="82"/>
      <c r="C21" s="82"/>
      <c r="D21" s="70"/>
    </row>
    <row r="22" spans="1:4" ht="22" customHeight="1">
      <c r="A22" s="86" t="s">
        <v>62</v>
      </c>
      <c r="B22" s="87" t="s">
        <v>62</v>
      </c>
      <c r="C22" s="87" t="s">
        <v>62</v>
      </c>
      <c r="D22" s="88" t="s">
        <v>62</v>
      </c>
    </row>
    <row r="23" spans="1:4" ht="19">
      <c r="A23" s="32" t="s">
        <v>36</v>
      </c>
      <c r="B23" s="85" t="s">
        <v>37</v>
      </c>
      <c r="C23" s="85" t="s">
        <v>38</v>
      </c>
      <c r="D23" s="32" t="s">
        <v>63</v>
      </c>
    </row>
    <row r="24" spans="1:4" ht="19">
      <c r="A24" s="30" t="s">
        <v>64</v>
      </c>
      <c r="B24" s="89">
        <v>80</v>
      </c>
      <c r="C24" s="90"/>
      <c r="D24" s="70" t="s">
        <v>65</v>
      </c>
    </row>
    <row r="25" spans="1:4" ht="19">
      <c r="A25" s="30" t="s">
        <v>66</v>
      </c>
      <c r="B25" s="91">
        <v>420</v>
      </c>
      <c r="C25" s="90"/>
      <c r="D25" s="70" t="s">
        <v>67</v>
      </c>
    </row>
    <row r="26" spans="1:4" ht="19">
      <c r="A26" s="30" t="s">
        <v>68</v>
      </c>
      <c r="B26" s="91">
        <v>40</v>
      </c>
      <c r="C26" s="92">
        <v>40</v>
      </c>
      <c r="D26" s="70" t="s">
        <v>69</v>
      </c>
    </row>
    <row r="27" spans="1:4" ht="19">
      <c r="A27" s="30" t="s">
        <v>70</v>
      </c>
      <c r="B27" s="91">
        <v>250</v>
      </c>
      <c r="C27" s="90"/>
      <c r="D27" s="70" t="s">
        <v>71</v>
      </c>
    </row>
    <row r="28" spans="1:4" ht="19">
      <c r="A28" s="30" t="s">
        <v>72</v>
      </c>
      <c r="B28" s="91">
        <v>160</v>
      </c>
      <c r="C28" s="90"/>
      <c r="D28" s="70" t="s">
        <v>73</v>
      </c>
    </row>
    <row r="29" spans="1:4" ht="19">
      <c r="A29" s="30" t="s">
        <v>74</v>
      </c>
      <c r="B29" s="91">
        <v>0</v>
      </c>
      <c r="C29" s="90"/>
      <c r="D29" s="70" t="s">
        <v>75</v>
      </c>
    </row>
    <row r="30" spans="1:4" ht="19">
      <c r="A30" s="30" t="s">
        <v>76</v>
      </c>
      <c r="B30" s="93">
        <v>275</v>
      </c>
      <c r="C30" s="90"/>
      <c r="D30" s="70" t="s">
        <v>77</v>
      </c>
    </row>
    <row r="31" spans="1:4">
      <c r="A31" s="30"/>
      <c r="B31" s="82"/>
      <c r="C31" s="82"/>
      <c r="D31" s="70"/>
    </row>
    <row r="32" spans="1:4" ht="22" customHeight="1">
      <c r="A32" s="94" t="s">
        <v>78</v>
      </c>
      <c r="B32" s="95" t="s">
        <v>78</v>
      </c>
      <c r="C32" s="95" t="s">
        <v>78</v>
      </c>
      <c r="D32" s="96" t="s">
        <v>78</v>
      </c>
    </row>
    <row r="33" spans="1:4" ht="19">
      <c r="A33" s="32" t="s">
        <v>36</v>
      </c>
      <c r="B33" s="85" t="s">
        <v>37</v>
      </c>
      <c r="C33" s="85" t="s">
        <v>38</v>
      </c>
      <c r="D33" s="32" t="s">
        <v>79</v>
      </c>
    </row>
    <row r="34" spans="1:4" ht="19">
      <c r="A34" s="30" t="s">
        <v>80</v>
      </c>
      <c r="B34" s="97"/>
      <c r="C34" s="89">
        <v>85</v>
      </c>
      <c r="D34" s="70" t="s">
        <v>81</v>
      </c>
    </row>
    <row r="35" spans="1:4" ht="19">
      <c r="A35" s="30" t="s">
        <v>82</v>
      </c>
      <c r="B35" s="97"/>
      <c r="C35" s="91">
        <v>30</v>
      </c>
      <c r="D35" s="70" t="s">
        <v>83</v>
      </c>
    </row>
    <row r="36" spans="1:4" ht="19">
      <c r="A36" s="30" t="s">
        <v>84</v>
      </c>
      <c r="B36" s="97"/>
      <c r="C36" s="91">
        <v>20</v>
      </c>
      <c r="D36" s="70" t="s">
        <v>85</v>
      </c>
    </row>
    <row r="37" spans="1:4" ht="19">
      <c r="A37" s="30" t="s">
        <v>86</v>
      </c>
      <c r="B37" s="97"/>
      <c r="C37" s="91">
        <v>0</v>
      </c>
      <c r="D37" s="70" t="s">
        <v>83</v>
      </c>
    </row>
    <row r="38" spans="1:4" ht="19">
      <c r="A38" s="30" t="s">
        <v>87</v>
      </c>
      <c r="B38" s="97"/>
      <c r="C38" s="93">
        <v>0</v>
      </c>
      <c r="D38" s="70" t="s">
        <v>85</v>
      </c>
    </row>
    <row r="39" spans="1:4">
      <c r="A39" s="30"/>
      <c r="B39" s="82"/>
      <c r="C39" s="82"/>
      <c r="D39" s="70"/>
    </row>
    <row r="40" spans="1:4" ht="22" customHeight="1">
      <c r="A40" s="33" t="s">
        <v>88</v>
      </c>
      <c r="B40" s="98" t="s">
        <v>88</v>
      </c>
      <c r="C40" s="98" t="s">
        <v>88</v>
      </c>
      <c r="D40" s="71" t="s">
        <v>88</v>
      </c>
    </row>
    <row r="41" spans="1:4" ht="19">
      <c r="A41" s="32" t="s">
        <v>36</v>
      </c>
      <c r="B41" s="85" t="s">
        <v>37</v>
      </c>
      <c r="C41" s="85" t="s">
        <v>38</v>
      </c>
      <c r="D41" s="32" t="s">
        <v>89</v>
      </c>
    </row>
    <row r="42" spans="1:4" ht="30" customHeight="1">
      <c r="A42" s="30" t="s">
        <v>90</v>
      </c>
      <c r="B42" s="97"/>
      <c r="C42" s="89">
        <v>50</v>
      </c>
      <c r="D42" s="70" t="s">
        <v>91</v>
      </c>
    </row>
    <row r="43" spans="1:4" ht="22" customHeight="1">
      <c r="A43" s="30" t="s">
        <v>92</v>
      </c>
      <c r="B43" s="97"/>
      <c r="C43" s="93">
        <v>90</v>
      </c>
      <c r="D43" s="70" t="s">
        <v>93</v>
      </c>
    </row>
  </sheetData>
  <mergeCells count="7">
    <mergeCell ref="A32:D32"/>
    <mergeCell ref="A40:D40"/>
    <mergeCell ref="A1:D1"/>
    <mergeCell ref="A2:D2"/>
    <mergeCell ref="A4:D4"/>
    <mergeCell ref="A14:D14"/>
    <mergeCell ref="A22:D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3"/>
  <sheetViews>
    <sheetView showGridLines="0" tabSelected="1" topLeftCell="A53" workbookViewId="0">
      <selection activeCell="B59" sqref="B59:C63"/>
    </sheetView>
  </sheetViews>
  <sheetFormatPr baseColWidth="10" defaultColWidth="8.83203125" defaultRowHeight="18"/>
  <cols>
    <col min="1" max="1" width="34" style="29" customWidth="1"/>
    <col min="2" max="3" width="14" style="29" customWidth="1"/>
    <col min="4" max="4" width="39" style="29" customWidth="1"/>
    <col min="5" max="5" width="29" style="29" customWidth="1"/>
    <col min="6" max="16384" width="8.83203125" style="29"/>
  </cols>
  <sheetData>
    <row r="1" spans="1:5" ht="30" customHeight="1">
      <c r="A1" s="28" t="s">
        <v>94</v>
      </c>
      <c r="B1" s="28" t="s">
        <v>94</v>
      </c>
      <c r="C1" s="28" t="s">
        <v>94</v>
      </c>
      <c r="D1" s="28" t="s">
        <v>94</v>
      </c>
      <c r="E1" s="28" t="s">
        <v>94</v>
      </c>
    </row>
    <row r="2" spans="1:5">
      <c r="A2" s="99" t="s">
        <v>95</v>
      </c>
      <c r="B2" s="99"/>
      <c r="C2" s="99"/>
      <c r="D2" s="99"/>
      <c r="E2" s="99"/>
    </row>
    <row r="3" spans="1:5" ht="19">
      <c r="A3" s="32" t="s">
        <v>96</v>
      </c>
      <c r="B3" s="32" t="s">
        <v>37</v>
      </c>
      <c r="C3" s="32" t="s">
        <v>38</v>
      </c>
      <c r="D3" s="32" t="s">
        <v>97</v>
      </c>
      <c r="E3" s="32" t="s">
        <v>6</v>
      </c>
    </row>
    <row r="4" spans="1:5">
      <c r="A4" s="30"/>
      <c r="B4" s="30"/>
      <c r="C4" s="30"/>
      <c r="D4" s="30"/>
      <c r="E4" s="30"/>
    </row>
    <row r="5" spans="1:5" ht="22" customHeight="1">
      <c r="A5" s="33" t="s">
        <v>98</v>
      </c>
      <c r="B5" s="33" t="s">
        <v>98</v>
      </c>
      <c r="C5" s="33" t="s">
        <v>98</v>
      </c>
      <c r="D5" s="33" t="s">
        <v>98</v>
      </c>
      <c r="E5" s="33" t="s">
        <v>98</v>
      </c>
    </row>
    <row r="6" spans="1:5" ht="19">
      <c r="A6" s="70" t="s">
        <v>40</v>
      </c>
      <c r="B6" s="100"/>
      <c r="C6" s="100"/>
      <c r="D6" s="70" t="s">
        <v>99</v>
      </c>
      <c r="E6" s="70" t="s">
        <v>100</v>
      </c>
    </row>
    <row r="7" spans="1:5" ht="19">
      <c r="A7" s="70" t="s">
        <v>42</v>
      </c>
      <c r="B7" s="100"/>
      <c r="C7" s="100"/>
      <c r="D7" s="70" t="s">
        <v>101</v>
      </c>
      <c r="E7" s="70" t="s">
        <v>102</v>
      </c>
    </row>
    <row r="8" spans="1:5" ht="38">
      <c r="A8" s="101" t="s">
        <v>103</v>
      </c>
      <c r="B8" s="102"/>
      <c r="C8" s="103"/>
      <c r="D8" s="70" t="s">
        <v>104</v>
      </c>
      <c r="E8" s="70" t="s">
        <v>105</v>
      </c>
    </row>
    <row r="9" spans="1:5" ht="19">
      <c r="A9" s="70" t="s">
        <v>44</v>
      </c>
      <c r="B9" s="100"/>
      <c r="C9" s="100"/>
      <c r="D9" s="70" t="s">
        <v>106</v>
      </c>
      <c r="E9" s="70" t="s">
        <v>107</v>
      </c>
    </row>
    <row r="10" spans="1:5" ht="19">
      <c r="A10" s="70" t="s">
        <v>46</v>
      </c>
      <c r="B10" s="100"/>
      <c r="C10" s="100"/>
      <c r="D10" s="70" t="s">
        <v>108</v>
      </c>
      <c r="E10" s="70" t="s">
        <v>109</v>
      </c>
    </row>
    <row r="11" spans="1:5" ht="38">
      <c r="A11" s="101" t="s">
        <v>110</v>
      </c>
      <c r="B11" s="102"/>
      <c r="C11" s="103"/>
      <c r="D11" s="70" t="s">
        <v>111</v>
      </c>
      <c r="E11" s="70" t="s">
        <v>112</v>
      </c>
    </row>
    <row r="12" spans="1:5" ht="19">
      <c r="A12" s="70" t="s">
        <v>48</v>
      </c>
      <c r="B12" s="100"/>
      <c r="C12" s="100"/>
      <c r="D12" s="70" t="s">
        <v>113</v>
      </c>
      <c r="E12" s="70" t="s">
        <v>114</v>
      </c>
    </row>
    <row r="13" spans="1:5" ht="19">
      <c r="A13" s="70" t="s">
        <v>115</v>
      </c>
      <c r="B13" s="104"/>
      <c r="C13" s="104"/>
      <c r="D13" s="70" t="s">
        <v>116</v>
      </c>
      <c r="E13" s="70" t="s">
        <v>117</v>
      </c>
    </row>
    <row r="14" spans="1:5" ht="19">
      <c r="A14" s="70" t="s">
        <v>50</v>
      </c>
      <c r="B14" s="105"/>
      <c r="C14" s="105"/>
      <c r="D14" s="70" t="s">
        <v>118</v>
      </c>
      <c r="E14" s="70" t="s">
        <v>119</v>
      </c>
    </row>
    <row r="15" spans="1:5" ht="19">
      <c r="A15" s="70" t="s">
        <v>120</v>
      </c>
      <c r="B15" s="104"/>
      <c r="C15" s="104"/>
      <c r="D15" s="70" t="s">
        <v>121</v>
      </c>
      <c r="E15" s="70" t="s">
        <v>122</v>
      </c>
    </row>
    <row r="16" spans="1:5" ht="19">
      <c r="A16" s="101" t="s">
        <v>123</v>
      </c>
      <c r="B16" s="102"/>
      <c r="C16" s="103"/>
      <c r="D16" s="70" t="s">
        <v>124</v>
      </c>
      <c r="E16" s="70" t="s">
        <v>125</v>
      </c>
    </row>
    <row r="17" spans="1:5">
      <c r="A17" s="70"/>
      <c r="B17" s="106"/>
      <c r="C17" s="106"/>
      <c r="D17" s="70"/>
      <c r="E17" s="70"/>
    </row>
    <row r="18" spans="1:5" ht="22" customHeight="1">
      <c r="A18" s="84" t="s">
        <v>126</v>
      </c>
      <c r="B18" s="107" t="s">
        <v>126</v>
      </c>
      <c r="C18" s="107" t="s">
        <v>126</v>
      </c>
      <c r="D18" s="84" t="s">
        <v>126</v>
      </c>
      <c r="E18" s="84" t="s">
        <v>126</v>
      </c>
    </row>
    <row r="19" spans="1:5" ht="19">
      <c r="A19" s="70" t="s">
        <v>55</v>
      </c>
      <c r="B19" s="100"/>
      <c r="C19" s="100"/>
      <c r="D19" s="70" t="s">
        <v>127</v>
      </c>
      <c r="E19" s="70" t="s">
        <v>128</v>
      </c>
    </row>
    <row r="20" spans="1:5" ht="19">
      <c r="A20" s="70" t="s">
        <v>57</v>
      </c>
      <c r="B20" s="100"/>
      <c r="C20" s="100"/>
      <c r="D20" s="70" t="s">
        <v>127</v>
      </c>
      <c r="E20" s="70" t="s">
        <v>129</v>
      </c>
    </row>
    <row r="21" spans="1:5" ht="19">
      <c r="A21" s="70" t="s">
        <v>58</v>
      </c>
      <c r="B21" s="100"/>
      <c r="C21" s="100"/>
      <c r="D21" s="70" t="s">
        <v>127</v>
      </c>
      <c r="E21" s="70" t="s">
        <v>130</v>
      </c>
    </row>
    <row r="22" spans="1:5" ht="19">
      <c r="A22" s="70" t="s">
        <v>59</v>
      </c>
      <c r="B22" s="100"/>
      <c r="C22" s="100"/>
      <c r="D22" s="70" t="s">
        <v>131</v>
      </c>
      <c r="E22" s="70" t="s">
        <v>132</v>
      </c>
    </row>
    <row r="23" spans="1:5" ht="19">
      <c r="A23" s="70" t="s">
        <v>61</v>
      </c>
      <c r="B23" s="100"/>
      <c r="C23" s="100"/>
      <c r="D23" s="70" t="s">
        <v>131</v>
      </c>
      <c r="E23" s="70" t="s">
        <v>133</v>
      </c>
    </row>
    <row r="24" spans="1:5" ht="30" customHeight="1">
      <c r="A24" s="70" t="s">
        <v>134</v>
      </c>
      <c r="B24" s="108"/>
      <c r="C24" s="108"/>
      <c r="D24" s="70" t="s">
        <v>135</v>
      </c>
      <c r="E24" s="70" t="s">
        <v>136</v>
      </c>
    </row>
    <row r="25" spans="1:5" ht="19">
      <c r="A25" s="70" t="s">
        <v>137</v>
      </c>
      <c r="B25" s="106" t="s">
        <v>138</v>
      </c>
      <c r="C25" s="104"/>
      <c r="D25" s="70" t="s">
        <v>139</v>
      </c>
      <c r="E25" s="70" t="s">
        <v>140</v>
      </c>
    </row>
    <row r="26" spans="1:5">
      <c r="A26" s="70"/>
      <c r="B26" s="106"/>
      <c r="C26" s="106"/>
      <c r="D26" s="70"/>
      <c r="E26" s="70"/>
    </row>
    <row r="27" spans="1:5" ht="22" customHeight="1">
      <c r="A27" s="88" t="s">
        <v>141</v>
      </c>
      <c r="B27" s="109" t="s">
        <v>141</v>
      </c>
      <c r="C27" s="109" t="s">
        <v>141</v>
      </c>
      <c r="D27" s="88" t="s">
        <v>141</v>
      </c>
      <c r="E27" s="88" t="s">
        <v>141</v>
      </c>
    </row>
    <row r="28" spans="1:5" ht="19">
      <c r="A28" s="70" t="s">
        <v>123</v>
      </c>
      <c r="B28" s="106"/>
      <c r="C28" s="104"/>
      <c r="D28" s="70" t="s">
        <v>142</v>
      </c>
      <c r="E28" s="70" t="s">
        <v>143</v>
      </c>
    </row>
    <row r="29" spans="1:5" ht="19">
      <c r="A29" s="70" t="s">
        <v>144</v>
      </c>
      <c r="B29" s="106"/>
      <c r="C29" s="104"/>
      <c r="D29" s="70" t="s">
        <v>145</v>
      </c>
      <c r="E29" s="70" t="s">
        <v>146</v>
      </c>
    </row>
    <row r="30" spans="1:5" ht="19">
      <c r="A30" s="70" t="s">
        <v>147</v>
      </c>
      <c r="B30" s="106"/>
      <c r="C30" s="104"/>
      <c r="D30" s="70" t="s">
        <v>148</v>
      </c>
      <c r="E30" s="70" t="s">
        <v>149</v>
      </c>
    </row>
    <row r="31" spans="1:5" ht="38">
      <c r="A31" s="110" t="s">
        <v>150</v>
      </c>
      <c r="B31" s="111"/>
      <c r="C31" s="112"/>
      <c r="D31" s="70" t="s">
        <v>151</v>
      </c>
      <c r="E31" s="70" t="s">
        <v>152</v>
      </c>
    </row>
    <row r="32" spans="1:5" ht="19">
      <c r="A32" s="70" t="s">
        <v>80</v>
      </c>
      <c r="B32" s="106"/>
      <c r="C32" s="100"/>
      <c r="D32" s="70" t="s">
        <v>153</v>
      </c>
      <c r="E32" s="70" t="s">
        <v>154</v>
      </c>
    </row>
    <row r="33" spans="1:5" ht="19">
      <c r="A33" s="70" t="s">
        <v>155</v>
      </c>
      <c r="B33" s="106"/>
      <c r="C33" s="104"/>
      <c r="D33" s="70" t="s">
        <v>156</v>
      </c>
      <c r="E33" s="70" t="s">
        <v>157</v>
      </c>
    </row>
    <row r="34" spans="1:5" ht="19">
      <c r="A34" s="70" t="s">
        <v>82</v>
      </c>
      <c r="B34" s="106"/>
      <c r="C34" s="100"/>
      <c r="D34" s="70" t="s">
        <v>158</v>
      </c>
      <c r="E34" s="70" t="s">
        <v>159</v>
      </c>
    </row>
    <row r="35" spans="1:5" ht="19">
      <c r="A35" s="70" t="s">
        <v>84</v>
      </c>
      <c r="B35" s="106"/>
      <c r="C35" s="100"/>
      <c r="D35" s="70" t="s">
        <v>160</v>
      </c>
      <c r="E35" s="70" t="s">
        <v>161</v>
      </c>
    </row>
    <row r="36" spans="1:5" ht="19">
      <c r="A36" s="70" t="s">
        <v>52</v>
      </c>
      <c r="B36" s="106"/>
      <c r="C36" s="100"/>
      <c r="D36" s="70" t="s">
        <v>162</v>
      </c>
      <c r="E36" s="70" t="s">
        <v>163</v>
      </c>
    </row>
    <row r="37" spans="1:5" ht="19">
      <c r="A37" s="70" t="s">
        <v>86</v>
      </c>
      <c r="B37" s="106"/>
      <c r="C37" s="100"/>
      <c r="D37" s="70" t="s">
        <v>158</v>
      </c>
      <c r="E37" s="70" t="s">
        <v>164</v>
      </c>
    </row>
    <row r="38" spans="1:5" ht="19">
      <c r="A38" s="70" t="s">
        <v>87</v>
      </c>
      <c r="B38" s="106"/>
      <c r="C38" s="100"/>
      <c r="D38" s="70" t="s">
        <v>160</v>
      </c>
      <c r="E38" s="70" t="s">
        <v>163</v>
      </c>
    </row>
    <row r="39" spans="1:5" ht="19">
      <c r="A39" s="110" t="s">
        <v>165</v>
      </c>
      <c r="B39" s="111"/>
      <c r="C39" s="113"/>
      <c r="D39" s="70" t="s">
        <v>166</v>
      </c>
      <c r="E39" s="70" t="s">
        <v>167</v>
      </c>
    </row>
    <row r="40" spans="1:5" ht="19">
      <c r="A40" s="70" t="s">
        <v>168</v>
      </c>
      <c r="B40" s="106"/>
      <c r="C40" s="104"/>
      <c r="D40" s="70" t="s">
        <v>169</v>
      </c>
      <c r="E40" s="70" t="s">
        <v>170</v>
      </c>
    </row>
    <row r="41" spans="1:5" ht="19">
      <c r="A41" s="70" t="s">
        <v>171</v>
      </c>
      <c r="B41" s="106"/>
      <c r="C41" s="100"/>
      <c r="D41" s="70" t="s">
        <v>172</v>
      </c>
      <c r="E41" s="70" t="s">
        <v>173</v>
      </c>
    </row>
    <row r="42" spans="1:5" ht="19">
      <c r="A42" s="110" t="s">
        <v>174</v>
      </c>
      <c r="B42" s="111"/>
      <c r="C42" s="112"/>
      <c r="D42" s="70" t="s">
        <v>175</v>
      </c>
      <c r="E42" s="70" t="s">
        <v>176</v>
      </c>
    </row>
    <row r="43" spans="1:5">
      <c r="A43" s="70"/>
      <c r="B43" s="106"/>
      <c r="C43" s="106"/>
      <c r="D43" s="70"/>
      <c r="E43" s="70"/>
    </row>
    <row r="44" spans="1:5" ht="22" customHeight="1">
      <c r="A44" s="96" t="s">
        <v>177</v>
      </c>
      <c r="B44" s="114" t="s">
        <v>177</v>
      </c>
      <c r="C44" s="114" t="s">
        <v>177</v>
      </c>
      <c r="D44" s="96" t="s">
        <v>177</v>
      </c>
      <c r="E44" s="96" t="s">
        <v>177</v>
      </c>
    </row>
    <row r="45" spans="1:5" ht="38">
      <c r="A45" s="70" t="s">
        <v>64</v>
      </c>
      <c r="B45" s="100"/>
      <c r="C45" s="104"/>
      <c r="D45" s="70" t="s">
        <v>178</v>
      </c>
      <c r="E45" s="70" t="s">
        <v>179</v>
      </c>
    </row>
    <row r="46" spans="1:5" ht="19">
      <c r="A46" s="70" t="s">
        <v>55</v>
      </c>
      <c r="B46" s="100"/>
      <c r="C46" s="100"/>
      <c r="D46" s="70" t="s">
        <v>180</v>
      </c>
      <c r="E46" s="70" t="s">
        <v>181</v>
      </c>
    </row>
    <row r="47" spans="1:5" ht="19">
      <c r="A47" s="70" t="s">
        <v>57</v>
      </c>
      <c r="B47" s="100"/>
      <c r="C47" s="100"/>
      <c r="D47" s="70" t="s">
        <v>180</v>
      </c>
      <c r="E47" s="70" t="s">
        <v>181</v>
      </c>
    </row>
    <row r="48" spans="1:5" ht="19">
      <c r="A48" s="70" t="s">
        <v>58</v>
      </c>
      <c r="B48" s="100"/>
      <c r="C48" s="100"/>
      <c r="D48" s="70" t="s">
        <v>180</v>
      </c>
      <c r="E48" s="70" t="s">
        <v>181</v>
      </c>
    </row>
    <row r="49" spans="1:5" ht="19">
      <c r="A49" s="70" t="s">
        <v>182</v>
      </c>
      <c r="B49" s="104"/>
      <c r="C49" s="104"/>
      <c r="D49" s="70" t="s">
        <v>183</v>
      </c>
      <c r="E49" s="70" t="s">
        <v>184</v>
      </c>
    </row>
    <row r="50" spans="1:5" ht="19">
      <c r="A50" s="70" t="s">
        <v>66</v>
      </c>
      <c r="B50" s="100"/>
      <c r="C50" s="104"/>
      <c r="D50" s="70" t="s">
        <v>67</v>
      </c>
      <c r="E50" s="70" t="s">
        <v>185</v>
      </c>
    </row>
    <row r="51" spans="1:5" ht="19">
      <c r="A51" s="70" t="s">
        <v>68</v>
      </c>
      <c r="B51" s="100"/>
      <c r="C51" s="100"/>
      <c r="D51" s="70" t="s">
        <v>186</v>
      </c>
      <c r="E51" s="70" t="s">
        <v>187</v>
      </c>
    </row>
    <row r="52" spans="1:5" ht="19">
      <c r="A52" s="115" t="s">
        <v>188</v>
      </c>
      <c r="B52" s="116"/>
      <c r="C52" s="117"/>
      <c r="D52" s="70" t="s">
        <v>189</v>
      </c>
      <c r="E52" s="70" t="s">
        <v>190</v>
      </c>
    </row>
    <row r="53" spans="1:5">
      <c r="A53" s="70"/>
      <c r="B53" s="106"/>
      <c r="C53" s="106"/>
      <c r="D53" s="70"/>
      <c r="E53" s="70"/>
    </row>
    <row r="54" spans="1:5" ht="19">
      <c r="A54" s="70" t="s">
        <v>59</v>
      </c>
      <c r="B54" s="100"/>
      <c r="C54" s="100"/>
      <c r="D54" s="70" t="s">
        <v>180</v>
      </c>
      <c r="E54" s="70" t="s">
        <v>191</v>
      </c>
    </row>
    <row r="55" spans="1:5" ht="19">
      <c r="A55" s="70" t="s">
        <v>61</v>
      </c>
      <c r="B55" s="100"/>
      <c r="C55" s="100"/>
      <c r="D55" s="70" t="s">
        <v>180</v>
      </c>
      <c r="E55" s="70" t="s">
        <v>191</v>
      </c>
    </row>
    <row r="56" spans="1:5" ht="19">
      <c r="A56" s="70" t="s">
        <v>70</v>
      </c>
      <c r="B56" s="100"/>
      <c r="C56" s="104"/>
      <c r="D56" s="70" t="s">
        <v>192</v>
      </c>
      <c r="E56" s="70" t="s">
        <v>193</v>
      </c>
    </row>
    <row r="57" spans="1:5" ht="19">
      <c r="A57" s="115" t="s">
        <v>194</v>
      </c>
      <c r="B57" s="118"/>
      <c r="C57" s="119"/>
      <c r="D57" s="70" t="s">
        <v>195</v>
      </c>
      <c r="E57" s="70" t="s">
        <v>196</v>
      </c>
    </row>
    <row r="58" spans="1:5">
      <c r="A58" s="70"/>
      <c r="B58" s="106"/>
      <c r="C58" s="106"/>
      <c r="D58" s="70"/>
      <c r="E58" s="70"/>
    </row>
    <row r="59" spans="1:5" ht="19">
      <c r="A59" s="70" t="s">
        <v>72</v>
      </c>
      <c r="B59" s="100"/>
      <c r="C59" s="104"/>
      <c r="D59" s="70" t="s">
        <v>73</v>
      </c>
      <c r="E59" s="70" t="s">
        <v>197</v>
      </c>
    </row>
    <row r="60" spans="1:5" ht="19">
      <c r="A60" s="70" t="s">
        <v>74</v>
      </c>
      <c r="B60" s="100"/>
      <c r="C60" s="104"/>
      <c r="D60" s="70" t="s">
        <v>75</v>
      </c>
      <c r="E60" s="70" t="s">
        <v>198</v>
      </c>
    </row>
    <row r="61" spans="1:5" ht="19">
      <c r="A61" s="70" t="s">
        <v>76</v>
      </c>
      <c r="B61" s="100"/>
      <c r="C61" s="104"/>
      <c r="D61" s="70" t="s">
        <v>77</v>
      </c>
      <c r="E61" s="70" t="s">
        <v>199</v>
      </c>
    </row>
    <row r="62" spans="1:5" ht="38">
      <c r="A62" s="70" t="s">
        <v>200</v>
      </c>
      <c r="B62" s="120"/>
      <c r="C62" s="121"/>
      <c r="D62" s="70" t="s">
        <v>201</v>
      </c>
      <c r="E62" s="70" t="s">
        <v>202</v>
      </c>
    </row>
    <row r="63" spans="1:5" ht="19">
      <c r="A63" s="70" t="s">
        <v>203</v>
      </c>
      <c r="B63" s="108"/>
      <c r="C63" s="122"/>
      <c r="D63" s="70" t="s">
        <v>204</v>
      </c>
      <c r="E63" s="70" t="s">
        <v>205</v>
      </c>
    </row>
    <row r="64" spans="1:5" ht="19">
      <c r="A64" s="115" t="s">
        <v>206</v>
      </c>
      <c r="B64" s="123"/>
      <c r="C64" s="124"/>
      <c r="D64" s="70" t="s">
        <v>207</v>
      </c>
      <c r="E64" s="70" t="s">
        <v>208</v>
      </c>
    </row>
    <row r="65" spans="1:5">
      <c r="A65" s="70"/>
      <c r="B65" s="106"/>
      <c r="C65" s="106"/>
      <c r="D65" s="70"/>
      <c r="E65" s="70"/>
    </row>
    <row r="66" spans="1:5" ht="22" customHeight="1">
      <c r="A66" s="71" t="s">
        <v>209</v>
      </c>
      <c r="B66" s="125" t="s">
        <v>209</v>
      </c>
      <c r="C66" s="125" t="s">
        <v>209</v>
      </c>
      <c r="D66" s="71" t="s">
        <v>209</v>
      </c>
      <c r="E66" s="71" t="s">
        <v>209</v>
      </c>
    </row>
    <row r="67" spans="1:5" ht="19">
      <c r="A67" s="70" t="s">
        <v>210</v>
      </c>
      <c r="B67" s="106"/>
      <c r="C67" s="104"/>
      <c r="D67" s="70" t="s">
        <v>211</v>
      </c>
      <c r="E67" s="70" t="s">
        <v>212</v>
      </c>
    </row>
    <row r="68" spans="1:5" ht="19">
      <c r="A68" s="70" t="s">
        <v>144</v>
      </c>
      <c r="B68" s="106"/>
      <c r="C68" s="104"/>
      <c r="D68" s="70" t="s">
        <v>108</v>
      </c>
      <c r="E68" s="70" t="s">
        <v>213</v>
      </c>
    </row>
    <row r="69" spans="1:5" ht="19">
      <c r="A69" s="70" t="s">
        <v>147</v>
      </c>
      <c r="B69" s="106"/>
      <c r="C69" s="104"/>
      <c r="D69" s="70" t="s">
        <v>214</v>
      </c>
      <c r="E69" s="70" t="s">
        <v>215</v>
      </c>
    </row>
    <row r="70" spans="1:5" ht="19">
      <c r="A70" s="70" t="s">
        <v>216</v>
      </c>
      <c r="B70" s="106"/>
      <c r="C70" s="104"/>
      <c r="D70" s="70" t="s">
        <v>217</v>
      </c>
      <c r="E70" s="70" t="s">
        <v>154</v>
      </c>
    </row>
    <row r="71" spans="1:5" ht="19">
      <c r="A71" s="101" t="s">
        <v>218</v>
      </c>
      <c r="B71" s="126"/>
      <c r="C71" s="103"/>
      <c r="D71" s="70" t="s">
        <v>219</v>
      </c>
      <c r="E71" s="70" t="s">
        <v>220</v>
      </c>
    </row>
    <row r="72" spans="1:5" ht="19">
      <c r="A72" s="70" t="s">
        <v>221</v>
      </c>
      <c r="B72" s="106"/>
      <c r="C72" s="104"/>
      <c r="D72" s="70" t="s">
        <v>222</v>
      </c>
      <c r="E72" s="70" t="s">
        <v>223</v>
      </c>
    </row>
    <row r="73" spans="1:5" ht="19">
      <c r="A73" s="70" t="s">
        <v>224</v>
      </c>
      <c r="B73" s="106"/>
      <c r="C73" s="104"/>
      <c r="D73" s="70" t="s">
        <v>225</v>
      </c>
      <c r="E73" s="70" t="s">
        <v>226</v>
      </c>
    </row>
    <row r="74" spans="1:5" ht="38">
      <c r="A74" s="70" t="s">
        <v>227</v>
      </c>
      <c r="B74" s="106"/>
      <c r="C74" s="112"/>
      <c r="D74" s="70" t="s">
        <v>228</v>
      </c>
      <c r="E74" s="70" t="s">
        <v>229</v>
      </c>
    </row>
    <row r="75" spans="1:5" ht="19">
      <c r="A75" s="70" t="s">
        <v>230</v>
      </c>
      <c r="B75" s="106"/>
      <c r="C75" s="127"/>
      <c r="D75" s="70" t="s">
        <v>231</v>
      </c>
      <c r="E75" s="70" t="s">
        <v>232</v>
      </c>
    </row>
    <row r="76" spans="1:5" ht="19">
      <c r="A76" s="101" t="s">
        <v>233</v>
      </c>
      <c r="B76" s="126"/>
      <c r="C76" s="128"/>
      <c r="D76" s="70" t="s">
        <v>234</v>
      </c>
      <c r="E76" s="70" t="s">
        <v>208</v>
      </c>
    </row>
    <row r="77" spans="1:5">
      <c r="A77" s="70"/>
      <c r="B77" s="30"/>
      <c r="C77" s="30"/>
      <c r="D77" s="70"/>
      <c r="E77" s="70"/>
    </row>
    <row r="78" spans="1:5" ht="22" customHeight="1">
      <c r="A78" s="84" t="s">
        <v>235</v>
      </c>
      <c r="B78" s="31" t="s">
        <v>235</v>
      </c>
      <c r="C78" s="31" t="s">
        <v>235</v>
      </c>
      <c r="D78" s="84" t="s">
        <v>235</v>
      </c>
      <c r="E78" s="84" t="s">
        <v>235</v>
      </c>
    </row>
    <row r="79" spans="1:5" ht="19">
      <c r="A79" s="32" t="s">
        <v>236</v>
      </c>
      <c r="B79" s="32" t="s">
        <v>37</v>
      </c>
      <c r="C79" s="32" t="s">
        <v>38</v>
      </c>
      <c r="D79" s="32" t="s">
        <v>237</v>
      </c>
      <c r="E79" s="32" t="s">
        <v>89</v>
      </c>
    </row>
    <row r="80" spans="1:5" ht="19">
      <c r="A80" s="70" t="s">
        <v>238</v>
      </c>
      <c r="B80" s="129"/>
      <c r="C80" s="129"/>
      <c r="D80" s="130"/>
      <c r="E80" s="70" t="s">
        <v>102</v>
      </c>
    </row>
    <row r="81" spans="1:5" ht="19">
      <c r="A81" s="70" t="s">
        <v>239</v>
      </c>
      <c r="B81" s="129"/>
      <c r="C81" s="129"/>
      <c r="D81" s="130"/>
      <c r="E81" s="70" t="s">
        <v>240</v>
      </c>
    </row>
    <row r="82" spans="1:5" ht="38">
      <c r="A82" s="70" t="s">
        <v>241</v>
      </c>
      <c r="B82" s="129"/>
      <c r="C82" s="129"/>
      <c r="D82" s="130"/>
      <c r="E82" s="70" t="s">
        <v>242</v>
      </c>
    </row>
    <row r="83" spans="1:5" ht="19">
      <c r="A83" s="70" t="s">
        <v>243</v>
      </c>
      <c r="B83" s="129"/>
      <c r="C83" s="129"/>
      <c r="D83" s="130"/>
      <c r="E83" s="70" t="s">
        <v>244</v>
      </c>
    </row>
  </sheetData>
  <mergeCells count="8">
    <mergeCell ref="A44:E44"/>
    <mergeCell ref="A66:E66"/>
    <mergeCell ref="A78:E78"/>
    <mergeCell ref="A1:E1"/>
    <mergeCell ref="A2:E2"/>
    <mergeCell ref="A5:E5"/>
    <mergeCell ref="A18:E18"/>
    <mergeCell ref="A27:E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showGridLines="0" workbookViewId="0">
      <selection sqref="A1:D1"/>
    </sheetView>
  </sheetViews>
  <sheetFormatPr baseColWidth="10" defaultColWidth="8.83203125" defaultRowHeight="14"/>
  <cols>
    <col min="1" max="1" width="34" customWidth="1"/>
    <col min="2" max="2" width="18" customWidth="1"/>
    <col min="3" max="4" width="31" customWidth="1"/>
  </cols>
  <sheetData>
    <row r="1" spans="1:4" ht="30" customHeight="1">
      <c r="A1" s="11" t="s">
        <v>245</v>
      </c>
      <c r="B1" s="11" t="s">
        <v>245</v>
      </c>
      <c r="C1" s="11" t="s">
        <v>245</v>
      </c>
      <c r="D1" s="11" t="s">
        <v>245</v>
      </c>
    </row>
    <row r="2" spans="1:4" ht="15">
      <c r="A2" s="15" t="s">
        <v>246</v>
      </c>
      <c r="B2" s="15"/>
      <c r="C2" s="15"/>
      <c r="D2" s="15"/>
    </row>
    <row r="3" spans="1:4">
      <c r="A3" s="1"/>
      <c r="B3" s="1"/>
      <c r="C3" s="1"/>
      <c r="D3" s="1"/>
    </row>
    <row r="4" spans="1:4" ht="22" customHeight="1">
      <c r="A4" s="14" t="s">
        <v>247</v>
      </c>
      <c r="B4" s="14" t="s">
        <v>247</v>
      </c>
      <c r="C4" s="14" t="s">
        <v>247</v>
      </c>
      <c r="D4" s="14" t="s">
        <v>247</v>
      </c>
    </row>
    <row r="5" spans="1:4">
      <c r="A5" s="1" t="s">
        <v>248</v>
      </c>
      <c r="B5" s="18"/>
      <c r="C5" s="19"/>
      <c r="D5" s="20"/>
    </row>
    <row r="6" spans="1:4">
      <c r="A6" s="1"/>
      <c r="B6" s="1"/>
      <c r="C6" s="1"/>
      <c r="D6" s="1"/>
    </row>
    <row r="7" spans="1:4" ht="22" customHeight="1">
      <c r="A7" s="12" t="s">
        <v>249</v>
      </c>
      <c r="B7" s="12" t="s">
        <v>249</v>
      </c>
      <c r="C7" s="12" t="s">
        <v>249</v>
      </c>
      <c r="D7" s="12" t="s">
        <v>249</v>
      </c>
    </row>
    <row r="8" spans="1:4" ht="16">
      <c r="A8" s="3" t="s">
        <v>236</v>
      </c>
      <c r="B8" s="3" t="s">
        <v>250</v>
      </c>
      <c r="C8" s="13" t="s">
        <v>251</v>
      </c>
      <c r="D8" s="13"/>
    </row>
    <row r="9" spans="1:4">
      <c r="A9" s="1" t="s">
        <v>227</v>
      </c>
      <c r="B9" s="4"/>
      <c r="C9" s="21" t="s">
        <v>252</v>
      </c>
      <c r="D9" s="21"/>
    </row>
    <row r="10" spans="1:4">
      <c r="A10" s="1" t="s">
        <v>253</v>
      </c>
      <c r="B10" s="4"/>
      <c r="C10" s="21" t="s">
        <v>254</v>
      </c>
      <c r="D10" s="21"/>
    </row>
    <row r="11" spans="1:4">
      <c r="A11" s="1" t="s">
        <v>255</v>
      </c>
      <c r="B11" s="4"/>
      <c r="C11" s="21" t="s">
        <v>256</v>
      </c>
      <c r="D11" s="21"/>
    </row>
    <row r="12" spans="1:4">
      <c r="A12" s="1" t="s">
        <v>257</v>
      </c>
      <c r="B12" s="4"/>
      <c r="C12" s="21" t="s">
        <v>258</v>
      </c>
      <c r="D12" s="21"/>
    </row>
    <row r="13" spans="1:4">
      <c r="A13" s="1" t="s">
        <v>92</v>
      </c>
      <c r="B13" s="4"/>
      <c r="C13" s="21" t="s">
        <v>93</v>
      </c>
      <c r="D13" s="21"/>
    </row>
    <row r="14" spans="1:4">
      <c r="A14" s="1" t="s">
        <v>259</v>
      </c>
      <c r="B14" s="4"/>
      <c r="C14" s="21" t="s">
        <v>260</v>
      </c>
      <c r="D14" s="21"/>
    </row>
    <row r="15" spans="1:4">
      <c r="A15" s="1" t="s">
        <v>137</v>
      </c>
      <c r="B15" s="4"/>
      <c r="C15" s="21" t="s">
        <v>261</v>
      </c>
      <c r="D15" s="21"/>
    </row>
    <row r="16" spans="1:4">
      <c r="A16" s="1" t="s">
        <v>262</v>
      </c>
      <c r="B16" s="5"/>
      <c r="C16" s="21" t="s">
        <v>263</v>
      </c>
      <c r="D16" s="21"/>
    </row>
    <row r="17" spans="1:4">
      <c r="A17" s="1"/>
      <c r="B17" s="1"/>
      <c r="C17" s="1"/>
      <c r="D17" s="1"/>
    </row>
    <row r="18" spans="1:4" ht="22" customHeight="1">
      <c r="A18" s="16" t="s">
        <v>264</v>
      </c>
      <c r="B18" s="16" t="s">
        <v>264</v>
      </c>
      <c r="C18" s="16" t="s">
        <v>264</v>
      </c>
      <c r="D18" s="16" t="s">
        <v>264</v>
      </c>
    </row>
    <row r="19" spans="1:4" ht="32" customHeight="1">
      <c r="A19" s="6" t="s">
        <v>265</v>
      </c>
      <c r="B19" s="22" t="s">
        <v>266</v>
      </c>
      <c r="C19" s="23"/>
      <c r="D19" s="24"/>
    </row>
    <row r="20" spans="1:4" ht="32" customHeight="1">
      <c r="A20" s="1"/>
      <c r="B20" s="25"/>
      <c r="C20" s="26"/>
      <c r="D20" s="27"/>
    </row>
    <row r="21" spans="1:4">
      <c r="A21" s="1"/>
      <c r="B21" s="1"/>
      <c r="C21" s="1"/>
      <c r="D21" s="1"/>
    </row>
    <row r="22" spans="1:4" ht="32" customHeight="1">
      <c r="A22" s="6" t="s">
        <v>267</v>
      </c>
      <c r="B22" s="22" t="s">
        <v>268</v>
      </c>
      <c r="C22" s="23"/>
      <c r="D22" s="24"/>
    </row>
    <row r="23" spans="1:4" ht="32" customHeight="1">
      <c r="A23" s="1"/>
      <c r="B23" s="25"/>
      <c r="C23" s="26"/>
      <c r="D23" s="27"/>
    </row>
    <row r="24" spans="1:4">
      <c r="A24" s="1"/>
      <c r="B24" s="1"/>
      <c r="C24" s="1"/>
      <c r="D24" s="1"/>
    </row>
    <row r="25" spans="1:4" ht="32" customHeight="1">
      <c r="A25" s="6" t="s">
        <v>269</v>
      </c>
      <c r="B25" s="22" t="s">
        <v>270</v>
      </c>
      <c r="C25" s="23"/>
      <c r="D25" s="24"/>
    </row>
    <row r="26" spans="1:4" ht="32" customHeight="1">
      <c r="A26" s="1"/>
      <c r="B26" s="25"/>
      <c r="C26" s="26"/>
      <c r="D26" s="27"/>
    </row>
    <row r="27" spans="1:4">
      <c r="A27" s="1"/>
      <c r="B27" s="1"/>
      <c r="C27" s="1"/>
      <c r="D27" s="1"/>
    </row>
    <row r="28" spans="1:4" ht="32" customHeight="1">
      <c r="A28" s="6" t="s">
        <v>271</v>
      </c>
      <c r="B28" s="22" t="s">
        <v>272</v>
      </c>
      <c r="C28" s="23"/>
      <c r="D28" s="24"/>
    </row>
    <row r="29" spans="1:4" ht="32" customHeight="1">
      <c r="B29" s="25"/>
      <c r="C29" s="26"/>
      <c r="D29" s="27"/>
    </row>
  </sheetData>
  <mergeCells count="19">
    <mergeCell ref="B19:D20"/>
    <mergeCell ref="B22:D23"/>
    <mergeCell ref="B25:D26"/>
    <mergeCell ref="B28:D29"/>
    <mergeCell ref="C13:D13"/>
    <mergeCell ref="C14:D14"/>
    <mergeCell ref="C15:D15"/>
    <mergeCell ref="C16:D16"/>
    <mergeCell ref="A18:D18"/>
    <mergeCell ref="C8:D8"/>
    <mergeCell ref="C9:D9"/>
    <mergeCell ref="C10:D10"/>
    <mergeCell ref="C11:D11"/>
    <mergeCell ref="C12:D12"/>
    <mergeCell ref="A1:D1"/>
    <mergeCell ref="A2:D2"/>
    <mergeCell ref="A4:D4"/>
    <mergeCell ref="B5:D5"/>
    <mergeCell ref="A7:D7"/>
  </mergeCells>
  <dataValidations count="1">
    <dataValidation type="list" sqref="B5:D5" xr:uid="{00000000-0002-0000-0300-000000000000}">
      <formula1>"Approve now,Defer or resize,Need more evidence"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showGridLines="0" workbookViewId="0"/>
  </sheetViews>
  <sheetFormatPr baseColWidth="10" defaultColWidth="8.83203125" defaultRowHeight="14"/>
  <cols>
    <col min="1" max="1" width="36" customWidth="1"/>
    <col min="2" max="4" width="16" customWidth="1"/>
    <col min="5" max="5" width="14" customWidth="1"/>
    <col min="6" max="6" width="43" customWidth="1"/>
  </cols>
  <sheetData>
    <row r="1" spans="1:6" ht="30" customHeight="1">
      <c r="A1" s="11" t="s">
        <v>273</v>
      </c>
      <c r="B1" s="11" t="s">
        <v>273</v>
      </c>
      <c r="C1" s="11" t="s">
        <v>273</v>
      </c>
      <c r="D1" s="11" t="s">
        <v>273</v>
      </c>
      <c r="E1" s="11" t="s">
        <v>273</v>
      </c>
      <c r="F1" s="11" t="s">
        <v>273</v>
      </c>
    </row>
    <row r="2" spans="1:6" ht="15">
      <c r="A2" s="17" t="s">
        <v>274</v>
      </c>
      <c r="B2" s="17"/>
      <c r="C2" s="17"/>
      <c r="D2" s="17"/>
      <c r="E2" s="17"/>
      <c r="F2" s="17"/>
    </row>
    <row r="3" spans="1:6">
      <c r="A3" s="1"/>
      <c r="B3" s="1"/>
      <c r="C3" s="1"/>
      <c r="D3" s="1"/>
      <c r="E3" s="1"/>
      <c r="F3" s="1"/>
    </row>
    <row r="4" spans="1:6" ht="28" customHeight="1">
      <c r="A4" s="2" t="s">
        <v>275</v>
      </c>
      <c r="B4" s="11" t="str">
        <f>IF(E7&lt;&gt;"OK","BUILD",IF(COUNTIF(E8:E16,"CHECK")&gt;0,"CHECK","OK"))</f>
        <v>BUILD</v>
      </c>
      <c r="C4" s="11"/>
      <c r="D4" s="1"/>
      <c r="E4" s="1"/>
      <c r="F4" s="1"/>
    </row>
    <row r="5" spans="1:6">
      <c r="A5" s="1"/>
      <c r="B5" s="1"/>
      <c r="C5" s="1"/>
      <c r="D5" s="1"/>
      <c r="E5" s="1"/>
      <c r="F5" s="1"/>
    </row>
    <row r="6" spans="1:6" ht="16">
      <c r="A6" s="3" t="s">
        <v>276</v>
      </c>
      <c r="B6" s="3" t="s">
        <v>277</v>
      </c>
      <c r="C6" s="3" t="s">
        <v>278</v>
      </c>
      <c r="D6" s="3" t="s">
        <v>279</v>
      </c>
      <c r="E6" s="3" t="s">
        <v>280</v>
      </c>
      <c r="F6" s="3" t="s">
        <v>281</v>
      </c>
    </row>
    <row r="7" spans="1:6" ht="28" customHeight="1">
      <c r="A7" s="9" t="s">
        <v>282</v>
      </c>
      <c r="B7" s="8" t="str">
        <f>IF(OR(Model!B8="",Model!C8="",Model!B11="",Model!C11="",Model!B16="",Model!C16="",Model!B24="",Model!C24="",Model!C25="",Model!C31="",Model!C42="",Model!C52="",Model!C63="",Model!C71="",Model!C74="",Model!B80="",Model!C83="",'Decision Memo'!B9="",'Decision Memo'!B16=""),"Incomplete","Ready")</f>
        <v>Incomplete</v>
      </c>
      <c r="C7" s="8" t="s">
        <v>283</v>
      </c>
      <c r="D7" s="8"/>
      <c r="E7" s="8" t="str">
        <f>IF(B7="Ready","OK","BUILD")</f>
        <v>BUILD</v>
      </c>
      <c r="F7" s="9" t="s">
        <v>284</v>
      </c>
    </row>
    <row r="8" spans="1:6" ht="28" customHeight="1">
      <c r="A8" s="9" t="s">
        <v>285</v>
      </c>
      <c r="B8" s="7" t="str">
        <f>IF($E$7&lt;&gt;"OK","",Model!C64)</f>
        <v/>
      </c>
      <c r="C8" s="7">
        <v>0</v>
      </c>
      <c r="D8" s="7">
        <v>0.01</v>
      </c>
      <c r="E8" s="8" t="str">
        <f t="shared" ref="E8:E14" si="0">IF($E$7&lt;&gt;"OK","BUILD",IF(ABS(B8-C8)&lt;=D8,"OK","CHECK"))</f>
        <v>BUILD</v>
      </c>
      <c r="F8" s="9" t="s">
        <v>286</v>
      </c>
    </row>
    <row r="9" spans="1:6" ht="28" customHeight="1">
      <c r="A9" s="9" t="s">
        <v>287</v>
      </c>
      <c r="B9" s="7" t="str">
        <f>IF($E$7&lt;&gt;"OK","",Model!C42-(Model!C41+Model!C40))</f>
        <v/>
      </c>
      <c r="C9" s="7">
        <v>0</v>
      </c>
      <c r="D9" s="7">
        <v>0.01</v>
      </c>
      <c r="E9" s="8" t="str">
        <f t="shared" si="0"/>
        <v>BUILD</v>
      </c>
      <c r="F9" s="9" t="s">
        <v>288</v>
      </c>
    </row>
    <row r="10" spans="1:6" ht="28" customHeight="1">
      <c r="A10" s="9" t="s">
        <v>289</v>
      </c>
      <c r="B10" s="7" t="str">
        <f>IF($E$7&lt;&gt;"OK","",Model!C50-(Model!B50+Model!C32-Model!C29))</f>
        <v/>
      </c>
      <c r="C10" s="7">
        <v>0</v>
      </c>
      <c r="D10" s="7">
        <v>0.01</v>
      </c>
      <c r="E10" s="8" t="str">
        <f t="shared" si="0"/>
        <v>BUILD</v>
      </c>
      <c r="F10" s="9" t="s">
        <v>290</v>
      </c>
    </row>
    <row r="11" spans="1:6" ht="28" customHeight="1">
      <c r="A11" s="9" t="s">
        <v>291</v>
      </c>
      <c r="B11" s="7" t="str">
        <f>IF($E$7&lt;&gt;"OK","",Model!C56-(Model!B56+Model!C34-Model!C35))</f>
        <v/>
      </c>
      <c r="C11" s="7">
        <v>0</v>
      </c>
      <c r="D11" s="7">
        <v>0.01</v>
      </c>
      <c r="E11" s="8" t="str">
        <f t="shared" si="0"/>
        <v>BUILD</v>
      </c>
      <c r="F11" s="9" t="s">
        <v>292</v>
      </c>
    </row>
    <row r="12" spans="1:6" ht="28" customHeight="1">
      <c r="A12" s="9" t="s">
        <v>293</v>
      </c>
      <c r="B12" s="7" t="str">
        <f>IF($E$7&lt;&gt;"OK","",Model!C61-(Model!B61+Model!C28-Model!C36))</f>
        <v/>
      </c>
      <c r="C12" s="7">
        <v>0</v>
      </c>
      <c r="D12" s="7">
        <v>0.01</v>
      </c>
      <c r="E12" s="8" t="str">
        <f t="shared" si="0"/>
        <v>BUILD</v>
      </c>
      <c r="F12" s="9" t="s">
        <v>294</v>
      </c>
    </row>
    <row r="13" spans="1:6" ht="28" customHeight="1">
      <c r="A13" s="9" t="s">
        <v>295</v>
      </c>
      <c r="B13" s="7" t="str">
        <f>IF($E$7&lt;&gt;"OK","",Model!C71-(Model!C31+Model!C72-Model!C70))</f>
        <v/>
      </c>
      <c r="C13" s="7">
        <v>0</v>
      </c>
      <c r="D13" s="7">
        <v>0.01</v>
      </c>
      <c r="E13" s="8" t="str">
        <f t="shared" si="0"/>
        <v>BUILD</v>
      </c>
      <c r="F13" s="9" t="s">
        <v>296</v>
      </c>
    </row>
    <row r="14" spans="1:6" ht="28" customHeight="1">
      <c r="A14" s="9" t="s">
        <v>233</v>
      </c>
      <c r="B14" s="7" t="str">
        <f>IF($E$7&lt;&gt;"OK","",Model!C76)</f>
        <v/>
      </c>
      <c r="C14" s="7">
        <v>0</v>
      </c>
      <c r="D14" s="7">
        <v>0.01</v>
      </c>
      <c r="E14" s="8" t="str">
        <f t="shared" si="0"/>
        <v>BUILD</v>
      </c>
      <c r="F14" s="9" t="s">
        <v>297</v>
      </c>
    </row>
    <row r="15" spans="1:6" ht="28" customHeight="1">
      <c r="A15" s="9" t="s">
        <v>298</v>
      </c>
      <c r="B15" s="7" t="str">
        <f>IF($E$7&lt;&gt;"OK","",MIN(Model!C10,Model!C32,Model!C35,Model!C36,Model!C38))</f>
        <v/>
      </c>
      <c r="C15" s="7" t="s">
        <v>299</v>
      </c>
      <c r="D15" s="7"/>
      <c r="E15" s="8" t="str">
        <f>IF($E$7&lt;&gt;"OK","BUILD",IF(B15&gt;=0,"OK","CHECK"))</f>
        <v>BUILD</v>
      </c>
      <c r="F15" s="9" t="s">
        <v>300</v>
      </c>
    </row>
    <row r="16" spans="1:6" ht="28" customHeight="1">
      <c r="A16" s="9" t="s">
        <v>301</v>
      </c>
      <c r="B16" s="10" t="str">
        <f>IF($E$7&lt;&gt;"OK","",MAX(ABS(Model!B80),ABS(Model!C80),ABS(Model!B81),ABS(Model!C81),ABS(Model!B82),ABS(Model!C82)))</f>
        <v/>
      </c>
      <c r="C16" s="7" t="s">
        <v>302</v>
      </c>
      <c r="D16" s="7"/>
      <c r="E16" s="8" t="str">
        <f>IF($E$7&lt;&gt;"OK","BUILD",IF(B16&lt;=1,"OK","CHECK"))</f>
        <v>BUILD</v>
      </c>
      <c r="F16" s="9" t="s">
        <v>303</v>
      </c>
    </row>
  </sheetData>
  <mergeCells count="3">
    <mergeCell ref="A1:F1"/>
    <mergeCell ref="A2:F2"/>
    <mergeCell ref="B4:C4"/>
  </mergeCells>
  <conditionalFormatting sqref="B4:C4">
    <cfRule type="containsText" dxfId="5" priority="4" operator="containsText" text="OK"/>
    <cfRule type="containsText" dxfId="4" priority="5" operator="containsText" text="CHECK"/>
    <cfRule type="containsText" dxfId="3" priority="6" operator="containsText" text="BUILD"/>
  </conditionalFormatting>
  <conditionalFormatting sqref="E7:E16">
    <cfRule type="containsText" dxfId="2" priority="1" operator="containsText" text="OK"/>
    <cfRule type="containsText" dxfId="1" priority="2" operator="containsText" text="CHECK"/>
    <cfRule type="containsText" dxfId="0" priority="3" operator="containsText" text="BUILD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Inputs</vt:lpstr>
      <vt:lpstr>Model</vt:lpstr>
      <vt:lpstr>Decision Memo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2026-08-06T12:13:58Z</dcterms:modified>
</cp:coreProperties>
</file>