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329e6e45b3d4cc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3a59f8970e444007"/>
    <x:sheet xmlns:r="http://schemas.openxmlformats.org/officeDocument/2006/relationships" name="Financial Statements" sheetId="2" r:id="R06e7556baf7e49bd"/>
    <x:sheet xmlns:r="http://schemas.openxmlformats.org/officeDocument/2006/relationships" name="Checks" sheetId="3" r:id="R1b3d6f4ef0914a2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.00"/>
  </x:numFmts>
  <x:fonts count="7">
    <x:font>
      <x:sz val="11"/>
      <x:name val="Carlito"/>
    </x:font>
    <x:font>
      <x:b/>
      <x:sz val="18"/>
      <x:color rgb="FFFFFFFF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b/>
      <x:sz val="17"/>
      <x:color rgb="FFFFFFFF"/>
      <x:name val="Carlito"/>
    </x:font>
    <x:font>
      <x:sz val="11"/>
      <x:color rgb="FF0000FF"/>
      <x:name val="Carlito"/>
    </x:font>
    <x:font>
      <x:sz val="11"/>
      <x:color rgb="FF000000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0E1116"/>
      </x:patternFill>
    </x:fill>
    <x:fill>
      <x:patternFill patternType="solid">
        <x:fgColor rgb="FF9C4A2B"/>
      </x:patternFill>
    </x:fill>
    <x:fill>
      <x:patternFill patternType="solid">
        <x:fgColor rgb="FFF2EEE5"/>
      </x:patternFill>
    </x:fill>
    <x:fill>
      <x:patternFill patternType="solid">
        <x:fgColor rgb="FFFFF2CC"/>
      </x:patternFill>
    </x:fill>
  </x:fills>
  <x:borders count="7">
    <x:border/>
    <x:border>
      <x:left style="thin">
        <x:color rgb="FFD9D5CB"/>
      </x:left>
      <x:top style="thin">
        <x:color rgb="FFD9D5CB"/>
      </x:top>
    </x:border>
    <x:border>
      <x:right style="thin">
        <x:color rgb="FFD9D5CB"/>
      </x:right>
      <x:top style="thin">
        <x:color rgb="FFD9D5CB"/>
      </x:top>
    </x:border>
    <x:border>
      <x:left style="thin">
        <x:color rgb="FFD9D5CB"/>
      </x:left>
    </x:border>
    <x:border>
      <x:right style="thin">
        <x:color rgb="FFD9D5CB"/>
      </x:right>
    </x:border>
    <x:border>
      <x:left style="thin">
        <x:color rgb="FFD9D5CB"/>
      </x:left>
      <x:bottom style="thin">
        <x:color rgb="FFD9D5CB"/>
      </x:bottom>
    </x:border>
    <x:border>
      <x:right style="thin">
        <x:color rgb="FFD9D5CB"/>
      </x:right>
      <x:bottom style="thin">
        <x:color rgb="FFD9D5CB"/>
      </x:bottom>
    </x:border>
  </x:borders>
  <x:cellStyleXfs count="1">
    <x:xf numFmtId="0" fontId="0" fillId="0" borderId="0"/>
  </x:cellStyleXfs>
  <x:cellXfs count="1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4" fillId="2" borderId="0" xfId="0" applyNumberFormat="1" applyFont="1" applyFill="1" applyBorder="1"/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200" fontId="5" fillId="5" borderId="0" xfId="0" applyNumberFormat="1" applyFont="1" applyFill="1" applyBorder="1"/>
    <x:xf numFmtId="0" fontId="6" fillId="5" borderId="0" xfId="0" applyNumberFormat="1" applyFont="1" applyFill="1" applyBorder="1"/>
    <x:xf numFmtId="200" fontId="6" fillId="5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5f5a5a6166f4657" /><Relationship Type="http://schemas.openxmlformats.org/officeDocument/2006/relationships/theme" Target="/xl/theme/theme1.xml" Id="R3ec1c17083c54e36" /><Relationship Type="http://schemas.openxmlformats.org/officeDocument/2006/relationships/sharedStrings" Target="/xl/sharedStrings.xml" Id="R7d28ef75d1fc4f08" /><Relationship Type="http://schemas.openxmlformats.org/officeDocument/2006/relationships/worksheet" Target="/xl/worksheets/sheet1.xml" Id="R3a59f8970e444007" /><Relationship Type="http://schemas.openxmlformats.org/officeDocument/2006/relationships/worksheet" Target="/xl/worksheets/sheet2.xml" Id="R06e7556baf7e49bd" /><Relationship Type="http://schemas.openxmlformats.org/officeDocument/2006/relationships/worksheet" Target="/xl/worksheets/sheet3.xml" Id="R1b3d6f4ef0914a2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68" hidden="0" customWidth="1"/>
  </x:cols>
  <x:sheetData>
    <x:row r="1">
      <x:c r="A1" s="2" t="str">
        <x:v>Financial Statements and Cash Flow</x:v>
      </x:c>
      <x:c r="B1" s="2"/>
      <x:c r="C1" s="2"/>
      <x:c r="D1" s="2"/>
      <x:c r="E1" s="2"/>
      <x:c r="F1" s="2"/>
    </x:row>
    <x:row r="3">
      <x:c r="A3" s="4" t="str">
        <x:v>BUS311 · foundations-m02-l01 · FactSet required</x:v>
      </x:c>
      <x:c r="B3" s="4"/>
      <x:c r="C3" s="4"/>
      <x:c r="D3" s="4"/>
      <x:c r="E3" s="4"/>
      <x:c r="F3" s="4"/>
    </x:row>
    <x:row r="5">
      <x:c r="A5" s="7" t="str">
        <x:v>Step</x:v>
      </x:c>
      <x:c r="B5" s="8" t="str">
        <x:v>Instruction</x:v>
      </x:c>
    </x:row>
    <x:row r="6">
      <x:c r="A6" s="9" t="n">
        <x:v>1</x:v>
      </x:c>
      <x:c r="B6" s="10" t="str">
        <x:v>Read the lesson pre-reading and confirm FactSet access.</x:v>
      </x:c>
    </x:row>
    <x:row r="7">
      <x:c r="A7" s="9" t="n">
        <x:v>2</x:v>
      </x:c>
      <x:c r="B7" s="10" t="str">
        <x:v>Enter or verify blue input values and document field definitions.</x:v>
      </x:c>
    </x:row>
    <x:row r="8">
      <x:c r="A8" s="9" t="n">
        <x:v>3</x:v>
      </x:c>
      <x:c r="B8" s="10" t="str">
        <x:v>Complete yellow calculation cells with auditable formulas.</x:v>
      </x:c>
    </x:row>
    <x:row r="9">
      <x:c r="A9" s="9" t="n">
        <x:v>4</x:v>
      </x:c>
      <x:c r="B9" s="10" t="str">
        <x:v>Use the Checks sheet before writing a recommendation.</x:v>
      </x:c>
    </x:row>
    <x:row r="10">
      <x:c r="A10" s="11" t="n">
        <x:v>5</x:v>
      </x:c>
      <x:c r="B10" s="12" t="str">
        <x:v>State the decision, evidence, risk, and monitoring trigger.</x:v>
      </x:c>
    </x:row>
  </x:sheetData>
  <x:mergeCells>
    <x:mergeCell ref="A1:F1"/>
    <x:mergeCell ref="A3:F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6" hidden="0" customWidth="1"/>
    <x:col min="4" max="4" width="24" hidden="0" customWidth="1"/>
    <x:col min="5" max="5" width="22" hidden="0" customWidth="1"/>
    <x:col min="6" max="6" width="22" hidden="0" customWidth="1"/>
  </x:cols>
  <x:sheetData>
    <x:row r="1">
      <x:c r="A1" s="13" t="str">
        <x:v>Coastal Outfitters — Statement Bridge</x:v>
      </x:c>
      <x:c r="B1" s="13"/>
      <x:c r="C1" s="13"/>
      <x:c r="D1" s="13"/>
      <x:c r="E1" s="13"/>
      <x:c r="F1" s="13"/>
    </x:row>
    <x:row r="3">
      <x:c r="A3" s="4" t="str">
        <x:v>Income Statement ($ millions)</x:v>
      </x:c>
      <x:c r="B3" s="4" t="str">
        <x:v>Value</x:v>
      </x:c>
      <x:c r="D3" s="4" t="str">
        <x:v>FactSet Field</x:v>
      </x:c>
      <x:c r="E3" s="4" t="str">
        <x:v>Period / Units</x:v>
      </x:c>
      <x:c r="F3" s="4" t="str">
        <x:v>Student Note</x:v>
      </x:c>
    </x:row>
    <x:row r="4">
      <x:c r="A4" t="str">
        <x:v>Revenue</x:v>
      </x:c>
      <x:c r="B4" s="16" t="n">
        <x:v>1200</x:v>
      </x:c>
      <x:c r="D4" t="str">
        <x:v>Revenue</x:v>
      </x:c>
      <x:c r="E4" s="16" t="str"/>
      <x:c r="F4" s="16" t="str"/>
    </x:row>
    <x:row r="5">
      <x:c r="A5" t="str">
        <x:v>Cost of goods sold</x:v>
      </x:c>
      <x:c r="B5" s="16" t="n">
        <x:v>520</x:v>
      </x:c>
      <x:c r="D5" t="str">
        <x:v>EBIT</x:v>
      </x:c>
      <x:c r="E5" s="16" t="str"/>
      <x:c r="F5" s="16" t="str"/>
    </x:row>
    <x:row r="6">
      <x:c r="A6" t="str">
        <x:v>Gross profit</x:v>
      </x:c>
      <x:c r="B6" s="18"/>
      <x:c r="D6" t="str">
        <x:v>Net Income</x:v>
      </x:c>
      <x:c r="E6" s="16" t="str"/>
      <x:c r="F6" s="16" t="str"/>
    </x:row>
    <x:row r="7">
      <x:c r="A7" t="str">
        <x:v>Operating expenses</x:v>
      </x:c>
      <x:c r="B7" s="16" t="n">
        <x:v>330</x:v>
      </x:c>
      <x:c r="D7" t="str">
        <x:v>Operating Cash Flow</x:v>
      </x:c>
      <x:c r="E7" s="16" t="str"/>
      <x:c r="F7" s="16" t="str"/>
    </x:row>
    <x:row r="8">
      <x:c r="A8" t="str">
        <x:v>EBIT</x:v>
      </x:c>
      <x:c r="B8" s="18"/>
      <x:c r="D8" t="str">
        <x:v>Cash &amp; Equivalents</x:v>
      </x:c>
      <x:c r="E8" s="16" t="str"/>
      <x:c r="F8" s="16" t="str"/>
    </x:row>
    <x:row r="9">
      <x:c r="A9" t="str">
        <x:v>Interest expense</x:v>
      </x:c>
      <x:c r="B9" s="16" t="n">
        <x:v>40</x:v>
      </x:c>
    </x:row>
    <x:row r="10">
      <x:c r="A10" t="str">
        <x:v>Earnings before tax</x:v>
      </x:c>
      <x:c r="B10" s="18"/>
    </x:row>
    <x:row r="11">
      <x:c r="A11" t="str">
        <x:v>Taxes</x:v>
      </x:c>
      <x:c r="B11" s="16" t="n">
        <x:v>65</x:v>
      </x:c>
    </x:row>
    <x:row r="12">
      <x:c r="A12" t="str">
        <x:v>Net income</x:v>
      </x:c>
      <x:c r="B12" s="18"/>
    </x:row>
    <x:row r="13">
      <x:c r="A13" t="str">
        <x:v>Operating cash flow</x:v>
      </x:c>
      <x:c r="B13" s="16" t="n">
        <x:v>310</x:v>
      </x:c>
    </x:row>
  </x:sheetData>
  <x:mergeCells>
    <x:mergeCell ref="A1:F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6" hidden="0" customWidth="1"/>
    <x:col min="3" max="3" width="16" hidden="0" customWidth="1"/>
    <x:col min="4" max="4" width="16" hidden="0" customWidth="1"/>
    <x:col min="5" max="5" width="14" hidden="0" customWidth="1"/>
  </x:cols>
  <x:sheetData>
    <x:row r="1">
      <x:c r="A1" s="13" t="str">
        <x:v>Model Checks</x:v>
      </x:c>
      <x:c r="B1" s="13"/>
      <x:c r="C1" s="13"/>
      <x:c r="D1" s="13"/>
      <x:c r="E1" s="13"/>
    </x:row>
    <x:row r="3">
      <x:c r="A3" s="4" t="str">
        <x:v>Check</x:v>
      </x:c>
      <x:c r="B3" s="4" t="str">
        <x:v>Actual</x:v>
      </x:c>
      <x:c r="C3" s="4" t="str">
        <x:v>Expected</x:v>
      </x:c>
      <x:c r="D3" s="4" t="str">
        <x:v>Difference</x:v>
      </x:c>
      <x:c r="E3" s="4" t="str">
        <x:v>Status</x:v>
      </x:c>
    </x:row>
    <x:row r="4">
      <x:c r="A4" t="str">
        <x:v>Gross profit</x:v>
      </x:c>
      <x:c r="B4" t="n">
        <x:f>'Financial Statements'!B6</x:f>
        <x:v>0</x:v>
      </x:c>
      <x:c r="C4" t="n">
        <x:v>680</x:v>
      </x:c>
      <x:c r="D4" t="n">
        <x:f>B4-C4</x:f>
        <x:v>-680</x:v>
      </x:c>
      <x:c r="E4" t="str">
        <x:f>IF(ABS(D4)&lt;0.01,"OK","CHECK")</x:f>
        <x:v>CHECK</x:v>
      </x:c>
    </x:row>
    <x:row r="5">
      <x:c r="A5" t="str">
        <x:v>EBIT</x:v>
      </x:c>
      <x:c r="B5" t="n">
        <x:f>'Financial Statements'!B8</x:f>
        <x:v>0</x:v>
      </x:c>
      <x:c r="C5" t="n">
        <x:v>350</x:v>
      </x:c>
      <x:c r="D5" t="n">
        <x:f>B5-C5</x:f>
        <x:v>-350</x:v>
      </x:c>
      <x:c r="E5" t="str">
        <x:f>IF(ABS(D5)&lt;0.01,"OK","CHECK")</x:f>
        <x:v>CHECK</x:v>
      </x:c>
    </x:row>
    <x:row r="6">
      <x:c r="A6" t="str">
        <x:v>Net income</x:v>
      </x:c>
      <x:c r="B6" t="n">
        <x:f>'Financial Statements'!B12</x:f>
        <x:v>0</x:v>
      </x:c>
      <x:c r="C6" t="n">
        <x:v>245</x:v>
      </x:c>
      <x:c r="D6" t="n">
        <x:f>B6-C6</x:f>
        <x:v>-245</x:v>
      </x:c>
      <x:c r="E6" t="str">
        <x:f>IF(ABS(D6)&lt;0.01,"OK","CHECK")</x:f>
        <x:v>CHECK</x:v>
      </x:c>
    </x:row>
    <x:row r="7">
      <x:c r="A7" t="str">
        <x:v>Cash conversion</x:v>
      </x:c>
      <x:c r="B7" t="str">
        <x:f>IFERROR('Financial Statements'!B13/'Financial Statements'!B12,"")</x:f>
      </x:c>
      <x:c r="C7" t="n">
        <x:v>1.2653061224489797</x:v>
      </x:c>
      <x:c r="D7" t="n">
        <x:f>B7-C7</x:f>
        <x:v>-1.2653061224489797</x:v>
      </x:c>
      <x:c r="E7" t="str">
        <x:f>IF(ABS(D7)&lt;0.01,"OK","CHECK")</x:f>
        <x:v>CHECK</x:v>
      </x:c>
    </x:row>
  </x:sheetData>
  <x:mergeCells>
    <x:mergeCell ref="A1:E1"/>
  </x:mergeCells>
  <x:pageMargins left="0.7" right="0.7" top="0.75" bottom="0.75" header="0.3" footer="0.3"/>
</x:worksheet>
</file>