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hanyevittsair2/Documents/GitHub/BUS311-Corporate_Finance/01-INTRO/M03/"/>
    </mc:Choice>
  </mc:AlternateContent>
  <xr:revisionPtr revIDLastSave="0" documentId="8_{5ACFB5EC-5A5D-8D41-9947-25213F0D536D}" xr6:coauthVersionLast="47" xr6:coauthVersionMax="47" xr10:uidLastSave="{00000000-0000-0000-0000-000000000000}"/>
  <bookViews>
    <workbookView xWindow="0" yWindow="580" windowWidth="25600" windowHeight="15260" xr2:uid="{0347E573-4F0D-418B-B17B-965F803E2356}"/>
  </bookViews>
  <sheets>
    <sheet name="Student CAT Wks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I23" i="1"/>
  <c r="H23" i="1"/>
  <c r="G23" i="1"/>
  <c r="F23" i="1"/>
  <c r="E23" i="1"/>
  <c r="I20" i="1"/>
  <c r="H20" i="1"/>
  <c r="G20" i="1"/>
  <c r="F20" i="1"/>
  <c r="E20" i="1"/>
  <c r="N26" i="1"/>
  <c r="M26" i="1"/>
  <c r="L26" i="1"/>
  <c r="K26" i="1"/>
  <c r="I2" i="1"/>
  <c r="H2" i="1"/>
  <c r="G2" i="1"/>
  <c r="F2" i="1"/>
  <c r="E25" i="1" l="1"/>
  <c r="E2" i="1"/>
  <c r="E26" i="1" l="1"/>
  <c r="F26" i="1" l="1"/>
  <c r="G26" i="1" l="1"/>
  <c r="I26" i="1" l="1"/>
  <c r="H26" i="1"/>
</calcChain>
</file>

<file path=xl/sharedStrings.xml><?xml version="1.0" encoding="utf-8"?>
<sst xmlns="http://schemas.openxmlformats.org/spreadsheetml/2006/main" count="63" uniqueCount="63">
  <si>
    <t>CAT</t>
  </si>
  <si>
    <t>Stock Price</t>
  </si>
  <si>
    <t>S&amp;P 500</t>
  </si>
  <si>
    <t>Net Income</t>
  </si>
  <si>
    <t>Long Term Debt</t>
  </si>
  <si>
    <r>
      <t xml:space="preserve">% </t>
    </r>
    <r>
      <rPr>
        <sz val="11"/>
        <color theme="1"/>
        <rFont val="Georgia Pro"/>
        <family val="1"/>
      </rPr>
      <t>∆</t>
    </r>
    <r>
      <rPr>
        <sz val="11"/>
        <color theme="1"/>
        <rFont val="Arial"/>
        <family val="2"/>
      </rPr>
      <t xml:space="preserve"> Y-O-Y</t>
    </r>
  </si>
  <si>
    <t>Data Type</t>
  </si>
  <si>
    <t>Ticker</t>
  </si>
  <si>
    <t>Company Name</t>
  </si>
  <si>
    <t>Sales</t>
  </si>
  <si>
    <t>Industry</t>
  </si>
  <si>
    <t>Exchange</t>
  </si>
  <si>
    <t>COGS (inc Dep &amp; Amortization)</t>
  </si>
  <si>
    <t>Price</t>
  </si>
  <si>
    <t>Depreciation &amp; Amortization</t>
  </si>
  <si>
    <t>52 Week Low</t>
  </si>
  <si>
    <t>52 Week High</t>
  </si>
  <si>
    <t>EBITDA</t>
  </si>
  <si>
    <t>Volume</t>
  </si>
  <si>
    <t>EBIT</t>
  </si>
  <si>
    <t xml:space="preserve">*Shares Outstanding </t>
  </si>
  <si>
    <t>Dividend Per Share (Annual)</t>
  </si>
  <si>
    <t>*Market Value (MM)</t>
  </si>
  <si>
    <t>Total Assets</t>
  </si>
  <si>
    <t>Dividend Yield</t>
  </si>
  <si>
    <t>Total Liabilities</t>
  </si>
  <si>
    <t>Float</t>
  </si>
  <si>
    <t xml:space="preserve">Liabilities &amp; Stockholder Equity </t>
  </si>
  <si>
    <r>
      <t>*Shares Outstanding and Market Value are for the</t>
    </r>
    <r>
      <rPr>
        <b/>
        <i/>
        <sz val="10"/>
        <rFont val="Aptos Narrow"/>
        <family val="2"/>
        <scheme val="minor"/>
      </rPr>
      <t xml:space="preserve"> company level</t>
    </r>
  </si>
  <si>
    <t>Total Shareholders Equity</t>
  </si>
  <si>
    <t>Start</t>
  </si>
  <si>
    <t>End</t>
  </si>
  <si>
    <t>Check</t>
  </si>
  <si>
    <t>Free Cash Flow Analysis</t>
  </si>
  <si>
    <t>Net Cash Flow from Operations</t>
  </si>
  <si>
    <t>Net Investing Cash Flow</t>
  </si>
  <si>
    <t>Net Financing Cash Flow</t>
  </si>
  <si>
    <t>Company Overview</t>
  </si>
  <si>
    <t>Analysis Period</t>
  </si>
  <si>
    <t>Year-over-Year Growth</t>
  </si>
  <si>
    <t>2021 to 2022</t>
  </si>
  <si>
    <t>2022 to 2023</t>
  </si>
  <si>
    <t>2023 to 2024</t>
  </si>
  <si>
    <t>2024 to 2025</t>
  </si>
  <si>
    <t>COGS (excluding D&amp;A)</t>
  </si>
  <si>
    <t>Change in Working Capital</t>
  </si>
  <si>
    <t>Earnings Per Share</t>
  </si>
  <si>
    <t>FactSet Data Retrieval</t>
  </si>
  <si>
    <t>Student Task</t>
  </si>
  <si>
    <t>Enter FactSet-sourced historical data in green cells.</t>
  </si>
  <si>
    <t>Calculate blue cells using formulas; do not hardcode results.</t>
  </si>
  <si>
    <t>Gray cells indicate data not yet available.</t>
  </si>
  <si>
    <t>Capital Expenditures (cash paid)</t>
  </si>
  <si>
    <t>Free Cash Flow (CFO - CapEx)</t>
  </si>
  <si>
    <t>Net Change in Cash</t>
  </si>
  <si>
    <t>Interpretation Questions</t>
  </si>
  <si>
    <t>1. Did CAT outperform the S&amp;P 500 over the period? Support your answer with returns.</t>
  </si>
  <si>
    <t>2. Explain the major drivers of revenue, EBITDA, and EPS trends.</t>
  </si>
  <si>
    <t>3. Assess leverage using long-term debt and shareholders' equity.</t>
  </si>
  <si>
    <t>4. Explain the difference between free cash flow and net change in cash.</t>
  </si>
  <si>
    <t>Component gap: Assets - Liabilities - Equity</t>
  </si>
  <si>
    <t>Review small gaps as rounding/classification differences.</t>
  </si>
  <si>
    <t>Reported Assets = Reported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</si>
</sst>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$&quot;#,##0.0_);\(&quot;$&quot;#,##0.0\);&quot;$&quot;#,##0.0_);@_)"/>
    <numFmt numFmtId="165" formatCode="&quot;$&quot;#,##0.00_);\(&quot;$&quot;#,##0.00\);&quot;$&quot;#,##0.00_);@_)"/>
    <numFmt numFmtId="166" formatCode="0.0%_);\(0.0%\);0.0%_);@_)"/>
    <numFmt numFmtId="167" formatCode="&quot;$&quot;#,##0.0_);\(&quot;$&quot;#,##0.0\)"/>
    <numFmt numFmtId="168" formatCode="&quot;$&quot;#,##0;\(&quot;$&quot;#,##0\);\-"/>
    <numFmt numFmtId="169" formatCode="0.0%;\(0.0%\);\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Georgia Pro"/>
      <family val="1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E1E1E1"/>
      <name val="Aptos Narrow"/>
      <family val="2"/>
      <scheme val="minor"/>
    </font>
    <font>
      <sz val="11"/>
      <color rgb="FF002856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800080"/>
      <name val="Aptos Narrow"/>
      <family val="2"/>
      <scheme val="minor"/>
    </font>
    <font>
      <sz val="10"/>
      <color rgb="FF800080"/>
      <name val="Arial"/>
      <family val="2"/>
    </font>
    <font>
      <i/>
      <sz val="1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i/>
      <u/>
      <sz val="11"/>
      <color theme="0"/>
      <name val="Arial"/>
      <family val="2"/>
    </font>
    <font>
      <sz val="11"/>
      <color theme="0"/>
      <name val="Arial"/>
      <family val="2"/>
    </font>
    <font>
      <i/>
      <sz val="9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008000"/>
      <name val="Calibri"/>
      <family val="2"/>
    </font>
    <font>
      <sz val="10"/>
      <color rgb="FF0070C0"/>
      <name val="Calibri"/>
      <family val="2"/>
    </font>
    <font>
      <i/>
      <sz val="10"/>
      <color rgb="FF66666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21D4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89999084444715716"/>
        <bgColor indexed="64"/>
      </patternFill>
    </fill>
    <fill>
      <patternFill patternType="solid">
        <fgColor rgb="FFFFE6C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2D5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856"/>
      </left>
      <right/>
      <top style="thin">
        <color rgb="FF00285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856"/>
      </left>
      <right/>
      <top/>
      <bottom/>
      <diagonal/>
    </border>
    <border>
      <left style="dashed">
        <color indexed="64"/>
      </left>
      <right style="thin">
        <color rgb="FF000000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856"/>
      </left>
      <right/>
      <top/>
      <bottom style="thin">
        <color rgb="FF00285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808080"/>
      </right>
      <top style="thin">
        <color indexed="64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ck">
        <color rgb="FF0B2D5C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14" fontId="0" fillId="0" borderId="0" xfId="0" applyNumberFormat="1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3" borderId="0" xfId="0" applyFont="1" applyFill="1"/>
    <xf numFmtId="14" fontId="5" fillId="3" borderId="0" xfId="0" applyNumberFormat="1" applyFont="1" applyFill="1"/>
    <xf numFmtId="0" fontId="7" fillId="4" borderId="5" xfId="0" applyFont="1" applyFill="1" applyBorder="1"/>
    <xf numFmtId="0" fontId="0" fillId="5" borderId="6" xfId="0" applyFill="1" applyBorder="1"/>
    <xf numFmtId="10" fontId="0" fillId="6" borderId="6" xfId="2" applyNumberFormat="1" applyFont="1" applyFill="1" applyBorder="1"/>
    <xf numFmtId="0" fontId="8" fillId="0" borderId="4" xfId="0" quotePrefix="1" applyFont="1" applyBorder="1" applyAlignment="1">
      <alignment horizontal="right"/>
    </xf>
    <xf numFmtId="0" fontId="7" fillId="4" borderId="7" xfId="0" applyFont="1" applyFill="1" applyBorder="1"/>
    <xf numFmtId="164" fontId="0" fillId="5" borderId="6" xfId="0" applyNumberFormat="1" applyFill="1" applyBorder="1"/>
    <xf numFmtId="0" fontId="10" fillId="5" borderId="4" xfId="0" applyFont="1" applyFill="1" applyBorder="1" applyAlignment="1">
      <alignment horizontal="right"/>
    </xf>
    <xf numFmtId="165" fontId="0" fillId="5" borderId="6" xfId="0" applyNumberFormat="1" applyFill="1" applyBorder="1"/>
    <xf numFmtId="164" fontId="11" fillId="5" borderId="8" xfId="0" applyNumberFormat="1" applyFont="1" applyFill="1" applyBorder="1" applyAlignment="1">
      <alignment horizontal="right"/>
    </xf>
    <xf numFmtId="164" fontId="10" fillId="5" borderId="9" xfId="0" applyNumberFormat="1" applyFont="1" applyFill="1" applyBorder="1" applyAlignment="1">
      <alignment horizontal="right"/>
    </xf>
    <xf numFmtId="164" fontId="0" fillId="7" borderId="6" xfId="0" applyNumberFormat="1" applyFill="1" applyBorder="1"/>
    <xf numFmtId="164" fontId="10" fillId="5" borderId="4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1" fontId="10" fillId="5" borderId="11" xfId="0" applyNumberFormat="1" applyFont="1" applyFill="1" applyBorder="1" applyAlignment="1">
      <alignment horizontal="right"/>
    </xf>
    <xf numFmtId="3" fontId="10" fillId="5" borderId="4" xfId="0" applyNumberFormat="1" applyFont="1" applyFill="1" applyBorder="1" applyAlignment="1">
      <alignment horizontal="right"/>
    </xf>
    <xf numFmtId="166" fontId="10" fillId="5" borderId="4" xfId="0" applyNumberFormat="1" applyFont="1" applyFill="1" applyBorder="1" applyAlignment="1">
      <alignment horizontal="right"/>
    </xf>
    <xf numFmtId="2" fontId="10" fillId="5" borderId="12" xfId="0" applyNumberFormat="1" applyFont="1" applyFill="1" applyBorder="1" applyAlignment="1">
      <alignment horizontal="right"/>
    </xf>
    <xf numFmtId="0" fontId="12" fillId="0" borderId="0" xfId="0" applyFont="1" applyAlignment="1">
      <alignment vertical="top"/>
    </xf>
    <xf numFmtId="0" fontId="9" fillId="0" borderId="0" xfId="0" applyFont="1"/>
    <xf numFmtId="0" fontId="7" fillId="4" borderId="13" xfId="0" applyFont="1" applyFill="1" applyBorder="1"/>
    <xf numFmtId="167" fontId="0" fillId="0" borderId="0" xfId="0" applyNumberFormat="1"/>
    <xf numFmtId="164" fontId="0" fillId="9" borderId="6" xfId="0" applyNumberFormat="1" applyFill="1" applyBorder="1"/>
    <xf numFmtId="165" fontId="0" fillId="9" borderId="6" xfId="0" applyNumberFormat="1" applyFill="1" applyBorder="1"/>
    <xf numFmtId="164" fontId="0" fillId="6" borderId="6" xfId="0" applyNumberFormat="1" applyFill="1" applyBorder="1"/>
    <xf numFmtId="0" fontId="0" fillId="9" borderId="6" xfId="0" applyFill="1" applyBorder="1"/>
    <xf numFmtId="0" fontId="14" fillId="3" borderId="14" xfId="0" applyFont="1" applyFill="1" applyBorder="1"/>
    <xf numFmtId="0" fontId="15" fillId="3" borderId="15" xfId="0" applyFont="1" applyFill="1" applyBorder="1"/>
    <xf numFmtId="0" fontId="0" fillId="0" borderId="16" xfId="0" applyBorder="1"/>
    <xf numFmtId="0" fontId="0" fillId="0" borderId="17" xfId="0" applyBorder="1"/>
    <xf numFmtId="0" fontId="0" fillId="5" borderId="16" xfId="0" applyFill="1" applyBorder="1"/>
    <xf numFmtId="0" fontId="0" fillId="5" borderId="17" xfId="0" applyFill="1" applyBorder="1"/>
    <xf numFmtId="0" fontId="0" fillId="6" borderId="16" xfId="0" applyFill="1" applyBorder="1"/>
    <xf numFmtId="0" fontId="0" fillId="6" borderId="17" xfId="0" applyFill="1" applyBorder="1"/>
    <xf numFmtId="0" fontId="16" fillId="10" borderId="16" xfId="0" applyFont="1" applyFill="1" applyBorder="1"/>
    <xf numFmtId="0" fontId="16" fillId="10" borderId="17" xfId="0" applyFont="1" applyFill="1" applyBorder="1"/>
    <xf numFmtId="0" fontId="0" fillId="0" borderId="18" xfId="0" applyBorder="1"/>
    <xf numFmtId="0" fontId="0" fillId="0" borderId="19" xfId="0" applyBorder="1"/>
    <xf numFmtId="0" fontId="7" fillId="4" borderId="6" xfId="0" applyFont="1" applyFill="1" applyBorder="1"/>
    <xf numFmtId="0" fontId="7" fillId="4" borderId="0" xfId="0" applyFont="1" applyFill="1"/>
    <xf numFmtId="14" fontId="0" fillId="0" borderId="6" xfId="0" applyNumberFormat="1" applyBorder="1"/>
    <xf numFmtId="0" fontId="0" fillId="8" borderId="6" xfId="0" applyFill="1" applyBorder="1"/>
    <xf numFmtId="0" fontId="0" fillId="5" borderId="20" xfId="0" applyFill="1" applyBorder="1"/>
    <xf numFmtId="14" fontId="17" fillId="11" borderId="21" xfId="0" applyNumberFormat="1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10" fontId="0" fillId="6" borderId="20" xfId="2" applyNumberFormat="1" applyFont="1" applyFill="1" applyBorder="1"/>
    <xf numFmtId="0" fontId="17" fillId="11" borderId="21" xfId="0" applyFont="1" applyFill="1" applyBorder="1" applyAlignment="1">
      <alignment horizontal="center"/>
    </xf>
    <xf numFmtId="168" fontId="18" fillId="12" borderId="6" xfId="1" applyNumberFormat="1" applyFont="1" applyFill="1" applyBorder="1" applyAlignment="1">
      <alignment horizontal="right"/>
    </xf>
    <xf numFmtId="168" fontId="18" fillId="12" borderId="22" xfId="1" applyNumberFormat="1" applyFont="1" applyFill="1" applyBorder="1" applyAlignment="1">
      <alignment horizontal="right"/>
    </xf>
    <xf numFmtId="0" fontId="7" fillId="4" borderId="23" xfId="0" applyFont="1" applyFill="1" applyBorder="1"/>
    <xf numFmtId="168" fontId="18" fillId="12" borderId="24" xfId="1" applyNumberFormat="1" applyFont="1" applyFill="1" applyBorder="1" applyAlignment="1">
      <alignment horizontal="right"/>
    </xf>
    <xf numFmtId="168" fontId="18" fillId="12" borderId="25" xfId="1" applyNumberFormat="1" applyFont="1" applyFill="1" applyBorder="1" applyAlignment="1">
      <alignment horizontal="right"/>
    </xf>
    <xf numFmtId="168" fontId="18" fillId="12" borderId="26" xfId="0" applyNumberFormat="1" applyFont="1" applyFill="1" applyBorder="1" applyAlignment="1">
      <alignment horizontal="right"/>
    </xf>
    <xf numFmtId="168" fontId="18" fillId="12" borderId="27" xfId="1" applyNumberFormat="1" applyFont="1" applyFill="1" applyBorder="1" applyAlignment="1">
      <alignment horizontal="right"/>
    </xf>
    <xf numFmtId="168" fontId="19" fillId="13" borderId="28" xfId="0" applyNumberFormat="1" applyFont="1" applyFill="1" applyBorder="1" applyAlignment="1">
      <alignment horizontal="right"/>
    </xf>
    <xf numFmtId="168" fontId="18" fillId="12" borderId="29" xfId="1" applyNumberFormat="1" applyFont="1" applyFill="1" applyBorder="1" applyAlignment="1">
      <alignment horizontal="right"/>
    </xf>
    <xf numFmtId="168" fontId="18" fillId="12" borderId="30" xfId="1" applyNumberFormat="1" applyFont="1" applyFill="1" applyBorder="1" applyAlignment="1">
      <alignment horizontal="right"/>
    </xf>
    <xf numFmtId="168" fontId="18" fillId="12" borderId="31" xfId="0" applyNumberFormat="1" applyFont="1" applyFill="1" applyBorder="1" applyAlignment="1">
      <alignment horizontal="right"/>
    </xf>
    <xf numFmtId="168" fontId="19" fillId="13" borderId="33" xfId="0" applyNumberFormat="1" applyFont="1" applyFill="1" applyBorder="1" applyAlignment="1">
      <alignment horizontal="right"/>
    </xf>
    <xf numFmtId="168" fontId="19" fillId="13" borderId="35" xfId="0" applyNumberFormat="1" applyFont="1" applyFill="1" applyBorder="1" applyAlignment="1">
      <alignment horizontal="right"/>
    </xf>
    <xf numFmtId="168" fontId="19" fillId="13" borderId="36" xfId="0" applyNumberFormat="1" applyFont="1" applyFill="1" applyBorder="1" applyAlignment="1">
      <alignment horizontal="right"/>
    </xf>
    <xf numFmtId="168" fontId="19" fillId="13" borderId="37" xfId="0" applyNumberFormat="1" applyFont="1" applyFill="1" applyBorder="1" applyAlignment="1">
      <alignment horizontal="right"/>
    </xf>
    <xf numFmtId="168" fontId="19" fillId="13" borderId="38" xfId="0" applyNumberFormat="1" applyFont="1" applyFill="1" applyBorder="1" applyAlignment="1">
      <alignment horizontal="right"/>
    </xf>
    <xf numFmtId="169" fontId="19" fillId="13" borderId="6" xfId="2" applyNumberFormat="1" applyFont="1" applyFill="1" applyBorder="1" applyAlignment="1">
      <alignment horizontal="right"/>
    </xf>
    <xf numFmtId="169" fontId="19" fillId="13" borderId="22" xfId="2" applyNumberFormat="1" applyFont="1" applyFill="1" applyBorder="1" applyAlignment="1">
      <alignment horizontal="right"/>
    </xf>
    <xf numFmtId="169" fontId="19" fillId="13" borderId="0" xfId="0" applyNumberFormat="1" applyFont="1" applyFill="1" applyAlignment="1">
      <alignment horizontal="right"/>
    </xf>
    <xf numFmtId="169" fontId="19" fillId="13" borderId="24" xfId="2" applyNumberFormat="1" applyFont="1" applyFill="1" applyBorder="1" applyAlignment="1">
      <alignment horizontal="right"/>
    </xf>
    <xf numFmtId="169" fontId="19" fillId="13" borderId="25" xfId="2" applyNumberFormat="1" applyFont="1" applyFill="1" applyBorder="1" applyAlignment="1">
      <alignment horizontal="right"/>
    </xf>
    <xf numFmtId="169" fontId="19" fillId="13" borderId="39" xfId="0" applyNumberFormat="1" applyFont="1" applyFill="1" applyBorder="1" applyAlignment="1">
      <alignment horizontal="right"/>
    </xf>
    <xf numFmtId="169" fontId="19" fillId="13" borderId="26" xfId="2" applyNumberFormat="1" applyFont="1" applyFill="1" applyBorder="1" applyAlignment="1">
      <alignment horizontal="right"/>
    </xf>
    <xf numFmtId="169" fontId="19" fillId="13" borderId="27" xfId="2" applyNumberFormat="1" applyFont="1" applyFill="1" applyBorder="1" applyAlignment="1">
      <alignment horizontal="right"/>
    </xf>
    <xf numFmtId="169" fontId="19" fillId="13" borderId="40" xfId="0" applyNumberFormat="1" applyFont="1" applyFill="1" applyBorder="1" applyAlignment="1">
      <alignment horizontal="right"/>
    </xf>
    <xf numFmtId="0" fontId="17" fillId="11" borderId="41" xfId="0" applyFont="1" applyFill="1" applyBorder="1" applyAlignment="1">
      <alignment horizontal="left"/>
    </xf>
    <xf numFmtId="0" fontId="20" fillId="14" borderId="34" xfId="0" applyFont="1" applyFill="1" applyBorder="1" applyAlignment="1">
      <alignment horizontal="center"/>
    </xf>
    <xf numFmtId="0" fontId="20" fillId="14" borderId="32" xfId="0" applyFont="1" applyFill="1" applyBorder="1" applyAlignment="1">
      <alignment horizontal="center"/>
    </xf>
    <xf numFmtId="0" fontId="20" fillId="14" borderId="42" xfId="0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6" fillId="2" borderId="3" xfId="0" applyFont="1" applyFill="1" applyBorder="1" applyAlignment="1">
      <alignment horizontal="right" vertical="top"/>
    </xf>
    <xf numFmtId="0" fontId="6" fillId="2" borderId="4" xfId="0" applyFont="1" applyFill="1" applyBorder="1" applyAlignment="1">
      <alignment horizontal="right" vertical="top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2" name="Picture 1">
          <a:extLst>
            <a:ext uri="{FF2B5EF4-FFF2-40B4-BE49-F238E27FC236}">
              <a16:creationId xmlns:a16="http://schemas.microsoft.com/office/drawing/2014/main" id="{A97D2637-715E-4FEC-88AA-71665C74D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3" name="Picture 2">
          <a:extLst>
            <a:ext uri="{FF2B5EF4-FFF2-40B4-BE49-F238E27FC236}">
              <a16:creationId xmlns:a16="http://schemas.microsoft.com/office/drawing/2014/main" id="{9BFE7940-EE17-4A6D-9270-4A348FA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  <xdr:oneCellAnchor>
    <xdr:from>
      <xdr:col>0</xdr:col>
      <xdr:colOff>142876</xdr:colOff>
      <xdr:row>1</xdr:row>
      <xdr:rowOff>38100</xdr:rowOff>
    </xdr:from>
    <xdr:ext cx="1291856" cy="342900"/>
    <xdr:pic>
      <xdr:nvPicPr>
        <xdr:cNvPr id="4" name="Picture 3">
          <a:extLst>
            <a:ext uri="{FF2B5EF4-FFF2-40B4-BE49-F238E27FC236}">
              <a16:creationId xmlns:a16="http://schemas.microsoft.com/office/drawing/2014/main" id="{8BCB13EF-6D7A-440C-B38C-1448DAB6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219075"/>
          <a:ext cx="1291856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C2350C-2A62-414B-AD58-2E1C449BB493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81e1a09a-0cd6-4f4d-8ca3-eaa802cebf9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DB5-F339-44CF-94CD-D29E20CB87E9}">
  <dimension ref="A1:N38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40.83203125" customWidth="1"/>
    <col min="2" max="2" width="34.5" bestFit="1" customWidth="1"/>
    <col min="4" max="4" width="51.6640625" customWidth="1"/>
    <col min="5" max="7" width="10.83203125" bestFit="1" customWidth="1"/>
    <col min="8" max="8" width="12" bestFit="1" customWidth="1"/>
    <col min="9" max="9" width="11" customWidth="1"/>
    <col min="11" max="11" width="14.1640625" customWidth="1"/>
    <col min="12" max="12" width="15.5" customWidth="1"/>
    <col min="13" max="13" width="13.1640625" customWidth="1"/>
    <col min="14" max="14" width="12.83203125" bestFit="1" customWidth="1"/>
    <col min="15" max="15" width="18.33203125" customWidth="1"/>
  </cols>
  <sheetData>
    <row r="1" spans="1:14" x14ac:dyDescent="0.2">
      <c r="K1" s="81" t="s">
        <v>39</v>
      </c>
      <c r="L1" s="81"/>
      <c r="M1" s="81"/>
      <c r="N1" s="49"/>
    </row>
    <row r="2" spans="1:14" x14ac:dyDescent="0.2">
      <c r="A2" s="2"/>
      <c r="B2" s="3"/>
      <c r="D2" s="4" t="s">
        <v>6</v>
      </c>
      <c r="E2" s="5">
        <f>B19</f>
        <v>44561</v>
      </c>
      <c r="F2" s="48">
        <f>DATE(YEAR(E2)+1,12,31)</f>
        <v>44926</v>
      </c>
      <c r="G2" s="48">
        <f>DATE(YEAR(F2)+1,12,31)</f>
        <v>45291</v>
      </c>
      <c r="H2" s="48">
        <f>DATE(YEAR(G2)+1,12,31)</f>
        <v>45657</v>
      </c>
      <c r="I2" s="48">
        <f>DATE(YEAR(H2)+1,12,31)</f>
        <v>46022</v>
      </c>
      <c r="K2" s="51" t="s">
        <v>40</v>
      </c>
      <c r="L2" s="51" t="s">
        <v>41</v>
      </c>
      <c r="M2" s="51" t="s">
        <v>42</v>
      </c>
      <c r="N2" s="51" t="s">
        <v>43</v>
      </c>
    </row>
    <row r="3" spans="1:14" ht="16" x14ac:dyDescent="0.2">
      <c r="A3" s="82" t="s">
        <v>37</v>
      </c>
      <c r="B3" s="83"/>
      <c r="D3" s="6" t="s">
        <v>1</v>
      </c>
      <c r="E3" s="7"/>
      <c r="F3" s="47"/>
      <c r="G3" s="47"/>
      <c r="H3" s="47"/>
      <c r="I3" s="47"/>
      <c r="K3" s="50"/>
      <c r="L3" s="50"/>
      <c r="M3" s="50"/>
      <c r="N3" s="50"/>
    </row>
    <row r="4" spans="1:14" x14ac:dyDescent="0.2">
      <c r="A4" s="6" t="s">
        <v>7</v>
      </c>
      <c r="B4" s="9" t="s">
        <v>0</v>
      </c>
      <c r="D4" s="10" t="s">
        <v>2</v>
      </c>
      <c r="E4" s="7"/>
      <c r="F4" s="7"/>
      <c r="G4" s="7"/>
      <c r="H4" s="7"/>
      <c r="I4" s="7"/>
      <c r="K4" s="8"/>
      <c r="L4" s="8"/>
      <c r="M4" s="8"/>
      <c r="N4" s="8"/>
    </row>
    <row r="5" spans="1:14" x14ac:dyDescent="0.2">
      <c r="A5" s="6" t="s">
        <v>8</v>
      </c>
      <c r="B5" s="12"/>
      <c r="D5" s="10" t="s">
        <v>9</v>
      </c>
      <c r="E5" s="11"/>
      <c r="F5" s="11"/>
      <c r="G5" s="11"/>
      <c r="H5" s="11"/>
      <c r="I5" s="27"/>
      <c r="K5" s="8"/>
      <c r="L5" s="8"/>
      <c r="M5" s="8"/>
      <c r="N5" s="27"/>
    </row>
    <row r="6" spans="1:14" x14ac:dyDescent="0.2">
      <c r="A6" s="6" t="s">
        <v>10</v>
      </c>
      <c r="B6" s="12"/>
      <c r="D6" s="10" t="s">
        <v>3</v>
      </c>
      <c r="E6" s="11"/>
      <c r="F6" s="11"/>
      <c r="G6" s="11"/>
      <c r="H6" s="11"/>
      <c r="I6" s="27"/>
      <c r="K6" s="8"/>
      <c r="L6" s="8"/>
      <c r="M6" s="8"/>
      <c r="N6" s="27"/>
    </row>
    <row r="7" spans="1:14" x14ac:dyDescent="0.2">
      <c r="A7" s="6" t="s">
        <v>11</v>
      </c>
      <c r="B7" s="12"/>
      <c r="D7" s="10" t="s">
        <v>12</v>
      </c>
      <c r="E7" s="11"/>
      <c r="F7" s="11"/>
      <c r="G7" s="11"/>
      <c r="H7" s="13"/>
      <c r="I7" s="28"/>
      <c r="K7" s="8"/>
      <c r="L7" s="8"/>
      <c r="M7" s="8"/>
      <c r="N7" s="28"/>
    </row>
    <row r="8" spans="1:14" x14ac:dyDescent="0.2">
      <c r="A8" s="6" t="s">
        <v>13</v>
      </c>
      <c r="B8" s="14"/>
      <c r="D8" s="10" t="s">
        <v>14</v>
      </c>
      <c r="E8" s="11"/>
      <c r="F8" s="11"/>
      <c r="G8" s="11"/>
      <c r="H8" s="13"/>
      <c r="I8" s="28"/>
      <c r="K8" s="8"/>
      <c r="L8" s="8"/>
      <c r="M8" s="8"/>
      <c r="N8" s="28"/>
    </row>
    <row r="9" spans="1:14" x14ac:dyDescent="0.2">
      <c r="A9" s="6" t="s">
        <v>15</v>
      </c>
      <c r="B9" s="15"/>
      <c r="D9" s="10" t="s">
        <v>44</v>
      </c>
      <c r="E9" s="16"/>
      <c r="F9" s="16"/>
      <c r="G9" s="16"/>
      <c r="H9" s="16"/>
      <c r="I9" s="27"/>
      <c r="K9" s="8"/>
      <c r="L9" s="8"/>
      <c r="M9" s="8"/>
      <c r="N9" s="27"/>
    </row>
    <row r="10" spans="1:14" x14ac:dyDescent="0.2">
      <c r="A10" s="6" t="s">
        <v>16</v>
      </c>
      <c r="B10" s="17"/>
      <c r="D10" s="10" t="s">
        <v>17</v>
      </c>
      <c r="E10" s="11"/>
      <c r="F10" s="11"/>
      <c r="G10" s="11"/>
      <c r="H10" s="13"/>
      <c r="I10" s="28"/>
      <c r="K10" s="8"/>
      <c r="L10" s="8"/>
      <c r="M10" s="8"/>
      <c r="N10" s="28"/>
    </row>
    <row r="11" spans="1:14" x14ac:dyDescent="0.2">
      <c r="A11" s="6" t="s">
        <v>18</v>
      </c>
      <c r="B11" s="18"/>
      <c r="D11" s="10" t="s">
        <v>19</v>
      </c>
      <c r="E11" s="11"/>
      <c r="F11" s="11"/>
      <c r="G11" s="11"/>
      <c r="H11" s="13"/>
      <c r="I11" s="28"/>
      <c r="K11" s="8"/>
      <c r="L11" s="8"/>
      <c r="M11" s="8"/>
      <c r="N11" s="28"/>
    </row>
    <row r="12" spans="1:14" x14ac:dyDescent="0.2">
      <c r="A12" s="6" t="s">
        <v>20</v>
      </c>
      <c r="B12" s="19"/>
      <c r="D12" s="10" t="s">
        <v>21</v>
      </c>
      <c r="E12" s="13"/>
      <c r="F12" s="13"/>
      <c r="G12" s="13"/>
      <c r="H12" s="11"/>
      <c r="I12" s="11"/>
      <c r="K12" s="8"/>
      <c r="L12" s="8"/>
      <c r="M12" s="8"/>
      <c r="N12" s="29"/>
    </row>
    <row r="13" spans="1:14" x14ac:dyDescent="0.2">
      <c r="A13" s="6" t="s">
        <v>22</v>
      </c>
      <c r="B13" s="20"/>
      <c r="D13" s="10" t="s">
        <v>23</v>
      </c>
      <c r="E13" s="11"/>
      <c r="F13" s="11"/>
      <c r="G13" s="11"/>
      <c r="H13" s="11"/>
      <c r="I13" s="27"/>
      <c r="K13" s="8"/>
      <c r="L13" s="8"/>
      <c r="M13" s="8"/>
      <c r="N13" s="27"/>
    </row>
    <row r="14" spans="1:14" ht="22.5" customHeight="1" x14ac:dyDescent="0.2">
      <c r="A14" s="6" t="s">
        <v>24</v>
      </c>
      <c r="B14" s="21"/>
      <c r="D14" s="10" t="s">
        <v>25</v>
      </c>
      <c r="E14" s="11"/>
      <c r="F14" s="11"/>
      <c r="G14" s="11"/>
      <c r="H14" s="11"/>
      <c r="I14" s="27"/>
      <c r="K14" s="8"/>
      <c r="L14" s="8"/>
      <c r="M14" s="8"/>
      <c r="N14" s="27"/>
    </row>
    <row r="15" spans="1:14" ht="22.5" customHeight="1" x14ac:dyDescent="0.2">
      <c r="A15" s="6" t="s">
        <v>26</v>
      </c>
      <c r="B15" s="22"/>
      <c r="D15" s="10" t="s">
        <v>27</v>
      </c>
      <c r="E15" s="11"/>
      <c r="F15" s="11"/>
      <c r="G15" s="11"/>
      <c r="H15" s="11"/>
      <c r="I15" s="27"/>
      <c r="K15" s="8"/>
      <c r="L15" s="8"/>
      <c r="M15" s="8"/>
      <c r="N15" s="27"/>
    </row>
    <row r="16" spans="1:14" ht="21.75" customHeight="1" x14ac:dyDescent="0.2">
      <c r="A16" s="23" t="s">
        <v>28</v>
      </c>
      <c r="B16" s="24"/>
      <c r="D16" s="10" t="s">
        <v>45</v>
      </c>
      <c r="E16" s="11"/>
      <c r="F16" s="11"/>
      <c r="G16" s="11"/>
      <c r="H16" s="11"/>
      <c r="I16" s="27"/>
      <c r="K16" s="8"/>
      <c r="L16" s="8"/>
      <c r="M16" s="8"/>
      <c r="N16" s="27"/>
    </row>
    <row r="17" spans="1:14" x14ac:dyDescent="0.2">
      <c r="D17" s="10" t="s">
        <v>4</v>
      </c>
      <c r="E17" s="11"/>
      <c r="F17" s="11"/>
      <c r="G17" s="11"/>
      <c r="H17" s="7"/>
      <c r="I17" s="30"/>
      <c r="K17" s="8"/>
      <c r="L17" s="8"/>
      <c r="M17" s="8"/>
      <c r="N17" s="30"/>
    </row>
    <row r="18" spans="1:14" x14ac:dyDescent="0.2">
      <c r="A18" s="44" t="s">
        <v>38</v>
      </c>
      <c r="D18" s="10" t="s">
        <v>29</v>
      </c>
      <c r="E18" s="11"/>
      <c r="F18" s="11"/>
      <c r="G18" s="11"/>
      <c r="H18" s="11"/>
      <c r="I18" s="27"/>
      <c r="K18" s="8"/>
      <c r="L18" s="8"/>
      <c r="M18" s="8"/>
      <c r="N18" s="27"/>
    </row>
    <row r="19" spans="1:14" x14ac:dyDescent="0.2">
      <c r="A19" s="43" t="s">
        <v>30</v>
      </c>
      <c r="B19" s="45">
        <v>44561</v>
      </c>
      <c r="D19" s="25" t="s">
        <v>46</v>
      </c>
      <c r="E19" s="13"/>
      <c r="F19" s="13"/>
      <c r="G19" s="13"/>
      <c r="H19" s="13"/>
      <c r="I19" s="28"/>
      <c r="K19" s="8"/>
      <c r="L19" s="8"/>
      <c r="M19" s="8"/>
      <c r="N19" s="28"/>
    </row>
    <row r="20" spans="1:14" x14ac:dyDescent="0.2">
      <c r="A20" s="43" t="s">
        <v>31</v>
      </c>
      <c r="B20" s="45">
        <v>46022</v>
      </c>
      <c r="D20" s="10" t="s">
        <v>60</v>
      </c>
      <c r="E20" t="str">
        <f>IF(COUNTA(E13,E14,E18)&lt;3,"",E13-E14-E18)</f>
        <v/>
      </c>
      <c r="F20" t="str">
        <f>IF(COUNTA(F13,F14,F18)&lt;3,"",F13-F14-F18)</f>
        <v/>
      </c>
      <c r="G20" t="str">
        <f>IF(COUNTA(G13,G14,G18)&lt;3,"",G13-G14-G18)</f>
        <v/>
      </c>
      <c r="H20" t="str">
        <f>IF(COUNTA(H13,H14,H18)&lt;3,"",H13-H14-H18)</f>
        <v/>
      </c>
      <c r="I20" t="str">
        <f>IF(COUNTA(I13,I14,I18)&lt;3,"",I13-I14-I18)</f>
        <v/>
      </c>
    </row>
    <row r="21" spans="1:14" x14ac:dyDescent="0.2">
      <c r="D21" s="10" t="s">
        <v>61</v>
      </c>
    </row>
    <row r="22" spans="1:14" x14ac:dyDescent="0.2">
      <c r="A22" s="1"/>
      <c r="D22" s="4" t="s">
        <v>32</v>
      </c>
    </row>
    <row r="23" spans="1:14" ht="16" thickBot="1" x14ac:dyDescent="0.25">
      <c r="D23" s="43" t="s">
        <v>62</v>
      </c>
      <c r="E23" s="46" t="str">
        <f>IF(COUNTA(E13,E15)&lt;2,"",ABS(E13-E15)&lt;0.1)</f>
        <v/>
      </c>
      <c r="F23" s="46" t="str">
        <f>IF(COUNTA(F13,F15)&lt;2,"",ABS(F13-F15)&lt;0.1)</f>
        <v/>
      </c>
      <c r="G23" s="46" t="str">
        <f>IF(COUNTA(G13,G15)&lt;2,"",ABS(G13-G15)&lt;0.1)</f>
        <v/>
      </c>
      <c r="H23" s="46" t="str">
        <f>IF(COUNTA(H13,H15)&lt;2,"",ABS(H13-H15)&lt;0.1)</f>
        <v/>
      </c>
      <c r="I23" s="46" t="str">
        <f>IF(COUNTA(I13,I15)&lt;2,"",ABS(I13-I15)&lt;0.1)</f>
        <v/>
      </c>
    </row>
    <row r="24" spans="1:14" ht="16" thickBot="1" x14ac:dyDescent="0.25">
      <c r="A24" s="31" t="s">
        <v>47</v>
      </c>
      <c r="B24" s="32" t="s">
        <v>48</v>
      </c>
      <c r="E24" s="26"/>
    </row>
    <row r="25" spans="1:14" x14ac:dyDescent="0.2">
      <c r="A25" s="33"/>
      <c r="B25" s="34"/>
      <c r="D25" t="str">
        <f>IF(B5="","",B5)</f>
        <v/>
      </c>
      <c r="E25" t="str">
        <f>B4</f>
        <v>CAT</v>
      </c>
      <c r="K25" s="84" t="s">
        <v>5</v>
      </c>
      <c r="L25" s="84"/>
      <c r="M25" s="84"/>
    </row>
    <row r="26" spans="1:14" x14ac:dyDescent="0.2">
      <c r="A26" s="35" t="s">
        <v>49</v>
      </c>
      <c r="B26" s="36"/>
      <c r="D26" s="4" t="s">
        <v>33</v>
      </c>
      <c r="E26" s="5">
        <f>E2</f>
        <v>44561</v>
      </c>
      <c r="F26" s="5">
        <f t="shared" ref="F26:I26" si="0">F2</f>
        <v>44926</v>
      </c>
      <c r="G26" s="5">
        <f t="shared" si="0"/>
        <v>45291</v>
      </c>
      <c r="H26" s="5">
        <f t="shared" si="0"/>
        <v>45657</v>
      </c>
      <c r="I26" s="5">
        <f t="shared" si="0"/>
        <v>46022</v>
      </c>
      <c r="K26" s="5" t="str">
        <f>K2</f>
        <v>2021 to 2022</v>
      </c>
      <c r="L26" s="5" t="str">
        <f>L2</f>
        <v>2022 to 2023</v>
      </c>
      <c r="M26" s="5" t="str">
        <f>M2</f>
        <v>2023 to 2024</v>
      </c>
      <c r="N26" s="5" t="str">
        <f>N2</f>
        <v>2024 to 2025</v>
      </c>
    </row>
    <row r="27" spans="1:14" x14ac:dyDescent="0.2">
      <c r="A27" s="37" t="s">
        <v>50</v>
      </c>
      <c r="B27" s="38"/>
      <c r="D27" s="6" t="s">
        <v>34</v>
      </c>
      <c r="E27" s="55"/>
      <c r="F27" s="53"/>
      <c r="G27" s="53"/>
      <c r="H27" s="53"/>
      <c r="I27" s="57"/>
      <c r="K27" s="71"/>
      <c r="L27" s="69"/>
      <c r="M27" s="69"/>
      <c r="N27" s="74"/>
    </row>
    <row r="28" spans="1:14" x14ac:dyDescent="0.2">
      <c r="A28" s="33"/>
      <c r="B28" s="34"/>
      <c r="D28" s="6" t="s">
        <v>52</v>
      </c>
      <c r="E28" s="56"/>
      <c r="F28" s="52"/>
      <c r="G28" s="52"/>
      <c r="H28" s="52"/>
      <c r="I28" s="58"/>
      <c r="K28" s="72"/>
      <c r="L28" s="68"/>
      <c r="M28" s="68"/>
      <c r="N28" s="75"/>
    </row>
    <row r="29" spans="1:14" x14ac:dyDescent="0.2">
      <c r="A29" s="39" t="s">
        <v>51</v>
      </c>
      <c r="B29" s="40"/>
      <c r="D29" s="6" t="s">
        <v>35</v>
      </c>
      <c r="E29" s="56"/>
      <c r="F29" s="52"/>
      <c r="G29" s="52"/>
      <c r="H29" s="52"/>
      <c r="I29" s="58"/>
      <c r="K29" s="72"/>
      <c r="L29" s="68"/>
      <c r="M29" s="68"/>
      <c r="N29" s="75"/>
    </row>
    <row r="30" spans="1:14" ht="16" thickBot="1" x14ac:dyDescent="0.25">
      <c r="A30" s="41"/>
      <c r="B30" s="42"/>
      <c r="D30" s="54" t="s">
        <v>36</v>
      </c>
      <c r="E30" s="60"/>
      <c r="F30" s="61"/>
      <c r="G30" s="61"/>
      <c r="H30" s="61"/>
      <c r="I30" s="62"/>
      <c r="K30" s="72"/>
      <c r="L30" s="68"/>
      <c r="M30" s="68"/>
      <c r="N30" s="75"/>
    </row>
    <row r="31" spans="1:14" x14ac:dyDescent="0.2">
      <c r="D31" s="54" t="s">
        <v>53</v>
      </c>
      <c r="E31" s="64"/>
      <c r="F31" s="59"/>
      <c r="G31" s="59"/>
      <c r="H31" s="59"/>
      <c r="I31" s="66"/>
      <c r="K31" s="73"/>
      <c r="L31" s="70"/>
      <c r="M31" s="70"/>
      <c r="N31" s="76"/>
    </row>
    <row r="32" spans="1:14" x14ac:dyDescent="0.2">
      <c r="D32" s="54" t="s">
        <v>54</v>
      </c>
      <c r="E32" s="65"/>
      <c r="F32" s="63"/>
      <c r="G32" s="63"/>
      <c r="H32" s="63"/>
      <c r="I32" s="67"/>
      <c r="K32" s="78"/>
      <c r="L32" s="79"/>
      <c r="M32" s="79"/>
      <c r="N32" s="80"/>
    </row>
    <row r="34" spans="4:14" ht="16" thickBot="1" x14ac:dyDescent="0.25">
      <c r="D34" s="77" t="s">
        <v>55</v>
      </c>
      <c r="E34" s="77"/>
      <c r="F34" s="77"/>
      <c r="G34" s="77"/>
      <c r="H34" s="77"/>
      <c r="I34" s="77"/>
      <c r="J34" s="77"/>
      <c r="K34" s="77"/>
      <c r="L34" s="77"/>
      <c r="M34" s="77"/>
      <c r="N34" s="77"/>
    </row>
    <row r="35" spans="4:14" ht="16" thickTop="1" x14ac:dyDescent="0.2">
      <c r="D35" s="44" t="s">
        <v>56</v>
      </c>
    </row>
    <row r="36" spans="4:14" x14ac:dyDescent="0.2">
      <c r="D36" s="44" t="s">
        <v>57</v>
      </c>
    </row>
    <row r="37" spans="4:14" x14ac:dyDescent="0.2">
      <c r="D37" s="44" t="s">
        <v>58</v>
      </c>
    </row>
    <row r="38" spans="4:14" x14ac:dyDescent="0.2">
      <c r="D38" s="44" t="s">
        <v>59</v>
      </c>
    </row>
  </sheetData>
  <mergeCells count="3">
    <mergeCell ref="K1:M1"/>
    <mergeCell ref="A3:B3"/>
    <mergeCell ref="K25:M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CAT Wksht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2025-01-16T12:38:43Z</dcterms:created>
  <dcterms:modified xsi:type="dcterms:W3CDTF">2026-09-13T21:45:54Z</dcterms:modified>
</cp:coreProperties>
</file>