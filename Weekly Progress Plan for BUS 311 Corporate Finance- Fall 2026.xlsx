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bethanyevittsair2/Documents/GitHub/BUS311-Corporate_Finance/"/>
    </mc:Choice>
  </mc:AlternateContent>
  <xr:revisionPtr revIDLastSave="0" documentId="8_{4E1E9EEC-D7F5-964E-BAC6-535C49B562A9}" xr6:coauthVersionLast="47" xr6:coauthVersionMax="47" xr10:uidLastSave="{00000000-0000-0000-0000-000000000000}"/>
  <bookViews>
    <workbookView xWindow="760" yWindow="880" windowWidth="34920" windowHeight="18980" tabRatio="711" activeTab="4" xr2:uid="{93B6D4D0-7CB4-48F5-B203-2BFD63CD9799}"/>
  </bookViews>
  <sheets>
    <sheet name="__FDSCACHE__" sheetId="10" state="veryHidden" r:id="rId1"/>
    <sheet name=" Plan- SP26" sheetId="3" r:id="rId2"/>
    <sheet name="SP26 Order" sheetId="17" r:id="rId3"/>
    <sheet name="Company Project Tracker " sheetId="15" r:id="rId4"/>
    <sheet name="Sheet1" sheetId="16" r:id="rId5"/>
    <sheet name="Checkin #1" sheetId="2" r:id="rId6"/>
    <sheet name="Project #2 Check In Criteria" sheetId="4" r:id="rId7"/>
    <sheet name="Project Rubric" sheetId="5" r:id="rId8"/>
    <sheet name="Word Table" sheetId="6" r:id="rId9"/>
    <sheet name="Score Sheet" sheetId="7" r:id="rId10"/>
    <sheet name="Project Score" sheetId="11" r:id="rId11"/>
    <sheet name="Presentation Score" sheetId="12" r:id="rId12"/>
    <sheet name="Sheet3" sheetId="13" r:id="rId13"/>
    <sheet name="Sheet4" sheetId="18" r:id="rId14"/>
  </sheets>
  <definedNames>
    <definedName name="_xlnm._FilterDatabase" localSheetId="5" hidden="1">'Checkin #1'!$A$2:$E$2</definedName>
    <definedName name="_xlnm._FilterDatabase" localSheetId="2" hidden="1">'SP26 Order'!$A$1:$C$1</definedName>
    <definedName name="_xlnm.Print_Area" localSheetId="9">'Score Sheet'!$A$1:$D$34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5" l="1" a="1"/>
  <c r="F31" i="15" s="1"/>
  <c r="E31" i="15" a="1"/>
  <c r="E31" i="15" s="1"/>
  <c r="D32" i="15" a="1"/>
  <c r="D32" i="15" s="1"/>
  <c r="O32" i="15" s="1" a="1"/>
  <c r="O32" i="15" s="1"/>
  <c r="D30" i="15" a="1"/>
  <c r="D30" i="15" s="1"/>
  <c r="L30" i="15" s="1" a="1"/>
  <c r="L30" i="15" s="1"/>
  <c r="D29" i="15" a="1"/>
  <c r="D29" i="15" s="1"/>
  <c r="I29" i="15" s="1" a="1"/>
  <c r="I29" i="15" s="1"/>
  <c r="D28" i="15" a="1"/>
  <c r="D28" i="15" s="1"/>
  <c r="O28" i="15" s="1" a="1"/>
  <c r="O28" i="15" s="1"/>
  <c r="D27" i="15" a="1"/>
  <c r="D27" i="15" s="1"/>
  <c r="M27" i="15" s="1" a="1"/>
  <c r="M27" i="15" s="1"/>
  <c r="D26" i="15" a="1"/>
  <c r="D26" i="15" s="1"/>
  <c r="J26" i="15" s="1" a="1"/>
  <c r="J26" i="15" s="1"/>
  <c r="D25" i="15" a="1"/>
  <c r="D25" i="15" s="1"/>
  <c r="O25" i="15" s="1" a="1"/>
  <c r="O25" i="15" s="1"/>
  <c r="D24" i="15" a="1"/>
  <c r="D24" i="15" s="1"/>
  <c r="N24" i="15" s="1" a="1"/>
  <c r="N24" i="15" s="1"/>
  <c r="D23" i="15" a="1"/>
  <c r="D23" i="15" s="1"/>
  <c r="K23" i="15" s="1" a="1"/>
  <c r="K23" i="15" s="1"/>
  <c r="D22" i="15" a="1"/>
  <c r="D22" i="15" s="1"/>
  <c r="F22" i="15" s="1" a="1"/>
  <c r="F22" i="15" s="1"/>
  <c r="D21" i="15" a="1"/>
  <c r="D21" i="15" s="1"/>
  <c r="O21" i="15" s="1" a="1"/>
  <c r="O21" i="15" s="1"/>
  <c r="D20" i="15" a="1"/>
  <c r="D20" i="15" s="1"/>
  <c r="L20" i="15" s="1" a="1"/>
  <c r="L20" i="15" s="1"/>
  <c r="D19" i="15" a="1"/>
  <c r="D19" i="15" s="1"/>
  <c r="I19" i="15" s="1" a="1"/>
  <c r="I19" i="15" s="1"/>
  <c r="D18" i="15" a="1"/>
  <c r="D18" i="15" s="1"/>
  <c r="O18" i="15" s="1" a="1"/>
  <c r="O18" i="15" s="1"/>
  <c r="D17" i="15" a="1"/>
  <c r="D17" i="15" s="1"/>
  <c r="M17" i="15" s="1" a="1"/>
  <c r="M17" i="15" s="1"/>
  <c r="D16" i="15" a="1"/>
  <c r="D16" i="15" s="1"/>
  <c r="J16" i="15" s="1" a="1"/>
  <c r="J16" i="15" s="1"/>
  <c r="D15" i="15" a="1"/>
  <c r="D15" i="15" s="1"/>
  <c r="O15" i="15" s="1" a="1"/>
  <c r="O15" i="15" s="1"/>
  <c r="D14" i="15" a="1"/>
  <c r="D14" i="15" s="1"/>
  <c r="N14" i="15" s="1" a="1"/>
  <c r="N14" i="15" s="1"/>
  <c r="D13" i="15" a="1"/>
  <c r="D13" i="15" s="1"/>
  <c r="K13" i="15" s="1" a="1"/>
  <c r="K13" i="15" s="1"/>
  <c r="D12" i="15" a="1"/>
  <c r="D12" i="15" s="1"/>
  <c r="F12" i="15" s="1" a="1"/>
  <c r="F12" i="15" s="1"/>
  <c r="D11" i="15" a="1"/>
  <c r="D11" i="15" s="1"/>
  <c r="O11" i="15" s="1" a="1"/>
  <c r="O11" i="15" s="1"/>
  <c r="D10" i="15" a="1"/>
  <c r="D10" i="15" s="1"/>
  <c r="L10" i="15" s="1" a="1"/>
  <c r="L10" i="15" s="1"/>
  <c r="D9" i="15" a="1"/>
  <c r="D9" i="15" s="1"/>
  <c r="I9" i="15" s="1" a="1"/>
  <c r="I9" i="15" s="1"/>
  <c r="D8" i="15" a="1"/>
  <c r="D8" i="15" s="1"/>
  <c r="O8" i="15" s="1" a="1"/>
  <c r="O8" i="15" s="1"/>
  <c r="D7" i="15" a="1"/>
  <c r="D7" i="15" s="1"/>
  <c r="M7" i="15" s="1" a="1"/>
  <c r="M7" i="15" s="1"/>
  <c r="D6" i="15" a="1"/>
  <c r="D6" i="15" s="1"/>
  <c r="J6" i="15" s="1" a="1"/>
  <c r="J6" i="15" s="1"/>
  <c r="D5" i="15" a="1"/>
  <c r="D5" i="15" s="1"/>
  <c r="O5" i="15" s="1" a="1"/>
  <c r="O5" i="15" s="1"/>
  <c r="D4" i="15" a="1"/>
  <c r="D4" i="15" s="1"/>
  <c r="N4" i="15" s="1" a="1"/>
  <c r="N4" i="15" s="1"/>
  <c r="D3" i="15" a="1"/>
  <c r="D3" i="15" s="1"/>
  <c r="K3" i="15" s="1" a="1"/>
  <c r="K3" i="15" s="1"/>
  <c r="D2" i="15" a="1"/>
  <c r="D2" i="15" s="1"/>
  <c r="F2" i="15" s="1" a="1"/>
  <c r="F2" i="15" s="1"/>
  <c r="A2" i="15" a="1"/>
  <c r="A2" i="15" s="1"/>
  <c r="T12" i="11"/>
  <c r="T13" i="11" s="1"/>
  <c r="F12" i="11"/>
  <c r="Y12" i="11"/>
  <c r="Y13" i="11" s="1"/>
  <c r="X13" i="11"/>
  <c r="S12" i="11"/>
  <c r="R12" i="11"/>
  <c r="R13" i="11" s="1"/>
  <c r="Q12" i="11"/>
  <c r="Q13" i="11" s="1"/>
  <c r="P12" i="11"/>
  <c r="O12" i="11"/>
  <c r="N12" i="11"/>
  <c r="M12" i="11"/>
  <c r="W13" i="11"/>
  <c r="W12" i="11"/>
  <c r="V12" i="11"/>
  <c r="V13" i="11" s="1"/>
  <c r="U12" i="11"/>
  <c r="X12" i="11"/>
  <c r="L12" i="11"/>
  <c r="K12" i="11"/>
  <c r="J12" i="11"/>
  <c r="I12" i="11"/>
  <c r="H12" i="11"/>
  <c r="G12" i="11"/>
  <c r="E12" i="11"/>
  <c r="D12" i="11"/>
  <c r="B12" i="11"/>
  <c r="D4" i="2" a="1"/>
  <c r="D4" i="2" s="1"/>
  <c r="D5" i="2" a="1"/>
  <c r="D5" i="2" s="1"/>
  <c r="D6" i="2" a="1"/>
  <c r="D6" i="2" s="1"/>
  <c r="D7" i="2" a="1"/>
  <c r="D7" i="2" s="1"/>
  <c r="D8" i="2" a="1"/>
  <c r="D8" i="2" s="1"/>
  <c r="D9" i="2" a="1"/>
  <c r="D9" i="2" s="1"/>
  <c r="D10" i="2" a="1"/>
  <c r="D10" i="2" s="1"/>
  <c r="D11" i="2" a="1"/>
  <c r="D11" i="2" s="1"/>
  <c r="D12" i="2" a="1"/>
  <c r="D12" i="2" s="1"/>
  <c r="D13" i="2" a="1"/>
  <c r="D13" i="2" s="1"/>
  <c r="D14" i="2" a="1"/>
  <c r="D14" i="2" s="1"/>
  <c r="D15" i="2" a="1"/>
  <c r="D15" i="2" s="1"/>
  <c r="D16" i="2" a="1"/>
  <c r="D16" i="2" s="1"/>
  <c r="D17" i="2" a="1"/>
  <c r="D17" i="2" s="1"/>
  <c r="D18" i="2" a="1"/>
  <c r="D18" i="2" s="1"/>
  <c r="D19" i="2" a="1"/>
  <c r="D19" i="2" s="1"/>
  <c r="D20" i="2" a="1"/>
  <c r="D20" i="2" s="1"/>
  <c r="D21" i="2" a="1"/>
  <c r="D21" i="2" s="1"/>
  <c r="D22" i="2" a="1"/>
  <c r="D22" i="2" s="1"/>
  <c r="D23" i="2" a="1"/>
  <c r="D23" i="2" s="1"/>
  <c r="D24" i="2" a="1"/>
  <c r="D24" i="2" s="1"/>
  <c r="D3" i="2" a="1"/>
  <c r="D3" i="2" s="1"/>
  <c r="C5" i="3"/>
  <c r="C4" i="3"/>
  <c r="H1" i="7"/>
  <c r="C1" i="7"/>
  <c r="C46" i="3"/>
  <c r="E3" i="15" l="1" a="1"/>
  <c r="E3" i="15" s="1"/>
  <c r="E8" i="15" a="1"/>
  <c r="E8" i="15" s="1"/>
  <c r="E13" i="15" a="1"/>
  <c r="E13" i="15" s="1"/>
  <c r="E18" i="15" a="1"/>
  <c r="E18" i="15" s="1"/>
  <c r="E23" i="15" a="1"/>
  <c r="E23" i="15" s="1"/>
  <c r="E28" i="15" a="1"/>
  <c r="E28" i="15" s="1"/>
  <c r="I2" i="15" a="1"/>
  <c r="I2" i="15" s="1"/>
  <c r="L3" i="15" a="1"/>
  <c r="L3" i="15" s="1"/>
  <c r="O4" i="15" a="1"/>
  <c r="O4" i="15" s="1"/>
  <c r="K6" i="15" a="1"/>
  <c r="K6" i="15" s="1"/>
  <c r="N7" i="15" a="1"/>
  <c r="N7" i="15" s="1"/>
  <c r="J9" i="15" a="1"/>
  <c r="J9" i="15" s="1"/>
  <c r="M10" i="15" a="1"/>
  <c r="M10" i="15" s="1"/>
  <c r="I12" i="15" a="1"/>
  <c r="I12" i="15" s="1"/>
  <c r="L13" i="15" a="1"/>
  <c r="L13" i="15" s="1"/>
  <c r="O14" i="15" a="1"/>
  <c r="O14" i="15" s="1"/>
  <c r="K16" i="15" a="1"/>
  <c r="K16" i="15" s="1"/>
  <c r="N17" i="15" a="1"/>
  <c r="N17" i="15" s="1"/>
  <c r="J19" i="15" a="1"/>
  <c r="J19" i="15" s="1"/>
  <c r="M20" i="15" a="1"/>
  <c r="M20" i="15" s="1"/>
  <c r="I22" i="15" a="1"/>
  <c r="I22" i="15" s="1"/>
  <c r="L23" i="15" a="1"/>
  <c r="L23" i="15" s="1"/>
  <c r="O24" i="15" a="1"/>
  <c r="O24" i="15" s="1"/>
  <c r="K26" i="15" a="1"/>
  <c r="K26" i="15" s="1"/>
  <c r="N27" i="15" a="1"/>
  <c r="N27" i="15" s="1"/>
  <c r="J29" i="15" a="1"/>
  <c r="J29" i="15" s="1"/>
  <c r="M30" i="15" a="1"/>
  <c r="M30" i="15" s="1"/>
  <c r="F3" i="15" a="1"/>
  <c r="F3" i="15" s="1"/>
  <c r="F8" i="15" a="1"/>
  <c r="F8" i="15" s="1"/>
  <c r="F13" i="15" a="1"/>
  <c r="F13" i="15" s="1"/>
  <c r="F18" i="15" a="1"/>
  <c r="F18" i="15" s="1"/>
  <c r="F23" i="15" a="1"/>
  <c r="F23" i="15" s="1"/>
  <c r="F28" i="15" a="1"/>
  <c r="F28" i="15" s="1"/>
  <c r="J2" i="15" a="1"/>
  <c r="J2" i="15" s="1"/>
  <c r="M3" i="15" a="1"/>
  <c r="M3" i="15" s="1"/>
  <c r="I5" i="15" a="1"/>
  <c r="I5" i="15" s="1"/>
  <c r="L6" i="15" a="1"/>
  <c r="L6" i="15" s="1"/>
  <c r="O7" i="15" a="1"/>
  <c r="O7" i="15" s="1"/>
  <c r="K9" i="15" a="1"/>
  <c r="K9" i="15" s="1"/>
  <c r="N10" i="15" a="1"/>
  <c r="N10" i="15" s="1"/>
  <c r="J12" i="15" a="1"/>
  <c r="J12" i="15" s="1"/>
  <c r="M13" i="15" a="1"/>
  <c r="M13" i="15" s="1"/>
  <c r="I15" i="15" a="1"/>
  <c r="I15" i="15" s="1"/>
  <c r="L16" i="15" a="1"/>
  <c r="L16" i="15" s="1"/>
  <c r="O17" i="15" a="1"/>
  <c r="O17" i="15" s="1"/>
  <c r="K19" i="15" a="1"/>
  <c r="K19" i="15" s="1"/>
  <c r="N20" i="15" a="1"/>
  <c r="N20" i="15" s="1"/>
  <c r="J22" i="15" a="1"/>
  <c r="J22" i="15" s="1"/>
  <c r="M23" i="15" a="1"/>
  <c r="M23" i="15" s="1"/>
  <c r="I25" i="15" a="1"/>
  <c r="I25" i="15" s="1"/>
  <c r="L26" i="15" a="1"/>
  <c r="L26" i="15" s="1"/>
  <c r="O27" i="15" a="1"/>
  <c r="O27" i="15" s="1"/>
  <c r="K29" i="15" a="1"/>
  <c r="K29" i="15" s="1"/>
  <c r="N30" i="15" a="1"/>
  <c r="N30" i="15" s="1"/>
  <c r="E4" i="15" a="1"/>
  <c r="E4" i="15" s="1"/>
  <c r="E9" i="15" a="1"/>
  <c r="E9" i="15" s="1"/>
  <c r="E14" i="15" a="1"/>
  <c r="E14" i="15" s="1"/>
  <c r="E19" i="15" a="1"/>
  <c r="E19" i="15" s="1"/>
  <c r="E24" i="15" a="1"/>
  <c r="E24" i="15" s="1"/>
  <c r="E29" i="15" a="1"/>
  <c r="E29" i="15" s="1"/>
  <c r="K2" i="15" a="1"/>
  <c r="K2" i="15" s="1"/>
  <c r="N3" i="15" a="1"/>
  <c r="N3" i="15" s="1"/>
  <c r="J5" i="15" a="1"/>
  <c r="J5" i="15" s="1"/>
  <c r="M6" i="15" a="1"/>
  <c r="M6" i="15" s="1"/>
  <c r="I8" i="15" a="1"/>
  <c r="I8" i="15" s="1"/>
  <c r="L9" i="15" a="1"/>
  <c r="L9" i="15" s="1"/>
  <c r="O10" i="15" a="1"/>
  <c r="O10" i="15" s="1"/>
  <c r="K12" i="15" a="1"/>
  <c r="K12" i="15" s="1"/>
  <c r="N13" i="15" a="1"/>
  <c r="N13" i="15" s="1"/>
  <c r="J15" i="15" a="1"/>
  <c r="J15" i="15" s="1"/>
  <c r="M16" i="15" a="1"/>
  <c r="M16" i="15" s="1"/>
  <c r="I18" i="15" a="1"/>
  <c r="I18" i="15" s="1"/>
  <c r="L19" i="15" a="1"/>
  <c r="L19" i="15" s="1"/>
  <c r="O20" i="15" a="1"/>
  <c r="O20" i="15" s="1"/>
  <c r="K22" i="15" a="1"/>
  <c r="K22" i="15" s="1"/>
  <c r="N23" i="15" a="1"/>
  <c r="N23" i="15" s="1"/>
  <c r="J25" i="15" a="1"/>
  <c r="J25" i="15" s="1"/>
  <c r="M26" i="15" a="1"/>
  <c r="M26" i="15" s="1"/>
  <c r="I28" i="15" a="1"/>
  <c r="I28" i="15" s="1"/>
  <c r="L29" i="15" a="1"/>
  <c r="L29" i="15" s="1"/>
  <c r="O30" i="15" a="1"/>
  <c r="O30" i="15" s="1"/>
  <c r="F4" i="15" a="1"/>
  <c r="F4" i="15" s="1"/>
  <c r="F9" i="15" a="1"/>
  <c r="F9" i="15" s="1"/>
  <c r="F14" i="15" a="1"/>
  <c r="F14" i="15" s="1"/>
  <c r="F19" i="15" a="1"/>
  <c r="F19" i="15" s="1"/>
  <c r="F24" i="15" a="1"/>
  <c r="F24" i="15" s="1"/>
  <c r="F29" i="15" a="1"/>
  <c r="F29" i="15" s="1"/>
  <c r="L2" i="15" a="1"/>
  <c r="L2" i="15" s="1"/>
  <c r="O3" i="15" a="1"/>
  <c r="O3" i="15" s="1"/>
  <c r="K5" i="15" a="1"/>
  <c r="K5" i="15" s="1"/>
  <c r="N6" i="15" a="1"/>
  <c r="N6" i="15" s="1"/>
  <c r="J8" i="15" a="1"/>
  <c r="J8" i="15" s="1"/>
  <c r="M9" i="15" a="1"/>
  <c r="M9" i="15" s="1"/>
  <c r="I11" i="15" a="1"/>
  <c r="I11" i="15" s="1"/>
  <c r="L12" i="15" a="1"/>
  <c r="L12" i="15" s="1"/>
  <c r="O13" i="15" a="1"/>
  <c r="O13" i="15" s="1"/>
  <c r="K15" i="15" a="1"/>
  <c r="K15" i="15" s="1"/>
  <c r="N16" i="15" a="1"/>
  <c r="N16" i="15" s="1"/>
  <c r="J18" i="15" a="1"/>
  <c r="J18" i="15" s="1"/>
  <c r="M19" i="15" a="1"/>
  <c r="M19" i="15" s="1"/>
  <c r="I21" i="15" a="1"/>
  <c r="I21" i="15" s="1"/>
  <c r="L22" i="15" a="1"/>
  <c r="L22" i="15" s="1"/>
  <c r="O23" i="15" a="1"/>
  <c r="O23" i="15" s="1"/>
  <c r="K25" i="15" a="1"/>
  <c r="K25" i="15" s="1"/>
  <c r="N26" i="15" a="1"/>
  <c r="N26" i="15" s="1"/>
  <c r="J28" i="15" a="1"/>
  <c r="J28" i="15" s="1"/>
  <c r="M29" i="15" a="1"/>
  <c r="M29" i="15" s="1"/>
  <c r="I32" i="15" a="1"/>
  <c r="I32" i="15" s="1"/>
  <c r="E5" i="15" a="1"/>
  <c r="E5" i="15" s="1"/>
  <c r="E10" i="15" a="1"/>
  <c r="E10" i="15" s="1"/>
  <c r="E15" i="15" a="1"/>
  <c r="E15" i="15" s="1"/>
  <c r="E20" i="15" a="1"/>
  <c r="E20" i="15" s="1"/>
  <c r="E25" i="15" a="1"/>
  <c r="E25" i="15" s="1"/>
  <c r="E30" i="15" a="1"/>
  <c r="E30" i="15" s="1"/>
  <c r="M2" i="15" a="1"/>
  <c r="M2" i="15" s="1"/>
  <c r="I4" i="15" a="1"/>
  <c r="I4" i="15" s="1"/>
  <c r="L5" i="15" a="1"/>
  <c r="L5" i="15" s="1"/>
  <c r="O6" i="15" a="1"/>
  <c r="O6" i="15" s="1"/>
  <c r="K8" i="15" a="1"/>
  <c r="K8" i="15" s="1"/>
  <c r="N9" i="15" a="1"/>
  <c r="N9" i="15" s="1"/>
  <c r="J11" i="15" a="1"/>
  <c r="J11" i="15" s="1"/>
  <c r="M12" i="15" a="1"/>
  <c r="M12" i="15" s="1"/>
  <c r="I14" i="15" a="1"/>
  <c r="I14" i="15" s="1"/>
  <c r="L15" i="15" a="1"/>
  <c r="L15" i="15" s="1"/>
  <c r="O16" i="15" a="1"/>
  <c r="O16" i="15" s="1"/>
  <c r="K18" i="15" a="1"/>
  <c r="K18" i="15" s="1"/>
  <c r="N19" i="15" a="1"/>
  <c r="N19" i="15" s="1"/>
  <c r="J21" i="15" a="1"/>
  <c r="J21" i="15" s="1"/>
  <c r="M22" i="15" a="1"/>
  <c r="M22" i="15" s="1"/>
  <c r="I24" i="15" a="1"/>
  <c r="I24" i="15" s="1"/>
  <c r="L25" i="15" a="1"/>
  <c r="L25" i="15" s="1"/>
  <c r="O26" i="15" a="1"/>
  <c r="O26" i="15" s="1"/>
  <c r="K28" i="15" a="1"/>
  <c r="K28" i="15" s="1"/>
  <c r="N29" i="15" a="1"/>
  <c r="N29" i="15" s="1"/>
  <c r="J32" i="15" a="1"/>
  <c r="J32" i="15" s="1"/>
  <c r="F5" i="15" a="1"/>
  <c r="F5" i="15" s="1"/>
  <c r="F10" i="15" a="1"/>
  <c r="F10" i="15" s="1"/>
  <c r="F15" i="15" a="1"/>
  <c r="F15" i="15" s="1"/>
  <c r="F20" i="15" a="1"/>
  <c r="F20" i="15" s="1"/>
  <c r="F25" i="15" a="1"/>
  <c r="F25" i="15" s="1"/>
  <c r="F30" i="15" a="1"/>
  <c r="F30" i="15" s="1"/>
  <c r="N2" i="15" a="1"/>
  <c r="N2" i="15" s="1"/>
  <c r="J4" i="15" a="1"/>
  <c r="J4" i="15" s="1"/>
  <c r="M5" i="15" a="1"/>
  <c r="M5" i="15" s="1"/>
  <c r="I7" i="15" a="1"/>
  <c r="I7" i="15" s="1"/>
  <c r="L8" i="15" a="1"/>
  <c r="L8" i="15" s="1"/>
  <c r="O9" i="15" a="1"/>
  <c r="O9" i="15" s="1"/>
  <c r="K11" i="15" a="1"/>
  <c r="K11" i="15" s="1"/>
  <c r="N12" i="15" a="1"/>
  <c r="N12" i="15" s="1"/>
  <c r="J14" i="15" a="1"/>
  <c r="J14" i="15" s="1"/>
  <c r="M15" i="15" a="1"/>
  <c r="M15" i="15" s="1"/>
  <c r="I17" i="15" a="1"/>
  <c r="I17" i="15" s="1"/>
  <c r="L18" i="15" a="1"/>
  <c r="L18" i="15" s="1"/>
  <c r="O19" i="15" a="1"/>
  <c r="O19" i="15" s="1"/>
  <c r="K21" i="15" a="1"/>
  <c r="K21" i="15" s="1"/>
  <c r="N22" i="15" a="1"/>
  <c r="N22" i="15" s="1"/>
  <c r="J24" i="15" a="1"/>
  <c r="J24" i="15" s="1"/>
  <c r="M25" i="15" a="1"/>
  <c r="M25" i="15" s="1"/>
  <c r="I27" i="15" a="1"/>
  <c r="I27" i="15" s="1"/>
  <c r="L28" i="15" a="1"/>
  <c r="L28" i="15" s="1"/>
  <c r="O29" i="15" a="1"/>
  <c r="O29" i="15" s="1"/>
  <c r="K32" i="15" a="1"/>
  <c r="K32" i="15" s="1"/>
  <c r="E6" i="15" a="1"/>
  <c r="E6" i="15" s="1"/>
  <c r="E11" i="15" a="1"/>
  <c r="E11" i="15" s="1"/>
  <c r="E16" i="15" a="1"/>
  <c r="E16" i="15" s="1"/>
  <c r="E21" i="15" a="1"/>
  <c r="E21" i="15" s="1"/>
  <c r="E26" i="15" a="1"/>
  <c r="E26" i="15" s="1"/>
  <c r="O2" i="15" a="1"/>
  <c r="O2" i="15" s="1"/>
  <c r="K4" i="15" a="1"/>
  <c r="K4" i="15" s="1"/>
  <c r="N5" i="15" a="1"/>
  <c r="N5" i="15" s="1"/>
  <c r="J7" i="15" a="1"/>
  <c r="J7" i="15" s="1"/>
  <c r="M8" i="15" a="1"/>
  <c r="M8" i="15" s="1"/>
  <c r="I10" i="15" a="1"/>
  <c r="I10" i="15" s="1"/>
  <c r="L11" i="15" a="1"/>
  <c r="L11" i="15" s="1"/>
  <c r="O12" i="15" a="1"/>
  <c r="O12" i="15" s="1"/>
  <c r="K14" i="15" a="1"/>
  <c r="K14" i="15" s="1"/>
  <c r="N15" i="15" a="1"/>
  <c r="N15" i="15" s="1"/>
  <c r="J17" i="15" a="1"/>
  <c r="J17" i="15" s="1"/>
  <c r="M18" i="15" a="1"/>
  <c r="M18" i="15" s="1"/>
  <c r="I20" i="15" a="1"/>
  <c r="I20" i="15" s="1"/>
  <c r="L21" i="15" a="1"/>
  <c r="L21" i="15" s="1"/>
  <c r="O22" i="15" a="1"/>
  <c r="O22" i="15" s="1"/>
  <c r="K24" i="15" a="1"/>
  <c r="K24" i="15" s="1"/>
  <c r="N25" i="15" a="1"/>
  <c r="N25" i="15" s="1"/>
  <c r="J27" i="15" a="1"/>
  <c r="J27" i="15" s="1"/>
  <c r="M28" i="15" a="1"/>
  <c r="M28" i="15" s="1"/>
  <c r="I30" i="15" a="1"/>
  <c r="I30" i="15" s="1"/>
  <c r="L32" i="15" a="1"/>
  <c r="L32" i="15" s="1"/>
  <c r="F6" i="15" a="1"/>
  <c r="F6" i="15" s="1"/>
  <c r="F11" i="15" a="1"/>
  <c r="F11" i="15" s="1"/>
  <c r="F16" i="15" a="1"/>
  <c r="F16" i="15" s="1"/>
  <c r="F21" i="15" a="1"/>
  <c r="F21" i="15" s="1"/>
  <c r="F26" i="15" a="1"/>
  <c r="F26" i="15" s="1"/>
  <c r="I3" i="15" a="1"/>
  <c r="I3" i="15" s="1"/>
  <c r="L4" i="15" a="1"/>
  <c r="L4" i="15" s="1"/>
  <c r="K7" i="15" a="1"/>
  <c r="K7" i="15" s="1"/>
  <c r="N8" i="15" a="1"/>
  <c r="N8" i="15" s="1"/>
  <c r="J10" i="15" a="1"/>
  <c r="J10" i="15" s="1"/>
  <c r="M11" i="15" a="1"/>
  <c r="M11" i="15" s="1"/>
  <c r="I13" i="15" a="1"/>
  <c r="I13" i="15" s="1"/>
  <c r="L14" i="15" a="1"/>
  <c r="L14" i="15" s="1"/>
  <c r="K17" i="15" a="1"/>
  <c r="K17" i="15" s="1"/>
  <c r="N18" i="15" a="1"/>
  <c r="N18" i="15" s="1"/>
  <c r="J20" i="15" a="1"/>
  <c r="J20" i="15" s="1"/>
  <c r="M21" i="15" a="1"/>
  <c r="M21" i="15" s="1"/>
  <c r="I23" i="15" a="1"/>
  <c r="I23" i="15" s="1"/>
  <c r="L24" i="15" a="1"/>
  <c r="L24" i="15" s="1"/>
  <c r="K27" i="15" a="1"/>
  <c r="K27" i="15" s="1"/>
  <c r="N28" i="15" a="1"/>
  <c r="N28" i="15" s="1"/>
  <c r="J30" i="15" a="1"/>
  <c r="J30" i="15" s="1"/>
  <c r="M32" i="15" a="1"/>
  <c r="M32" i="15" s="1"/>
  <c r="E2" i="15" a="1"/>
  <c r="E2" i="15" s="1"/>
  <c r="E7" i="15" a="1"/>
  <c r="E7" i="15" s="1"/>
  <c r="E12" i="15" a="1"/>
  <c r="E12" i="15" s="1"/>
  <c r="E17" i="15" a="1"/>
  <c r="E17" i="15" s="1"/>
  <c r="E22" i="15" a="1"/>
  <c r="E22" i="15" s="1"/>
  <c r="E27" i="15" a="1"/>
  <c r="E27" i="15" s="1"/>
  <c r="E32" i="15" a="1"/>
  <c r="E32" i="15" s="1"/>
  <c r="J3" i="15" a="1"/>
  <c r="J3" i="15" s="1"/>
  <c r="M4" i="15" a="1"/>
  <c r="M4" i="15" s="1"/>
  <c r="I6" i="15" a="1"/>
  <c r="I6" i="15" s="1"/>
  <c r="L7" i="15" a="1"/>
  <c r="L7" i="15" s="1"/>
  <c r="K10" i="15" a="1"/>
  <c r="K10" i="15" s="1"/>
  <c r="N11" i="15" a="1"/>
  <c r="N11" i="15" s="1"/>
  <c r="J13" i="15" a="1"/>
  <c r="J13" i="15" s="1"/>
  <c r="M14" i="15" a="1"/>
  <c r="M14" i="15" s="1"/>
  <c r="I16" i="15" a="1"/>
  <c r="I16" i="15" s="1"/>
  <c r="L17" i="15" a="1"/>
  <c r="L17" i="15" s="1"/>
  <c r="K20" i="15" a="1"/>
  <c r="K20" i="15" s="1"/>
  <c r="N21" i="15" a="1"/>
  <c r="N21" i="15" s="1"/>
  <c r="J23" i="15" a="1"/>
  <c r="J23" i="15" s="1"/>
  <c r="M24" i="15" a="1"/>
  <c r="M24" i="15" s="1"/>
  <c r="I26" i="15" a="1"/>
  <c r="I26" i="15" s="1"/>
  <c r="L27" i="15" a="1"/>
  <c r="L27" i="15" s="1"/>
  <c r="K30" i="15" a="1"/>
  <c r="K30" i="15" s="1"/>
  <c r="N32" i="15" a="1"/>
  <c r="N32" i="15" s="1"/>
  <c r="F7" i="15" a="1"/>
  <c r="F7" i="15" s="1"/>
  <c r="F17" i="15" a="1"/>
  <c r="F17" i="15" s="1"/>
  <c r="F27" i="15" a="1"/>
  <c r="F27" i="15" s="1"/>
  <c r="F32" i="15" a="1"/>
  <c r="F32" i="15" s="1"/>
  <c r="C7" i="3"/>
  <c r="C8" i="3" s="1"/>
  <c r="C6" i="3"/>
  <c r="C9" i="3"/>
  <c r="G32" i="15" l="1"/>
  <c r="Q32" i="15"/>
  <c r="G31" i="15"/>
  <c r="Q31" i="15"/>
  <c r="Q30" i="15"/>
  <c r="G30" i="15"/>
  <c r="G14" i="15"/>
  <c r="Q14" i="15"/>
  <c r="G29" i="15"/>
  <c r="Q29" i="15"/>
  <c r="G28" i="15"/>
  <c r="Q28" i="15"/>
  <c r="G27" i="15"/>
  <c r="Q27" i="15"/>
  <c r="G26" i="15"/>
  <c r="Q26" i="15"/>
  <c r="G25" i="15"/>
  <c r="Q25" i="15"/>
  <c r="Q24" i="15"/>
  <c r="G24" i="15"/>
  <c r="G23" i="15"/>
  <c r="Q23" i="15"/>
  <c r="G22" i="15"/>
  <c r="Q22" i="15"/>
  <c r="G21" i="15"/>
  <c r="Q21" i="15"/>
  <c r="G20" i="15"/>
  <c r="Q20" i="15"/>
  <c r="G19" i="15"/>
  <c r="Q19" i="15"/>
  <c r="G18" i="15"/>
  <c r="Q18" i="15"/>
  <c r="G17" i="15"/>
  <c r="Q17" i="15"/>
  <c r="G16" i="15"/>
  <c r="Q16" i="15"/>
  <c r="G15" i="15"/>
  <c r="Q15" i="15"/>
  <c r="G13" i="15"/>
  <c r="Q13" i="15"/>
  <c r="G12" i="15"/>
  <c r="Q12" i="15"/>
  <c r="G11" i="15"/>
  <c r="Q11" i="15"/>
  <c r="Q10" i="15"/>
  <c r="G10" i="15"/>
  <c r="G9" i="15"/>
  <c r="Q9" i="15"/>
  <c r="G8" i="15"/>
  <c r="Q8" i="15"/>
  <c r="G7" i="15"/>
  <c r="Q7" i="15"/>
  <c r="G6" i="15"/>
  <c r="Q6" i="15"/>
  <c r="G5" i="15"/>
  <c r="Q5" i="15"/>
  <c r="Q4" i="15"/>
  <c r="G4" i="15"/>
  <c r="G3" i="15"/>
  <c r="Q3" i="15"/>
  <c r="Q2" i="15"/>
  <c r="G2" i="15"/>
  <c r="C11" i="3"/>
  <c r="C10" i="3"/>
  <c r="R3" i="15" l="1"/>
  <c r="R30" i="15"/>
  <c r="R14" i="15"/>
  <c r="R29" i="15"/>
  <c r="R23" i="15"/>
  <c r="R21" i="15"/>
  <c r="R18" i="15"/>
  <c r="R28" i="15"/>
  <c r="R27" i="15"/>
  <c r="R26" i="15"/>
  <c r="R25" i="15"/>
  <c r="R24" i="15"/>
  <c r="R22" i="15"/>
  <c r="R19" i="15"/>
  <c r="R17" i="15"/>
  <c r="R16" i="15"/>
  <c r="R4" i="15"/>
  <c r="R20" i="15"/>
  <c r="R15" i="15"/>
  <c r="R13" i="15"/>
  <c r="R12" i="15"/>
  <c r="R11" i="15"/>
  <c r="R10" i="15"/>
  <c r="R9" i="15"/>
  <c r="R8" i="15"/>
  <c r="R7" i="15"/>
  <c r="R6" i="15"/>
  <c r="R5" i="15"/>
  <c r="R31" i="15"/>
  <c r="R2" i="15"/>
  <c r="C13" i="3"/>
  <c r="C12" i="3"/>
  <c r="C14" i="3" l="1"/>
  <c r="C15" i="3"/>
  <c r="C17" i="3" l="1"/>
  <c r="C16" i="3"/>
  <c r="C19" i="3" l="1"/>
  <c r="C18" i="3"/>
  <c r="C21" i="3" l="1"/>
  <c r="C20" i="3"/>
  <c r="C23" i="3" l="1"/>
  <c r="C25" i="3" s="1"/>
  <c r="C22" i="3"/>
  <c r="C26" i="3" l="1"/>
  <c r="C27" i="3"/>
  <c r="C24" i="3"/>
  <c r="C28" i="3" l="1"/>
  <c r="C29" i="3"/>
  <c r="C30" i="3" l="1"/>
  <c r="C31" i="3"/>
  <c r="C3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Bevitts</author>
  </authors>
  <commentList>
    <comment ref="A1" authorId="0" shapeId="0" xr:uid="{E22B7F4D-B2B7-4AA6-A945-0ACF2EB3A13D}">
      <text>
        <r>
          <rPr>
            <b/>
            <sz val="9"/>
            <color indexed="81"/>
            <rFont val="Tahoma"/>
            <family val="2"/>
          </rPr>
          <t>&lt;?xml version="1.0" encoding="utf-8"?&gt;&lt;Schema xmlns:xsd="http://www.w3.org/2001/XMLSchema" xmlns:xsi="http://www.w3.org/2001/XMLSchema-instance" Version="2" Timestamp="1776264437"&gt;&lt;FQL&gt;&lt;Q&gt;SP50^FG_PRICE(0)/FF_EPS(ANN_R,0)&lt;/Q&gt;&lt;R&gt;0&lt;/R&gt;&lt;C&gt;0&lt;/C&gt;&lt;/FQL&gt;&lt;FQL&gt;&lt;Q&gt;SP50^FF_ROE('ANN_R','0','0','YEARLY',RP,'LOCAL')&lt;/Q&gt;&lt;R&gt;0&lt;/R&gt;&lt;C&gt;0&lt;/C&gt;&lt;/FQL&gt;&lt;FQL&gt;&lt;Q&gt;SP50^FF_DPS(ANN,0)&lt;/Q&gt;&lt;R&gt;0&lt;/R&gt;&lt;C&gt;0&lt;/C&gt;&lt;/FQL&gt;&lt;FQL&gt;&lt;Q&gt;SP50^FF_DEBT_LT(ANN_R,0)&lt;/Q&gt;&lt;R&gt;0&lt;/R&gt;&lt;C&gt;0&lt;/C&gt;&lt;/FQL&gt;&lt;FQL&gt;&lt;Q&gt;SP50^FF_EBITDA_OPER(ANN_R,0)&lt;/Q&gt;&lt;R&gt;0&lt;/R&gt;&lt;C&gt;0&lt;/C&gt;&lt;/FQL&gt;&lt;FQL&gt;&lt;Q&gt;SP50^FF_WKCAP(ANN_R,0)&lt;/Q&gt;&lt;R&gt;0&lt;/R&gt;&lt;C&gt;0&lt;/C&gt;&lt;/FQL&gt;&lt;FQL&gt;&lt;Q&gt;SP50^FF_NET_INC(ANN_R,0)&lt;/Q&gt;&lt;R&gt;0&lt;/R&gt;&lt;C&gt;0&lt;/C&gt;&lt;/FQL&gt;&lt;FQL&gt;&lt;Q&gt;DKS^FF_EBITDA_OPER(ANN_R,0)&lt;/Q&gt;&lt;R&gt;1&lt;/R&gt;&lt;C&gt;1&lt;/C&gt;&lt;D xsi:type="xsd:double"&gt;1929.024&lt;/D&gt;&lt;/FQL&gt;&lt;FQL&gt;&lt;Q&gt;DKS^FF_WKCAP(ANN_R,0)&lt;/Q&gt;&lt;R&gt;1&lt;/R&gt;&lt;C&gt;1&lt;/C&gt;&lt;D xsi:type="xsd:double"&gt;2337.645&lt;/D&gt;&lt;/FQL&gt;&lt;FQL&gt;&lt;Q&gt;DKS^FF_NET_INC(ANN_R,0)&lt;/Q&gt;&lt;R&gt;1&lt;/R&gt;&lt;C&gt;1&lt;/C&gt;&lt;D xsi:type="xsd:double"&gt;1165.308&lt;/D&gt;&lt;/FQL&gt;&lt;FQL&gt;&lt;Q&gt;HIMS^FG_PRICE(0)/FF_EPS(ANN_R,0)&lt;/Q&gt;&lt;R&gt;1&lt;/R&gt;&lt;C&gt;1&lt;/C&gt;&lt;D xsi:type="xsd:double"&gt;43.2544156332206&lt;/D&gt;&lt;/FQL&gt;&lt;FQL&gt;&lt;Q&gt;HIMS^FF_ROE('ANN_R','0','0','YEARLY',RP,'LOCAL')&lt;/Q&gt;&lt;R&gt;1&lt;/R&gt;&lt;C&gt;1&lt;/C&gt;&lt;D xsi:type="xsd:double"&gt;30.7130716605036&lt;/D&gt;&lt;/FQL&gt;&lt;FQL&gt;&lt;Q&gt;HIMS^FF_DPS(ANN,0)&lt;/Q&gt;&lt;R&gt;1&lt;/R&gt;&lt;C&gt;1&lt;/C&gt;&lt;D xsi:type="xsd:double"&gt;0&lt;/D&gt;&lt;/FQL&gt;&lt;FQL&gt;&lt;Q&gt;HIMS^FF_DEBT_LT(ANN_R,0)&lt;/Q&gt;&lt;R&gt;1&lt;/R&gt;&lt;C&gt;1&lt;/C&gt;&lt;D xsi:type="xsd:double"&gt;9.456&lt;/D&gt;&lt;/FQL&gt;&lt;FQL&gt;&lt;Q&gt;HIMS^FF_EBITDA_OPER(ANN_R,0)&lt;/Q&gt;&lt;R&gt;1&lt;/R&gt;&lt;C&gt;1&lt;/C&gt;&lt;D xsi:type="xsd:double"&gt;85.092&lt;/D&gt;&lt;/FQL&gt;&lt;FQL&gt;&lt;Q&gt;HIMS^FF_WKCAP(ANN_R,0)&lt;/Q&gt;&lt;R&gt;1&lt;/R&gt;&lt;C&gt;1&lt;/C&gt;&lt;D xsi:type="xsd:double"&gt;174.464&lt;/D&gt;&lt;/FQL&gt;&lt;FQL&gt;&lt;Q&gt;HIMS^FF_NET_INC(ANN_R,0)&lt;/Q&gt;&lt;R&gt;1&lt;/R&gt;&lt;C&gt;1&lt;/C&gt;&lt;D xsi:type="xsd:double"&gt;126.038&lt;/D&gt;&lt;/FQL&gt;&lt;FQL&gt;&lt;Q&gt;ABNB^FG_PRICE(0)/FF_EPS(ANN_R,0)&lt;/Q&gt;&lt;R&gt;1&lt;/R&gt;&lt;C&gt;1&lt;/C&gt;&lt;D xsi:type="xsd:double"&gt;29.7608028450334&lt;/D&gt;&lt;/FQL&gt;&lt;FQL&gt;&lt;Q&gt;ABNB^FF_ROE('ANN_R','0','0','YEARLY',RP,'LOCAL')&lt;/Q&gt;&lt;R&gt;1&lt;/R&gt;&lt;C&gt;1&lt;/C&gt;&lt;D xsi:type="xsd:double"&gt;31.9478795922061&lt;/D&gt;&lt;/FQL&gt;&lt;FQL&gt;&lt;Q&gt;ABNB^FF_DPS(ANN,0)&lt;/Q&gt;&lt;R&gt;1&lt;/R&gt;&lt;C&gt;1&lt;/C&gt;&lt;D xsi:type="xsd:double"&gt;0&lt;/D&gt;&lt;/FQL&gt;&lt;FQL&gt;&lt;Q&gt;MCD^FF_DEBT_LT(ANN_R,0)&lt;/Q&gt;&lt;R&gt;1&lt;/R&gt;&lt;C&gt;1&lt;/C&gt;&lt;D xsi:type="xsd:double"&gt;51312&lt;/D&gt;&lt;/FQL&gt;&lt;FQL&gt;&lt;Q&gt;MCD^FF_EBITDA_OPER(ANN_R,0)&lt;/Q&gt;&lt;R&gt;1&lt;/R&gt;&lt;C&gt;1&lt;/C&gt;&lt;D xsi:type="xsd:double"&gt;13957&lt;/D&gt;&lt;/FQL&gt;&lt;FQL&gt;&lt;Q&gt;MCD^FF_WKCAP(ANN_R,0)&lt;/Q&gt;&lt;R&gt;1&lt;/R&gt;&lt;C&gt;1&lt;/C&gt;&lt;D xsi:type="xsd:double"&gt;737&lt;/D&gt;&lt;/FQL&gt;&lt;FQL&gt;&lt;Q&gt;MCD^FF_NET_INC(ANN_R,0)&lt;/Q&gt;&lt;R&gt;1&lt;/R&gt;&lt;C&gt;1&lt;/C&gt;&lt;D xsi:type="xsd:double"&gt;8223&lt;/D&gt;&lt;/FQL&gt;&lt;FQL&gt;&lt;Q&gt;PLTR^FF_DEBT_LT(ANN_R,0)&lt;/Q&gt;&lt;R&gt;1&lt;/R&gt;&lt;C&gt;1&lt;/C&gt;&lt;D xsi:type="xsd:double"&gt;183.474&lt;/D&gt;&lt;/FQL&gt;&lt;FQL&gt;&lt;Q&gt;PLTR^FF_WKCAP(ANN_R,0)&lt;/Q&gt;&lt;R&gt;1&lt;/R&gt;&lt;C&gt;1&lt;/C&gt;&lt;D xsi:type="xsd:double"&gt;7182.593&lt;/D&gt;&lt;/FQL&gt;&lt;FQL&gt;&lt;Q&gt;PLTR^FF_NET_INC(ANN_R,0)&lt;/Q&gt;&lt;R&gt;1&lt;/R&gt;&lt;C&gt;1&lt;/C&gt;&lt;D xsi:type="xsd:double"&gt;1625.033&lt;/D&gt;&lt;/FQL&gt;&lt;FQL&gt;&lt;Q&gt;CALY^FG_PRICE(0)/FF_EPS(ANN_R,0)&lt;/Q&gt;&lt;R&gt;1&lt;/R&gt;&lt;C&gt;1&lt;/C&gt;&lt;D xsi:type="xsd:double"&gt;-1.904628971678&lt;/D&gt;&lt;/FQL&gt;&lt;FQL&gt;&lt;Q&gt;CALY^FF_DPS(ANN,0)&lt;/Q&gt;&lt;R&gt;1&lt;/R&gt;&lt;C&gt;1&lt;/C&gt;&lt;D xsi:type="xsd:double"&gt;0&lt;/D&gt;&lt;/FQL&gt;&lt;FQL&gt;&lt;Q&gt;CALY^FF_DEBT_LT(ANN_R,0)&lt;/Q&gt;&lt;R&gt;1&lt;/R&gt;&lt;C&gt;1&lt;/C&gt;&lt;D xsi:type="xsd:double"&gt;4331.7&lt;/D&gt;&lt;/FQL&gt;&lt;FQL&gt;&lt;Q&gt;TJX^FG_PRICE(0)/FF_EPS(ANN_R,0)&lt;/Q&gt;&lt;R&gt;1&lt;/R&gt;&lt;C&gt;1&lt;/C&gt;&lt;D xsi:type="xsd:double"&gt;36.5937265214125&lt;/D&gt;&lt;/FQL&gt;&lt;FQL&gt;&lt;Q&gt;TJX^FF_ROE('ANN_R','0','0','YEARLY',RP,'LOCAL')&lt;/Q&gt;&lt;R&gt;1&lt;/R&gt;&lt;C&gt;1&lt;/C&gt;&lt;D xsi:type="xsd:double"&gt;61.9815227779548&lt;/D&gt;&lt;/FQL&gt;&lt;FQL&gt;&lt;Q&gt;TJX^FF_NET_INC(ANN_R,0)&lt;/Q&gt;&lt;R&gt;1&lt;/R&gt;&lt;C&gt;1&lt;/C&gt;&lt;D xsi:type="xsd:double"&gt;4864&lt;/D&gt;&lt;/FQL&gt;&lt;FQL&gt;&lt;Q&gt;GOOGL^FG_PRICE(1/21/2026)&lt;/Q&gt;&lt;R&gt;1&lt;/R&gt;&lt;C&gt;1&lt;/C&gt;&lt;D xsi:type="xsd:double"&gt;328.38&lt;/D&gt;&lt;/FQL&gt;&lt;FQL&gt;&lt;Q&gt;TSLA^FG_PRICE(1/21/2026)&lt;/Q&gt;&lt;R&gt;1&lt;/R&gt;&lt;C&gt;1&lt;/C&gt;&lt;D xsi:type="xsd:double"&gt;431.44&lt;/D&gt;&lt;/FQL&gt;&lt;FQL&gt;&lt;Q&gt;WM^FG_PRICE(1/21/2026)&lt;/Q&gt;&lt;R&gt;1&lt;/R&gt;&lt;C&gt;1&lt;/C&gt;&lt;D xsi:type="xsd:double"&gt;226.49&lt;/D&gt;&lt;/FQL&gt;&lt;FQL&gt;&lt;Q&gt;PLTR^FG_PRICE(NOW)&lt;/Q&gt;&lt;R&gt;1&lt;/R&gt;&lt;C&gt;1&lt;/C&gt;&lt;D xsi:type="xsd:double"&gt;139.16&lt;/D&gt;&lt;/FQL&gt;&lt;FQL&gt;&lt;Q&gt;ABNB^FF_DEBT_LT(ANN_R,0)&lt;/Q&gt;&lt;R&gt;1&lt;/R&gt;&lt;C&gt;1&lt;/C&gt;&lt;D xsi:type="xsd:double"&gt;2231&lt;/D&gt;&lt;/FQL&gt;&lt;FQL&gt;&lt;Q&gt;ABNB^FF_EBITDA_OPER(ANN_R,0)&lt;/Q&gt;&lt;R&gt;1&lt;/R&gt;&lt;C&gt;1&lt;/C&gt;&lt;D xsi:type="xsd:double"&gt;2618&lt;/D&gt;&lt;/FQL&gt;&lt;FQL&gt;&lt;Q&gt;ABNB^FF_WKCAP(ANN_R,0)&lt;/Q&gt;&lt;R&gt;1&lt;/R&gt;&lt;C&gt;1&lt;/C&gt;&lt;D xsi:type="xsd:double"&gt;7019&lt;/D&gt;&lt;/FQL&gt;&lt;FQL&gt;&lt;Q&gt;ABNB^FF_NET_INC(ANN_R,0)&lt;/Q&gt;&lt;R&gt;1&lt;/R&gt;&lt;C&gt;1&lt;/C&gt;&lt;D xsi:type="xsd:double"&gt;2648&lt;/D&gt;&lt;/FQL&gt;&lt;FQL&gt;&lt;Q&gt;MU^FG_PRICE(0)/FF_EPS(ANN_R,0)&lt;/Q&gt;&lt;R&gt;1&lt;/R&gt;&lt;C&gt;1&lt;/C&gt;&lt;D xsi:type="xsd:double"&gt;51.9999473004664&lt;/D&gt;&lt;/FQL&gt;&lt;FQL&gt;&lt;Q&gt;MU^FF_ROE('ANN_R','0','0','YEARLY',RP,'LOCAL')&lt;/Q&gt;&lt;R&gt;1&lt;/R&gt;&lt;C&gt;1&lt;/C&gt;&lt;D xsi:type="xsd:double"&gt;17.1990815339994&lt;/D&gt;&lt;/FQL&gt;&lt;FQL&gt;&lt;Q&gt;MU^FF_DPS(ANN,0)&lt;/Q&gt;&lt;R&gt;1&lt;/R&gt;&lt;C&gt;1&lt;/C&gt;&lt;D xsi:type="xsd:double"&gt;0.46&lt;/D&gt;&lt;/FQL&gt;&lt;FQL&gt;&lt;Q&gt;MU^FF_DEBT_LT(ANN_R,0)&lt;/Q&gt;&lt;R&gt;1&lt;/R&gt;&lt;C&gt;1&lt;/C&gt;&lt;D xsi:type="xsd:double"&gt;14718&lt;/D&gt;&lt;/FQL&gt;&lt;FQL&gt;&lt;Q&gt;MU^FF_EBITDA_OPER(ANN_R,0)&lt;/Q&gt;&lt;R&gt;1&lt;/R&gt;&lt;C&gt;1&lt;/C&gt;&lt;D xsi:type="xsd:double"&gt;18362&lt;/D&gt;&lt;/FQL&gt;&lt;FQL&gt;&lt;Q&gt;MU^FF_WKCAP(ANN_R,0)&lt;/Q&gt;&lt;R&gt;1&lt;/R&gt;&lt;C&gt;1&lt;/C&gt;&lt;D xsi:type="xsd:double"&gt;17387&lt;/D&gt;&lt;/FQL&gt;&lt;FQL&gt;&lt;Q&gt;MU^FF_NET_INC(ANN_R,0)&lt;/Q&gt;&lt;R&gt;1&lt;/R&gt;&lt;C&gt;1&lt;/C&gt;&lt;D xsi:type="xsd:double"&gt;8539&lt;/D&gt;&lt;/FQL&gt;&lt;FQL&gt;&lt;Q&gt;XOM^FG_PRICE(0)/FF_EPS(ANN_R,0)&lt;/Q&gt;&lt;R&gt;1&lt;/R&gt;&lt;C&gt;1&lt;/C&gt;&lt;D xsi:type="xsd:double"&gt;22.2462686567164&lt;/D&gt;&lt;/FQL&gt;&lt;FQL&gt;&lt;Q&gt;XOM^FF_ROE('ANN_R','0','0','YEARLY',RP,'LOCAL')&lt;/Q&gt;&lt;R&gt;1&lt;/R&gt;&lt;C&gt;1&lt;/C&gt;&lt;D xsi:type="xsd:double"&gt;11.0282914445097&lt;/D&gt;&lt;/FQL&gt;&lt;FQL&gt;&lt;Q&gt;XOM^FF_DPS(ANN,0)&lt;/Q&gt;&lt;R&gt;1&lt;/R&gt;&lt;C&gt;1&lt;/C&gt;&lt;D xsi:type="xsd:double"&gt;4&lt;/D&gt;&lt;/FQL&gt;&lt;FQL&gt;&lt;Q&gt;XOM^FF_DEBT_LT(ANN_R,0)&lt;/Q&gt;&lt;R&gt;1&lt;/R&gt;&lt;C&gt;1&lt;/C&gt;&lt;D xsi:type="xsd:double"&gt;34241&lt;/D&gt;&lt;/FQL&gt;&lt;FQL&gt;&lt;Q&gt;XOM^FF_EBITDA_OPER(ANN_R,0)&lt;/Q&gt;&lt;R&gt;1&lt;/R&gt;&lt;C&gt;1&lt;/C&gt;&lt;D xsi:type="xsd:double"&gt;59931&lt;/D&gt;&lt;/FQL&gt;&lt;FQL&gt;&lt;Q&gt;XOM^FF_WKCAP(ANN_R,0)&lt;/Q&gt;&lt;R&gt;1&lt;/R&gt;&lt;C&gt;1&lt;/C&gt;&lt;D xsi:type="xsd:double"&gt;11052&lt;/D&gt;&lt;/FQL&gt;&lt;FQL&gt;&lt;Q&gt;XOM^FF_NET_INC(ANN_R,0)&lt;/Q&gt;&lt;R&gt;1&lt;/R&gt;&lt;C&gt;1&lt;/C&gt;&lt;D xsi:type="xsd:double"&gt;28844&lt;/D&gt;&lt;/FQL&gt;&lt;FQL&gt;&lt;Q&gt;META^FG_PRICE(0)/FF_EPS(ANN_R,0)&lt;/Q&gt;&lt;R&gt;1&lt;/R&gt;&lt;C&gt;1&lt;/C&gt;&lt;D xsi:type="xsd:double"&gt;28.1616144414169&lt;/D&gt;&lt;/FQL&gt;&lt;FQL&gt;&lt;Q&gt;META^FF_ROE('ANN_R','0','0','YEARLY',RP,'LOCAL')&lt;/Q&gt;&lt;R&gt;1&lt;/R&gt;&lt;C&gt;1&lt;/C&gt;&lt;D xsi:type="xsd:double"&gt;30.2380714214264&lt;/D&gt;&lt;/FQL&gt;&lt;FQL&gt;&lt;Q&gt;META^FF_DPS(ANN,0)&lt;/Q&gt;&lt;R&gt;1&lt;/R&gt;&lt;C&gt;1&lt;/C&gt;&lt;D xsi:type="xsd:double"&gt;2.1&lt;/D&gt;&lt;/FQL&gt;&lt;FQL&gt;&lt;Q&gt;COST^FG_PRICE(0)/FF_EPS(ANN_R,0)&lt;/Q&gt;&lt;R&gt;1&lt;/R&gt;&lt;C&gt;1&lt;/C&gt;&lt;D xsi:type="xsd:double"&gt;54.9843201652012&lt;/D&gt;&lt;/FQL&gt;&lt;FQL&gt;&lt;Q&gt;COST^FF_ROE('ANN_R','0','0','YEARLY',RP,'LOCAL')&lt;/Q&gt;&lt;R&gt;1&lt;/R&gt;&lt;C&gt;1&lt;/C&gt;&lt;D xsi:type="xsd:double"&gt;30.686166786648&lt;/D&gt;&lt;/FQL&gt;&lt;FQL&gt;&lt;Q&gt;COST^FF_DPS(ANN,0)&lt;/Q&gt;&lt;R&gt;1&lt;/R&gt;&lt;C&gt;1&lt;/C&gt;&lt;D xsi:type="xsd:double"&gt;4.92&lt;/D&gt;&lt;/FQL&gt;&lt;FQL&gt;&lt;Q&gt;COST^FF_DEBT_LT(ANN_R,0)&lt;/Q&gt;&lt;R&gt;1&lt;/R&gt;&lt;C&gt;1&lt;/C&gt;&lt;D xsi:type="xsd:double"&gt;9574&lt;/D&gt;&lt;/FQL&gt;&lt;FQL&gt;&lt;Q&gt;COST^FF_EBITDA_OPER(ANN_R,0)&lt;/Q&gt;&lt;R&gt;1&lt;/R&gt;&lt;C&gt;1&lt;/C&gt;&lt;D xsi:type="xsd:double"&gt;12809&lt;/D&gt;&lt;/FQL&gt;&lt;FQL&gt;&lt;Q&gt;COST^FF_WKCAP(ANN_R,0)&lt;/Q&gt;&lt;R&gt;1&lt;/R&gt;&lt;C&gt;1&lt;/C&gt;&lt;D xsi:type="xsd:double"&gt;1272&lt;/D&gt;&lt;/FQL&gt;&lt;FQL&gt;&lt;Q&gt;COST^FF_NET_INC(ANN_R,0)&lt;/Q&gt;&lt;R&gt;1&lt;/R&gt;&lt;C&gt;1&lt;/C&gt;&lt;D xsi:type="xsd:double"&gt;8099&lt;/D&gt;&lt;/FQL&gt;&lt;FQL&gt;&lt;Q&gt;RL^FG_PRICE(0)/FF_EPS(ANN_R,0)&lt;/Q&gt;&lt;R&gt;1&lt;/R&gt;&lt;C&gt;1&lt;/C&gt;&lt;D xsi:type="xsd:double"&gt;29.5396199107497&lt;/D&gt;&lt;/FQL&gt;&lt;FQL&gt;&lt;Q&gt;RL^FF_ROE('ANN_R','0','0','YEARLY',RP,'LOCAL')&lt;/Q&gt;&lt;R&gt;1&lt;/R&gt;&lt;C&gt;1&lt;/C&gt;&lt;D xsi:type="xsd:double"&gt;29.4871794871795&lt;/D&gt;&lt;/FQL&gt;&lt;FQL&gt;&lt;Q&gt;RL^FF_DPS(ANN,0)&lt;/Q&gt;&lt;R&gt;1&lt;/R&gt;&lt;C&gt;1&lt;/C&gt;&lt;D xsi:type="xsd:double"&gt;3.3&lt;/D&gt;&lt;/FQL&gt;&lt;FQL&gt;&lt;Q&gt;RL^FF_DEBT_LT(ANN_R,0)&lt;/Q&gt;&lt;R&gt;1&lt;/R&gt;&lt;C&gt;1&lt;/C&gt;&lt;D xsi:type="xsd:double"&gt;2022.4&lt;/D&gt;&lt;/FQL&gt;&lt;FQL&gt;&lt;Q&gt;RL^FF_EBITDA_OPER(ANN_R,0)&lt;/Q&gt;&lt;R&gt;1&lt;/R&gt;&lt;C&gt;1&lt;/C&gt;&lt;D xsi:type="xsd:double"&gt;1199.9&lt;/D&gt;&lt;/FQL&gt;&lt;FQL&gt;&lt;Q&gt;RL^FF_WKCAP(ANN_R,0)&lt;/Q&gt;&lt;R&gt;1&lt;/R&gt;&lt;C&gt;1&lt;/C&gt;&lt;D xsi:type="xsd:double"&gt;1646.1&lt;/D&gt;&lt;/FQL&gt;&lt;FQL&gt;&lt;Q&gt;RL^FF_NET_INC(ANN_R,0)&lt;/Q&gt;&lt;R&gt;1&lt;/R&gt;&lt;C&gt;1&lt;/C&gt;&lt;D xsi:type="xsd:double"&gt;742.9&lt;/D&gt;&lt;/FQL&gt;&lt;FQL&gt;&lt;Q&gt;LMT^FG_PRICE(0)/FF_EPS(ANN_R,0)&lt;/Q&gt;&lt;R&gt;1&lt;/R&gt;&lt;C&gt;1&lt;/C&gt;&lt;D xsi:type="xsd:double"&gt;29.0224843038057&lt;/D&gt;&lt;/FQL&gt;&lt;FQL&gt;&lt;Q&gt;LMT^FF_ROE('ANN_R','0','0','YEARLY',RP,'LOCAL')&lt;/Q&gt;&lt;R&gt;1&lt;/R&gt;&lt;C&gt;1&lt;/C&gt;&lt;D xsi:type="xsd:double"&gt;76.8653286349012&lt;/D&gt;&lt;/FQL&gt;&lt;FQL&gt;&lt;Q&gt;LMT^FF_DPS(ANN,0)&lt;/Q&gt;&lt;R&gt;1&lt;/R&gt;&lt;C&gt;1&lt;/C&gt;&lt;D xsi:type="xsd:double"&gt;13.35&lt;/D&gt;&lt;/FQL&gt;&lt;FQL&gt;&lt;Q&gt;LMT^FF_DEBT_LT(ANN_R,0)&lt;/Q&gt;&lt;R&gt;1&lt;/R&gt;&lt;C&gt;1&lt;/C&gt;&lt;D xsi:type="xsd:double"&gt;21357&lt;/D&gt;&lt;/FQL&gt;&lt;FQL&gt;&lt;Q&gt;MCD^FG_PRICE(0)/FF_EPS(ANN_R,0)&lt;/Q&gt;&lt;R&gt;1&lt;/R&gt;&lt;C&gt;1&lt;/C&gt;&lt;D xsi:type="xsd:double"&gt;28.7214243073357&lt;/D&gt;&lt;/FQL&gt;&lt;FQL&gt;&lt;Q&gt;MCD^FF_ROE('ANN_R','0','0','YEARLY',RP,'LOCAL')&lt;/Q&gt;&lt;R&gt;0&lt;/R&gt;&lt;C&gt;0&lt;/C&gt;&lt;/FQL&gt;&lt;FQL&gt;&lt;Q&gt;MCD^FF_DPS(ANN,0)&lt;/Q&gt;&lt;R&gt;1&lt;/R&gt;&lt;C&gt;1&lt;/C&gt;&lt;D xsi:type="xsd:double"&gt;6.78&lt;/D&gt;&lt;/FQL&gt;&lt;FQL&gt;&lt;Q&gt;TJX^FF_DPS(ANN,0)&lt;/Q&gt;&lt;R&gt;1&lt;/R&gt;&lt;C&gt;1&lt;/C&gt;&lt;D xsi:type="xsd:double"&gt;1.5&lt;/D&gt;&lt;/FQL&gt;&lt;FQL&gt;&lt;Q&gt;TJX^FF_DEBT_LT(ANN_R,0)&lt;/Q&gt;&lt;R&gt;1&lt;/R&gt;&lt;C&gt;1&lt;/C&gt;&lt;D xsi:type="xsd:double"&gt;11142&lt;/D&gt;&lt;/FQL&gt;&lt;FQL&gt;&lt;Q&gt;TJX^FF_EBITDA_OPER(ANN_R,0)&lt;/Q&gt;&lt;R&gt;1&lt;/R&gt;&lt;C&gt;1&lt;/C&gt;&lt;D xsi:type="xsd:double"&gt;7347&lt;/D&gt;&lt;/FQL&gt;&lt;FQL&gt;&lt;Q&gt;AAPL^FG_PRICE(1/21/2026)&lt;/Q&gt;&lt;R&gt;1&lt;/R&gt;&lt;C&gt;1&lt;/C&gt;&lt;D xsi:type="xsd:double"&gt;247.65&lt;/D&gt;&lt;/FQL&gt;&lt;FQL&gt;&lt;Q&gt;LMT^FF_EBITDA_OPER(ANN_R,0)&lt;/Q&gt;&lt;R&gt;1&lt;/R&gt;&lt;C&gt;1&lt;/C&gt;&lt;D xsi:type="xsd:double"&gt;9119&lt;/D&gt;&lt;/FQL&gt;&lt;FQL&gt;&lt;Q&gt;LMT^FF_WKCAP(ANN_R,0)&lt;/Q&gt;&lt;R&gt;1&lt;/R&gt;&lt;C&gt;1&lt;/C&gt;&lt;D xsi:type="xsd:double"&gt;2027&lt;/D&gt;&lt;/FQL&gt;&lt;FQL&gt;&lt;Q&gt;LMT^FF_NET_INC(ANN_R,0)&lt;/Q&gt;&lt;R&gt;1&lt;/R&gt;&lt;C&gt;1&lt;/C&gt;&lt;D xsi:type="xsd:double"&gt;5017&lt;/D&gt;&lt;/FQL&gt;&lt;FQL&gt;&lt;Q&gt;CALY^FF_ROE('ANN_R','0','0','YEARLY',RP,'LOCAL')&lt;/Q&gt;&lt;R&gt;1&lt;/R&gt;&lt;C&gt;1&lt;/C&gt;&lt;D xsi:type="xsd:double"&gt;-46.0618209007461&lt;/D&gt;&lt;/FQL&gt;&lt;FQL&gt;&lt;Q&gt;CALY^FF_EBITDA_OPER(ANN_R,0)&lt;/Q&gt;&lt;R&gt;1&lt;/R&gt;&lt;C&gt;1&lt;/C&gt;&lt;D xsi:type="xsd:double"&gt;483.9&lt;/D&gt;&lt;/FQL&gt;&lt;FQL&gt;&lt;Q&gt;CALY^FF_NET_INC(ANN_R,0)&lt;/Q&gt;&lt;R&gt;1&lt;/R&gt;&lt;C&gt;1&lt;/C&gt;&lt;D xsi:type="xsd:double"&gt;-1447.7&lt;/D&gt;&lt;/FQL&gt;&lt;FQL&gt;&lt;Q&gt;LYV^FF_EBITDA_OPER(ANN_R,0)&lt;/Q&gt;&lt;R&gt;1&lt;/R&gt;&lt;C&gt;1&lt;/C&gt;&lt;D xsi:type="xsd:double"&gt;2035.55&lt;/D&gt;&lt;/FQL&gt;&lt;FQL&gt;&lt;Q&gt;CALY^FG_PRICE(1/21/2026)&lt;/Q&gt;&lt;R&gt;1&lt;/R&gt;&lt;C&gt;1&lt;/C&gt;&lt;D xsi:type="xsd:double"&gt;15.48&lt;/D&gt;&lt;/FQL&gt;&lt;FQL&gt;&lt;Q&gt;LYV^FG_PRICE(0)/FF_EPS(ANN_R,0)&lt;/Q&gt;&lt;R&gt;1&lt;/R&gt;&lt;C&gt;1&lt;/C&gt;&lt;D xsi:type="xsd:double"&gt;51.4183490927677&lt;/D&gt;&lt;/FQL&gt;&lt;FQL&gt;&lt;Q&gt;DKNG^FF_WKCAP(ANN_R,0)&lt;/Q&gt;&lt;R&gt;1&lt;/R&gt;&lt;C&gt;1&lt;/C&gt;&lt;D xsi:type="xsd:double"&gt;-121.23&lt;/D&gt;&lt;/FQL&gt;&lt;FQL&gt;&lt;Q&gt;DKNG^FF_NET_INC(ANN_R,0)&lt;/Q&gt;&lt;R&gt;1&lt;/R&gt;&lt;C&gt;1&lt;/C&gt;&lt;D xsi:type="xsd:double"&gt;-507.285&lt;/D&gt;&lt;/FQL&gt;&lt;FQL&gt;&lt;Q&gt;SBUX^FF_DPS(ANN,0)&lt;/Q&gt;&lt;R&gt;1&lt;/R&gt;&lt;C&gt;1&lt;/C&gt;&lt;D xsi:type="xsd:double"&gt;2.44&lt;/D&gt;&lt;/FQL&gt;&lt;FQL&gt;&lt;Q&gt;RL^FG_PRICE(NOW)&lt;/Q&gt;&lt;R&gt;1&lt;/R&gt;&lt;C&gt;1&lt;/C&gt;&lt;D xsi:type="xsd:double"&gt;338.85&lt;/D&gt;&lt;/FQL&gt;&lt;FQL&gt;&lt;Q&gt;ASML^FF_DEBT_LT(ANN_R,0)&lt;/Q&gt;&lt;R&gt;1&lt;/R&gt;&lt;C&gt;1&lt;/C&gt;&lt;D xsi:type="xsd:double"&gt;3181.58505&lt;/D&gt;&lt;/FQL&gt;&lt;FQL&gt;&lt;Q&gt;WM^FF_EBITDA_OPER(ANN_R,0)&lt;/Q&gt;&lt;R&gt;1&lt;/R&gt;&lt;C&gt;1&lt;/C&gt;&lt;D xsi:type="xsd:double"&gt;7470&lt;/D&gt;&lt;/FQL&gt;&lt;FQL&gt;&lt;Q&gt;MRK^FF_DEBT_LT(ANN_R,0)&lt;/Q&gt;&lt;R&gt;0&lt;/R&gt;&lt;C&gt;0&lt;/C&gt;&lt;/FQL&gt;&lt;FQL&gt;&lt;Q&gt;SBUX^FG_PRICE(1/21/2026)&lt;/Q&gt;&lt;R&gt;1&lt;/R&gt;&lt;C&gt;1&lt;/C&gt;&lt;D xsi:type="xsd:double"&gt;96.43&lt;/D&gt;&lt;/FQL&gt;&lt;FQL&gt;&lt;Q&gt;TSLA^FG_PRICE(NOW)&lt;/Q&gt;&lt;R&gt;1&lt;/R&gt;&lt;C&gt;1&lt;/C&gt;&lt;D xsi:type="xsd:double"&gt;409.745&lt;/D&gt;&lt;/FQL&gt;&lt;FQL&gt;&lt;Q&gt;WM^FF_NET_INC(ANN_R,0)&lt;/Q&gt;&lt;R&gt;1&lt;/R&gt;&lt;C&gt;1&lt;/C&gt;&lt;D xsi:type="xsd:double"&gt;2708&lt;/D&gt;&lt;/FQL&gt;&lt;FQL&gt;&lt;Q&gt;ASML^FF_EBITDA_OPER(ANN_R,0)&lt;/Q&gt;&lt;R&gt;1&lt;/R&gt;&lt;C&gt;1&lt;/C&gt;&lt;D xsi:type="xsd:double"&gt;13912.31897&lt;/D&gt;&lt;/FQL&gt;&lt;FQL&gt;&lt;Q&gt;ASML^FF_WKCAP(ANN_R,0)&lt;/Q&gt;&lt;R&gt;1&lt;/R&gt;&lt;C&gt;1&lt;/C&gt;&lt;D xsi:type="xsd:double"&gt;7460.34129&lt;/D&gt;&lt;/FQL&gt;&lt;FQL&gt;&lt;Q&gt;ASML^FF_NET_INC(ANN_R,0)&lt;/Q&gt;&lt;R&gt;1&lt;/R&gt;&lt;C&gt;1&lt;/C&gt;&lt;D xsi:type="xsd:double"&gt;10844.9569584083&lt;/D&gt;&lt;/FQL&gt;&lt;FQL&gt;&lt;Q&gt;NVDA^FF_ROE('ANN_R','0','0','YEARLY',RP,'LOCAL')&lt;/Q&gt;&lt;R&gt;1&lt;/R&gt;&lt;C&gt;1&lt;/C&gt;&lt;D xsi:type="xsd:double"&gt;119.177466170639&lt;/D&gt;&lt;/FQL&gt;&lt;FQL&gt;&lt;Q&gt;NVDA^FF_DPS(ANN,0)&lt;/Q&gt;&lt;R&gt;1&lt;/R&gt;&lt;C&gt;1&lt;/C&gt;&lt;D xsi:type="xsd:double"&gt;0.034&lt;/D&gt;&lt;/FQL&gt;&lt;FQL&gt;&lt;Q&gt;ORCL^FF_EBITDA_OPER(ANN_R,0)&lt;/Q&gt;&lt;R&gt;1&lt;/R&gt;&lt;C&gt;1&lt;/C&gt;&lt;D xsi:type="xsd:double"&gt;24226&lt;/D&gt;&lt;/FQL&gt;&lt;FQL&gt;&lt;Q&gt;ORCL^FF_NET_INC(ANN_R,0)&lt;/Q&gt;&lt;R&gt;1&lt;/R&gt;&lt;C&gt;1&lt;/C&gt;&lt;D xsi:type="xsd:double"&gt;12443&lt;/D&gt;&lt;/FQL&gt;&lt;FQL&gt;&lt;Q&gt;RTX^FF_DPS(ANN,0)&lt;/Q&gt;&lt;R&gt;1&lt;/R&gt;&lt;C&gt;1&lt;/C&gt;&lt;D xsi:type="xsd:double"&gt;2.67&lt;/D&gt;&lt;/FQL&gt;&lt;FQL&gt;&lt;Q&gt;SP50^FG_PRICE(NOW)&lt;/Q&gt;&lt;R&gt;1&lt;/R&gt;&lt;C&gt;1&lt;/C&gt;&lt;D xsi:type="xsd:double"&gt;6927.82&lt;/D&gt;&lt;/FQL&gt;&lt;FQL&gt;&lt;Q&gt;ORCL^FG_PRICE(NOW)&lt;/Q&gt;&lt;R&gt;1&lt;/R&gt;&lt;C&gt;1&lt;/C&gt;&lt;D xsi:type="xsd:double"&gt;156.04&lt;/D&gt;&lt;/FQL&gt;&lt;FQL&gt;&lt;Q&gt;ORCL^FG_PRICE(1/21/2026)&lt;/Q&gt;&lt;R&gt;1&lt;/R&gt;&lt;C&gt;1&lt;/C&gt;&lt;D xsi:type="xsd:double"&gt;173.88&lt;/D&gt;&lt;/FQL&gt;&lt;FQL&gt;&lt;Q&gt;MU^FG_PRICE(NOW)&lt;/Q&gt;&lt;R&gt;1&lt;/R&gt;&lt;C&gt;1&lt;/C&gt;&lt;D xsi:type="xsd:double"&gt;381.18&lt;/D&gt;&lt;/FQL&gt;&lt;FQL&gt;&lt;Q&gt;MU^FG_PRICE(1/21/2026)&lt;/Q&gt;&lt;R&gt;1&lt;/R&gt;&lt;C&gt;1&lt;/C&gt;&lt;D xsi:type="xsd:double"&gt;389.11&lt;/D&gt;&lt;/FQL&gt;&lt;FQL&gt;&lt;Q&gt;META^FG_PRICE(NOW)&lt;/Q&gt;&lt;R&gt;1&lt;/R&gt;&lt;C&gt;1&lt;/C&gt;&lt;D xsi:type="xsd:double"&gt;665.04&lt;/D&gt;&lt;/FQL&gt;&lt;FQL&gt;&lt;Q&gt;RTX^FF_NET_INC(ANN_R,0)&lt;/Q&gt;&lt;R&gt;1&lt;/R&gt;&lt;C&gt;1&lt;/C&gt;&lt;D xsi:type="xsd:double"&gt;6732&lt;/D&gt;&lt;/FQL&gt;&lt;FQL&gt;&lt;Q&gt;AAPL^FG_PRICE(0)/FF_EPS(ANN_R,0)&lt;/Q&gt;&lt;R&gt;1&lt;/R&gt;&lt;C&gt;1&lt;/C&gt;&lt;D xsi:type="xsd:double"&gt;37.2565304755526&lt;/D&gt;&lt;/FQL&gt;&lt;FQL&gt;&lt;Q&gt;AAPL^FF_ROE('ANN_R','0','0','YEARLY',RP,'LOCAL')&lt;/Q&gt;&lt;R&gt;1&lt;/R&gt;&lt;C&gt;1&lt;/C&gt;&lt;D xsi:type="xsd:double"&gt;171.422449744802&lt;/D&gt;&lt;/FQL&gt;&lt;FQL&gt;&lt;Q&gt;ASML^FG_PRICE(NOW)&lt;/Q&gt;&lt;R&gt;1&lt;/R&gt;&lt;C&gt;1&lt;/C&gt;&lt;D xsi:type="xsd:double"&gt;1420.77&lt;/D&gt;&lt;/FQL&gt;&lt;FQL&gt;&lt;Q&gt;ASML^FG_PRICE(1/21/2026)&lt;/Q&gt;&lt;R&gt;1&lt;/R&gt;&lt;C&gt;1&lt;/C&gt;&lt;D xsi:type="xsd:double"&gt;1360.09&lt;/D&gt;&lt;/FQL&gt;&lt;FQL&gt;&lt;Q&gt;NVDA^FG_PRICE(NOW)&lt;/Q&gt;&lt;R&gt;1&lt;/R&gt;&lt;C&gt;1&lt;/C&gt;&lt;D xsi:type="xsd:double"&gt;190.29&lt;/D&gt;&lt;/FQL&gt;&lt;FQL&gt;&lt;Q&gt;NVDA^FG_PRICE(1/21/2026)&lt;/Q&gt;&lt;R&gt;1&lt;/R&gt;&lt;C&gt;1&lt;/C&gt;&lt;D xsi:type="xsd:double"&gt;183.32&lt;/D&gt;&lt;/FQL&gt;&lt;FQL&gt;&lt;Q&gt;MRK^FG_PRICE(NOW)&lt;/Q&gt;&lt;R&gt;1&lt;/R&gt;&lt;C&gt;1&lt;/C&gt;&lt;D xsi:type="xsd:double"&gt;119.25&lt;/D&gt;&lt;/FQL&gt;&lt;FQL&gt;&lt;Q&gt;MRK^FG_PRICE(1/21/2026)&lt;/Q&gt;&lt;R&gt;1&lt;/R&gt;&lt;C&gt;1&lt;/C&gt;&lt;D xsi:type="xsd:double"&gt;111.11&lt;/D&gt;&lt;/FQL&gt;&lt;FQL&gt;&lt;Q&gt;BA^FG_PRICE(NOW)&lt;/Q&gt;&lt;R&gt;1&lt;/R&gt;&lt;C&gt;1&lt;/C&gt;&lt;D xsi:type="xsd:double"&gt;242.495&lt;/D&gt;&lt;/FQL&gt;&lt;FQL&gt;&lt;Q&gt;AAPL^FF_DPS(ANN,0)&lt;/Q&gt;&lt;R&gt;1&lt;/R&gt;&lt;C&gt;1&lt;/C&gt;&lt;D xsi:type="xsd:double"&gt;1.02&lt;/D&gt;&lt;/FQL&gt;&lt;FQL&gt;&lt;Q&gt;AAPL^FF_DEBT_LT(ANN_R,0)&lt;/Q&gt;&lt;R&gt;1&lt;/R&gt;&lt;C&gt;1&lt;/C&gt;&lt;D xsi:type="xsd:double"&gt;89931&lt;/D&gt;&lt;/FQL&gt;&lt;FQL&gt;&lt;Q&gt;AAPL^FF_EBITDA_OPER(ANN_R,0)&lt;/Q&gt;&lt;R&gt;1&lt;/R&gt;&lt;C&gt;1&lt;/C&gt;&lt;D xsi:type="xsd:double"&gt;144748&lt;/D&gt;&lt;/FQL&gt;&lt;FQL&gt;&lt;Q&gt;AAPL^FF_WKCAP(ANN_R,0)&lt;/Q&gt;&lt;R&gt;1&lt;/R&gt;&lt;C&gt;1&lt;/C&gt;&lt;D xsi:type="xsd:double"&gt;-17674&lt;/D&gt;&lt;/FQL&gt;&lt;FQL&gt;&lt;Q&gt;AAPL^FF_NET_INC(ANN_R,0)&lt;/Q&gt;&lt;R&gt;1&lt;/R&gt;&lt;C&gt;1&lt;/C&gt;&lt;D xsi:type="xsd:double"&gt;112010&lt;/D&gt;&lt;/FQL&gt;&lt;FQL&gt;&lt;Q&gt;MSFT^FG_PRICE(0)/FF_EPS(ANN_R,0)&lt;/Q&gt;&lt;R&gt;1&lt;/R&gt;&lt;C&gt;1&lt;/C&gt;&lt;D xsi:type="xsd:double"&gt;29.4062882569843&lt;/D&gt;&lt;/FQL&gt;&lt;FQL&gt;&lt;Q&gt;MSFT^FF_ROE('ANN_R','0','0','YEARLY',RP,'LOCAL')&lt;/Q&gt;&lt;R&gt;1&lt;/R&gt;&lt;C&gt;1&lt;/C&gt;&lt;D xsi:type="xsd:double"&gt;33.2808241115374&lt;/D&gt;&lt;/FQL&gt;&lt;FQL&gt;&lt;Q&gt;MSFT^FF_DPS(ANN,0)&lt;/Q&gt;&lt;R&gt;1&lt;/R&gt;&lt;C&gt;1&lt;/C&gt;&lt;D xsi:type="xsd:double"&gt;3.32&lt;/D&gt;&lt;/FQL&gt;&lt;FQL&gt;&lt;Q&gt;MSFT^FF_DEBT_LT(ANN_R,0)&lt;/Q&gt;&lt;R&gt;1&lt;/R&gt;&lt;C&gt;1&lt;/C&gt;&lt;D xsi:type="xsd:double"&gt;100589&lt;/D&gt;&lt;/FQL&gt;&lt;FQL&gt;&lt;Q&gt;MSFT^FF_EBITDA_OPER(ANN_R,0)&lt;/Q&gt;&lt;R&gt;1&lt;/R&gt;&lt;C&gt;1&lt;/C&gt;&lt;D xsi:type="xsd:double"&gt;162681&lt;/D&gt;&lt;/FQL&gt;&lt;FQL&gt;&lt;Q&gt;MSFT^FF_WKCAP(ANN_R,0)&lt;/Q&gt;&lt;R&gt;1&lt;/R&gt;&lt;C&gt;1&lt;/C&gt;&lt;D xsi:type="xsd:double"&gt;49913&lt;/D&gt;&lt;/FQL&gt;&lt;FQL&gt;&lt;Q&gt;MSFT^FF_NET_INC(ANN_R,0)&lt;/Q&gt;&lt;R&gt;1&lt;/R&gt;&lt;C&gt;1&lt;/C&gt;&lt;D xsi:type="xsd:double"&gt;101832&lt;/D&gt;&lt;/FQL&gt;&lt;FQL&gt;&lt;Q&gt;GOOGL^FG_PRICE(0)/FF_EPS(ANN_R,0)&lt;/Q&gt;&lt;R&gt;1&lt;/R&gt;&lt;C&gt;1&lt;/C&gt;&lt;D xsi:type="xsd:double"&gt;29.8750809660405&lt;/D&gt;&lt;/FQL&gt;&lt;FQL&gt;&lt;Q&gt;GOOGL^FF_ROE('ANN_R','0','0','YEARLY',RP,'LOCAL')&lt;/Q&gt;&lt;R&gt;1&lt;/R&gt;&lt;C&gt;1&lt;/C&gt;&lt;D xsi:type="xsd:double"&gt;35.7047824742115&lt;/D&gt;&lt;/FQL&gt;&lt;FQL&gt;&lt;Q&gt;GOOGL^FF_DPS(ANN,0)&lt;/Q&gt;&lt;R&gt;1&lt;/R&gt;&lt;C&gt;1&lt;/C&gt;&lt;D xsi:type="xsd:double"&gt;0.83&lt;/D&gt;&lt;/FQL&gt;&lt;FQL&gt;&lt;Q&gt;GOOGL^FF_DEBT_LT(ANN_R,0)&lt;/Q&gt;&lt;R&gt;1&lt;/R&gt;&lt;C&gt;1&lt;/C&gt;&lt;D xsi:type="xsd:double"&gt;61350&lt;/D&gt;&lt;/FQL&gt;&lt;FQL&gt;&lt;Q&gt;GOOGL^FF_EBITDA_OPER(ANN_R,0)&lt;/Q&gt;&lt;R&gt;1&lt;/R&gt;&lt;C&gt;1&lt;/C&gt;&lt;D xsi:type="xsd:double"&gt;150301&lt;/D&gt;&lt;/FQL&gt;&lt;FQL&gt;&lt;Q&gt;GOOGL^FF_WKCAP(ANN_R,0)&lt;/Q&gt;&lt;R&gt;1&lt;/R&gt;&lt;C&gt;1&lt;/C&gt;&lt;D xsi:type="xsd:double"&gt;103293&lt;/D&gt;&lt;/FQL&gt;&lt;FQL&gt;&lt;Q&gt;GOOGL^FF_NET_INC(ANN_R,0)&lt;/Q&gt;&lt;R&gt;1&lt;/R&gt;&lt;C&gt;1&lt;/C&gt;&lt;D xsi:type="xsd:double"&gt;132170&lt;/D&gt;&lt;/FQL&gt;&lt;FQL&gt;&lt;Q&gt;ASML^FG_PRICE(0)/FF_EPS(ANN_R,0)&lt;/Q&gt;&lt;R&gt;1&lt;/R&gt;&lt;C&gt;1&lt;/C&gt;&lt;D xsi:type="xsd:double"&gt;50.6184869012606&lt;/D&gt;&lt;/FQL&gt;&lt;FQL&gt;&lt;Q&gt;ASML^FF_ROE('ANN_R','0','0','YEARLY',RP,'LOCAL')&lt;/Q&gt;&lt;R&gt;1&lt;/R&gt;&lt;C&gt;1&lt;/C&gt;&lt;D xsi:type="xsd:double"&gt;51.4390091993602&lt;/D&gt;&lt;/FQL&gt;&lt;FQL&gt;&lt;Q&gt;ASML^FF_DPS(ANN,0)&lt;/Q&gt;&lt;R&gt;0&lt;/R&gt;&lt;C&gt;0&lt;/C&gt;&lt;/FQL&gt;&lt;FQL&gt;&lt;Q&gt;WM^FF_DEBT_LT(ANN_R,0)&lt;/Q&gt;&lt;R&gt;1&lt;/R&gt;&lt;C&gt;1&lt;/C&gt;&lt;D xsi:type="xsd:double"&gt;22196&lt;/D&gt;&lt;/FQL&gt;&lt;FQL&gt;&lt;Q&gt;MRK^FF_DPS(ANN,0)&lt;/Q&gt;&lt;R&gt;1&lt;/R&gt;&lt;C&gt;1&lt;/C&gt;&lt;D xsi:type="xsd:double"&gt;3.28&lt;/D&gt;&lt;/FQL&gt;&lt;FQL&gt;&lt;Q&gt;SBUX^FG_PRICE(NOW)&lt;/Q&gt;&lt;R&gt;1&lt;/R&gt;&lt;C&gt;1&lt;/C&gt;&lt;D xsi:type="xsd:double"&gt;98.6314&lt;/D&gt;&lt;/FQL&gt;&lt;FQL&gt;&lt;Q&gt;NVDA^FF_DEBT_LT(ANN_R,0)&lt;/Q&gt;&lt;R&gt;1&lt;/R&gt;&lt;C&gt;1&lt;/C&gt;&lt;D xsi:type="xsd:double"&gt;9982&lt;/D&gt;&lt;/FQL&gt;&lt;FQL&gt;&lt;Q&gt;NVDA^FF_EBITDA_OPER(ANN_R,0)&lt;/Q&gt;&lt;R&gt;1&lt;/R&gt;&lt;C&gt;1&lt;/C&gt;&lt;D xsi:type="xsd:double"&gt;83317&lt;/D&gt;&lt;/FQL&gt;&lt;FQL&gt;&lt;Q&gt;NVDA^FF_WKCAP(ANN_R,0)&lt;/Q&gt;&lt;R&gt;1&lt;/R&gt;&lt;C&gt;1&lt;/C&gt;&lt;D xsi:type="xsd:double"&gt;62079&lt;/D&gt;&lt;/FQL&gt;&lt;FQL&gt;&lt;Q&gt;MRK^FG_PRICE(0)/FF_EPS(ANN_R,0)&lt;/Q&gt;&lt;R&gt;1&lt;/R&gt;&lt;C&gt;1&lt;/C&gt;&lt;D xsi:type="xsd:double"&gt;16.7458660660331&lt;/D&gt;&lt;/FQL&gt;&lt;FQL&gt;&lt;Q&gt;MRK^FF_ROE('ANN_R','0','0','YEARLY',RP,'LOCAL')&lt;/Q&gt;&lt;R&gt;0&lt;/R&gt;&lt;C&gt;0&lt;/C&gt;&lt;/FQL&gt;&lt;FQL&gt;&lt;Q&gt;PLTR^FF_ROE('ANN_R','0','0','YEARLY',RP,'LOCAL')&lt;/Q&gt;&lt;R&gt;1&lt;/R&gt;&lt;C&gt;1&lt;/C&gt;&lt;D xsi:type="xsd:double"&gt;26.2302144466146&lt;/D&gt;&lt;/FQL&gt;&lt;FQL&gt;&lt;Q&gt;SP50^FG_PRICE(1/21/2026)&lt;/Q&gt;&lt;R&gt;1&lt;/R&gt;&lt;C&gt;1&lt;/C&gt;&lt;D xsi:type="xsd:double"&gt;6875.62&lt;/D&gt;&lt;/FQL&gt;&lt;FQL&gt;&lt;Q&gt;PLTR^FF_DPS(ANN,0)&lt;/Q&gt;&lt;R&gt;1&lt;/R&gt;&lt;C&gt;1&lt;/C&gt;&lt;D xsi:type="xsd:double"&gt;0&lt;/D&gt;&lt;/FQL&gt;&lt;FQL&gt;&lt;Q&gt;AAPL^FG_PRICE(NOW)&lt;/Q&gt;&lt;R&gt;1&lt;/R&gt;&lt;C&gt;1&lt;/C&gt;&lt;D xsi:type="xsd:double"&gt;274.2051&lt;/D&gt;&lt;/FQL&gt;&lt;FQL&gt;&lt;Q&gt;BA^FF_DPS(ANN,0)&lt;/Q&gt;&lt;R&gt;1&lt;/R&gt;&lt;C&gt;1&lt;/C&gt;&lt;D xsi:type="xsd:double"&gt;0&lt;/D&gt;&lt;/FQL&gt;&lt;FQL&gt;&lt;Q&gt;DKS^FF_ROE('ANN_R','0','0','YEARLY',RP,'LOCAL')&lt;/Q&gt;&lt;R&gt;1&lt;/R&gt;&lt;C&gt;1&lt;/C&gt;&lt;D xsi:type="xsd:double"&gt;40.0756248984403&lt;/D&gt;&lt;/FQL&gt;&lt;FQL&gt;&lt;Q&gt;BA^FF_WKCAP(ANN_R,0)&lt;/Q&gt;&lt;R&gt;1&lt;/R&gt;&lt;C&gt;1&lt;/C&gt;&lt;D xsi:type="xsd:double"&gt;20344&lt;/D&gt;&lt;/FQL&gt;&lt;FQL&gt;&lt;Q&gt;NFLX^FG_PRICE(0)/FF_EPS(ANN_R,0)&lt;/Q&gt;&lt;R&gt;1&lt;/R&gt;&lt;C&gt;1&lt;/C&gt;&lt;D xsi:type="xsd:double"&gt;32.5158227848101&lt;/D&gt;&lt;/FQL&gt;&lt;FQL&gt;&lt;Q&gt;NFLX^FF_DEBT_LT(ANN_R,0)&lt;/Q&gt;&lt;R&gt;1&lt;/R&gt;&lt;C&gt;1&lt;/C&gt;&lt;D xsi:type="xsd:double"&gt;15516.497&lt;/D&gt;&lt;/FQL&gt;&lt;FQL&gt;&lt;Q&gt;ORCL^FF_DEBT_LT(ANN_R,0)&lt;/Q&gt;&lt;R&gt;1&lt;/R&gt;&lt;C&gt;1&lt;/C&gt;&lt;D xsi:type="xsd:double"&gt;99510&lt;/D&gt;&lt;/FQL&gt;&lt;FQL&gt;&lt;Q&gt;ORCL^FG_PRICE(0)/FF_EPS(ANN_R,0)&lt;/Q&gt;&lt;R&gt;1&lt;/R&gt;&lt;C&gt;1&lt;/C&gt;&lt;D xsi:type="xsd:double"&gt;32.8957066519256&lt;/D&gt;&lt;/FQL&gt;&lt;FQL&gt;&lt;Q&gt;DKS^FG_PRICE(0)/FF_EPS(ANN_R,0)&lt;/Q&gt;&lt;R&gt;1&lt;/R&gt;&lt;C&gt;1&lt;/C&gt;&lt;D xsi:type="xsd:double"&gt;14.8229065108633&lt;/D&gt;&lt;/FQL&gt;&lt;FQL&gt;&lt;Q&gt;DKS^FF_DEBT_LT(ANN_R,0)&lt;/Q&gt;&lt;R&gt;1&lt;/R&gt;&lt;C&gt;1&lt;/C&gt;&lt;D xsi:type="xsd:double"&gt;3984.524&lt;/D&gt;&lt;/FQL&gt;&lt;FQL&gt;&lt;Q&gt;NFLX^FF_WKCAP(ANN_R,0)&lt;/Q&gt;&lt;R&gt;1&lt;/R&gt;&lt;C&gt;1&lt;/C&gt;&lt;D xsi:type="xsd:double"&gt;2039.261&lt;/D&gt;&lt;/FQL&gt;&lt;FQL&gt;&lt;Q&gt;TSLA^FF_NET_INC(ANN_R,0)&lt;/Q&gt;&lt;R&gt;1&lt;/R&gt;&lt;C&gt;1&lt;/C&gt;&lt;D xsi:type="xsd:double"&gt;3794&lt;/D&gt;&lt;/FQL&gt;&lt;FQL&gt;&lt;Q&gt;WM^FF_ROE('ANN_R','0','0','YEARLY',RP,'LOCAL')&lt;/Q&gt;&lt;R&gt;1&lt;/R&gt;&lt;C&gt;1&lt;/C&gt;&lt;D xsi:type="xsd:double"&gt;29.689727003618&lt;/D&gt;&lt;/FQL&gt;&lt;FQL&gt;&lt;Q&gt;TJX^FG_PRICE(NOW)&lt;/Q&gt;&lt;R&gt;1&lt;/R&gt;&lt;C&gt;1&lt;/C&gt;&lt;D xsi:type="xsd:double"&gt;154.79&lt;/D&gt;&lt;/FQL&gt;&lt;FQL&gt;&lt;Q&gt;DIS^FG_PRICE(1/21/2026)&lt;/Q&gt;&lt;R&gt;1&lt;/R&gt;&lt;C&gt;1&lt;/C&gt;&lt;D xsi:type="xsd:double"&gt;113.19&lt;/D&gt;&lt;/FQL&gt;&lt;FQL&gt;&lt;Q&gt;RL^FG_PRICE(1/21/2026)&lt;/Q&gt;&lt;R&gt;1&lt;/R&gt;&lt;C&gt;1&lt;/C&gt;&lt;D xsi:type="xsd:double"&gt;369.58&lt;/D&gt;&lt;/FQL&gt;&lt;FQL&gt;&lt;Q&gt;LMT^FG_PRICE(NOW)&lt;/Q&gt;&lt;R&gt;1&lt;/R&gt;&lt;C&gt;1&lt;/C&gt;&lt;D xsi:type="xsd:double"&gt;630.11&lt;/D&gt;&lt;/FQL&gt;&lt;FQL&gt;&lt;Q&gt;NFLX^FG_PRICE(1/21/2026)&lt;/Q&gt;&lt;R&gt;1&lt;/R&gt;&lt;C&gt;1&lt;/C&gt;&lt;D xsi:type="xsd:double"&gt;85.36&lt;/D&gt;&lt;/FQL&gt;&lt;FQL&gt;&lt;Q&gt;BA^FF_EBITDA_OPER(ANN_R,0)&lt;/Q&gt;&lt;R&gt;1&lt;/R&gt;&lt;C&gt;1&lt;/C&gt;&lt;D xsi:type="xsd:double"&gt;-3372&lt;/D&gt;&lt;/FQL&gt;&lt;FQL&gt;&lt;Q&gt;CALY^FF_WKCAP(ANN_R,0)&lt;/Q&gt;&lt;R&gt;1&lt;/R&gt;&lt;C&gt;1&lt;/C&gt;&lt;D xsi:type="xsd:double"&gt;774.8&lt;/D&gt;&lt;/FQL&gt;&lt;FQL&gt;&lt;Q&gt;LYV^FF_WKCAP(ANN_R,0)&lt;/Q&gt;&lt;R&gt;1&lt;/R&gt;&lt;C&gt;1&lt;/C&gt;&lt;D xsi:type="xsd:double"&gt;-68.1419999999998&lt;/D&gt;&lt;/FQL&gt;&lt;FQL&gt;&lt;Q&gt;HIMS^FG_PRICE(1/21/2026)&lt;/Q&gt;&lt;R&gt;1&lt;/R&gt;&lt;C&gt;1&lt;/C&gt;&lt;D xsi:type="xsd:double"&gt;28.89&lt;/D&gt;&lt;/FQL&gt;&lt;FQL&gt;&lt;Q&gt;ABNB^FG_PRICE(1/21/2026)&lt;/Q&gt;&lt;R&gt;1&lt;/R&gt;&lt;C&gt;1&lt;/C&gt;&lt;D xsi:type="xsd:double"&gt;133.59&lt;/D&gt;&lt;/FQL&gt;&lt;FQL&gt;&lt;Q&gt;DKNG^FF_DPS(ANN,0)&lt;/Q&gt;&lt;R&gt;1&lt;/R&gt;&lt;C&gt;1&lt;/C&gt;&lt;D xsi:type="xsd:double"&gt;0&lt;/D&gt;&lt;/FQL&gt;&lt;FQL&gt;&lt;Q&gt;SBUX^FG_PRICE(0)/FF_EPS(ANN_R,0)&lt;/Q&gt;&lt;R&gt;1&lt;/R&gt;&lt;C&gt;1&lt;/C&gt;&lt;D xsi:type="xsd:double"&gt;61.0609688708786&lt;/D&gt;&lt;/FQL&gt;&lt;FQL&gt;&lt;Q&gt;META^FG_PRICE(1/21/2026)&lt;/Q&gt;&lt;R&gt;1&lt;/R&gt;&lt;C&gt;1&lt;/C&gt;&lt;D xsi:type="xsd:double"&gt;612.96&lt;/D&gt;&lt;/FQL&gt;&lt;FQL&gt;&lt;Q&gt;RTX^FF_ROE('ANN_R','0','0','YEARLY',RP,'LOCAL')&lt;/Q&gt;&lt;R&gt;1&lt;/R&gt;&lt;C&gt;1&lt;/C&gt;&lt;D xsi:type="xsd:double"&gt;10.7367564851955&lt;/D&gt;&lt;/FQL&gt;&lt;FQL&gt;&lt;Q&gt;RTX^FF_EBITDA_OPER(ANN_R,0)&lt;/Q&gt;&lt;R&gt;1&lt;/R&gt;&lt;C&gt;1&lt;/C&gt;&lt;D xsi:type="xsd:double"&gt;12887&lt;/D&gt;&lt;/FQL&gt;&lt;FQL&gt;&lt;Q&gt;MRK^FF_EBITDA_OPER(ANN_R,0)&lt;/Q&gt;&lt;R&gt;0&lt;/R&gt;&lt;C&gt;0&lt;/C&gt;&lt;/FQL&gt;&lt;FQL&gt;&lt;Q&gt;WM^FF_WKCAP(ANN_R,0)&lt;/Q&gt;&lt;R&gt;1&lt;/R&gt;&lt;C&gt;1&lt;/C&gt;&lt;D xsi:type="xsd:double"&gt;-614&lt;/D&gt;&lt;/FQL&gt;&lt;FQL&gt;&lt;Q&gt;MSFT^FG_PRICE(1/21/2026)&lt;/Q&gt;&lt;R&gt;1&lt;/R&gt;&lt;C&gt;1&lt;/C&gt;&lt;D xsi:type="xsd:double"&gt;444.11&lt;/D&gt;&lt;/FQL&gt;&lt;FQL&gt;&lt;Q&gt;TJX^FG_PRICE(1/21/2026)&lt;/Q&gt;&lt;R&gt;1&lt;/R&gt;&lt;C&gt;1&lt;/C&gt;&lt;D xsi:type="xsd:double"&gt;155.85&lt;/D&gt;&lt;/FQL&gt;&lt;FQL&gt;&lt;Q&gt;TJX^FF_WKCAP(ANN_R,0)&lt;/Q&gt;&lt;R&gt;1&lt;/R&gt;&lt;C&gt;1&lt;/C&gt;&lt;D xsi:type="xsd:double"&gt;1983&lt;/D&gt;&lt;/FQL&gt;&lt;FQL&gt;&lt;Q&gt;MCD^FG_PRICE(NOW)&lt;/Q&gt;&lt;R&gt;1&lt;/R&gt;&lt;C&gt;1&lt;/C&gt;&lt;D xsi:type="xsd:double"&gt;324.65&lt;/D&gt;&lt;/FQL&gt;&lt;FQL&gt;&lt;Q&gt;NVDA^FG_PRICE(0)/FF_EPS(ANN_R,0)&lt;/Q&gt;&lt;R&gt;1&lt;/R&gt;&lt;C&gt;1&lt;/C&gt;&lt;D xsi:type="xsd:double"&gt;63.1032604996256&lt;/D&gt;&lt;/FQL&gt;&lt;FQL&gt;&lt;Q&gt;NVDA^FF_NET_INC(ANN_R,0)&lt;/Q&gt;&lt;R&gt;1&lt;/R&gt;&lt;C&gt;1&lt;/C&gt;&lt;D xsi:type="xsd:double"&gt;72880&lt;/D&gt;&lt;/FQL&gt;&lt;FQL&gt;&lt;Q&gt;PLTR^FG_PRICE(1/21/2026)&lt;/Q&gt;&lt;R&gt;1&lt;/R&gt;&lt;C&gt;1&lt;/C&gt;&lt;D xsi:type="xsd:double"&gt;165.33&lt;/D&gt;&lt;/FQL&gt;&lt;FQL&gt;&lt;Q&gt;PLTR^FF_EBITDA_OPER(ANN_R,0)&lt;/Q&gt;&lt;R&gt;1&lt;/R&gt;&lt;C&gt;1&lt;/C&gt;&lt;D xsi:type="xsd:double"&gt;1440.16&lt;/D&gt;&lt;/FQL&gt;&lt;FQL&gt;&lt;Q&gt;CALY^FG_PRICE(NOW)&lt;/Q&gt;&lt;R&gt;1&lt;/R&gt;&lt;C&gt;1&lt;/C&gt;&lt;D xsi:type="xsd:double"&gt;14.83&lt;/D&gt;&lt;/FQL&gt;&lt;FQL&gt;&lt;Q&gt;BA^FG_PRICE(1/21/2026)&lt;/Q&gt;&lt;R&gt;1&lt;/R&gt;&lt;C&gt;1&lt;/C&gt;&lt;D xsi:type="xsd:double"&gt;250.07&lt;/D&gt;&lt;/FQL&gt;&lt;FQL&gt;&lt;Q&gt;NFLX^FG_PRICE(NOW)&lt;/Q&gt;&lt;R&gt;1&lt;/R&gt;&lt;C&gt;1&lt;/C&gt;&lt;D xsi:type="xsd:double"&gt;80.395&lt;/D&gt;&lt;/FQL&gt;&lt;FQL&gt;&lt;Q&gt;NFLX^FF_DPS(ANN,0)&lt;/Q&gt;&lt;R&gt;1&lt;/R&gt;&lt;C&gt;1&lt;/C&gt;&lt;D xsi:type="xsd:double"&gt;0&lt;/D&gt;&lt;/FQL&gt;&lt;FQL&gt;&lt;Q&gt;NFLX^FF_EBITDA_OPER(ANN_R,0)&lt;/Q&gt;&lt;R&gt;1&lt;/R&gt;&lt;C&gt;1&lt;/C&gt;&lt;D xsi:type="xsd:double"&gt;30174.738&lt;/D&gt;&lt;/FQL&gt;&lt;FQL&gt;&lt;Q&gt;NFLX^FF_NET_INC(ANN_R,0)&lt;/Q&gt;&lt;R&gt;1&lt;/R&gt;&lt;C&gt;1&lt;/C&gt;&lt;D xsi:type="xsd:double"&gt;10981.201&lt;/D&gt;&lt;/FQL&gt;&lt;FQL&gt;&lt;Q&gt;ORCL^FF_ROE('ANN_R','0','0','YEARLY',RP,'LOCAL')&lt;/Q&gt;&lt;R&gt;1&lt;/R&gt;&lt;C&gt;1&lt;/C&gt;&lt;D xsi:type="xsd:double"&gt;85.3575716000686&lt;/D&gt;&lt;/FQL&gt;&lt;FQL&gt;&lt;Q&gt;ORCL^FF_DPS(ANN,0)&lt;/Q&gt;&lt;R&gt;1&lt;/R&gt;&lt;C&gt;1&lt;/C&gt;&lt;D xsi:type="xsd:double"&gt;1.7&lt;/D&gt;&lt;/FQL&gt;&lt;FQL&gt;&lt;Q&gt;ORCL^FF_WKCAP(ANN_R,0)&lt;/Q&gt;&lt;R&gt;1&lt;/R&gt;&lt;C&gt;1&lt;/C&gt;&lt;D xsi:type="xsd:double"&gt;-8064&lt;/D&gt;&lt;/FQL&gt;&lt;FQL&gt;&lt;Q&gt;DKS^FF_DPS(ANN,0)&lt;/Q&gt;&lt;R&gt;1&lt;/R&gt;&lt;C&gt;1&lt;/C&gt;&lt;D xsi:type="xsd:double"&gt;4.4&lt;/D&gt;&lt;/FQL&gt;&lt;FQL&gt;&lt;Q&gt;DIS^FG_PRICE(NOW)&lt;/Q&gt;&lt;R&gt;1&lt;/R&gt;&lt;C&gt;1&lt;/C&gt;&lt;D xsi:type="xsd:double"&gt;107.855&lt;/D&gt;&lt;/FQL&gt;&lt;FQL&gt;&lt;Q&gt;COST^FG_PRICE(NOW)&lt;/Q&gt;&lt;R&gt;1&lt;/R&gt;&lt;C&gt;1&lt;/C&gt;&lt;D xsi:type="xsd:double"&gt;998.97&lt;/D&gt;&lt;/FQL&gt;&lt;FQL&gt;&lt;Q&gt;BA^FF_ROE('ANN_R','0','0','YEARLY',RP,'LOCAL')&lt;/Q&gt;&lt;R&gt;1&lt;/R&gt;&lt;C&gt;1&lt;/C&gt;&lt;D xsi:type="xsd:double"&gt;289.003880983182&lt;/D&gt;&lt;/FQL&gt;&lt;FQL&gt;&lt;Q&gt;DKNG^FG_PRICE(0)/FF_EPS(ANN_R,0)&lt;/Q&gt;&lt;R&gt;1&lt;/R&gt;&lt;C&gt;1&lt;/C&gt;&lt;D xsi:type="xsd:double"&gt;-25.2897586927608&lt;/D&gt;&lt;/FQL&gt;&lt;FQL&gt;&lt;Q&gt;GOOGL^FG_PRICE(NOW)&lt;/Q&gt;&lt;R&gt;1&lt;/R&gt;&lt;C&gt;1&lt;/C&gt;&lt;D xsi:type="xsd:double"&gt;321.58&lt;/D&gt;&lt;/FQL&gt;&lt;FQL&gt;&lt;Q&gt;WM^FG_PRICE(NOW)&lt;/Q&gt;&lt;R&gt;1&lt;/R&gt;&lt;C&gt;1&lt;/C&gt;&lt;D xsi:type="xsd:double"&gt;227.17&lt;/D&gt;&lt;/FQL&gt;&lt;FQL&gt;&lt;Q&gt;LYV^FF_ROE('ANN_R','0','0','YEARLY',RP,'LOCAL')&lt;/Q&gt;&lt;R&gt;1&lt;/R&gt;&lt;C&gt;1&lt;/C&gt;&lt;D xsi:type="xsd:double"&gt;1055.26050364589&lt;/D&gt;&lt;/FQL&gt;&lt;FQL&gt;&lt;Q&gt;LYV^FF_DEBT_LT(ANN_R,0)&lt;/Q&gt;&lt;R&gt;1&lt;/R&gt;&lt;C&gt;1&lt;/C&gt;&lt;D xsi:type="xsd:double"&gt;7857.434&lt;/D&gt;&lt;/FQL&gt;&lt;FQL&gt;&lt;Q&gt;COST^FG_PRICE(1/21/2026)&lt;/Q&gt;&lt;R&gt;1&lt;/R&gt;&lt;C&gt;1&lt;/C&gt;&lt;D xsi:type="xsd:double"&gt;982.86&lt;/D&gt;&lt;/FQL&gt;&lt;FQL&gt;&lt;Q&gt;DKS^FG_PRICE(1/21/2026)&lt;/Q&gt;&lt;R&gt;1&lt;/R&gt;&lt;C&gt;1&lt;/C&gt;&lt;D xsi:type="xsd:double"&gt;211.98&lt;/D&gt;&lt;/FQL&gt;&lt;FQL&gt;&lt;Q&gt;XOM^FG_PRICE(NOW)&lt;/Q&gt;&lt;R&gt;1&lt;/R&gt;&lt;C&gt;1&lt;/C&gt;&lt;D xsi:type="xsd:double"&gt;149.25&lt;/D&gt;&lt;/FQL&gt;&lt;FQL&gt;&lt;Q&gt;DKNG^FF_EBITDA_OPER(ANN_R,0)&lt;/Q&gt;&lt;R&gt;1&lt;/R&gt;&lt;C&gt;1&lt;/C&gt;&lt;D xsi:type="xsd:double"&gt;-230.513&lt;/D&gt;&lt;/FQL&gt;&lt;FQL&gt;&lt;Q&gt;BA^FF_NET_INC(ANN_R,0)&lt;/Q&gt;&lt;R&gt;1&lt;/R&gt;&lt;C&gt;1&lt;/C&gt;&lt;D xsi:type="xsd:double"&gt;2234&lt;/D&gt;&lt;/FQL&gt;&lt;FQL&gt;&lt;Q&gt;NFLX^FF_ROE('ANN_R','0','0','YEARLY',RP,'LOCAL')&lt;/Q&gt;&lt;R&gt;1&lt;/R&gt;&lt;C&gt;1&lt;/C&gt;&lt;D xsi:type="xsd:double"&gt;42.7624729465914&lt;/D&gt;&lt;/FQL&gt;&lt;FQL&gt;&lt;Q&gt;BA^FF_DEBT_LT(ANN_R,0)&lt;/Q&gt;&lt;R&gt;1&lt;/R&gt;&lt;C&gt;1&lt;/C&gt;&lt;D xsi:type="xsd:double"&gt;47569&lt;/D&gt;&lt;/FQL&gt;&lt;FQL&gt;&lt;Q&gt;LYV^FF_NET_INC(ANN_R,0)&lt;/Q&gt;&lt;R&gt;1&lt;/R&gt;&lt;C&gt;1&lt;/C&gt;&lt;D xsi:type="xsd:double"&gt;638.211&lt;/D&gt;&lt;/FQL&gt;&lt;FQL&gt;&lt;Q&gt;DKNG^FF_ROE('ANN_R','0','0','YEARLY',RP,'LOCAL')&lt;/Q&gt;&lt;R&gt;1&lt;/R&gt;&lt;C&gt;1&lt;/C&gt;&lt;D xsi:type="xsd:double"&gt;-54.8140072136632&lt;/D&gt;&lt;/FQL&gt;&lt;FQL&gt;&lt;Q&gt;DKNG^FF_DEBT_LT(ANN_R,0)&lt;/Q&gt;&lt;R&gt;1&lt;/R&gt;&lt;C&gt;1&lt;/C&gt;&lt;D xsi:type="xsd:double"&gt;1324.089&lt;/D&gt;&lt;/FQL&gt;&lt;FQL&gt;&lt;Q&gt;RTX^FG_PRICE(0)/FF_EPS(ANN_R,0)&lt;/Q&gt;&lt;R&gt;1&lt;/R&gt;&lt;C&gt;1&lt;/C&gt;&lt;D xsi:type="xsd:double"&gt;40.0274022284459&lt;/D&gt;&lt;/FQL&gt;&lt;FQL&gt;&lt;Q&gt;RTX^FF_DEBT_LT(ANN_R,0)&lt;/Q&gt;&lt;R&gt;1&lt;/R&gt;&lt;C&gt;1&lt;/C&gt;&lt;D xsi:type="xsd:double"&gt;35890&lt;/D&gt;&lt;/FQL&gt;&lt;FQL&gt;&lt;Q&gt;RTX^FF_WKCAP(ANN_R,0)&lt;/Q&gt;&lt;R&gt;1&lt;/R&gt;&lt;C&gt;1&lt;/C&gt;&lt;D xsi:type="xsd:double"&gt;-1152&lt;/D&gt;&lt;/FQL&gt;&lt;FQL&gt;&lt;Q&gt;TSLA^FF_EBITDA_OPER(ANN_R,0)&lt;/Q&gt;&lt;R&gt;1&lt;/R&gt;&lt;C&gt;1&lt;/C&gt;&lt;D xsi:type="xsd:double"&gt;10997&lt;/D&gt;&lt;/FQL&gt;&lt;FQL&gt;&lt;Q&gt;TSLA^FF_WKCAP(ANN_R,0)&lt;/Q&gt;&lt;R&gt;1&lt;/R&gt;&lt;C&gt;1&lt;/C&gt;&lt;D xsi:type="xsd:double"&gt;36928&lt;/D&gt;&lt;/FQL&gt;&lt;FQL&gt;&lt;Q&gt;LMT^FG_PRICE(1/21/2026)&lt;/Q&gt;&lt;R&gt;1&lt;/R&gt;&lt;C&gt;1&lt;/C&gt;&lt;D xsi:type="xsd:double"&gt;586.23&lt;/D&gt;&lt;/FQL&gt;&lt;FQL&gt;&lt;Q&gt;DKS^FG_PRICE(NOW)&lt;/Q&gt;&lt;R&gt;1&lt;/R&gt;&lt;C&gt;1&lt;/C&gt;&lt;D xsi:type="xsd:double"&gt;205.38&lt;/D&gt;&lt;/FQL&gt;&lt;FQL&gt;&lt;Q&gt;HIMS^FG_PRICE(NOW)&lt;/Q&gt;&lt;R&gt;1&lt;/R&gt;&lt;C&gt;1&lt;/C&gt;&lt;D xsi:type="xsd:double"&gt;16.85&lt;/D&gt;&lt;/FQL&gt;&lt;FQL&gt;&lt;Q&gt;ABNB^FG_PRICE(NOW)&lt;/Q&gt;&lt;R&gt;1&lt;/R&gt;&lt;C&gt;1&lt;/C&gt;&lt;D xsi:type="xsd:double"&gt;121.895&lt;/D&gt;&lt;/FQL&gt;&lt;FQL&gt;&lt;Q&gt;XOM^FG_PRICE(1/21/2026)&lt;/Q&gt;&lt;R&gt;1&lt;/R&gt;&lt;C&gt;1&lt;/C&gt;&lt;D xsi:type="xsd:double"&gt;133.61&lt;/D&gt;&lt;/FQL&gt;&lt;FQL&gt;&lt;Q&gt;LYV^FF_DPS(ANN,0)&lt;/Q&gt;&lt;R&gt;1&lt;/R&gt;&lt;C&gt;1&lt;/C&gt;&lt;D xsi:type="xsd:double"&gt;0&lt;/D&gt;&lt;/FQL&gt;&lt;FQL&gt;&lt;Q&gt;SBUX^FF_ROE('ANN_R','0','0','YEARLY',RP,'LOCAL')&lt;/Q&gt;&lt;R&gt;0&lt;/R&gt;&lt;C&gt;0&lt;/C&gt;&lt;/FQL&gt;&lt;FQL&gt;&lt;Q&gt;SBUX^FF_DEBT_LT(ANN_R,0)&lt;/Q&gt;&lt;R&gt;1&lt;/R&gt;&lt;C&gt;1&lt;/C&gt;&lt;D xsi:type="xsd:double"&gt;23548.1&lt;/D&gt;&lt;/FQL&gt;&lt;FQL&gt;&lt;Q&gt;WM^FG_PRICE(0)/FF_EPS(ANN_R,0)&lt;/Q&gt;&lt;R&gt;1&lt;/R&gt;&lt;C&gt;1&lt;/C&gt;&lt;D xsi:type="xsd:double"&gt;33.8492537313433&lt;/D&gt;&lt;/FQL&gt;&lt;FQL&gt;&lt;Q&gt;WM^FF_DPS(ANN,0)&lt;/Q&gt;&lt;R&gt;1&lt;/R&gt;&lt;C&gt;1&lt;/C&gt;&lt;D xsi:type="xsd:double"&gt;3.3&lt;/D&gt;&lt;/FQL&gt;&lt;FQL&gt;&lt;Q&gt;MRK^FF_WKCAP(ANN_R,0)&lt;/Q&gt;&lt;R&gt;0&lt;/R&gt;&lt;C&gt;0&lt;/C&gt;&lt;/FQL&gt;&lt;FQL&gt;&lt;Q&gt;MRK^FF_NET_INC(ANN_R,0)&lt;/Q&gt;&lt;R&gt;1&lt;/R&gt;&lt;C&gt;1&lt;/C&gt;&lt;D xsi:type="xsd:double"&gt;18254&lt;/D&gt;&lt;/FQL&gt;&lt;FQL&gt;&lt;Q&gt;BA^FG_PRICE(0)/FF_EPS(ANN_R,0)&lt;/Q&gt;&lt;R&gt;1&lt;/R&gt;&lt;C&gt;1&lt;/C&gt;&lt;D xsi:type="xsd:double"&gt;98.0750605326876&lt;/D&gt;&lt;/FQL&gt;&lt;FQL&gt;&lt;Q&gt;META^FF_DEBT_LT(ANN_R,0)&lt;/Q&gt;&lt;R&gt;1&lt;/R&gt;&lt;C&gt;1&lt;/C&gt;&lt;D xsi:type="xsd:double"&gt;82560&lt;/D&gt;&lt;/FQL&gt;&lt;FQL&gt;&lt;Q&gt;META^FF_EBITDA_OPER(ANN_R,0)&lt;/Q&gt;&lt;R&gt;1&lt;/R&gt;&lt;C&gt;1&lt;/C&gt;&lt;D xsi:type="xsd:double"&gt;101892&lt;/D&gt;&lt;/FQL&gt;&lt;FQL&gt;&lt;Q&gt;META^FF_WKCAP(ANN_R,0)&lt;/Q&gt;&lt;R&gt;1&lt;/R&gt;&lt;C&gt;1&lt;/C&gt;&lt;D xsi:type="xsd:double"&gt;66886&lt;/D&gt;&lt;/FQL&gt;&lt;FQL&gt;&lt;Q&gt;META^FF_NET_INC(ANN_R,0)&lt;/Q&gt;&lt;R&gt;1&lt;/R&gt;&lt;C&gt;1&lt;/C&gt;&lt;D xsi:type="xsd:double"&gt;60458&lt;/D&gt;&lt;/FQL&gt;&lt;FQL&gt;&lt;Q&gt;DIS^FG_PRICE(0)/FF_EPS(ANN_R,0)&lt;/Q&gt;&lt;R&gt;1&lt;/R&gt;&lt;C&gt;1&lt;/C&gt;&lt;D xsi:type="xsd:double"&gt;15.8704666238393&lt;/D&gt;&lt;/FQL&gt;&lt;FQL&gt;&lt;Q&gt;DIS^FF_ROE('ANN_R','0','0','YEARLY',RP,'LOCAL')&lt;/Q&gt;&lt;R&gt;1&lt;/R&gt;&lt;C&gt;1&lt;/C&gt;&lt;D xsi:type="xsd:double"&gt;11.7816351245459&lt;/D&gt;&lt;/FQL&gt;&lt;FQL&gt;&lt;Q&gt;DIS^FF_DPS(ANN,0)&lt;/Q&gt;&lt;R&gt;1&lt;/R&gt;&lt;C&gt;1&lt;/C&gt;&lt;D xsi:type="xsd:double"&gt;1&lt;/D&gt;&lt;/FQL&gt;&lt;FQL&gt;&lt;Q&gt;DIS^FF_DEBT_LT(ANN_R,0)&lt;/Q&gt;&lt;R&gt;1&lt;/R&gt;&lt;C&gt;1&lt;/C&gt;&lt;D xsi:type="xsd:double"&gt;38166&lt;/D&gt;&lt;/FQL&gt;&lt;FQL&gt;&lt;Q&gt;SBUX^FF_EBITDA_OPER(ANN_R,0)&lt;/Q&gt;&lt;R&gt;1&lt;/R&gt;&lt;C&gt;1&lt;/C&gt;&lt;D xsi:type="xsd:double"&gt;5232.8&lt;/D&gt;&lt;/FQL&gt;&lt;FQL&gt;&lt;Q&gt;SBUX^FF_WKCAP(ANN_R,0)&lt;/Q&gt;&lt;R&gt;1&lt;/R&gt;&lt;C&gt;1&lt;/C&gt;&lt;D xsi:type="xsd:double"&gt;-2828.1&lt;/D&gt;&lt;/FQL&gt;&lt;FQL&gt;&lt;Q&gt;SBUX^FF_NET_INC(ANN_R,0)&lt;/Q&gt;&lt;R&gt;1&lt;/R&gt;&lt;C&gt;1&lt;/C&gt;&lt;D xsi:type="xsd:double"&gt;1856.4&lt;/D&gt;&lt;/FQL&gt;&lt;FQL&gt;&lt;Q&gt;TSLA^FG_PRICE(0)/FF_EPS(ANN_R,0)&lt;/Q&gt;&lt;R&gt;1&lt;/R&gt;&lt;C&gt;1&lt;/C&gt;&lt;D xsi:type="xsd:double"&gt;382.28566114934&lt;/D&gt;&lt;/FQL&gt;&lt;FQL&gt;&lt;Q&gt;TSLA^FF_ROE('ANN_R','0','0','YEARLY',RP,'LOCAL')&lt;/Q&gt;&lt;R&gt;1&lt;/R&gt;&lt;C&gt;1&lt;/C&gt;&lt;D xsi:type="xsd:double"&gt;4.89390519187359&lt;/D&gt;&lt;/FQL&gt;&lt;FQL&gt;&lt;Q&gt;TSLA^FF_DPS(ANN,0)&lt;/Q&gt;&lt;R&gt;1&lt;/R&gt;&lt;C&gt;1&lt;/C&gt;&lt;D xsi:type="xsd:double"&gt;0&lt;/D&gt;&lt;/FQL&gt;&lt;FQL&gt;&lt;Q&gt;TSLA^FF_DEBT_LT(ANN_R,0)&lt;/Q&gt;&lt;R&gt;1&lt;/R&gt;&lt;C&gt;1&lt;/C&gt;&lt;D xsi:type="xsd:double"&gt;12125&lt;/D&gt;&lt;/FQL&gt;&lt;FQL&gt;&lt;Q&gt;DIS^FF_EBITDA_OPER(ANN_R,0)&lt;/Q&gt;&lt;R&gt;1&lt;/R&gt;&lt;C&gt;1&lt;/C&gt;&lt;D xsi:type="xsd:double"&gt;18908&lt;/D&gt;&lt;/FQL&gt;&lt;FQL&gt;&lt;Q&gt;DIS^FF_WKCAP(ANN_R,0)&lt;/Q&gt;&lt;R&gt;1&lt;/R&gt;&lt;C&gt;1&lt;/C&gt;&lt;D xsi:type="xsd:double"&gt;-11958&lt;/D&gt;&lt;/FQL&gt;&lt;FQL&gt;&lt;Q&gt;DIS^FF_NET_INC(ANN_R,0)&lt;/Q&gt;&lt;R&gt;1&lt;/R&gt;&lt;C&gt;1&lt;/C&gt;&lt;D xsi:type="xsd:double"&gt;12404&lt;/D&gt;&lt;/FQL&gt;&lt;FQL&gt;&lt;Q&gt;MSFT^FG_PRICE(NOW)&lt;/Q&gt;&lt;R&gt;1&lt;/R&gt;&lt;C&gt;1&lt;/C&gt;&lt;D xsi:type="xsd:double"&gt;408.53&lt;/D&gt;&lt;/FQL&gt;&lt;FQL&gt;&lt;Q&gt;DKNG^FG_PRICE(1/21/2026)&lt;/Q&gt;&lt;R&gt;1&lt;/R&gt;&lt;C&gt;1&lt;/C&gt;&lt;D xsi:type="xsd:double"&gt;31.58&lt;/D&gt;&lt;/FQL&gt;&lt;FQL&gt;&lt;Q&gt;RTX^FG_PRICE(NOW)&lt;/Q&gt;&lt;R&gt;1&lt;/R&gt;&lt;C&gt;1&lt;/C&gt;&lt;D xsi:type="xsd:double"&gt;199.62&lt;/D&gt;&lt;/FQL&gt;&lt;FQL&gt;&lt;Q&gt;MCD^FG_PRICE(1/21/2026)&lt;/Q&gt;&lt;R&gt;1&lt;/R&gt;&lt;C&gt;1&lt;/C&gt;&lt;D xsi:type="xsd:double"&gt;305.69&lt;/D&gt;&lt;/FQL&gt;&lt;FQL&gt;&lt;Q&gt;LYV^FG_PRICE(NOW)&lt;/Q&gt;&lt;R&gt;1&lt;/R&gt;&lt;C&gt;1&lt;/C&gt;&lt;D xsi:type="xsd:double"&gt;141.68&lt;/D&gt;&lt;/FQL&gt;&lt;FQL&gt;&lt;Q&gt;LYV^FG_PRICE(1/21/2026)&lt;/Q&gt;&lt;R&gt;1&lt;/R&gt;&lt;C&gt;1&lt;/C&gt;&lt;D xsi:type="xsd:double"&gt;139.71&lt;/D&gt;&lt;/FQL&gt;&lt;FQL&gt;&lt;Q&gt;DKNG^FG_PRICE(NOW)&lt;/Q&gt;&lt;R&gt;1&lt;/R&gt;&lt;C&gt;1&lt;/C&gt;&lt;D xsi:type="xsd:double"&gt;26.945&lt;/D&gt;&lt;/FQL&gt;&lt;FQL&gt;&lt;Q&gt;RTX^FG_PRICE(1/21/2026)&lt;/Q&gt;&lt;R&gt;1&lt;/R&gt;&lt;C&gt;1&lt;/C&gt;&lt;D xsi:type="xsd:double"&gt;197.5&lt;/D&gt;&lt;/FQL&gt;&lt;FQL&gt;&lt;Q&gt;PLTR^FG_PRICE(0)/FF_EPS(ANN_R,0)&lt;/Q&gt;&lt;R&gt;1&lt;/R&gt;&lt;C&gt;1&lt;/C&gt;&lt;D xsi:type="xsd:double"&gt;215.714285714286&lt;/D&gt;&lt;/FQL&gt;&lt;/Schema&gt;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futureMetadata>
  <cellMetadata count="1">
    <bk>
      <rc t="1" v="0"/>
    </bk>
  </cellMetadata>
  <valueMetadata count="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valueMetadata>
</metadata>
</file>

<file path=xl/sharedStrings.xml><?xml version="1.0" encoding="utf-8"?>
<sst xmlns="http://schemas.openxmlformats.org/spreadsheetml/2006/main" count="869" uniqueCount="622">
  <si>
    <t xml:space="preserve">Week </t>
  </si>
  <si>
    <t xml:space="preserve"> Week 1</t>
  </si>
  <si>
    <t xml:space="preserve"> Week 2</t>
  </si>
  <si>
    <t xml:space="preserve"> Week 3</t>
  </si>
  <si>
    <t>Week 5</t>
  </si>
  <si>
    <t>Week 6</t>
  </si>
  <si>
    <t>Week 7</t>
  </si>
  <si>
    <t>Week 8</t>
  </si>
  <si>
    <t>Week 9</t>
  </si>
  <si>
    <t>Week 10</t>
  </si>
  <si>
    <t>Week 11</t>
  </si>
  <si>
    <t>Week 12</t>
  </si>
  <si>
    <t>Week 13</t>
  </si>
  <si>
    <t>Week 14</t>
  </si>
  <si>
    <t>Week 15</t>
  </si>
  <si>
    <t>Final Project</t>
  </si>
  <si>
    <t>Chapter 3</t>
  </si>
  <si>
    <t xml:space="preserve">Total </t>
  </si>
  <si>
    <t>Week 4</t>
  </si>
  <si>
    <t>Final Exam</t>
  </si>
  <si>
    <t>Exams (3)</t>
  </si>
  <si>
    <t>Participation/Attendance</t>
  </si>
  <si>
    <t>Reading via Smartbook</t>
  </si>
  <si>
    <t>Homework via Connect</t>
  </si>
  <si>
    <t>Intro to Corp Finance</t>
  </si>
  <si>
    <t>Financial Statements</t>
  </si>
  <si>
    <t>Exam #1</t>
  </si>
  <si>
    <t>Exam #2</t>
  </si>
  <si>
    <t>Exam #3</t>
  </si>
  <si>
    <t>Cost of Capital</t>
  </si>
  <si>
    <t>Study for Exam #1</t>
  </si>
  <si>
    <t>Chapter 8</t>
  </si>
  <si>
    <t>Chapter 14</t>
  </si>
  <si>
    <t>Day</t>
  </si>
  <si>
    <t>Planned Class Topic</t>
  </si>
  <si>
    <t>Assignment Due - Check Canvas for Exact  Assignments &amp;  Due Dates</t>
  </si>
  <si>
    <t xml:space="preserve">Final Exam </t>
  </si>
  <si>
    <t>Final Presentation</t>
  </si>
  <si>
    <t>Select Company &amp; Why submission</t>
  </si>
  <si>
    <t>Presentations</t>
  </si>
  <si>
    <t>Student</t>
  </si>
  <si>
    <t>Project Company</t>
  </si>
  <si>
    <t>Examine Financial Statements -When is earnings reported?</t>
  </si>
  <si>
    <t>Focus Area</t>
  </si>
  <si>
    <t>Overview</t>
  </si>
  <si>
    <t>Valuation of Cash Flows</t>
  </si>
  <si>
    <t>Company Analysis</t>
  </si>
  <si>
    <t>Net Present Value</t>
  </si>
  <si>
    <r>
      <t>•</t>
    </r>
    <r>
      <rPr>
        <sz val="13"/>
        <color rgb="FF000000"/>
        <rFont val="Calibri"/>
        <family val="2"/>
      </rPr>
      <t xml:space="preserve">Overview of Company </t>
    </r>
  </si>
  <si>
    <r>
      <t>•</t>
    </r>
    <r>
      <rPr>
        <sz val="13"/>
        <color rgb="FF000000"/>
        <rFont val="Calibri"/>
        <family val="2"/>
      </rPr>
      <t>Basic SWOT analysis</t>
    </r>
  </si>
  <si>
    <r>
      <t>•</t>
    </r>
    <r>
      <rPr>
        <sz val="13"/>
        <color rgb="FF000000"/>
        <rFont val="Calibri"/>
        <family val="2"/>
      </rPr>
      <t>Introduce your company’s top competitors</t>
    </r>
  </si>
  <si>
    <r>
      <t>•</t>
    </r>
    <r>
      <rPr>
        <sz val="13"/>
        <color rgb="FF000000"/>
        <rFont val="Calibri"/>
        <family val="2"/>
      </rPr>
      <t>Overview of Financial Statements and Key Financial Ratios and how they compare to competitors</t>
    </r>
  </si>
  <si>
    <r>
      <t>•</t>
    </r>
    <r>
      <rPr>
        <sz val="13"/>
        <color rgb="FF000000"/>
        <rFont val="Calibri"/>
        <family val="2"/>
      </rPr>
      <t>Stock performance and dividend growth over the last 3 years</t>
    </r>
  </si>
  <si>
    <r>
      <t>•</t>
    </r>
    <r>
      <rPr>
        <sz val="13"/>
        <color rgb="FF000000"/>
        <rFont val="Calibri"/>
        <family val="2"/>
      </rPr>
      <t>Recent earnings release and historical releases</t>
    </r>
  </si>
  <si>
    <r>
      <t>•</t>
    </r>
    <r>
      <rPr>
        <sz val="13"/>
        <color rgb="FF000000"/>
        <rFont val="Calibri"/>
        <family val="2"/>
      </rPr>
      <t>All relevant news releases and any noticeable volatility in the stock.</t>
    </r>
  </si>
  <si>
    <r>
      <t>•</t>
    </r>
    <r>
      <rPr>
        <sz val="13"/>
        <color rgb="FF000000"/>
        <rFont val="Calibri"/>
        <family val="2"/>
      </rPr>
      <t>Discuss all significant investments the company has made.</t>
    </r>
  </si>
  <si>
    <r>
      <t>•</t>
    </r>
    <r>
      <rPr>
        <sz val="13"/>
        <color rgb="FF000000"/>
        <rFont val="Calibri"/>
        <family val="2"/>
      </rPr>
      <t>Look into any recent stock or bond issuance.</t>
    </r>
  </si>
  <si>
    <r>
      <t>•</t>
    </r>
    <r>
      <rPr>
        <sz val="13"/>
        <color rgb="FF000000"/>
        <rFont val="Calibri"/>
        <family val="2"/>
      </rPr>
      <t>Give a best-efforts basis to forecast stock’s future price.</t>
    </r>
  </si>
  <si>
    <r>
      <t>•</t>
    </r>
    <r>
      <rPr>
        <sz val="13"/>
        <color rgb="FF000000"/>
        <rFont val="Calibri"/>
        <family val="2"/>
      </rPr>
      <t>Please use charts and graphs when possible.</t>
    </r>
  </si>
  <si>
    <r>
      <t>•</t>
    </r>
    <r>
      <rPr>
        <sz val="13"/>
        <color rgb="FF000000"/>
        <rFont val="Calibri"/>
        <family val="2"/>
      </rPr>
      <t>Speak to the stock price volatility. The actual return relative to the expected return.</t>
    </r>
  </si>
  <si>
    <t>Discuss your company’s cost of capital</t>
  </si>
  <si>
    <t>CFO Update to Board</t>
  </si>
  <si>
    <t>Determining if students can follow directions</t>
  </si>
  <si>
    <t>Determining financial information in long audit report</t>
  </si>
  <si>
    <t>Ability to communicate complex financial information to others and identify specific information within a discussion as a priority.</t>
  </si>
  <si>
    <t>Read a financial report for specific information</t>
  </si>
  <si>
    <t>Ability to perform a financial flux analysis and analyze financial information.</t>
  </si>
  <si>
    <t>Ability to identify financial statements. Identify and analyze information on a financial statement.</t>
  </si>
  <si>
    <t>Identify and analyze a detail within a financial statement that others may have missed.</t>
  </si>
  <si>
    <t>Identify parts of an SEC EDGAR document and utilize them</t>
  </si>
  <si>
    <t>Determine what types of things a business does</t>
  </si>
  <si>
    <t>Show a student's value proposition through identification of data that another analyst is unable to identify.</t>
  </si>
  <si>
    <t>Comfort analyzing a piece of information student may not have come into contact with before.</t>
  </si>
  <si>
    <t>Evaluating types of financial instruments to which a student may not have been previously exposed.</t>
  </si>
  <si>
    <t>Following directions, identifying minimum value proposition (MVP), identifying financial information.</t>
  </si>
  <si>
    <t>Educate another person about a corporate finance topic.</t>
  </si>
  <si>
    <t>PowerPoint Submission</t>
  </si>
  <si>
    <t>Objective</t>
  </si>
  <si>
    <t>Overview of the Company</t>
  </si>
  <si>
    <t>Who is the largest owner of the shares and equity (identify the name)?</t>
  </si>
  <si>
    <t>In what other types of businesses, called "segments", do they participate?</t>
  </si>
  <si>
    <t>Points</t>
  </si>
  <si>
    <t>SWOT Analysis</t>
  </si>
  <si>
    <t>Overview of Financial Statements and Key Financial Ratios and how they compare to competitors</t>
  </si>
  <si>
    <t>Shares Outstanding</t>
  </si>
  <si>
    <t>Debt Outstanding</t>
  </si>
  <si>
    <t>Interest Expense</t>
  </si>
  <si>
    <t>Fixed or Floating</t>
  </si>
  <si>
    <t>Credit Rating</t>
  </si>
  <si>
    <t>Credit Spreads</t>
  </si>
  <si>
    <t>Excel Work for Fixed Income</t>
  </si>
  <si>
    <t xml:space="preserve"> </t>
  </si>
  <si>
    <t>Please use self-made charts and graphs when possible.</t>
  </si>
  <si>
    <t>Where is the Company Incorporated?</t>
  </si>
  <si>
    <t>What Industry are they in?</t>
  </si>
  <si>
    <t>What was the most recent 10K?</t>
  </si>
  <si>
    <t>What was one important element you noted from the footnotes?</t>
  </si>
  <si>
    <t>How much cash did they actually spend (not expenses or depreciation, but cash out the door) in 2023/2024 for Capital Expenditures? What Statement was that on?</t>
  </si>
  <si>
    <t xml:space="preserve">Look at the Exhibits section of the Financial Statements </t>
  </si>
  <si>
    <t>What is the current capital structure of your company&gt;</t>
  </si>
  <si>
    <t>Strengths- Weaknesses - Opportunities - Threats - identify 2-3 for each category</t>
  </si>
  <si>
    <t>Discuss all significant investments the company has made.</t>
  </si>
  <si>
    <t>Strategic Asset allocation</t>
  </si>
  <si>
    <t>All relevant news releases and any noticeable volatility in the stock.</t>
  </si>
  <si>
    <t>10-15 pages, proper grammar and spelling</t>
  </si>
  <si>
    <t>Be prepared to submit data files</t>
  </si>
  <si>
    <t xml:space="preserve">PowerPoint Submission </t>
  </si>
  <si>
    <t>In Class Presentation</t>
  </si>
  <si>
    <t>Industry Comparison</t>
  </si>
  <si>
    <t>Who are the largest competitors?</t>
  </si>
  <si>
    <t>Financial Analysis and Positioning</t>
  </si>
  <si>
    <t>Recent Events or Challenges</t>
  </si>
  <si>
    <t>Specifications/Specific Questions to be answered</t>
  </si>
  <si>
    <t>Articulate summary and analysis of the required information</t>
  </si>
  <si>
    <t>Identify C-R-I-T-I-C-A-L components of class learning outcome.</t>
  </si>
  <si>
    <t>Business presentation to the CFO</t>
  </si>
  <si>
    <t>Competitor Analysis and Comparison</t>
  </si>
  <si>
    <t>Final Recommendation to the CFO</t>
  </si>
  <si>
    <t>Determine a recommendation you would suggest to the CFO based on your analysis</t>
  </si>
  <si>
    <t>Submission &amp; Presentation</t>
  </si>
  <si>
    <t>Criteria - Submission &amp; Presentation</t>
  </si>
  <si>
    <t>Recommendation: Business Plan Presentation Template in PowerPoint</t>
  </si>
  <si>
    <t>Demonstrate the Cost of Equity with CAPM or DDM</t>
  </si>
  <si>
    <t>15% of Semester Grade</t>
  </si>
  <si>
    <t>Comfort analyzing a piece of information a student may not have encountered before.</t>
  </si>
  <si>
    <t>10% of Semester Grade</t>
  </si>
  <si>
    <t>Delivery of financial analysis and company information in a business setting</t>
  </si>
  <si>
    <t>What does the company do?</t>
  </si>
  <si>
    <t>How much cash did they spend (not expenses or depreciation, but cash out the door) in 2023/2024 for Capital Expenditures? What Statement was that on?</t>
  </si>
  <si>
    <t>Ability to perform financial flux analysis and analyze financial information.</t>
  </si>
  <si>
    <t xml:space="preserve">Overview of Financial Statements and Key Financial Ratios </t>
  </si>
  <si>
    <t>How they compare them to competitors</t>
  </si>
  <si>
    <t>How do they compare?</t>
  </si>
  <si>
    <t xml:space="preserve">Strengths- Weaknesses - Opportunities - Threats </t>
  </si>
  <si>
    <t>Identify 2-3 for each category</t>
  </si>
  <si>
    <t>Discuss all the significant investments the company has made.</t>
  </si>
  <si>
    <t>What is the current capital  structure of your company?</t>
  </si>
  <si>
    <t>Stock performance and dividend growth over the last 3 years</t>
  </si>
  <si>
    <t>Recent earnings release and historical releases</t>
  </si>
  <si>
    <t>Give a best-efforts basis to forecast stock’s future price.</t>
  </si>
  <si>
    <t>Speak to the stock price volatility. The actual return relative to the expected return.</t>
  </si>
  <si>
    <t>All relevant news releases and any noticeable volatility in stock.</t>
  </si>
  <si>
    <t>Identification of current events</t>
  </si>
  <si>
    <t>Submission Date</t>
  </si>
  <si>
    <r>
      <t>•</t>
    </r>
    <r>
      <rPr>
        <sz val="11"/>
        <color rgb="FF000000"/>
        <rFont val="Aptos Display"/>
        <family val="2"/>
        <scheme val="major"/>
      </rPr>
      <t>Look into any recent stock or bond issuance</t>
    </r>
  </si>
  <si>
    <r>
      <t>•</t>
    </r>
    <r>
      <rPr>
        <sz val="11"/>
        <color rgb="FF000000"/>
        <rFont val="Aptos Display"/>
        <family val="2"/>
        <scheme val="major"/>
      </rPr>
      <t>Stock performance and dividend growth over the last 3 years</t>
    </r>
  </si>
  <si>
    <r>
      <t>•</t>
    </r>
    <r>
      <rPr>
        <sz val="11"/>
        <color rgb="FF000000"/>
        <rFont val="Aptos Display"/>
        <family val="2"/>
        <scheme val="major"/>
      </rPr>
      <t>Recent earnings release and historical releases</t>
    </r>
  </si>
  <si>
    <r>
      <t>•</t>
    </r>
    <r>
      <rPr>
        <sz val="11"/>
        <color rgb="FF000000"/>
        <rFont val="Aptos Display"/>
        <family val="2"/>
        <scheme val="major"/>
      </rPr>
      <t>Give a best-efforts basis to forecast stock’s future price.</t>
    </r>
  </si>
  <si>
    <r>
      <t>•</t>
    </r>
    <r>
      <rPr>
        <sz val="11"/>
        <color rgb="FF000000"/>
        <rFont val="Aptos Display"/>
        <family val="2"/>
        <scheme val="major"/>
      </rPr>
      <t>Speak to the stock price volatility. The actual return relative to the expected return.</t>
    </r>
  </si>
  <si>
    <t>PPT Submission</t>
  </si>
  <si>
    <t>Business Presentation</t>
  </si>
  <si>
    <r>
      <t>•</t>
    </r>
    <r>
      <rPr>
        <sz val="10"/>
        <color rgb="FF000000"/>
        <rFont val="Aptos Display"/>
        <family val="2"/>
        <scheme val="major"/>
      </rPr>
      <t>Look into any recent stock or bond issuance</t>
    </r>
  </si>
  <si>
    <r>
      <t>•</t>
    </r>
    <r>
      <rPr>
        <sz val="10"/>
        <color rgb="FF000000"/>
        <rFont val="Aptos Display"/>
        <family val="2"/>
        <scheme val="major"/>
      </rPr>
      <t>Stock performance and dividend growth over the last 3 years</t>
    </r>
  </si>
  <si>
    <r>
      <t>•</t>
    </r>
    <r>
      <rPr>
        <sz val="10"/>
        <color rgb="FF000000"/>
        <rFont val="Aptos Display"/>
        <family val="2"/>
        <scheme val="major"/>
      </rPr>
      <t>Recent earnings release and historical releases</t>
    </r>
  </si>
  <si>
    <r>
      <t>•</t>
    </r>
    <r>
      <rPr>
        <sz val="10"/>
        <color rgb="FF000000"/>
        <rFont val="Aptos Display"/>
        <family val="2"/>
        <scheme val="major"/>
      </rPr>
      <t>Give a best-efforts basis to forecast stock’s future price.</t>
    </r>
  </si>
  <si>
    <r>
      <t>•</t>
    </r>
    <r>
      <rPr>
        <sz val="10"/>
        <color rgb="FF000000"/>
        <rFont val="Aptos Display"/>
        <family val="2"/>
        <scheme val="major"/>
      </rPr>
      <t>Speak to the stock price volatility. The actual return relative to the expected return.</t>
    </r>
  </si>
  <si>
    <t>Score</t>
  </si>
  <si>
    <t>BUS311 Rubric and Score Sheet</t>
  </si>
  <si>
    <t>Submission</t>
  </si>
  <si>
    <t xml:space="preserve"> Presentation</t>
  </si>
  <si>
    <t>Business Dress</t>
  </si>
  <si>
    <t>Presentation Delivery</t>
  </si>
  <si>
    <t>Eye Contact</t>
  </si>
  <si>
    <t>Articulate Summary of Required Information</t>
  </si>
  <si>
    <t>Analysis of Required Information</t>
  </si>
  <si>
    <t>Presentation Material (slides)</t>
  </si>
  <si>
    <t>Presentation Timing  and Handle Q &amp; A</t>
  </si>
  <si>
    <t>Notes:</t>
  </si>
  <si>
    <t>Interest Expense &amp; Type</t>
  </si>
  <si>
    <t>Credit Rating &amp; Credit Spread</t>
  </si>
  <si>
    <t>Thursday</t>
  </si>
  <si>
    <t>Tuesday</t>
  </si>
  <si>
    <t>Chapter 4</t>
  </si>
  <si>
    <t>Company Financial Project-Due Dates &amp; Assignment</t>
  </si>
  <si>
    <t>Chapter 4 Assignment</t>
  </si>
  <si>
    <t>Exam</t>
  </si>
  <si>
    <t>Time Value of Money</t>
  </si>
  <si>
    <t>Chapter 5</t>
  </si>
  <si>
    <t>Valuing Bonds</t>
  </si>
  <si>
    <t>Chapter 6</t>
  </si>
  <si>
    <t>Chapter 5 Assignment</t>
  </si>
  <si>
    <t>Chapter 6  Assignment</t>
  </si>
  <si>
    <t>Chapter 7</t>
  </si>
  <si>
    <t>what do you remember from Chapter7?  Whiteboard Exercise</t>
  </si>
  <si>
    <t>In-Class Excel Assignments</t>
  </si>
  <si>
    <t>Chapter 1 and 2</t>
  </si>
  <si>
    <t>Excel Work for Fixed Income/ Read Chapter 7</t>
  </si>
  <si>
    <t>Risk, Return &amp; Capital Budgeting</t>
  </si>
  <si>
    <t>Chapter 13</t>
  </si>
  <si>
    <t>Read Chapter 14</t>
  </si>
  <si>
    <t>Chapter 14 Assignment</t>
  </si>
  <si>
    <t>Chapter 7  Assignment, Read Chapter 8</t>
  </si>
  <si>
    <t>Review points allocation</t>
  </si>
  <si>
    <t>Determine the Atlanta Braves Assignment vs Cat</t>
  </si>
  <si>
    <t>Review the Excel Assignments</t>
  </si>
  <si>
    <t>To Do:</t>
  </si>
  <si>
    <t>Finish the book</t>
  </si>
  <si>
    <t>Update  Sides</t>
  </si>
  <si>
    <t>Intro to Corp Finance- Finish &amp; Financial Markets and Institutions/ Excel Market Cap Exercise</t>
  </si>
  <si>
    <t>Elle Adams</t>
  </si>
  <si>
    <t>Alexandra Bezanson</t>
  </si>
  <si>
    <t>Andrew Britton</t>
  </si>
  <si>
    <t>Alexander Bui</t>
  </si>
  <si>
    <t>Duncan Davidoff</t>
  </si>
  <si>
    <t>Brianna Denecour</t>
  </si>
  <si>
    <t>Jake Harkins</t>
  </si>
  <si>
    <t>Jake Harmony</t>
  </si>
  <si>
    <t>Brooke Jimenez</t>
  </si>
  <si>
    <t>Ashley Klauck</t>
  </si>
  <si>
    <t>Joshua Leclerc</t>
  </si>
  <si>
    <t>Anastasia Novikova</t>
  </si>
  <si>
    <t>Michael OBrien</t>
  </si>
  <si>
    <t>Shane Olsen</t>
  </si>
  <si>
    <t>Travis Perrault</t>
  </si>
  <si>
    <t>William Quinn</t>
  </si>
  <si>
    <t>Caleb Raesly</t>
  </si>
  <si>
    <t>Conor Rooney</t>
  </si>
  <si>
    <t>Brady Stone</t>
  </si>
  <si>
    <t>Marc Tavernese</t>
  </si>
  <si>
    <t>Anna Taylor-Yeremeeva</t>
  </si>
  <si>
    <t>Planned Date</t>
  </si>
  <si>
    <t xml:space="preserve"> Lemonade Stand activity</t>
  </si>
  <si>
    <t>Chapter 3 Accounting and Finance Lecture</t>
  </si>
  <si>
    <t>Ticker</t>
  </si>
  <si>
    <t>Cai Machuga</t>
  </si>
  <si>
    <t>Project Check In</t>
  </si>
  <si>
    <t>#1 stock price</t>
  </si>
  <si>
    <t>Price</t>
  </si>
  <si>
    <t>stock price % returns</t>
  </si>
  <si>
    <t>growth expectations</t>
  </si>
  <si>
    <t>This sheet contains FactSet XML data for use with this workbook's =FDS codes.  Modifying the worksheet's contents may damage the workbook's =FDS functionality.</t>
  </si>
  <si>
    <t>Starting Price</t>
  </si>
  <si>
    <t>Net Income</t>
  </si>
  <si>
    <t>Company</t>
  </si>
  <si>
    <t>SP50</t>
  </si>
  <si>
    <t>Net Working Capital</t>
  </si>
  <si>
    <t>Long Term Debt</t>
  </si>
  <si>
    <t>DPS</t>
  </si>
  <si>
    <t>ROE</t>
  </si>
  <si>
    <t>Price to Earnings</t>
  </si>
  <si>
    <t>EBITDA</t>
  </si>
  <si>
    <t>Price Now</t>
  </si>
  <si>
    <t>Price Change</t>
  </si>
  <si>
    <t>Complete/Incomplete</t>
  </si>
  <si>
    <t>Updated version in Fall of 2025</t>
  </si>
  <si>
    <t>Read Chapter 7</t>
  </si>
  <si>
    <t>Finish NPV and XNPV from chapter 5</t>
  </si>
  <si>
    <t>NPV Catch-up &amp; Company Research - 10K- FactSet</t>
  </si>
  <si>
    <t>Equities lecture highlights and Valuation calculations</t>
  </si>
  <si>
    <t>Chapter 12</t>
  </si>
  <si>
    <t>WACC/ WACC Exercise</t>
  </si>
  <si>
    <t>Add in Accounting aspect of calculating growth rate</t>
  </si>
  <si>
    <t>Read Chapter 12 &amp;13</t>
  </si>
  <si>
    <t>Chapter  12 &amp; 13 Assignments</t>
  </si>
  <si>
    <t>Return Rank</t>
  </si>
  <si>
    <t>Business Presentation (10 %)</t>
  </si>
  <si>
    <t xml:space="preserve">Company </t>
  </si>
  <si>
    <t>Student Name</t>
  </si>
  <si>
    <t>Company Overview (15 pts)</t>
  </si>
  <si>
    <t>Financial Analysis (10 pts)</t>
  </si>
  <si>
    <t>Industry Comparison (10 pts)</t>
  </si>
  <si>
    <t>SWOT Analysis (10 pts)</t>
  </si>
  <si>
    <t>Strategic Allocation (10 pts)</t>
  </si>
  <si>
    <t>Cost of Capital &amp; Stock (30 pts)</t>
  </si>
  <si>
    <t>Recent Events (5 pts)</t>
  </si>
  <si>
    <t>Final Recommendation (10 pts)</t>
  </si>
  <si>
    <t>Comments</t>
  </si>
  <si>
    <t>Order</t>
  </si>
  <si>
    <t>Questions from:</t>
  </si>
  <si>
    <t>Questions</t>
  </si>
  <si>
    <t>Product Divesification</t>
  </si>
  <si>
    <t>New Tech Advances</t>
  </si>
  <si>
    <t>Counterfiets</t>
  </si>
  <si>
    <t>Tariffs - shift manufacturing</t>
  </si>
  <si>
    <t>Need stats vs comps - good with the financial ratios</t>
  </si>
  <si>
    <t>Why? Statrgy change on dividend</t>
  </si>
  <si>
    <t>Reading slides</t>
  </si>
  <si>
    <t>Good analysis</t>
  </si>
  <si>
    <t>Brianna</t>
  </si>
  <si>
    <t>Jake - good question</t>
  </si>
  <si>
    <t>Marc</t>
  </si>
  <si>
    <t>No 10K mention</t>
  </si>
  <si>
    <t>Anna</t>
  </si>
  <si>
    <t>Not ready</t>
  </si>
  <si>
    <t>International opportunities</t>
  </si>
  <si>
    <t>Prediction Market - Competition</t>
  </si>
  <si>
    <t>Negative public perception - player cheating</t>
  </si>
  <si>
    <t>Why did the stock crash?</t>
  </si>
  <si>
    <t>Good revenue analysis - lack of casino - should this be the recommendation</t>
  </si>
  <si>
    <t>Good presentation skills - good stories to tell your information</t>
  </si>
  <si>
    <t>Need more Industry Analysis - business model more steady</t>
  </si>
  <si>
    <t>Good monthly player graph - should have % change on it</t>
  </si>
  <si>
    <t>Price to sales - isnt' that higher = showing still priced to high</t>
  </si>
  <si>
    <t>Need to show us the peers stats</t>
  </si>
  <si>
    <t>Billy</t>
  </si>
  <si>
    <t>Shane</t>
  </si>
  <si>
    <t>Caleb</t>
  </si>
  <si>
    <t>Alex</t>
  </si>
  <si>
    <t>Duncan</t>
  </si>
  <si>
    <t>Missed earnings - why?</t>
  </si>
  <si>
    <t>Maybe more on what they do? Produce?</t>
  </si>
  <si>
    <t>More Graphs from FactSet</t>
  </si>
  <si>
    <t>More details on recommendations</t>
  </si>
  <si>
    <t>Industry Analysis</t>
  </si>
  <si>
    <t>10K</t>
  </si>
  <si>
    <t>Highly levered - you said it was lesser shares outstanding</t>
  </si>
  <si>
    <t>Excellent Factset Graph for stock price</t>
  </si>
  <si>
    <t>Excellent reference and analysis of earnings calls</t>
  </si>
  <si>
    <t>F35 - key part of meeting with SA today</t>
  </si>
  <si>
    <t>DDM &amp; CAPM</t>
  </si>
  <si>
    <t>Legal Investigations</t>
  </si>
  <si>
    <t>Little reading of notes</t>
  </si>
  <si>
    <t>Detail out your recommendations a bit more</t>
  </si>
  <si>
    <t>Alexa</t>
  </si>
  <si>
    <t>Brooke</t>
  </si>
  <si>
    <t>List out their interest costs</t>
  </si>
  <si>
    <t xml:space="preserve">Alex </t>
  </si>
  <si>
    <t>What's the profit margin on the F35?</t>
  </si>
  <si>
    <t>Good explaination of the making</t>
  </si>
  <si>
    <t>Why don't they pay dividend?</t>
  </si>
  <si>
    <t>Add a pickture of their products</t>
  </si>
  <si>
    <t>How did you get the 8-10% stock price</t>
  </si>
  <si>
    <t>What happens in an economic recession</t>
  </si>
  <si>
    <t>Where is manufacturing?</t>
  </si>
  <si>
    <t>Overall Presentation - In Class</t>
  </si>
  <si>
    <t>Total -Final Due Dec1st</t>
  </si>
  <si>
    <t>Dividend very high</t>
  </si>
  <si>
    <t>Boycotting concerns DEI cutbacks</t>
  </si>
  <si>
    <t>Tarriffs - 8% - more tha n Walmart Why?</t>
  </si>
  <si>
    <t>Investment is in Technology - drive by</t>
  </si>
  <si>
    <t>$15b sales increase</t>
  </si>
  <si>
    <t>Earning call review - nice</t>
  </si>
  <si>
    <t>Key metrics - good comparison</t>
  </si>
  <si>
    <t>Answered - When did they take on the debt? Maybe a map out of maturities</t>
  </si>
  <si>
    <t>WACC 3.78 debt/ 7.7% overall</t>
  </si>
  <si>
    <t>Good eye contact - not reading at all</t>
  </si>
  <si>
    <t>Investent in company - recommendation</t>
  </si>
  <si>
    <t>Michael</t>
  </si>
  <si>
    <t>How did you get the price target?</t>
  </si>
  <si>
    <t>Good Q &amp; A answers</t>
  </si>
  <si>
    <t>No future price  calc</t>
  </si>
  <si>
    <t>30% of all revenue is Azure</t>
  </si>
  <si>
    <t>How much future investment in AI?</t>
  </si>
  <si>
    <t>Good intrgration of suggestions</t>
  </si>
  <si>
    <t>Good pick up on Current/Quick ratio</t>
  </si>
  <si>
    <t>Make industry comparisons a table</t>
  </si>
  <si>
    <t>DuPont Analysis</t>
  </si>
  <si>
    <t>Tell me what the Free cashfow is…</t>
  </si>
  <si>
    <t>10k data - table needed</t>
  </si>
  <si>
    <t>Careful on data labels</t>
  </si>
  <si>
    <t>Lot of "I believe" - you should know</t>
  </si>
  <si>
    <t>What % in Open AI? - Answered</t>
  </si>
  <si>
    <t>Global  impact</t>
  </si>
  <si>
    <t>Deferred Revenue - 600% = why?</t>
  </si>
  <si>
    <t>Dsiney + - expense to get content?</t>
  </si>
  <si>
    <t>Good visuals</t>
  </si>
  <si>
    <t>Hihg operating parks</t>
  </si>
  <si>
    <t>Good industry comparison</t>
  </si>
  <si>
    <t>Economic Considerations? Answered</t>
  </si>
  <si>
    <t>Brady</t>
  </si>
  <si>
    <t>Jake Harkin</t>
  </si>
  <si>
    <t>Good overview!</t>
  </si>
  <si>
    <t>10K reference - 2 years</t>
  </si>
  <si>
    <t>obesity health concerns - good mention</t>
  </si>
  <si>
    <t>Good use of FactSEt</t>
  </si>
  <si>
    <t>Excellent DDM -&amp; CAPM</t>
  </si>
  <si>
    <t>Debt</t>
  </si>
  <si>
    <t>Debt not only</t>
  </si>
  <si>
    <t>Josh</t>
  </si>
  <si>
    <t>Good personal experience answer in Q &amp; A</t>
  </si>
  <si>
    <t>Not ready on date</t>
  </si>
  <si>
    <t>Last 14 given less time</t>
  </si>
  <si>
    <t>Late on 2nd day</t>
  </si>
  <si>
    <t>Good cap expenditure call out</t>
  </si>
  <si>
    <t>Good opportunity</t>
  </si>
  <si>
    <t>Balance sheet could have been year over year</t>
  </si>
  <si>
    <t>good ratio overview</t>
  </si>
  <si>
    <t>sharebuy back vs dividend</t>
  </si>
  <si>
    <t>Inc yearly income statement</t>
  </si>
  <si>
    <t>Anti-party system</t>
  </si>
  <si>
    <t>WACC -yes</t>
  </si>
  <si>
    <t>VRBO? - missed a large competitor</t>
  </si>
  <si>
    <t>Call out of implication on Yeezy</t>
  </si>
  <si>
    <t>limited comparisone with compeitor - came later - but a confusing table</t>
  </si>
  <si>
    <t>84 - medicore at best</t>
  </si>
  <si>
    <t>Sick note - via email but no nothe</t>
  </si>
  <si>
    <t>Not in class</t>
  </si>
  <si>
    <t>Add:</t>
  </si>
  <si>
    <t>Ask about inclusion in Index</t>
  </si>
  <si>
    <t>10k reference</t>
  </si>
  <si>
    <t>revenue growth explan</t>
  </si>
  <si>
    <t>Stock split</t>
  </si>
  <si>
    <t>Good graphs!</t>
  </si>
  <si>
    <t>Good use of Factset for Accounting statements</t>
  </si>
  <si>
    <t>need dollar signs on mumber presentation</t>
  </si>
  <si>
    <t>Identification on New Investments</t>
  </si>
  <si>
    <t>Stock analysis - himself</t>
  </si>
  <si>
    <t>5 strong recommendations</t>
  </si>
  <si>
    <t xml:space="preserve">Andrew </t>
  </si>
  <si>
    <t>Good idenification of voting right per class</t>
  </si>
  <si>
    <t>Gabelli explaination</t>
  </si>
  <si>
    <t>Novelty asset indentification</t>
  </si>
  <si>
    <t>Good eye contact</t>
  </si>
  <si>
    <t>Good explanation of MQS Debt to Equity</t>
  </si>
  <si>
    <t>Key Financial ration with  competitors</t>
  </si>
  <si>
    <t>Good graph on capital structure</t>
  </si>
  <si>
    <t xml:space="preserve">CAPM </t>
  </si>
  <si>
    <t>Look to see if he adapted my recommendations</t>
  </si>
  <si>
    <t>good focus onrevenue</t>
  </si>
  <si>
    <t>Explanations sounded a bit robotic</t>
  </si>
  <si>
    <t>Good personal story</t>
  </si>
  <si>
    <t>Excellent recommendation example</t>
  </si>
  <si>
    <t>Consistency on $$ identification needed</t>
  </si>
  <si>
    <t>Misssed Samsung Mrkt Cap</t>
  </si>
  <si>
    <t>subscription service identification</t>
  </si>
  <si>
    <t>Lots of people looking bored - presentation format change?</t>
  </si>
  <si>
    <t>Financial ratios need y-o-y comparison</t>
  </si>
  <si>
    <t>Had it for competittors</t>
  </si>
  <si>
    <t>no stock price analysis</t>
  </si>
  <si>
    <t>Recommendations were weak</t>
  </si>
  <si>
    <t>-5</t>
  </si>
  <si>
    <t>Call out on the debt - but size off</t>
  </si>
  <si>
    <t>How did they grow the revenue? No discussion</t>
  </si>
  <si>
    <t>Currency implications  - Did not know how it was managed?</t>
  </si>
  <si>
    <t>Revenue growth ??- Q3 - not a great explanation - clearly did not know</t>
  </si>
  <si>
    <t>No referenece to 10k</t>
  </si>
  <si>
    <t>reading most of the time</t>
  </si>
  <si>
    <t>Missed class on Tuesday</t>
  </si>
  <si>
    <t>are Prov Vi better</t>
  </si>
  <si>
    <t>Could have been a table</t>
  </si>
  <si>
    <t>10k</t>
  </si>
  <si>
    <t>Inventory observation</t>
  </si>
  <si>
    <t>insider seller</t>
  </si>
  <si>
    <t>Excellent on debt</t>
  </si>
  <si>
    <t>Wacc - Factset</t>
  </si>
  <si>
    <t>Q3 earnings call</t>
  </si>
  <si>
    <t>Excellent analysisi</t>
  </si>
  <si>
    <t>Good current events</t>
  </si>
  <si>
    <t>10k filing</t>
  </si>
  <si>
    <t>Increased sales understanding</t>
  </si>
  <si>
    <t>Good debt catch</t>
  </si>
  <si>
    <t xml:space="preserve">AR </t>
  </si>
  <si>
    <t>Invetnory turnover - ratio explainination was good</t>
  </si>
  <si>
    <t>production segement review - missles</t>
  </si>
  <si>
    <t>ROE expansion recommendation</t>
  </si>
  <si>
    <t>AI  to help efficiency</t>
  </si>
  <si>
    <t>Gaming products</t>
  </si>
  <si>
    <t xml:space="preserve">New innovation </t>
  </si>
  <si>
    <t>52% in non USD</t>
  </si>
  <si>
    <t>Investor Day reference</t>
  </si>
  <si>
    <t>Tariffs =  COGS - divesity</t>
  </si>
  <si>
    <t>Buy Back</t>
  </si>
  <si>
    <t>26 outlook revoked</t>
  </si>
  <si>
    <t xml:space="preserve">Few miss statements - but overvall </t>
  </si>
  <si>
    <t>Shares outstanding</t>
  </si>
  <si>
    <t>10k refernece</t>
  </si>
  <si>
    <t>reading from material</t>
  </si>
  <si>
    <t>Good acccounting view</t>
  </si>
  <si>
    <t>Reading</t>
  </si>
  <si>
    <t>looked very AI generated</t>
  </si>
  <si>
    <t>no factset</t>
  </si>
  <si>
    <t>Ratio of industry was best part - good explanations</t>
  </si>
  <si>
    <t>CAPM</t>
  </si>
  <si>
    <t>Wrong way on valuation</t>
  </si>
  <si>
    <t>Weak report</t>
  </si>
  <si>
    <t>10k &amp; Footnote!</t>
  </si>
  <si>
    <t>No 10k reference</t>
  </si>
  <si>
    <t>Excellent Drafts</t>
  </si>
  <si>
    <t>Good industry Analysis</t>
  </si>
  <si>
    <t>HHR - good addd</t>
  </si>
  <si>
    <t>Factset</t>
  </si>
  <si>
    <t>Downgrade mention</t>
  </si>
  <si>
    <t>Interesting Recommendation - creative</t>
  </si>
  <si>
    <t>just reading the numbres</t>
  </si>
  <si>
    <t>Did not explain why they were losing money</t>
  </si>
  <si>
    <t xml:space="preserve">Did reference 10k </t>
  </si>
  <si>
    <t xml:space="preserve">Selling jackwolf business </t>
  </si>
  <si>
    <t>Good will right down - TopGolf</t>
  </si>
  <si>
    <t>playing with hair during presentation</t>
  </si>
  <si>
    <t>not many speciifcs about loss of revenue</t>
  </si>
  <si>
    <t>Sales of 60% of TopGolf - to a large shareholder - for $1billion</t>
  </si>
  <si>
    <t>Finland</t>
  </si>
  <si>
    <t>largest shareholder mentioned</t>
  </si>
  <si>
    <t>limited  SWOT explanations</t>
  </si>
  <si>
    <t>reading of the ratios - no explanations</t>
  </si>
  <si>
    <t>Did not know why Sales were up</t>
  </si>
  <si>
    <t>Not mention on interest and net income</t>
  </si>
  <si>
    <t xml:space="preserve">No explanation of the financial data </t>
  </si>
  <si>
    <t>Better P/E explanation</t>
  </si>
  <si>
    <t>No factset graphs or data</t>
  </si>
  <si>
    <t>No earnings call reference</t>
  </si>
  <si>
    <t>75-5</t>
  </si>
  <si>
    <t>Grade with late penalty</t>
  </si>
  <si>
    <t>Recommndation was just okay</t>
  </si>
  <si>
    <t>No graphs</t>
  </si>
  <si>
    <t>Limited Factset Use</t>
  </si>
  <si>
    <t>No real analysis - just restated finacial numbers</t>
  </si>
  <si>
    <t>Did not even bother to rename the file from the Canva base template</t>
  </si>
  <si>
    <t>Did have 10k notes</t>
  </si>
  <si>
    <t>No WACC or Stock Charts</t>
  </si>
  <si>
    <t>Submission has financial reporting/ analysis mistakes</t>
  </si>
  <si>
    <t>Company Submission</t>
  </si>
  <si>
    <t>Points Possible</t>
  </si>
  <si>
    <t>No charts</t>
  </si>
  <si>
    <t>No SWOT</t>
  </si>
  <si>
    <t>Intro to Corp Finance - FactSet Sign Ups</t>
  </si>
  <si>
    <t>Chapter 1 (9) &amp;  2(7) Assignment; Finish  Excel Market Cap Assignment &amp; Submit</t>
  </si>
  <si>
    <t xml:space="preserve">SP20262025 Notes/Acutal Work </t>
  </si>
  <si>
    <t>5/5/2026 10:15am</t>
  </si>
  <si>
    <t>SPRING BREAK</t>
  </si>
  <si>
    <t>Company Analysis Presentations 6 per Day</t>
  </si>
  <si>
    <t xml:space="preserve"> Bill Ackman Video</t>
  </si>
  <si>
    <t>review due dates in Canvas</t>
  </si>
  <si>
    <t>Student #</t>
  </si>
  <si>
    <t>Index</t>
  </si>
  <si>
    <t>Anthony Altieri Jr.</t>
  </si>
  <si>
    <t>Charles Andriolo</t>
  </si>
  <si>
    <t>Mason Bachry</t>
  </si>
  <si>
    <t>Jonathan Ballinger</t>
  </si>
  <si>
    <t>Garron Brown</t>
  </si>
  <si>
    <t>Julia Carlson</t>
  </si>
  <si>
    <t>Mia Chicoine</t>
  </si>
  <si>
    <t>Evan Currie</t>
  </si>
  <si>
    <t>Nicolas Disa</t>
  </si>
  <si>
    <t>Conor Dunleavy</t>
  </si>
  <si>
    <t>Nicholas Ferguson</t>
  </si>
  <si>
    <t>Ryan Hartnett</t>
  </si>
  <si>
    <t>Cody Howard</t>
  </si>
  <si>
    <t>William Johnson</t>
  </si>
  <si>
    <t>Aidan Kellachan</t>
  </si>
  <si>
    <t>Alexander Kelly</t>
  </si>
  <si>
    <t>Thomas Matchett</t>
  </si>
  <si>
    <t>Caitlin McNeilWentzell</t>
  </si>
  <si>
    <t>Braydon Miller</t>
  </si>
  <si>
    <t>Oliver Morton</t>
  </si>
  <si>
    <t>Jake Pezza</t>
  </si>
  <si>
    <t>Christopher Piropato</t>
  </si>
  <si>
    <t>Colby Smith</t>
  </si>
  <si>
    <t>Brett Steiner</t>
  </si>
  <si>
    <t>Steven Vramis</t>
  </si>
  <si>
    <t>Oliver Watson</t>
  </si>
  <si>
    <t>Henry Whalen</t>
  </si>
  <si>
    <t>Michael Winn</t>
  </si>
  <si>
    <t>Prof Evitts</t>
  </si>
  <si>
    <t xml:space="preserve">% Price Return </t>
  </si>
  <si>
    <t>Move reading Chaper 3 up a week for next year</t>
  </si>
  <si>
    <t>Start Looking up information on your company
Stock History- Avg Traded Volume - Exchange Listed</t>
  </si>
  <si>
    <t>Listen to the Audio Overview &amp; Note 3 things</t>
  </si>
  <si>
    <t xml:space="preserve"> Submit/Chapter 3 assignment</t>
  </si>
  <si>
    <t>Accounting and Finance  -Chapter 3</t>
  </si>
  <si>
    <t xml:space="preserve"> CAT Exercise in FactSet - if time look up information for your class</t>
  </si>
  <si>
    <t>Homework- Smartbook  Due next class</t>
  </si>
  <si>
    <t>Project Check In #1 &amp; Peer Presentation</t>
  </si>
  <si>
    <t>Delayed Start Snow Day in Sp2026</t>
  </si>
  <si>
    <t xml:space="preserve"> Lemonade Stand</t>
  </si>
  <si>
    <t>Measuring Corporate Performance - Ratio Activity</t>
  </si>
  <si>
    <t>FactSet Exploration - 10k Earnings Calls, AI - Download data</t>
  </si>
  <si>
    <t>Review Feedback from Project Check in #1</t>
  </si>
  <si>
    <t>Check Dates in Canvas</t>
  </si>
  <si>
    <t xml:space="preserve"> Debt Issueance Activity</t>
  </si>
  <si>
    <t>IPO Activity</t>
  </si>
  <si>
    <t>Project Help &amp; Read Team Analysis</t>
  </si>
  <si>
    <t>TJX</t>
  </si>
  <si>
    <t>CALY</t>
  </si>
  <si>
    <t>PLTR</t>
  </si>
  <si>
    <t>WM</t>
  </si>
  <si>
    <t>TSLA</t>
  </si>
  <si>
    <t>SBUX</t>
  </si>
  <si>
    <t>RTX</t>
  </si>
  <si>
    <t>GOOGL</t>
  </si>
  <si>
    <t>DKNG</t>
  </si>
  <si>
    <t>LYV</t>
  </si>
  <si>
    <t>MCD</t>
  </si>
  <si>
    <t>MSFT</t>
  </si>
  <si>
    <t>LMT</t>
  </si>
  <si>
    <t>RL</t>
  </si>
  <si>
    <t>COST</t>
  </si>
  <si>
    <t>DIS</t>
  </si>
  <si>
    <t>META</t>
  </si>
  <si>
    <t>XOM</t>
  </si>
  <si>
    <t>MU</t>
  </si>
  <si>
    <t>ABNB</t>
  </si>
  <si>
    <t>HIMS</t>
  </si>
  <si>
    <t>DKS</t>
  </si>
  <si>
    <t>ORCL</t>
  </si>
  <si>
    <t>NFLX</t>
  </si>
  <si>
    <t>BA</t>
  </si>
  <si>
    <t>MRK</t>
  </si>
  <si>
    <t>NVDA</t>
  </si>
  <si>
    <t>ASML</t>
  </si>
  <si>
    <t>AAPL</t>
  </si>
  <si>
    <t>Review Day &amp; Excel Review Activity for Chapters 5-8</t>
  </si>
  <si>
    <t>No Class -Professional EXPO -SP 26</t>
  </si>
  <si>
    <t>Altieri, Anthony Jr.</t>
  </si>
  <si>
    <t>Andriolo, Charles</t>
  </si>
  <si>
    <t>Bachry, Mason</t>
  </si>
  <si>
    <t>Ballinger, Jonathan</t>
  </si>
  <si>
    <t>Brown, Garron</t>
  </si>
  <si>
    <t>Carlson, Julia</t>
  </si>
  <si>
    <t>Chicoine, Mia</t>
  </si>
  <si>
    <t>Currie, Evan</t>
  </si>
  <si>
    <t>Disa, Nicolas</t>
  </si>
  <si>
    <t>Dunleavy, Conor</t>
  </si>
  <si>
    <t>Ferguson, Nicholas</t>
  </si>
  <si>
    <t>Hartnett, Ryan</t>
  </si>
  <si>
    <t>Howard, Cody</t>
  </si>
  <si>
    <t>Johnson, William</t>
  </si>
  <si>
    <t>Kellachan, Aidan</t>
  </si>
  <si>
    <t>Kelly, Alexander</t>
  </si>
  <si>
    <t>Matchett, Thomas</t>
  </si>
  <si>
    <t>McNeilWentzell, Caitlin</t>
  </si>
  <si>
    <t>Miller, Braydon</t>
  </si>
  <si>
    <t>Morton, Oliver</t>
  </si>
  <si>
    <t>Pezza, Jake</t>
  </si>
  <si>
    <t>Piropato, Christopher</t>
  </si>
  <si>
    <t>Smith, Colby</t>
  </si>
  <si>
    <t>Steiner, Brett</t>
  </si>
  <si>
    <t>Vramis, Steven</t>
  </si>
  <si>
    <t>Watson, Oliver</t>
  </si>
  <si>
    <t>Whalen, Henry</t>
  </si>
  <si>
    <t>Winn, Michael</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</si>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</sst>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409]* #,##0.00_);_([$$-409]* \(#,##0.00\);_([$$-409]* &quot;-&quot;??_);_(@_)"/>
    <numFmt numFmtId="165" formatCode="_(&quot;$&quot;* #,##0_);_(&quot;$&quot;* \(#,##0\);_(&quot;$&quot;* &quot;-&quot;??_);_(@_)"/>
    <numFmt numFmtId="166" formatCode="_(* #,##0_);_(* \(#,##0\);_(* &quot;-&quot;??_);_(@_)"/>
  </numFmts>
  <fonts count="47" x14ac:knownFonts="1">
    <font>
      <sz val="11"/>
      <color theme="1"/>
      <name val="Aptos Narrow"/>
      <family val="2"/>
      <scheme val="minor"/>
    </font>
    <font>
      <b/>
      <sz val="10"/>
      <color theme="1"/>
      <name val="Arial"/>
      <family val="2"/>
    </font>
    <font>
      <sz val="10"/>
      <color theme="1"/>
      <name val="Arial"/>
      <family val="2"/>
    </font>
    <font>
      <u/>
      <sz val="10"/>
      <color theme="1"/>
      <name val="Arial"/>
      <family val="2"/>
    </font>
    <font>
      <b/>
      <sz val="10"/>
      <name val="Arial"/>
      <family val="2"/>
    </font>
    <font>
      <b/>
      <i/>
      <sz val="10"/>
      <color theme="1"/>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Arial"/>
      <family val="2"/>
    </font>
    <font>
      <sz val="13"/>
      <color rgb="FF000000"/>
      <name val="Calibri"/>
      <family val="2"/>
    </font>
    <font>
      <sz val="11"/>
      <color theme="1"/>
      <name val="Aptos Display"/>
      <family val="2"/>
      <scheme val="major"/>
    </font>
    <font>
      <i/>
      <sz val="10"/>
      <color theme="1"/>
      <name val="Arial"/>
      <family val="2"/>
    </font>
    <font>
      <b/>
      <sz val="11"/>
      <color theme="1"/>
      <name val="Aptos Display"/>
      <family val="2"/>
      <scheme val="major"/>
    </font>
    <font>
      <sz val="10"/>
      <color rgb="FF000000"/>
      <name val="Aptos Display"/>
      <family val="2"/>
    </font>
    <font>
      <sz val="12"/>
      <color theme="1"/>
      <name val="Aptos"/>
      <family val="2"/>
    </font>
    <font>
      <b/>
      <i/>
      <sz val="12"/>
      <color rgb="FF002060"/>
      <name val="Aptos Display"/>
      <family val="2"/>
    </font>
    <font>
      <sz val="10"/>
      <color theme="1"/>
      <name val="Aptos"/>
      <family val="2"/>
    </font>
    <font>
      <b/>
      <i/>
      <sz val="10"/>
      <color rgb="FF002060"/>
      <name val="Aptos Display"/>
      <family val="2"/>
    </font>
    <font>
      <b/>
      <i/>
      <sz val="14"/>
      <color rgb="FF002060"/>
      <name val="Aptos Display"/>
      <family val="2"/>
    </font>
    <font>
      <b/>
      <i/>
      <sz val="9"/>
      <color rgb="FF002060"/>
      <name val="Aptos Display"/>
      <family val="2"/>
    </font>
    <font>
      <b/>
      <i/>
      <sz val="11"/>
      <color rgb="FF002060"/>
      <name val="Aptos Display"/>
      <family val="2"/>
      <scheme val="major"/>
    </font>
    <font>
      <sz val="11"/>
      <color rgb="FF000000"/>
      <name val="Aptos Display"/>
      <family val="2"/>
      <scheme val="major"/>
    </font>
    <font>
      <sz val="11"/>
      <color rgb="FF000000"/>
      <name val="Aptos Display"/>
      <family val="2"/>
    </font>
    <font>
      <sz val="10"/>
      <color theme="1"/>
      <name val="Aptos Display"/>
      <family val="2"/>
      <scheme val="major"/>
    </font>
    <font>
      <b/>
      <i/>
      <sz val="10"/>
      <color rgb="FF002060"/>
      <name val="Aptos Display"/>
      <family val="2"/>
      <scheme val="major"/>
    </font>
    <font>
      <sz val="10"/>
      <color rgb="FF000000"/>
      <name val="Aptos Display"/>
      <family val="2"/>
      <scheme val="major"/>
    </font>
    <font>
      <sz val="10"/>
      <name val="Arial"/>
      <family val="2"/>
    </font>
    <font>
      <sz val="11"/>
      <color rgb="FF000000"/>
      <name val="Aptos Narrow"/>
      <family val="2"/>
      <scheme val="minor"/>
    </font>
    <font>
      <b/>
      <i/>
      <sz val="11"/>
      <color theme="1"/>
      <name val="Aptos Narrow"/>
      <family val="2"/>
      <scheme val="minor"/>
    </font>
    <font>
      <sz val="11"/>
      <color rgb="FF002060"/>
      <name val="Aptos Narrow"/>
      <family val="2"/>
      <scheme val="minor"/>
    </font>
    <font>
      <b/>
      <sz val="10"/>
      <color rgb="FFFF0000"/>
      <name val="Arial"/>
      <family val="2"/>
    </font>
    <font>
      <b/>
      <sz val="9"/>
      <color indexed="81"/>
      <name val="Tahoma"/>
      <family val="2"/>
    </font>
  </fonts>
  <fills count="47">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002060"/>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59999389629810485"/>
        <bgColor indexed="64"/>
      </patternFill>
    </fill>
  </fills>
  <borders count="22">
    <border>
      <left/>
      <right/>
      <top/>
      <bottom/>
      <diagonal/>
    </border>
    <border>
      <left/>
      <right/>
      <top/>
      <bottom style="double">
        <color indexed="64"/>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45">
    <xf numFmtId="0" fontId="0" fillId="0" borderId="0"/>
    <xf numFmtId="0" fontId="7" fillId="0" borderId="0" applyNumberFormat="0" applyFill="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8" applyNumberFormat="0" applyAlignment="0" applyProtection="0"/>
    <xf numFmtId="0" fontId="15" fillId="8" borderId="9" applyNumberFormat="0" applyAlignment="0" applyProtection="0"/>
    <xf numFmtId="0" fontId="16" fillId="8" borderId="8" applyNumberFormat="0" applyAlignment="0" applyProtection="0"/>
    <xf numFmtId="0" fontId="17" fillId="0" borderId="10" applyNumberFormat="0" applyFill="0" applyAlignment="0" applyProtection="0"/>
    <xf numFmtId="0" fontId="18" fillId="9" borderId="11" applyNumberFormat="0" applyAlignment="0" applyProtection="0"/>
    <xf numFmtId="0" fontId="19" fillId="0" borderId="0" applyNumberFormat="0" applyFill="0" applyBorder="0" applyAlignment="0" applyProtection="0"/>
    <xf numFmtId="0" fontId="6" fillId="10" borderId="12" applyNumberFormat="0" applyFont="0" applyAlignment="0" applyProtection="0"/>
    <xf numFmtId="0" fontId="20" fillId="0" borderId="0" applyNumberFormat="0" applyFill="0" applyBorder="0" applyAlignment="0" applyProtection="0"/>
    <xf numFmtId="0" fontId="21" fillId="0" borderId="13" applyNumberFormat="0" applyFill="0" applyAlignment="0" applyProtection="0"/>
    <xf numFmtId="0" fontId="22"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22"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22"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22"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22"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22"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223">
    <xf numFmtId="0" fontId="0" fillId="0" borderId="0" xfId="0"/>
    <xf numFmtId="0" fontId="2" fillId="0" borderId="0" xfId="0" applyFont="1"/>
    <xf numFmtId="0" fontId="2" fillId="0" borderId="0" xfId="0" applyFont="1" applyAlignment="1">
      <alignment vertical="center"/>
    </xf>
    <xf numFmtId="0" fontId="2" fillId="0" borderId="2" xfId="0" applyFont="1" applyBorder="1" applyAlignment="1">
      <alignment horizontal="center"/>
    </xf>
    <xf numFmtId="14" fontId="2" fillId="0" borderId="0" xfId="0" applyNumberFormat="1"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vertical="center"/>
    </xf>
    <xf numFmtId="9" fontId="2" fillId="0" borderId="0" xfId="0" applyNumberFormat="1" applyFont="1" applyAlignment="1">
      <alignment vertical="center"/>
    </xf>
    <xf numFmtId="9" fontId="2" fillId="0" borderId="0" xfId="0" applyNumberFormat="1" applyFont="1"/>
    <xf numFmtId="0" fontId="2" fillId="0" borderId="1" xfId="0" applyFont="1" applyBorder="1" applyAlignment="1">
      <alignment horizontal="center"/>
    </xf>
    <xf numFmtId="0" fontId="2" fillId="3" borderId="0" xfId="0" applyFont="1" applyFill="1"/>
    <xf numFmtId="0" fontId="2" fillId="3" borderId="0" xfId="0" applyFont="1" applyFill="1" applyAlignment="1">
      <alignment horizontal="center"/>
    </xf>
    <xf numFmtId="0" fontId="21" fillId="0" borderId="0" xfId="0" applyFont="1" applyAlignment="1">
      <alignment horizontal="center" vertical="center" wrapText="1"/>
    </xf>
    <xf numFmtId="0" fontId="0" fillId="0" borderId="0" xfId="0" applyAlignment="1">
      <alignment horizontal="left"/>
    </xf>
    <xf numFmtId="0" fontId="21" fillId="0" borderId="4" xfId="0" applyFont="1" applyBorder="1" applyAlignment="1">
      <alignment horizontal="left" vertical="center"/>
    </xf>
    <xf numFmtId="0" fontId="21" fillId="0" borderId="4" xfId="0" applyFont="1" applyBorder="1" applyAlignment="1">
      <alignment horizontal="left" vertical="center" wrapText="1"/>
    </xf>
    <xf numFmtId="0" fontId="0" fillId="0" borderId="0" xfId="0" applyAlignment="1">
      <alignment horizontal="center"/>
    </xf>
    <xf numFmtId="0" fontId="23" fillId="0" borderId="0" xfId="0" applyFont="1" applyAlignment="1">
      <alignment horizontal="left" vertical="center" indent="4" readingOrder="1"/>
    </xf>
    <xf numFmtId="0" fontId="24" fillId="0" borderId="0" xfId="0" applyFont="1"/>
    <xf numFmtId="0" fontId="1" fillId="0" borderId="0" xfId="0" applyFont="1"/>
    <xf numFmtId="0" fontId="25" fillId="0" borderId="0" xfId="0" applyFont="1" applyAlignment="1">
      <alignment wrapText="1"/>
    </xf>
    <xf numFmtId="0" fontId="28" fillId="0" borderId="17" xfId="0" applyFont="1" applyBorder="1" applyAlignment="1">
      <alignment vertical="center" wrapText="1"/>
    </xf>
    <xf numFmtId="0" fontId="28" fillId="0" borderId="15" xfId="0" applyFont="1" applyBorder="1" applyAlignment="1">
      <alignment vertical="center" wrapText="1"/>
    </xf>
    <xf numFmtId="0" fontId="28" fillId="0" borderId="18" xfId="0" applyFont="1" applyBorder="1" applyAlignment="1">
      <alignment vertical="center"/>
    </xf>
    <xf numFmtId="0" fontId="31" fillId="0" borderId="16" xfId="0" applyFont="1" applyBorder="1" applyAlignment="1">
      <alignment vertical="top" wrapText="1"/>
    </xf>
    <xf numFmtId="0" fontId="28" fillId="0" borderId="18" xfId="0" applyFont="1" applyBorder="1" applyAlignment="1">
      <alignment vertical="center" wrapText="1"/>
    </xf>
    <xf numFmtId="0" fontId="31" fillId="0" borderId="16" xfId="0" applyFont="1" applyBorder="1" applyAlignment="1">
      <alignment vertical="center" wrapText="1"/>
    </xf>
    <xf numFmtId="0" fontId="31" fillId="0" borderId="17" xfId="0" applyFont="1" applyBorder="1" applyAlignment="1">
      <alignment vertical="center" wrapText="1"/>
    </xf>
    <xf numFmtId="0" fontId="31" fillId="0" borderId="15" xfId="0" applyFont="1" applyBorder="1" applyAlignment="1">
      <alignment vertical="center" wrapText="1"/>
    </xf>
    <xf numFmtId="0" fontId="29" fillId="0" borderId="0" xfId="0" applyFont="1" applyAlignment="1">
      <alignment vertical="center"/>
    </xf>
    <xf numFmtId="0" fontId="31" fillId="0" borderId="0" xfId="0" applyFont="1" applyAlignment="1">
      <alignment vertical="center"/>
    </xf>
    <xf numFmtId="0" fontId="28" fillId="0" borderId="16" xfId="0" applyFont="1" applyBorder="1" applyAlignment="1">
      <alignment vertical="center" wrapText="1"/>
    </xf>
    <xf numFmtId="0" fontId="33" fillId="0" borderId="15" xfId="0" applyFont="1" applyBorder="1" applyAlignment="1">
      <alignment vertical="center" wrapText="1"/>
    </xf>
    <xf numFmtId="0" fontId="33" fillId="0" borderId="16" xfId="0" applyFont="1" applyBorder="1" applyAlignment="1">
      <alignment vertical="center" wrapText="1"/>
    </xf>
    <xf numFmtId="0" fontId="34" fillId="0" borderId="16" xfId="0" applyFont="1" applyBorder="1" applyAlignment="1">
      <alignment vertical="center" wrapText="1"/>
    </xf>
    <xf numFmtId="0" fontId="28" fillId="0" borderId="16" xfId="0" applyFont="1" applyBorder="1" applyAlignment="1">
      <alignment vertical="center"/>
    </xf>
    <xf numFmtId="0" fontId="35" fillId="35" borderId="4" xfId="0" applyFont="1" applyFill="1" applyBorder="1" applyAlignment="1">
      <alignment wrapText="1"/>
    </xf>
    <xf numFmtId="0" fontId="36" fillId="0" borderId="0" xfId="0" applyFont="1" applyAlignment="1">
      <alignment vertical="center" wrapText="1" readingOrder="1"/>
    </xf>
    <xf numFmtId="0" fontId="27" fillId="0" borderId="0" xfId="0" applyFont="1" applyAlignment="1">
      <alignment wrapText="1"/>
    </xf>
    <xf numFmtId="0" fontId="36" fillId="0" borderId="0" xfId="0" applyFont="1" applyAlignment="1">
      <alignment horizontal="left" wrapText="1"/>
    </xf>
    <xf numFmtId="0" fontId="36" fillId="0" borderId="0" xfId="0" applyFont="1" applyAlignment="1">
      <alignment horizontal="left" vertical="center" wrapText="1" readingOrder="1"/>
    </xf>
    <xf numFmtId="0" fontId="36" fillId="0" borderId="0" xfId="0" applyFont="1" applyAlignment="1">
      <alignment wrapText="1"/>
    </xf>
    <xf numFmtId="0" fontId="25" fillId="0" borderId="0" xfId="0" applyFont="1" applyAlignment="1">
      <alignment horizontal="left" vertical="center" wrapText="1" readingOrder="1"/>
    </xf>
    <xf numFmtId="0" fontId="37" fillId="0" borderId="0" xfId="0" applyFont="1" applyAlignment="1">
      <alignment wrapText="1"/>
    </xf>
    <xf numFmtId="0" fontId="25" fillId="0" borderId="0" xfId="0" applyFont="1" applyAlignment="1">
      <alignment vertical="center" wrapText="1" readingOrder="1"/>
    </xf>
    <xf numFmtId="0" fontId="38" fillId="0" borderId="0" xfId="0" applyFont="1" applyAlignment="1">
      <alignment wrapText="1"/>
    </xf>
    <xf numFmtId="0" fontId="39" fillId="35" borderId="4" xfId="0" applyFont="1" applyFill="1" applyBorder="1" applyAlignment="1">
      <alignment wrapText="1"/>
    </xf>
    <xf numFmtId="0" fontId="40" fillId="0" borderId="0" xfId="0" applyFont="1" applyAlignment="1">
      <alignment vertical="center" wrapText="1" readingOrder="1"/>
    </xf>
    <xf numFmtId="0" fontId="40" fillId="0" borderId="0" xfId="0" applyFont="1" applyAlignment="1">
      <alignment horizontal="left" vertical="center" wrapText="1" readingOrder="1"/>
    </xf>
    <xf numFmtId="0" fontId="38" fillId="0" borderId="0" xfId="0" applyFont="1" applyAlignment="1">
      <alignment horizontal="left" vertical="center" wrapText="1" readingOrder="1"/>
    </xf>
    <xf numFmtId="9" fontId="25" fillId="0" borderId="0" xfId="0" applyNumberFormat="1" applyFont="1" applyAlignment="1">
      <alignment wrapText="1"/>
    </xf>
    <xf numFmtId="1" fontId="25" fillId="0" borderId="0" xfId="0" applyNumberFormat="1" applyFont="1" applyAlignment="1">
      <alignment horizontal="center" wrapText="1"/>
    </xf>
    <xf numFmtId="1" fontId="35" fillId="35" borderId="4" xfId="0" applyNumberFormat="1" applyFont="1" applyFill="1" applyBorder="1" applyAlignment="1">
      <alignment horizontal="center" wrapText="1"/>
    </xf>
    <xf numFmtId="1" fontId="36" fillId="0" borderId="0" xfId="0" applyNumberFormat="1" applyFont="1" applyAlignment="1">
      <alignment horizontal="center" vertical="center" wrapText="1" readingOrder="1"/>
    </xf>
    <xf numFmtId="1" fontId="25" fillId="0" borderId="0" xfId="0" applyNumberFormat="1" applyFont="1" applyAlignment="1">
      <alignment horizontal="center" vertical="center" wrapText="1" readingOrder="1"/>
    </xf>
    <xf numFmtId="0" fontId="25" fillId="3" borderId="0" xfId="0" applyFont="1" applyFill="1" applyAlignment="1">
      <alignment wrapText="1"/>
    </xf>
    <xf numFmtId="1" fontId="25" fillId="3" borderId="0" xfId="0" applyNumberFormat="1" applyFont="1" applyFill="1" applyAlignment="1">
      <alignment horizontal="center" wrapText="1"/>
    </xf>
    <xf numFmtId="0" fontId="38" fillId="3" borderId="0" xfId="0" applyFont="1" applyFill="1" applyAlignment="1">
      <alignment wrapText="1"/>
    </xf>
    <xf numFmtId="0" fontId="36" fillId="3" borderId="0" xfId="0" applyFont="1" applyFill="1" applyAlignment="1">
      <alignment wrapText="1"/>
    </xf>
    <xf numFmtId="0" fontId="25" fillId="3" borderId="0" xfId="0" applyFont="1" applyFill="1" applyAlignment="1">
      <alignment vertical="center" wrapText="1" readingOrder="1"/>
    </xf>
    <xf numFmtId="1" fontId="36" fillId="3" borderId="0" xfId="0" applyNumberFormat="1" applyFont="1" applyFill="1" applyAlignment="1">
      <alignment horizontal="center" vertical="center" wrapText="1" readingOrder="1"/>
    </xf>
    <xf numFmtId="0" fontId="27" fillId="3" borderId="0" xfId="0" applyFont="1" applyFill="1" applyAlignment="1">
      <alignment wrapText="1"/>
    </xf>
    <xf numFmtId="0" fontId="2" fillId="0" borderId="0" xfId="0" applyFont="1" applyAlignment="1">
      <alignment horizontal="left" vertical="center" wrapText="1"/>
    </xf>
    <xf numFmtId="0" fontId="2" fillId="0" borderId="0" xfId="0" applyFont="1" applyAlignment="1">
      <alignment horizontal="left"/>
    </xf>
    <xf numFmtId="0" fontId="1" fillId="0" borderId="0" xfId="0" applyFont="1" applyAlignment="1">
      <alignment horizontal="left"/>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2" fillId="37" borderId="19" xfId="0" applyFont="1" applyFill="1" applyBorder="1" applyAlignment="1">
      <alignment horizontal="center" vertical="center" wrapText="1"/>
    </xf>
    <xf numFmtId="0" fontId="2" fillId="37" borderId="19" xfId="0" applyFont="1" applyFill="1" applyBorder="1" applyAlignment="1">
      <alignment horizontal="center"/>
    </xf>
    <xf numFmtId="0" fontId="2" fillId="38" borderId="19" xfId="0" applyFont="1" applyFill="1" applyBorder="1" applyAlignment="1">
      <alignment horizontal="center" vertical="center" wrapText="1"/>
    </xf>
    <xf numFmtId="0" fontId="2" fillId="38" borderId="19" xfId="0" applyFont="1" applyFill="1" applyBorder="1" applyAlignment="1">
      <alignment horizontal="center"/>
    </xf>
    <xf numFmtId="0" fontId="1" fillId="38" borderId="19" xfId="0" applyFont="1" applyFill="1" applyBorder="1" applyAlignment="1">
      <alignment horizontal="center"/>
    </xf>
    <xf numFmtId="0" fontId="2" fillId="3" borderId="19" xfId="0" applyFont="1" applyFill="1" applyBorder="1" applyAlignment="1">
      <alignment horizontal="center" vertical="center" wrapText="1"/>
    </xf>
    <xf numFmtId="0" fontId="2" fillId="3" borderId="19" xfId="0" applyFont="1" applyFill="1" applyBorder="1" applyAlignment="1">
      <alignment horizontal="left" vertical="center" wrapText="1"/>
    </xf>
    <xf numFmtId="0" fontId="2" fillId="3" borderId="19" xfId="0" applyFont="1" applyFill="1" applyBorder="1" applyAlignment="1">
      <alignment horizontal="center"/>
    </xf>
    <xf numFmtId="0" fontId="1" fillId="3" borderId="19" xfId="0" applyFont="1" applyFill="1" applyBorder="1" applyAlignment="1">
      <alignment horizontal="center" vertical="center" wrapText="1"/>
    </xf>
    <xf numFmtId="0" fontId="41" fillId="3" borderId="19" xfId="0" applyFont="1" applyFill="1" applyBorder="1" applyAlignment="1">
      <alignment horizontal="center"/>
    </xf>
    <xf numFmtId="0" fontId="2" fillId="0" borderId="19" xfId="0" applyFont="1" applyBorder="1" applyAlignment="1">
      <alignment vertical="center" wrapText="1"/>
    </xf>
    <xf numFmtId="0" fontId="2" fillId="0" borderId="19" xfId="0" applyFont="1" applyBorder="1" applyAlignment="1">
      <alignment horizontal="center" vertical="center" wrapText="1"/>
    </xf>
    <xf numFmtId="0" fontId="1" fillId="2" borderId="19" xfId="0" applyFont="1" applyFill="1" applyBorder="1" applyAlignment="1">
      <alignment horizontal="center"/>
    </xf>
    <xf numFmtId="0" fontId="2" fillId="2" borderId="19" xfId="0" applyFont="1" applyFill="1" applyBorder="1" applyAlignment="1">
      <alignment vertical="center" wrapText="1"/>
    </xf>
    <xf numFmtId="0" fontId="2" fillId="2" borderId="19" xfId="0" applyFont="1" applyFill="1" applyBorder="1" applyAlignment="1">
      <alignment horizontal="center"/>
    </xf>
    <xf numFmtId="0" fontId="1" fillId="36" borderId="19" xfId="0" applyFont="1" applyFill="1" applyBorder="1" applyAlignment="1">
      <alignment horizontal="center"/>
    </xf>
    <xf numFmtId="0" fontId="1" fillId="36" borderId="19" xfId="0" applyFont="1" applyFill="1" applyBorder="1" applyAlignment="1">
      <alignment horizontal="center" vertical="center" wrapText="1"/>
    </xf>
    <xf numFmtId="0" fontId="2" fillId="36" borderId="19" xfId="0" applyFont="1" applyFill="1" applyBorder="1" applyAlignment="1">
      <alignment horizontal="center" vertical="center" wrapText="1"/>
    </xf>
    <xf numFmtId="0" fontId="2" fillId="0" borderId="19" xfId="0" applyFont="1" applyBorder="1" applyAlignment="1">
      <alignment horizontal="center"/>
    </xf>
    <xf numFmtId="0" fontId="1" fillId="0" borderId="19" xfId="0" applyFont="1" applyBorder="1" applyAlignment="1">
      <alignment horizontal="center"/>
    </xf>
    <xf numFmtId="0" fontId="2" fillId="0" borderId="19" xfId="0" applyFont="1" applyBorder="1" applyAlignment="1">
      <alignment horizontal="left" vertical="center" wrapText="1"/>
    </xf>
    <xf numFmtId="0" fontId="26" fillId="37" borderId="19" xfId="0" applyFont="1" applyFill="1" applyBorder="1" applyAlignment="1">
      <alignment horizontal="center" vertical="center" wrapText="1"/>
    </xf>
    <xf numFmtId="0" fontId="1" fillId="0" borderId="19"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19" xfId="0" applyFont="1" applyBorder="1" applyAlignment="1">
      <alignment vertical="center" wrapText="1"/>
    </xf>
    <xf numFmtId="14" fontId="21" fillId="0" borderId="4" xfId="0" applyNumberFormat="1" applyFont="1" applyBorder="1" applyAlignment="1">
      <alignment horizontal="center" vertical="center" wrapText="1"/>
    </xf>
    <xf numFmtId="0" fontId="0" fillId="39" borderId="0" xfId="0" applyFill="1"/>
    <xf numFmtId="164" fontId="0" fillId="0" borderId="0" xfId="0" applyNumberFormat="1" applyAlignment="1">
      <alignment horizontal="left"/>
    </xf>
    <xf numFmtId="0" fontId="0" fillId="39" borderId="0" xfId="0" applyFill="1" applyAlignment="1">
      <alignment horizontal="left"/>
    </xf>
    <xf numFmtId="0" fontId="0" fillId="40" borderId="0" xfId="0" applyFill="1"/>
    <xf numFmtId="0" fontId="0" fillId="2" borderId="0" xfId="0" applyFill="1"/>
    <xf numFmtId="0" fontId="0" fillId="0" borderId="1" xfId="0" applyBorder="1" applyAlignment="1">
      <alignment horizontal="center"/>
    </xf>
    <xf numFmtId="0" fontId="0" fillId="0" borderId="1" xfId="0" applyBorder="1"/>
    <xf numFmtId="0" fontId="0" fillId="0" borderId="19" xfId="0" applyBorder="1"/>
    <xf numFmtId="0" fontId="0" fillId="0" borderId="19" xfId="0" applyBorder="1" applyAlignment="1">
      <alignment horizontal="left"/>
    </xf>
    <xf numFmtId="0" fontId="0" fillId="0" borderId="19" xfId="0" applyBorder="1" applyAlignment="1">
      <alignment horizontal="center"/>
    </xf>
    <xf numFmtId="44" fontId="0" fillId="0" borderId="19" xfId="42" applyFont="1" applyFill="1" applyBorder="1"/>
    <xf numFmtId="165" fontId="42" fillId="0" borderId="19" xfId="0" applyNumberFormat="1" applyFont="1" applyBorder="1"/>
    <xf numFmtId="2" fontId="42" fillId="0" borderId="19" xfId="0" applyNumberFormat="1" applyFont="1" applyBorder="1"/>
    <xf numFmtId="44" fontId="42" fillId="0" borderId="19" xfId="42" applyFont="1" applyFill="1" applyBorder="1" applyAlignment="1"/>
    <xf numFmtId="165" fontId="0" fillId="0" borderId="19" xfId="42" applyNumberFormat="1" applyFont="1" applyFill="1" applyBorder="1"/>
    <xf numFmtId="0" fontId="0" fillId="0" borderId="20" xfId="0" applyBorder="1"/>
    <xf numFmtId="0" fontId="0" fillId="0" borderId="20" xfId="0" applyBorder="1" applyAlignment="1">
      <alignment horizontal="left"/>
    </xf>
    <xf numFmtId="0" fontId="0" fillId="0" borderId="20" xfId="0" applyBorder="1" applyAlignment="1">
      <alignment horizontal="center"/>
    </xf>
    <xf numFmtId="44" fontId="0" fillId="0" borderId="20" xfId="42" applyFont="1" applyFill="1" applyBorder="1"/>
    <xf numFmtId="165" fontId="42" fillId="0" borderId="20" xfId="0" applyNumberFormat="1" applyFont="1" applyBorder="1"/>
    <xf numFmtId="2" fontId="42" fillId="0" borderId="20" xfId="0" applyNumberFormat="1" applyFont="1" applyBorder="1"/>
    <xf numFmtId="0" fontId="18" fillId="41" borderId="4" xfId="0" applyFont="1" applyFill="1" applyBorder="1"/>
    <xf numFmtId="166" fontId="0" fillId="0" borderId="19" xfId="44" applyNumberFormat="1" applyFont="1" applyBorder="1"/>
    <xf numFmtId="0" fontId="43" fillId="0" borderId="0" xfId="0" applyFont="1" applyAlignment="1">
      <alignment horizontal="center"/>
    </xf>
    <xf numFmtId="0" fontId="1" fillId="38" borderId="19" xfId="0" applyFont="1" applyFill="1" applyBorder="1" applyAlignment="1">
      <alignment horizontal="center" vertical="center" wrapText="1"/>
    </xf>
    <xf numFmtId="0" fontId="2" fillId="39" borderId="0" xfId="0" applyFont="1" applyFill="1"/>
    <xf numFmtId="0" fontId="2" fillId="39" borderId="0" xfId="0" applyFont="1" applyFill="1" applyAlignment="1">
      <alignment horizontal="center"/>
    </xf>
    <xf numFmtId="165" fontId="42" fillId="0" borderId="19" xfId="42" applyNumberFormat="1" applyFont="1" applyFill="1" applyBorder="1" applyAlignment="1"/>
    <xf numFmtId="166" fontId="42" fillId="0" borderId="19" xfId="44" applyNumberFormat="1" applyFont="1" applyBorder="1"/>
    <xf numFmtId="0" fontId="42" fillId="0" borderId="19" xfId="0" applyFont="1" applyBorder="1"/>
    <xf numFmtId="0" fontId="18" fillId="41" borderId="3" xfId="0" applyFont="1" applyFill="1" applyBorder="1" applyAlignment="1">
      <alignment horizontal="center"/>
    </xf>
    <xf numFmtId="0" fontId="18" fillId="41" borderId="3" xfId="0" applyFont="1" applyFill="1" applyBorder="1" applyAlignment="1">
      <alignment horizontal="center" wrapText="1"/>
    </xf>
    <xf numFmtId="0" fontId="42" fillId="0" borderId="19" xfId="0" applyFont="1" applyBorder="1" applyAlignment="1">
      <alignment horizontal="center"/>
    </xf>
    <xf numFmtId="0" fontId="21" fillId="0" borderId="1" xfId="0" applyFont="1" applyBorder="1" applyAlignment="1">
      <alignment horizontal="center" vertical="center" wrapText="1"/>
    </xf>
    <xf numFmtId="0" fontId="0" fillId="0" borderId="0" xfId="0" applyAlignment="1">
      <alignment vertical="center" wrapText="1"/>
    </xf>
    <xf numFmtId="0" fontId="18" fillId="41" borderId="3" xfId="0" applyFont="1" applyFill="1" applyBorder="1" applyAlignment="1">
      <alignment horizontal="left"/>
    </xf>
    <xf numFmtId="0" fontId="21" fillId="0" borderId="4" xfId="0" applyFont="1" applyBorder="1" applyAlignment="1">
      <alignment horizontal="center" vertical="center" wrapText="1"/>
    </xf>
    <xf numFmtId="0" fontId="18" fillId="41" borderId="1" xfId="0" applyFont="1" applyFill="1" applyBorder="1"/>
    <xf numFmtId="0" fontId="0" fillId="0" borderId="4" xfId="0" applyBorder="1"/>
    <xf numFmtId="0" fontId="0" fillId="0" borderId="19" xfId="0" applyBorder="1" applyAlignment="1">
      <alignment horizontal="center" vertical="center"/>
    </xf>
    <xf numFmtId="0" fontId="0" fillId="0" borderId="20" xfId="0" applyBorder="1" applyAlignment="1">
      <alignment horizontal="left" vertical="center"/>
    </xf>
    <xf numFmtId="0" fontId="0" fillId="0" borderId="20" xfId="0" applyBorder="1" applyAlignment="1">
      <alignment vertical="center"/>
    </xf>
    <xf numFmtId="0" fontId="0" fillId="0" borderId="0" xfId="0" applyAlignment="1">
      <alignment vertical="center"/>
    </xf>
    <xf numFmtId="0" fontId="21" fillId="0" borderId="0" xfId="0" applyFont="1"/>
    <xf numFmtId="0" fontId="0" fillId="3" borderId="0" xfId="0" applyFill="1" applyAlignment="1">
      <alignment horizontal="center"/>
    </xf>
    <xf numFmtId="0" fontId="0" fillId="3" borderId="0" xfId="0" applyFill="1"/>
    <xf numFmtId="0" fontId="21" fillId="3" borderId="0" xfId="0" applyFont="1" applyFill="1" applyAlignment="1">
      <alignment horizontal="center" vertical="center" wrapText="1"/>
    </xf>
    <xf numFmtId="0" fontId="44" fillId="42" borderId="19" xfId="0" applyFont="1" applyFill="1" applyBorder="1" applyAlignment="1">
      <alignment horizontal="center"/>
    </xf>
    <xf numFmtId="0" fontId="44" fillId="43" borderId="19" xfId="0" applyFont="1" applyFill="1" applyBorder="1" applyAlignment="1">
      <alignment horizontal="center"/>
    </xf>
    <xf numFmtId="0" fontId="0" fillId="43" borderId="19" xfId="0" applyFill="1" applyBorder="1"/>
    <xf numFmtId="0" fontId="0" fillId="43" borderId="19" xfId="0" applyFill="1" applyBorder="1" applyAlignment="1">
      <alignment horizontal="left"/>
    </xf>
    <xf numFmtId="0" fontId="0" fillId="43" borderId="0" xfId="0" applyFill="1"/>
    <xf numFmtId="0" fontId="0" fillId="43" borderId="0" xfId="0" applyFill="1" applyAlignment="1">
      <alignment wrapText="1"/>
    </xf>
    <xf numFmtId="0" fontId="0" fillId="0" borderId="0" xfId="0" quotePrefix="1" applyAlignment="1">
      <alignment horizontal="center"/>
    </xf>
    <xf numFmtId="0" fontId="0" fillId="0" borderId="0" xfId="0" quotePrefix="1"/>
    <xf numFmtId="0" fontId="0" fillId="44" borderId="19" xfId="0" applyFill="1" applyBorder="1"/>
    <xf numFmtId="0" fontId="0" fillId="43" borderId="1" xfId="0" applyFill="1" applyBorder="1"/>
    <xf numFmtId="14" fontId="2" fillId="0" borderId="19" xfId="0" applyNumberFormat="1" applyFont="1" applyBorder="1" applyAlignment="1">
      <alignment vertical="center" wrapText="1"/>
    </xf>
    <xf numFmtId="14" fontId="2" fillId="0" borderId="19" xfId="0" applyNumberFormat="1" applyFont="1" applyBorder="1" applyAlignment="1">
      <alignment horizontal="center" vertical="center" wrapText="1"/>
    </xf>
    <xf numFmtId="0" fontId="2" fillId="0" borderId="19" xfId="0" applyFont="1" applyBorder="1"/>
    <xf numFmtId="0" fontId="5" fillId="0" borderId="19" xfId="0" applyFont="1" applyBorder="1" applyAlignment="1">
      <alignment horizontal="left" vertical="center" wrapText="1"/>
    </xf>
    <xf numFmtId="0" fontId="4" fillId="0" borderId="19" xfId="0" applyFont="1" applyBorder="1" applyAlignment="1">
      <alignment horizontal="left" vertical="center" wrapText="1"/>
    </xf>
    <xf numFmtId="0" fontId="2" fillId="0" borderId="19" xfId="0" applyFont="1" applyBorder="1" applyAlignment="1">
      <alignment horizontal="left"/>
    </xf>
    <xf numFmtId="0" fontId="2" fillId="0" borderId="19" xfId="0" applyFont="1" applyBorder="1" applyAlignment="1">
      <alignment horizontal="left" vertical="center"/>
    </xf>
    <xf numFmtId="0" fontId="1" fillId="0" borderId="19" xfId="0" applyFont="1" applyBorder="1" applyAlignment="1">
      <alignment horizontal="left" vertical="center" wrapText="1"/>
    </xf>
    <xf numFmtId="0" fontId="26" fillId="0" borderId="19" xfId="0" applyFont="1" applyBorder="1" applyAlignment="1">
      <alignment horizontal="left"/>
    </xf>
    <xf numFmtId="14" fontId="26" fillId="0" borderId="19" xfId="0" applyNumberFormat="1" applyFont="1" applyBorder="1" applyAlignment="1">
      <alignment horizontal="center" vertical="center" wrapText="1"/>
    </xf>
    <xf numFmtId="0" fontId="18" fillId="41" borderId="3" xfId="0" applyFont="1" applyFill="1" applyBorder="1"/>
    <xf numFmtId="14" fontId="18" fillId="41" borderId="3" xfId="0" applyNumberFormat="1" applyFont="1" applyFill="1" applyBorder="1" applyAlignment="1">
      <alignment wrapText="1"/>
    </xf>
    <xf numFmtId="44" fontId="18" fillId="41" borderId="3" xfId="42" applyFont="1" applyFill="1" applyBorder="1" applyAlignment="1">
      <alignment horizontal="center" wrapText="1"/>
    </xf>
    <xf numFmtId="0" fontId="18" fillId="41" borderId="3" xfId="0" applyFont="1" applyFill="1" applyBorder="1" applyAlignment="1">
      <alignment wrapText="1"/>
    </xf>
    <xf numFmtId="44" fontId="18" fillId="41" borderId="3" xfId="42" applyFont="1" applyFill="1" applyBorder="1" applyAlignment="1">
      <alignment wrapText="1"/>
    </xf>
    <xf numFmtId="0" fontId="22" fillId="41" borderId="3" xfId="0" applyFont="1" applyFill="1" applyBorder="1"/>
    <xf numFmtId="10" fontId="42" fillId="0" borderId="19" xfId="43" applyNumberFormat="1" applyFont="1" applyFill="1" applyBorder="1" applyAlignment="1">
      <alignment horizontal="center"/>
    </xf>
    <xf numFmtId="14" fontId="18" fillId="41" borderId="3" xfId="0" applyNumberFormat="1" applyFont="1" applyFill="1" applyBorder="1" applyAlignment="1">
      <alignment horizontal="center" wrapText="1"/>
    </xf>
    <xf numFmtId="14" fontId="2" fillId="0" borderId="0" xfId="0" applyNumberFormat="1" applyFont="1" applyAlignment="1">
      <alignment horizontal="center" vertical="center" wrapText="1"/>
    </xf>
    <xf numFmtId="9" fontId="2" fillId="0" borderId="0" xfId="0" applyNumberFormat="1" applyFont="1" applyAlignment="1">
      <alignment horizontal="center"/>
    </xf>
    <xf numFmtId="9" fontId="2" fillId="39" borderId="0" xfId="0" applyNumberFormat="1" applyFont="1" applyFill="1" applyAlignment="1">
      <alignment horizontal="center"/>
    </xf>
    <xf numFmtId="9" fontId="2" fillId="3" borderId="0" xfId="0" applyNumberFormat="1" applyFont="1" applyFill="1" applyAlignment="1">
      <alignment horizontal="center"/>
    </xf>
    <xf numFmtId="9" fontId="2" fillId="0" borderId="1" xfId="0" applyNumberFormat="1" applyFont="1" applyBorder="1" applyAlignment="1">
      <alignment horizontal="center"/>
    </xf>
    <xf numFmtId="0" fontId="0" fillId="0" borderId="21" xfId="0" applyBorder="1" applyAlignment="1">
      <alignment horizontal="center"/>
    </xf>
    <xf numFmtId="0" fontId="0" fillId="45" borderId="19" xfId="0" applyFill="1" applyBorder="1" applyAlignment="1">
      <alignment horizontal="center"/>
    </xf>
    <xf numFmtId="0" fontId="0" fillId="45" borderId="19" xfId="0" applyFill="1" applyBorder="1"/>
    <xf numFmtId="0" fontId="0" fillId="45" borderId="1" xfId="0" applyFill="1" applyBorder="1"/>
    <xf numFmtId="165" fontId="42" fillId="0" borderId="20" xfId="42" applyNumberFormat="1" applyFont="1" applyFill="1" applyBorder="1" applyAlignment="1"/>
    <xf numFmtId="166" fontId="42" fillId="0" borderId="20" xfId="44" applyNumberFormat="1" applyFont="1" applyBorder="1"/>
    <xf numFmtId="44" fontId="42" fillId="0" borderId="20" xfId="42" applyFont="1" applyFill="1" applyBorder="1" applyAlignment="1"/>
    <xf numFmtId="0" fontId="42" fillId="0" borderId="20" xfId="0" applyFont="1" applyBorder="1"/>
    <xf numFmtId="10" fontId="42" fillId="0" borderId="20" xfId="43" applyNumberFormat="1" applyFont="1" applyFill="1" applyBorder="1" applyAlignment="1">
      <alignment horizontal="center"/>
    </xf>
    <xf numFmtId="0" fontId="0" fillId="0" borderId="21" xfId="0" applyBorder="1"/>
    <xf numFmtId="0" fontId="0" fillId="0" borderId="21" xfId="0" applyBorder="1" applyAlignment="1">
      <alignment horizontal="left"/>
    </xf>
    <xf numFmtId="44" fontId="0" fillId="0" borderId="21" xfId="42" applyFont="1" applyFill="1" applyBorder="1"/>
    <xf numFmtId="165" fontId="42" fillId="0" borderId="21" xfId="0" applyNumberFormat="1" applyFont="1" applyBorder="1"/>
    <xf numFmtId="165" fontId="42" fillId="0" borderId="21" xfId="42" applyNumberFormat="1" applyFont="1" applyFill="1" applyBorder="1" applyAlignment="1"/>
    <xf numFmtId="166" fontId="42" fillId="0" borderId="21" xfId="44" applyNumberFormat="1" applyFont="1" applyBorder="1"/>
    <xf numFmtId="44" fontId="42" fillId="0" borderId="21" xfId="42" applyFont="1" applyFill="1" applyBorder="1" applyAlignment="1"/>
    <xf numFmtId="2" fontId="42" fillId="0" borderId="21" xfId="0" applyNumberFormat="1" applyFont="1" applyBorder="1"/>
    <xf numFmtId="0" fontId="42" fillId="0" borderId="21" xfId="0" applyFont="1" applyBorder="1"/>
    <xf numFmtId="10" fontId="42" fillId="0" borderId="21" xfId="43" applyNumberFormat="1" applyFont="1" applyFill="1" applyBorder="1" applyAlignment="1">
      <alignment horizontal="center"/>
    </xf>
    <xf numFmtId="2" fontId="0" fillId="0" borderId="19" xfId="42" applyNumberFormat="1" applyFont="1" applyFill="1" applyBorder="1"/>
    <xf numFmtId="0" fontId="2" fillId="37" borderId="19" xfId="0" applyFont="1" applyFill="1" applyBorder="1" applyAlignment="1">
      <alignment horizontal="center" vertical="center"/>
    </xf>
    <xf numFmtId="0" fontId="45" fillId="0" borderId="19" xfId="0" applyFont="1" applyBorder="1" applyAlignment="1">
      <alignment vertical="center" wrapText="1"/>
    </xf>
    <xf numFmtId="0" fontId="26" fillId="46" borderId="19" xfId="0" applyFont="1" applyFill="1" applyBorder="1" applyAlignment="1">
      <alignment horizontal="left"/>
    </xf>
    <xf numFmtId="0" fontId="2" fillId="46" borderId="0" xfId="0" applyFont="1" applyFill="1" applyAlignment="1">
      <alignment horizontal="left"/>
    </xf>
    <xf numFmtId="0" fontId="5" fillId="36" borderId="19" xfId="0" applyFont="1" applyFill="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right"/>
    </xf>
    <xf numFmtId="0" fontId="0" fillId="0" borderId="0" xfId="0" applyAlignment="1">
      <alignment horizontal="right"/>
    </xf>
    <xf numFmtId="0" fontId="2" fillId="0" borderId="19" xfId="0" applyFont="1" applyBorder="1" applyAlignment="1">
      <alignment horizontal="center" vertical="center" wrapText="1"/>
    </xf>
    <xf numFmtId="0" fontId="2" fillId="0" borderId="3" xfId="0" applyFont="1" applyBorder="1" applyAlignment="1">
      <alignment horizontal="center" vertical="center"/>
    </xf>
    <xf numFmtId="0" fontId="2" fillId="0" borderId="0" xfId="0" applyFont="1" applyAlignment="1">
      <alignment horizontal="center" vertical="center"/>
    </xf>
    <xf numFmtId="0" fontId="28" fillId="0" borderId="14" xfId="0" applyFont="1" applyBorder="1" applyAlignment="1">
      <alignment vertical="center" wrapText="1"/>
    </xf>
    <xf numFmtId="0" fontId="28" fillId="0" borderId="15" xfId="0" applyFont="1" applyBorder="1" applyAlignment="1">
      <alignment vertical="center" wrapText="1"/>
    </xf>
    <xf numFmtId="0" fontId="28" fillId="0" borderId="14" xfId="0" applyFont="1" applyBorder="1" applyAlignment="1">
      <alignment horizontal="left" vertical="center" wrapText="1" indent="4"/>
    </xf>
    <xf numFmtId="0" fontId="28" fillId="0" borderId="15" xfId="0" applyFont="1" applyBorder="1" applyAlignment="1">
      <alignment horizontal="left" vertical="center" wrapText="1" indent="4"/>
    </xf>
    <xf numFmtId="0" fontId="31" fillId="0" borderId="14" xfId="0" applyFont="1" applyBorder="1" applyAlignment="1">
      <alignment vertical="center" wrapText="1"/>
    </xf>
    <xf numFmtId="0" fontId="31" fillId="0" borderId="15" xfId="0" applyFont="1" applyBorder="1" applyAlignment="1">
      <alignment vertical="center" wrapText="1"/>
    </xf>
    <xf numFmtId="0" fontId="29" fillId="0" borderId="14" xfId="0" applyFont="1" applyBorder="1" applyAlignment="1">
      <alignment vertical="center" wrapText="1"/>
    </xf>
    <xf numFmtId="0" fontId="29" fillId="0" borderId="15" xfId="0" applyFont="1" applyBorder="1" applyAlignment="1">
      <alignment vertical="center" wrapText="1"/>
    </xf>
    <xf numFmtId="0" fontId="28" fillId="0" borderId="17" xfId="0" applyFont="1" applyBorder="1" applyAlignment="1">
      <alignment vertical="center" wrapText="1"/>
    </xf>
    <xf numFmtId="0" fontId="29" fillId="0" borderId="17" xfId="0" applyFont="1" applyBorder="1" applyAlignment="1">
      <alignment vertical="center" wrapText="1"/>
    </xf>
    <xf numFmtId="0" fontId="31" fillId="0" borderId="17" xfId="0" applyFont="1" applyBorder="1" applyAlignment="1">
      <alignment vertical="center" wrapText="1"/>
    </xf>
    <xf numFmtId="0" fontId="32" fillId="0" borderId="14" xfId="0" applyFont="1" applyBorder="1" applyAlignment="1">
      <alignment vertical="center" wrapText="1"/>
    </xf>
    <xf numFmtId="0" fontId="32" fillId="0" borderId="15" xfId="0" applyFont="1" applyBorder="1" applyAlignment="1">
      <alignment vertical="center" wrapText="1"/>
    </xf>
    <xf numFmtId="0" fontId="34" fillId="0" borderId="14" xfId="0" applyFont="1" applyBorder="1" applyAlignment="1">
      <alignment vertical="center" wrapText="1"/>
    </xf>
    <xf numFmtId="0" fontId="34" fillId="0" borderId="15" xfId="0" applyFont="1" applyBorder="1" applyAlignment="1">
      <alignment vertical="center" wrapText="1"/>
    </xf>
    <xf numFmtId="0" fontId="30" fillId="0" borderId="14" xfId="0" applyFont="1" applyBorder="1" applyAlignment="1">
      <alignment vertical="center" wrapText="1"/>
    </xf>
    <xf numFmtId="0" fontId="30" fillId="0" borderId="15" xfId="0" applyFont="1" applyBorder="1" applyAlignment="1">
      <alignment vertical="center" wrapText="1"/>
    </xf>
    <xf numFmtId="0" fontId="18" fillId="41" borderId="0" xfId="0" applyFont="1" applyFill="1" applyAlignment="1">
      <alignment horizontal="left"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SupportingPropertyBagStructure" Target="richData/rdsupportingpropertybagstructure.xml"/></Relationships>
</file>

<file path=xl/drawings/drawing1.xml><?xml version="1.0" encoding="utf-8"?>
<xdr:wsDr xmlns:xdr="http://schemas.openxmlformats.org/drawingml/2006/spreadsheetDrawing" xmlns:a="http://schemas.openxmlformats.org/drawingml/2006/main">
  <xdr:twoCellAnchor>
    <xdr:from>
      <xdr:col>0</xdr:col>
      <xdr:colOff>41275</xdr:colOff>
      <xdr:row>21</xdr:row>
      <xdr:rowOff>307975</xdr:rowOff>
    </xdr:from>
    <xdr:to>
      <xdr:col>1</xdr:col>
      <xdr:colOff>171958</xdr:colOff>
      <xdr:row>27</xdr:row>
      <xdr:rowOff>240157</xdr:rowOff>
    </xdr:to>
    <xdr:sp macro="" textlink="">
      <xdr:nvSpPr>
        <xdr:cNvPr id="2" name="Arrow: Right 1">
          <a:extLst>
            <a:ext uri="{FF2B5EF4-FFF2-40B4-BE49-F238E27FC236}">
              <a16:creationId xmlns:a16="http://schemas.microsoft.com/office/drawing/2014/main" id="{5A352B92-30A2-0A0D-6D9A-197517EE3475}"/>
            </a:ext>
          </a:extLst>
        </xdr:cNvPr>
        <xdr:cNvSpPr/>
      </xdr:nvSpPr>
      <xdr:spPr>
        <a:xfrm>
          <a:off x="41275" y="11547475"/>
          <a:ext cx="930783" cy="278015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42">
  <rv s="0">
    <v>https://www.bing.com/financeapi/forcetrigger?t=a249r7&amp;q=XNYS%3aTJX&amp;form=skydnc</v>
    <v>Learn more on Bing</v>
  </rv>
  <rv s="1">
    <v>0</v>
    <v>THE TJX COMPANIES, INC. (XNYS:TJX)</v>
    <v>2</v>
    <v>3</v>
    <v>Finance</v>
    <v>4</v>
    <v>en-US</v>
    <v>a249r7</v>
    <v>268435456</v>
    <v>1</v>
    <v>Powered by Refinitiv</v>
    <v>170</v>
    <v>122.3</v>
    <v>0.62029999999999996</v>
    <v>-2.0750000000000002</v>
    <v>-1.3327E-2</v>
    <v>USD</v>
    <v>The TJX Companies, Inc. is an off-price apparel and home fashions retailer in the United States (U.S.) and worldwide. The Company's segments include Marmaxx and HomeGoods, both in the U.S., TJX Canada and TJX International, including Europe and Australia. The TJ Maxx and Marshalls chains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offering a range of home decor, furniture, and seasonal home merchandise. The TJX International segment operates the TK Maxx and Homesense chains in Europe and the TK Maxx chain in Australia.</v>
    <v>377000</v>
    <v>New York Stock Exchange</v>
    <v>XNYS</v>
    <v>XNYS</v>
    <v>770 Cochituate Rd, FRAMINGHAM, MA, 01701 US</v>
    <v>155.3725</v>
    <v>Diversified Retail</v>
    <v>Stock</v>
    <v>46224.664039953124</v>
    <v>0</v>
    <v>152.77000000000001</v>
    <v>169710152000</v>
    <v>THE TJX COMPANIES, INC.</v>
    <v>THE TJX COMPANIES, INC.</v>
    <v>154.965</v>
    <v>29.842300000000002</v>
    <v>155.69999999999999</v>
    <v>153.625</v>
    <v>1104704000</v>
    <v>TJX</v>
    <v>THE TJX COMPANIES, INC. (XNYS:TJX)</v>
    <v>1514664</v>
    <v>5906808</v>
    <v>1962</v>
  </rv>
  <rv s="2">
    <v>1</v>
  </rv>
  <rv s="0">
    <v>https://www.bing.com/financeapi/forcetrigger?t=a1rvk2&amp;q=XNYS%3aELY&amp;form=skydnc</v>
    <v>Learn more on Bing</v>
  </rv>
  <rv s="1">
    <v>0</v>
    <v>CALLAWAY GOLF COMPANY (XNYS:CALY)</v>
    <v>2</v>
    <v>3</v>
    <v>Finance</v>
    <v>4</v>
    <v>en-US</v>
    <v>a1rvk2</v>
    <v>268435456</v>
    <v>1</v>
    <v>Powered by Refinitiv</v>
    <v>20.28</v>
    <v>8</v>
    <v>0.93089999999999995</v>
    <v>-0.24</v>
    <v>-1.2685E-2</v>
    <v>USD</v>
    <v>Callaway Golf Company, formerly Topgolf Callaway Brands Corp., is a golf equipment, gear and apparel company. The Company designs, manufactures, and sells high-performance golf clubs, golf balls, apparel, bags, and other accessories. Its products are distributed through a mix of on-course, specialty retail, wholesale, direct-to-consumer and international channels. It operates through two segments: Golf Equipment, Apparel, Gear and Other. Golf Equipment segment consists of golf club and golf ball products, including Callaway Golf-branded woods, hybrids, irons, wedges, Odyssey putters, packaged sets, Callaway Golf-branded golf balls and sales of pre-owned golf clubs. Apparel, Gear and Other segments consist of TravisMathew golf and lifestyle apparel and accessories business. Its golf club products include woods, drivers, fairway woods, hybrids and irons and wedges. It offers a two-piece golf ball consisting of a core and cover or a multilayer golf ball with two or more components.</v>
    <v>28000</v>
    <v>New York Stock Exchange</v>
    <v>XNYS</v>
    <v>XNYS</v>
    <v>2180 Rutherford Rd, CARLSBAD, CA, 92008-8815 US</v>
    <v>19.34</v>
    <v>Leisure Products</v>
    <v>Stock</v>
    <v>46224.664041955468</v>
    <v>3</v>
    <v>18.495000000000001</v>
    <v>3357871968</v>
    <v>CALLAWAY GOLF COMPANY</v>
    <v>CALLAWAY GOLF COMPANY</v>
    <v>18.984999999999999</v>
    <v>32.852600000000002</v>
    <v>18.920000000000002</v>
    <v>18.68</v>
    <v>179757600</v>
    <v>CALY</v>
    <v>CALLAWAY GOLF COMPANY (XNYS:CALY)</v>
    <v>716235</v>
    <v>2249513</v>
    <v>1999</v>
  </rv>
  <rv s="2">
    <v>4</v>
  </rv>
  <rv s="0">
    <v>https://www.bing.com/financeapi/forcetrigger?t=bvsk7w&amp;q=XNYS%3aPLTR&amp;form=skydnc</v>
    <v>Learn more on Bing</v>
  </rv>
  <rv s="1">
    <v>0</v>
    <v>PALANTIR TECHNOLOGIES INC. (XNAS:PLTR)</v>
    <v>2</v>
    <v>3</v>
    <v>Finance</v>
    <v>4</v>
    <v>en-US</v>
    <v>bvsk7w</v>
    <v>268435456</v>
    <v>1</v>
    <v>Powered by Refinitiv</v>
    <v>207.52</v>
    <v>106.37</v>
    <v>1.5670999999999999</v>
    <v>-0.67</v>
    <v>-4.9680000000000002E-3</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4395</v>
    <v>Nasdaq Stock Market</v>
    <v>XNAS</v>
    <v>XNAS</v>
    <v>1200 17Th Street, Floor 15, DENVER, CO, 80202 US</v>
    <v>134.68</v>
    <v>Software &amp; IT Services</v>
    <v>Stock</v>
    <v>46224.664080566406</v>
    <v>6</v>
    <v>131.22499999999999</v>
    <v>321671324160</v>
    <v>PALANTIR TECHNOLOGIES INC.</v>
    <v>PALANTIR TECHNOLOGIES INC.</v>
    <v>133.80000000000001</v>
    <v>151.17169999999999</v>
    <v>134.85</v>
    <v>134.18</v>
    <v>2397312000</v>
    <v>PLTR</v>
    <v>PALANTIR TECHNOLOGIES INC. (XNAS:PLTR)</v>
    <v>10381901</v>
    <v>42927425</v>
    <v>2003</v>
  </rv>
  <rv s="2">
    <v>7</v>
  </rv>
  <rv s="0">
    <v>https://www.bing.com/financeapi/forcetrigger?t=a25xjc&amp;q=XNYS%3aWM&amp;form=skydnc</v>
    <v>Learn more on Bing</v>
  </rv>
  <rv s="1">
    <v>0</v>
    <v>WASTE MANAGEMENT, INC. (XNYS:WM)</v>
    <v>2</v>
    <v>3</v>
    <v>Finance</v>
    <v>4</v>
    <v>en-US</v>
    <v>a25xjc</v>
    <v>268435456</v>
    <v>1</v>
    <v>Powered by Refinitiv</v>
    <v>248.13</v>
    <v>194.11</v>
    <v>0.43330000000000002</v>
    <v>-5.21</v>
    <v>-2.1794999999999998E-2</v>
    <v>USD</v>
    <v>Waste Management, Inc. is a provider of environmental solutions. The Company provides collection, recycling, and disposal services to millions of residential, commercial, industrial, and municipal customers throughout the United States and Canada. Its segments include East Tier, West Tier, Recycling Processing and Sales, WM Renewable Energy, and WM Healthcare Solutions. East Tier primarily consists of geographic areas located in the Eastern U.S., the Great Lakes region and all of Canada. The West Tier primarily includes geographic areas located in the Western U.S., including the upper Midwest region and British Columbia, Canada. Recycling Processing and Sales includes the processing and sales of materials collected from residential, commercial, and industrial customers. WM Renewable Energy develops, operates, and promotes projects for the beneficial use of landfill gas. WM Healthcare Solutions includes Regulated Waste and Compliance Services and Secure Information Destruction services.</v>
    <v>60500</v>
    <v>New York Stock Exchange</v>
    <v>XNYS</v>
    <v>XNYS</v>
    <v>800 Capitol Street, Suite 3000, HOUSTON, TX, 77002 US</v>
    <v>235.93</v>
    <v>Professional &amp; Commercial Services</v>
    <v>Stock</v>
    <v>46224.663978251563</v>
    <v>9</v>
    <v>232.86</v>
    <v>93904461688</v>
    <v>WASTE MANAGEMENT, INC.</v>
    <v>WASTE MANAGEMENT, INC.</v>
    <v>235.06</v>
    <v>33.8506</v>
    <v>239.05</v>
    <v>233.84</v>
    <v>401575700</v>
    <v>WM</v>
    <v>WASTE MANAGEMENT, INC. (XNYS:WM)</v>
    <v>739328</v>
    <v>2224904</v>
    <v>1995</v>
  </rv>
  <rv s="2">
    <v>10</v>
  </rv>
  <rv s="0">
    <v>https://www.bing.com/financeapi/forcetrigger?t=a24kar&amp;q=XNAS%3aTSLA&amp;form=skydnc</v>
    <v>Learn more on Bing</v>
  </rv>
  <rv s="1">
    <v>0</v>
    <v>TESLA, INC. (XNAS:TSLA)</v>
    <v>2</v>
    <v>3</v>
    <v>Finance</v>
    <v>4</v>
    <v>en-US</v>
    <v>a24kar</v>
    <v>268435456</v>
    <v>1</v>
    <v>Powered by Refinitiv</v>
    <v>498.83</v>
    <v>297.82</v>
    <v>1.8216000000000001</v>
    <v>12.21</v>
    <v>3.3037999999999998E-2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384.07</v>
    <v>Automobiles &amp; Auto Parts</v>
    <v>Stock</v>
    <v>46224.664094803127</v>
    <v>12</v>
    <v>369.99</v>
    <v>1433860308720</v>
    <v>TESLA, INC.</v>
    <v>TESLA, INC.</v>
    <v>370.66</v>
    <v>348.9443</v>
    <v>369.57</v>
    <v>381.78</v>
    <v>3755724000</v>
    <v>TSLA</v>
    <v>TESLA, INC. (XNAS:TSLA)</v>
    <v>17272090</v>
    <v>42632578</v>
    <v>2024</v>
  </rv>
  <rv s="2">
    <v>13</v>
  </rv>
  <rv s="0">
    <v>https://www.bing.com/financeapi/forcetrigger?t=a22k9c&amp;q=XNAS%3aSBUX&amp;form=skydnc</v>
    <v>Learn more on Bing</v>
  </rv>
  <rv s="1">
    <v>0</v>
    <v>STARBUCKS CORPORATION (XNAS:SBUX)</v>
    <v>2</v>
    <v>3</v>
    <v>Finance</v>
    <v>4</v>
    <v>en-US</v>
    <v>a22k9c</v>
    <v>268435456</v>
    <v>1</v>
    <v>Powered by Refinitiv</v>
    <v>109.23</v>
    <v>77.989999999999995</v>
    <v>0.95589999999999997</v>
    <v>0.03</v>
    <v>2.8620000000000002E-4</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105.49</v>
    <v>Hotels &amp; Entertainment Services</v>
    <v>Stock</v>
    <v>46224.664091191407</v>
    <v>15</v>
    <v>103.92</v>
    <v>119486148000</v>
    <v>STARBUCKS CORPORATION</v>
    <v>STARBUCKS CORPORATION</v>
    <v>105.06</v>
    <v>80.012200000000007</v>
    <v>104.81</v>
    <v>104.84</v>
    <v>1139700000</v>
    <v>SBUX</v>
    <v>STARBUCKS CORPORATION (XNAS:SBUX)</v>
    <v>2340621</v>
    <v>7064338</v>
    <v>1985</v>
  </rv>
  <rv s="2">
    <v>16</v>
  </rv>
  <rv s="0">
    <v>https://www.bing.com/financeapi/forcetrigger?t=a25552&amp;q=XNYS%3aRTX&amp;form=skydnc</v>
    <v>Learn more on Bing</v>
  </rv>
  <rv s="1">
    <v>0</v>
    <v>RTX CORPORATION (XNYS:RTX)</v>
    <v>2</v>
    <v>3</v>
    <v>Finance</v>
    <v>4</v>
    <v>en-US</v>
    <v>a25552</v>
    <v>268435456</v>
    <v>1</v>
    <v>Powered by Refinitiv</v>
    <v>214.5</v>
    <v>143.56</v>
    <v>0.29609999999999997</v>
    <v>1.87</v>
    <v>9.6170000000000005E-3</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197.14009999999999</v>
    <v>Aerospace &amp; Defense</v>
    <v>Stock</v>
    <v>46224.664085231248</v>
    <v>18</v>
    <v>190.02</v>
    <v>264367339730</v>
    <v>RTX CORPORATION</v>
    <v>RTX CORPORATION</v>
    <v>193.99</v>
    <v>36.786299999999997</v>
    <v>194.44</v>
    <v>196.31</v>
    <v>1346683000</v>
    <v>RTX</v>
    <v>RTX CORPORATION (XNYS:RTX)</v>
    <v>935080</v>
    <v>4788997</v>
    <v>1934</v>
  </rv>
  <rv s="2">
    <v>19</v>
  </rv>
  <rv s="0">
    <v>https://www.bing.com/financeapi/forcetrigger?t=a1u3rw&amp;q=XNAS%3aGOOGL&amp;form=skydnc</v>
    <v>Learn more on Bing</v>
  </rv>
  <rv s="1">
    <v>0</v>
    <v>ALPHABET INC. (XNAS:GOOGL)</v>
    <v>2</v>
    <v>3</v>
    <v>Finance</v>
    <v>4</v>
    <v>en-US</v>
    <v>a1u3rw</v>
    <v>268435456</v>
    <v>1</v>
    <v>Powered by Refinitiv</v>
    <v>408.61</v>
    <v>186.15</v>
    <v>1.242</v>
    <v>-2.16</v>
    <v>-6.1370000000000001E-3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351.14</v>
    <v>Software &amp; IT Services</v>
    <v>Stock</v>
    <v>46224.664078390626</v>
    <v>21</v>
    <v>347.59</v>
    <v>4259026324800</v>
    <v>ALPHABET INC.</v>
    <v>ALPHABET INC.</v>
    <v>350.79</v>
    <v>26.663900000000002</v>
    <v>351.99</v>
    <v>349.83</v>
    <v>12174560000</v>
    <v>GOOGL</v>
    <v>ALPHABET INC. (XNAS:GOOGL)</v>
    <v>8628001</v>
    <v>33354292</v>
    <v>2015</v>
  </rv>
  <rv s="2">
    <v>22</v>
  </rv>
  <rv s="0">
    <v>https://www.bing.com/financeapi/forcetrigger?t=bqrtfr&amp;q=XNAS%3aDKNG&amp;form=skydnc</v>
    <v>Learn more on Bing</v>
  </rv>
  <rv s="1">
    <v>0</v>
    <v>DRAFTKINGS INC. (XNAS:DKNG)</v>
    <v>2</v>
    <v>3</v>
    <v>Finance</v>
    <v>4</v>
    <v>en-US</v>
    <v>bqrtfr</v>
    <v>268435456</v>
    <v>1</v>
    <v>Powered by Refinitiv</v>
    <v>48.78</v>
    <v>20.46</v>
    <v>1.6528</v>
    <v>-0.16500000000000001</v>
    <v>-6.7850000000000002E-3</v>
    <v>USD</v>
    <v>DraftKings Inc. is a digital sports entertainment and gaming company. It provides users with online and retail sports betting (together, Sportsbook), online casino (iGaming) and daily fantasy sports product offerings, as well as digital lottery courier, media, and other product offerings. Sportsbook is live with mobile and/or retail sports betting operations pursuant to regulations in 28 states, Washington, D.C., and in Ontario, Canada. It operates iGaming pursuant to regulations in five states and in Ontario, Canada under its DraftKings brand and pursuant to regulations in four states under its Golden Nugget Online Gaming brand. It owns Jackpocket, a digital lottery courier app in the United States. It is both an official daily fantasy and sports betting partner of the NFL, NHL, PGA TOUR, WNBA and UFC, as well as an official daily fantasy partner of NASCAR, an official sports betting partner of the NBA. It also owns and operates DraftKings Network, a multi-platform content ecosystem.</v>
    <v>5500</v>
    <v>Nasdaq Stock Market</v>
    <v>XNAS</v>
    <v>XNAS</v>
    <v>222 Berkeley Street, 5th Floor, BOSTON, MA, 02116 US</v>
    <v>24.33</v>
    <v>Hotels &amp; Entertainment Services</v>
    <v>Stock</v>
    <v>46224.66407528906</v>
    <v>24</v>
    <v>23.84</v>
    <v>11983991164</v>
    <v>DRAFTKINGS INC.</v>
    <v>DRAFTKINGS INC.</v>
    <v>24.1</v>
    <v>281.8553</v>
    <v>24.32</v>
    <v>24.155000000000001</v>
    <v>496128800</v>
    <v>DKNG</v>
    <v>DRAFTKINGS INC. (XNAS:DKNG)</v>
    <v>4342901</v>
    <v>11369313</v>
    <v>2021</v>
  </rv>
  <rv s="2">
    <v>25</v>
  </rv>
  <rv s="0">
    <v>https://www.bing.com/financeapi/forcetrigger?t=a1x8nm&amp;q=XNYS%3aLYV&amp;form=skydnc</v>
    <v>Learn more on Bing</v>
  </rv>
  <rv s="1">
    <v>0</v>
    <v>LIVE NATION ENTERTAINMENT, INC. (XNYS:LYV)</v>
    <v>2</v>
    <v>3</v>
    <v>Finance</v>
    <v>4</v>
    <v>en-US</v>
    <v>a1x8nm</v>
    <v>268435456</v>
    <v>1</v>
    <v>Powered by Refinitiv</v>
    <v>188</v>
    <v>125.34</v>
    <v>1.1221000000000001</v>
    <v>-3.605</v>
    <v>-1.9932999999999999E-2</v>
    <v>USD</v>
    <v>Live Nation Entertainment, Inc. is a live entertainment company. The Company is a producer of live music concerts. Its segments include Concerts, Ticketing and Sponsorship &amp; Advertising. The Concerts segment principally involves the global promotion of live music events in its owned or operated venues and in rented third-party venues, the operation and management of music venues, the production of music festivals across the world, the creation of associated content and the provision of management and other services to artists. The Ticketing segment is an agency business that sells tickets for events on behalf of its clients. The Sponsorship &amp; Advertising segment employs a sales force that creates and maintains relationships with sponsors through a combination of strategic, international, national, and local opportunities that allow businesses to reach customers through its concert, festival, venue and ticketing assets, including advertising on its Websites.</v>
    <v>17700</v>
    <v>New York Stock Exchange</v>
    <v>XNYS</v>
    <v>XNYS</v>
    <v>9348 Civic Center Dr, BEVERLY HILLS, CA, 90210 US</v>
    <v>179.85</v>
    <v>Media &amp; Publishing</v>
    <v>Stock</v>
    <v>46224.664044050784</v>
    <v>27</v>
    <v>176.24</v>
    <v>41249507364</v>
    <v>LIVE NATION ENTERTAINMENT, INC.</v>
    <v>LIVE NATION ENTERTAINMENT, INC.</v>
    <v>179.18</v>
    <v>0</v>
    <v>180.86</v>
    <v>177.255</v>
    <v>232712800</v>
    <v>LYV</v>
    <v>LIVE NATION ENTERTAINMENT, INC. (XNYS:LYV)</v>
    <v>492507</v>
    <v>2486738</v>
    <v>2005</v>
  </rv>
  <rv s="2">
    <v>28</v>
  </rv>
  <rv s="0">
    <v>http://en.wikipedia.org/wiki/Public_domain</v>
    <v>Public domain</v>
  </rv>
  <rv s="0">
    <v>http://en.wikipedia.org/wiki/McDonald's</v>
    <v>Wikipedia</v>
  </rv>
  <rv s="3">
    <v>30</v>
    <v>31</v>
  </rv>
  <rv s="4">
    <v>9</v>
    <v>https://www.bing.com/th?id=AMMS_7d8255243964a8970376f8dd41121106&amp;qlt=95</v>
    <v>32</v>
    <v>0</v>
    <v>https://www.bing.com/images/search?form=xlimg&amp;q=mcdonald%27s</v>
    <v>Image of MCDONALD'S CORPORATION</v>
  </rv>
  <rv s="0">
    <v>https://www.bing.com/financeapi/forcetrigger?t=a1xdec&amp;q=XNYS%3aMCD&amp;form=skydnc</v>
    <v>Learn more on Bing</v>
  </rv>
  <rv s="5">
    <v>5</v>
    <v>MCDONALD'S CORPORATION (XNYS:MCD)</v>
    <v>7</v>
    <v>8</v>
    <v>Finance</v>
    <v>4</v>
    <v>en-US</v>
    <v>a1xdec</v>
    <v>268435456</v>
    <v>1</v>
    <v>Powered by Refinitiv</v>
    <v>341.75</v>
    <v>264.08999999999997</v>
    <v>0.4148</v>
    <v>-2.98</v>
    <v>-1.1134E-2</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comprises markets or countries in which it operates and franchises restaurants, including Australia, Canada, France, Germany, Italy, Poland, Spain, and the United Kingdom. This segment is 89% franchised. The International Developmental Licensed Markets &amp; Corporate segment comprises development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266.86770000000001</v>
    <v>33</v>
    <v>Hotels &amp; Entertainment Services</v>
    <v>Stock</v>
    <v>46224.66408884219</v>
    <v>34</v>
    <v>264.20999999999998</v>
    <v>188042491494</v>
    <v>MCDONALD'S CORPORATION</v>
    <v>MCDONALD'S CORPORATION</v>
    <v>266.7</v>
    <v>21.8156</v>
    <v>267.64</v>
    <v>264.66000000000003</v>
    <v>710505900</v>
    <v>MCD</v>
    <v>MCDONALD'S CORPORATION (XNYS:MCD)</v>
    <v>1112456</v>
    <v>4765367</v>
    <v>1964</v>
  </rv>
  <rv s="2">
    <v>35</v>
  </rv>
  <rv s="0">
    <v>https://en.wikipedia.org/wiki/Microsoft</v>
    <v>Wikipedia</v>
  </rv>
  <rv s="3">
    <v>30</v>
    <v>37</v>
  </rv>
  <rv s="4">
    <v>9</v>
    <v>https://www.bing.com/th?id=AMMS_e6e837c7bf3a77408619758b7447855a&amp;qlt=95</v>
    <v>38</v>
    <v>0</v>
    <v>https://www.bing.com/images/search?form=xlimg&amp;q=microsoft</v>
    <v>Image of MICROSOFT CORPORATION</v>
  </rv>
  <rv s="0">
    <v>https://www.bing.com/financeapi/forcetrigger?t=a1xzim&amp;q=XNAS%3aMSFT&amp;form=skydnc</v>
    <v>Learn more on Bing</v>
  </rv>
  <rv s="5">
    <v>5</v>
    <v>MICROSOFT CORPORATION (XNAS:MSFT)</v>
    <v>7</v>
    <v>8</v>
    <v>Finance</v>
    <v>4</v>
    <v>en-US</v>
    <v>a1xzim</v>
    <v>268435456</v>
    <v>1</v>
    <v>Powered by Refinitiv</v>
    <v>555.45000000000005</v>
    <v>349.2</v>
    <v>1.1141000000000001</v>
    <v>-3.19</v>
    <v>-7.9299999999999995E-3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401.47</v>
    <v>39</v>
    <v>Software &amp; IT Services</v>
    <v>Stock</v>
    <v>46224.664087453122</v>
    <v>40</v>
    <v>396.32</v>
    <v>2964688408500</v>
    <v>MICROSOFT CORPORATION</v>
    <v>MICROSOFT CORPORATION</v>
    <v>399</v>
    <v>23.770700000000001</v>
    <v>402.29</v>
    <v>399.1</v>
    <v>7428435000</v>
    <v>MSFT</v>
    <v>MICROSOFT CORPORATION (XNAS:MSFT)</v>
    <v>9807457</v>
    <v>44237099</v>
    <v>1993</v>
  </rv>
  <rv s="2">
    <v>41</v>
  </rv>
  <rv s="0">
    <v>https://www.bing.com/financeapi/forcetrigger?t=a1wzw7&amp;q=XNYS%3aLMT&amp;form=skydnc</v>
    <v>Learn more on Bing</v>
  </rv>
  <rv s="1">
    <v>0</v>
    <v>LOCKHEED MARTIN CORPORATION (XNYS:LMT)</v>
    <v>2</v>
    <v>3</v>
    <v>Finance</v>
    <v>4</v>
    <v>en-US</v>
    <v>a1wzw7</v>
    <v>268435456</v>
    <v>1</v>
    <v>Powered by Refinitiv</v>
    <v>692</v>
    <v>410.11</v>
    <v>0.1173</v>
    <v>-4.8499999999999996</v>
    <v>-9.5180000000000004E-3</v>
    <v>USD</v>
    <v>Lockheed Martin Corporation is an aerospace and defense technology company. The Company's segments include Aeronautics, Missiles and Fire Control (MFC), Rotary and Mission Systems (RMS) and Space. The Aeronautics segment is engaged in research, design, development, manufacture, integration, sustainment, support and upgrade of advanced military aircraft, including combat and air mobility aircraft, unmanned air vehicles and related technologies. The MFC segment provides air and missile defense systems; tactical missiles and precision strike weapon systems; logistics; fire control systems; engineering support and integration services. The RMS segment designs, manufactures, services and supports various military and commercial helicopters, sea and land-based missile defense systems. The Space segment is engaged in the research and design, development, engineering and production of satellites, space transportation systems, and strategic, advanced strike, and defensive systems.</v>
    <v>123000</v>
    <v>New York Stock Exchange</v>
    <v>XNYS</v>
    <v>XNYS</v>
    <v>6801 ROCKLEDGE DR, BETHESDA, MD, 20817 US</v>
    <v>506.5</v>
    <v>Aerospace &amp; Defense</v>
    <v>Stock</v>
    <v>46224.664043587502</v>
    <v>43</v>
    <v>487.15</v>
    <v>116363143284</v>
    <v>LOCKHEED MARTIN CORPORATION</v>
    <v>LOCKHEED MARTIN CORPORATION</v>
    <v>501.91</v>
    <v>24.441400000000002</v>
    <v>509.54</v>
    <v>504.69</v>
    <v>230563600</v>
    <v>LMT</v>
    <v>LOCKHEED MARTIN CORPORATION (XNYS:LMT)</v>
    <v>501359</v>
    <v>1260982</v>
    <v>1994</v>
  </rv>
  <rv s="2">
    <v>44</v>
  </rv>
  <rv s="0">
    <v>https://www.bing.com/financeapi/forcetrigger?t=a222gh&amp;q=XNYS%3aRL&amp;form=skydnc</v>
    <v>Learn more on Bing</v>
  </rv>
  <rv s="1">
    <v>0</v>
    <v>RALPH LAUREN CORPORATION (XNYS:RL)</v>
    <v>2</v>
    <v>3</v>
    <v>Finance</v>
    <v>4</v>
    <v>en-US</v>
    <v>a222gh</v>
    <v>268435456</v>
    <v>1</v>
    <v>Powered by Refinitiv</v>
    <v>421.6</v>
    <v>273.04000000000002</v>
    <v>1.3693</v>
    <v>7.27</v>
    <v>1.9310000000000001E-2</v>
    <v>USD</v>
    <v>Ralph Lauren Corporation is engaged in the design, marketing, and distribution of luxury lifestyle products, including apparel, footwear and accessories, home, fragrances and hospitality. Its segments include North America, Europe, and Asia. Its brands include Ralph Lauren, Ralph Lauren Collection, Ralph Lauren Purple Label, Polo Ralph Lauren, Lauren Ralph Lauren, Polo Ralph Lauren Children, and Chaps, among others. Its products include apparel and footwear and accessories for men, women, and children, as well as fragrance and home collections, together with its hospitality portfolio. Its range of footwear and accessories include casual shoes, dress shoes, boots, sneakers, sandals, eyewear, watches, scarves, hats and others. Its range of home products includes bed and bath lines, lighting, dining, floor coverings, giftware and more. Its hospitality collection is comprised of its restaurants, including The Polo Bar in New York City, RL Restaurant located in Chicago, and others.</v>
    <v>15600</v>
    <v>New York Stock Exchange</v>
    <v>XNYS</v>
    <v>XNYS</v>
    <v>650 Madison Ave, NEW YORK, NY, 10022 US</v>
    <v>388.77</v>
    <v>Textiles &amp; Apparel</v>
    <v>Stock</v>
    <v>46224.664053506247</v>
    <v>46</v>
    <v>382.55</v>
    <v>22839399312</v>
    <v>RALPH LAUREN CORPORATION</v>
    <v>RALPH LAUREN CORPORATION</v>
    <v>388.77</v>
    <v>25.3964</v>
    <v>376.48</v>
    <v>383.75</v>
    <v>59516350</v>
    <v>RL</v>
    <v>RALPH LAUREN CORPORATION (XNYS:RL)</v>
    <v>178050</v>
    <v>690910</v>
    <v>1997</v>
  </rv>
  <rv s="2">
    <v>47</v>
  </rv>
  <rv s="0">
    <v>https://www.bing.com/financeapi/forcetrigger?t=a1q6k2&amp;q=XNAS%3aCOST&amp;form=skydnc</v>
    <v>Learn more on Bing</v>
  </rv>
  <rv s="1">
    <v>0</v>
    <v>COSTCO WHOLESALE CORPORATION (XNAS:COST)</v>
    <v>2</v>
    <v>3</v>
    <v>Finance</v>
    <v>4</v>
    <v>en-US</v>
    <v>a1q6k2</v>
    <v>268435456</v>
    <v>1</v>
    <v>Powered by Refinitiv</v>
    <v>1096.5</v>
    <v>844.06</v>
    <v>0.87280000000000002</v>
    <v>-6.335</v>
    <v>-6.7700000000000008E-3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931.97</v>
    <v>Diversified Retail</v>
    <v>Stock</v>
    <v>46224.664073599219</v>
    <v>49</v>
    <v>924.44</v>
    <v>412198022842</v>
    <v>COSTCO WHOLESALE CORPORATION</v>
    <v>COSTCO WHOLESALE CORPORATION</v>
    <v>931</v>
    <v>46.748600000000003</v>
    <v>935.8</v>
    <v>929.46500000000003</v>
    <v>443478800</v>
    <v>COST</v>
    <v>COSTCO WHOLESALE CORPORATION (XNAS:COST)</v>
    <v>530345</v>
    <v>2633532</v>
    <v>1987</v>
  </rv>
  <rv s="2">
    <v>50</v>
  </rv>
  <rv s="0">
    <v>http://en.wikipedia.org/wiki/The_Walt_Disney_Company</v>
    <v>Wikipedia</v>
  </rv>
  <rv s="3">
    <v>30</v>
    <v>52</v>
  </rv>
  <rv s="4">
    <v>9</v>
    <v>https://www.bing.com/th?id=AMMS_0aa288ba528f6f45e3de87d97e250136&amp;qlt=95</v>
    <v>53</v>
    <v>0</v>
    <v>https://www.bing.com/images/search?form=xlimg&amp;q=the+walt+disney+company</v>
    <v>Image of THE WALT DISNEY COMPANY</v>
  </rv>
  <rv s="0">
    <v>https://www.bing.com/financeapi/forcetrigger?t=a1r2z2&amp;q=XNYS%3aDIS&amp;form=skydnc</v>
    <v>Learn more on Bing</v>
  </rv>
  <rv s="5">
    <v>5</v>
    <v>THE WALT DISNEY COMPANY (XNYS:DIS)</v>
    <v>7</v>
    <v>8</v>
    <v>Finance</v>
    <v>4</v>
    <v>en-US</v>
    <v>a1r2z2</v>
    <v>268435456</v>
    <v>1</v>
    <v>Powered by Refinitiv</v>
    <v>123.4</v>
    <v>92.185000000000002</v>
    <v>1.3937999999999999</v>
    <v>-0.01</v>
    <v>-1.0370000000000001E-4</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96.885000000000005</v>
    <v>54</v>
    <v>Media &amp; Publishing</v>
    <v>Stock</v>
    <v>46224.664078726564</v>
    <v>55</v>
    <v>95.87</v>
    <v>167399660400</v>
    <v>THE WALT DISNEY COMPANY</v>
    <v>THE WALT DISNEY COMPANY</v>
    <v>95.99</v>
    <v>15.426</v>
    <v>96.41</v>
    <v>96.4</v>
    <v>1736511000</v>
    <v>DIS</v>
    <v>THE WALT DISNEY COMPANY (XNYS:DIS)</v>
    <v>3341755</v>
    <v>11415592</v>
    <v>2018</v>
  </rv>
  <rv s="2">
    <v>56</v>
  </rv>
  <rv s="0">
    <v>https://www.bing.com/financeapi/forcetrigger?t=a1slm7&amp;q=XNAS%3aMETA&amp;form=skydnc</v>
    <v>Learn more on Bing</v>
  </rv>
  <rv s="1">
    <v>0</v>
    <v>META PLATFORMS, INC. (XNAS:META)</v>
    <v>2</v>
    <v>3</v>
    <v>Finance</v>
    <v>4</v>
    <v>en-US</v>
    <v>a1slm7</v>
    <v>268435456</v>
    <v>1</v>
    <v>Powered by Refinitiv</v>
    <v>796.25</v>
    <v>520.26</v>
    <v>1.2248000000000001</v>
    <v>2.625</v>
    <v>4.0639999999999999E-3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655.88</v>
    <v>Software &amp; IT Services</v>
    <v>Stock</v>
    <v>46224.664072626561</v>
    <v>58</v>
    <v>643.20000000000005</v>
    <v>1646103854925</v>
    <v>META PLATFORMS, INC.</v>
    <v>META PLATFORMS, INC.</v>
    <v>654.17999999999995</v>
    <v>19.6692</v>
    <v>645.85</v>
    <v>648.47500000000002</v>
    <v>2538423000</v>
    <v>META</v>
    <v>META PLATFORMS, INC. (XNAS:META)</v>
    <v>2686417</v>
    <v>19691910</v>
    <v>2004</v>
  </rv>
  <rv s="2">
    <v>59</v>
  </rv>
  <rv s="0">
    <v>https://www.bing.com/financeapi/forcetrigger?t=a269ec&amp;q=XNYS%3aXOM&amp;form=skydnc</v>
    <v>Learn more on Bing</v>
  </rv>
  <rv s="1">
    <v>0</v>
    <v>Exxonmobil Holdings Corp (XNYS:XOM)</v>
    <v>2</v>
    <v>3</v>
    <v>Finance</v>
    <v>4</v>
    <v>en-US</v>
    <v>a269ec</v>
    <v>268435456</v>
    <v>1</v>
    <v>Powered by Refinitiv</v>
    <v>176.41</v>
    <v>105.52500000000001</v>
    <v>0.1628</v>
    <v>2.7250000000000001</v>
    <v>1.8367000000000001E-2</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151.49</v>
    <v>Oil &amp; Gas</v>
    <v>Stock</v>
    <v>46224.664100647657</v>
    <v>61</v>
    <v>148.47999999999999</v>
    <v>626239317495</v>
    <v>Exxonmobil Holdings Corp</v>
    <v>Exxonmobil Holdings Corp</v>
    <v>148.99</v>
    <v>25.5565</v>
    <v>148.36000000000001</v>
    <v>151.08500000000001</v>
    <v>4144947000</v>
    <v>XOM</v>
    <v>Exxonmobil Holdings Corp (XNYS:XOM)</v>
    <v>4349227</v>
    <v>17490945</v>
    <v>2026</v>
  </rv>
  <rv s="2">
    <v>62</v>
  </rv>
  <rv s="0">
    <v>https://www.bing.com/financeapi/forcetrigger?t=a1y4oc&amp;q=XNAS%3aMU&amp;form=skydnc</v>
    <v>Learn more on Bing</v>
  </rv>
  <rv s="1">
    <v>0</v>
    <v>MICRON TECHNOLOGY, INC. (XNAS:MU)</v>
    <v>2</v>
    <v>3</v>
    <v>Finance</v>
    <v>4</v>
    <v>en-US</v>
    <v>a1y4oc</v>
    <v>268435456</v>
    <v>1</v>
    <v>Powered by Refinitiv</v>
    <v>1255</v>
    <v>103.38</v>
    <v>2.1983000000000001</v>
    <v>87.867900000000006</v>
    <v>0.10152699999999999</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958.5</v>
    <v>Semiconductors &amp; Semiconductor Equipment</v>
    <v>Stock</v>
    <v>46224.66409428203</v>
    <v>64</v>
    <v>916.57010000000002</v>
    <v>1076681856964</v>
    <v>MICRON TECHNOLOGY, INC.</v>
    <v>MICRON TECHNOLOGY, INC.</v>
    <v>925.83</v>
    <v>21.582100000000001</v>
    <v>865.46</v>
    <v>953.3279</v>
    <v>1129393000</v>
    <v>MU</v>
    <v>MICRON TECHNOLOGY, INC. (XNAS:MU)</v>
    <v>23076024</v>
    <v>51373126</v>
    <v>1984</v>
  </rv>
  <rv s="2">
    <v>65</v>
  </rv>
  <rv s="0">
    <v>https://www.bing.com/financeapi/forcetrigger?t=bwvem7&amp;q=XNAS%3aABNB&amp;form=skydnc</v>
    <v>Learn more on Bing</v>
  </rv>
  <rv s="1">
    <v>0</v>
    <v>AIRBNB, INC. (XNAS:ABNB)</v>
    <v>2</v>
    <v>3</v>
    <v>Finance</v>
    <v>4</v>
    <v>en-US</v>
    <v>bwvem7</v>
    <v>268435456</v>
    <v>1</v>
    <v>Powered by Refinitiv</v>
    <v>150.88</v>
    <v>110.81</v>
    <v>1.1466000000000001</v>
    <v>-0.74</v>
    <v>-5.1060000000000003E-3</v>
    <v>USD</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8200</v>
    <v>Nasdaq Stock Market</v>
    <v>XNAS</v>
    <v>XNAS</v>
    <v>888 Brannan St., SAN FRANCISCO, CA, 94103 US</v>
    <v>145.62</v>
    <v>Software &amp; IT Services</v>
    <v>Stock</v>
    <v>46224.664078205467</v>
    <v>67</v>
    <v>143.31</v>
    <v>85583406580</v>
    <v>AIRBNB, INC.</v>
    <v>AIRBNB, INC.</v>
    <v>144.78</v>
    <v>35.5321</v>
    <v>144.94</v>
    <v>144.19999999999999</v>
    <v>593504900</v>
    <v>ABNB</v>
    <v>AIRBNB, INC. (XNAS:ABNB)</v>
    <v>485790</v>
    <v>3782582</v>
    <v>2008</v>
  </rv>
  <rv s="2">
    <v>68</v>
  </rv>
  <rv s="0">
    <v>https://www.bing.com/financeapi/forcetrigger?t=brg5u2&amp;q=XNYS%3aHIMS&amp;form=skydnc</v>
    <v>Learn more on Bing</v>
  </rv>
  <rv s="1">
    <v>0</v>
    <v>HIMS &amp; HERS HEALTH, INC. (XNYS:HIMS)</v>
    <v>2</v>
    <v>3</v>
    <v>Finance</v>
    <v>4</v>
    <v>en-US</v>
    <v>brg5u2</v>
    <v>268435456</v>
    <v>1</v>
    <v>Powered by Refinitiv</v>
    <v>70.430000000000007</v>
    <v>13.74</v>
    <v>2.3881000000000001</v>
    <v>0.20499999999999999</v>
    <v>6.2690000000000003E-3</v>
    <v>USD</v>
    <v>Hims &amp; Hers Health, Inc. operates as a consumer-first platform, which helps customers to fulfill their health and wellness needs. Its platform includes access to a provider network, a clinically focused electronic medical record system, digital prescriptions, cloud-enabled pharmacy fulfillment, and personalization capabilities. Its digital platform enables access to treatments for a range of conditions, including primarily those related to sexual health, hair loss, hormone health, weight loss, dermatology, and mental health, as well as services such as comprehensive laboratory testing. It connects patients to licensed healthcare professionals who can prescribe medications when appropriate and prescriptions are fulfilled online through licensed pharmacies. It also offers access to a range of health and wellness products designed to meet individual needs, which can include curated prescription and non-prescription products.</v>
    <v>2442</v>
    <v>New York Stock Exchange</v>
    <v>XNYS</v>
    <v>XNYS</v>
    <v>2269 Chestnut St, #523, SAN FRANCISCO, CA, 94123 US</v>
    <v>33.840000000000003</v>
    <v>Healthcare Providers &amp; Services</v>
    <v>Stock</v>
    <v>46224.664085265627</v>
    <v>70</v>
    <v>32.100099999999998</v>
    <v>7616115618</v>
    <v>HIMS &amp; HERS HEALTH, INC.</v>
    <v>HIMS &amp; HERS HEALTH, INC.</v>
    <v>32.33</v>
    <v>0</v>
    <v>32.700000000000003</v>
    <v>32.905000000000001</v>
    <v>231457700</v>
    <v>HIMS</v>
    <v>HIMS &amp; HERS HEALTH, INC. (XNYS:HIMS)</v>
    <v>2762997</v>
    <v>16031832</v>
    <v>2021</v>
  </rv>
  <rv s="2">
    <v>71</v>
  </rv>
  <rv s="0">
    <v>https://www.bing.com/financeapi/forcetrigger?t=a1r4dm&amp;q=XNYS%3aDKS&amp;form=skydnc</v>
    <v>Learn more on Bing</v>
  </rv>
  <rv s="1">
    <v>0</v>
    <v>DICK'S SPORTING GOODS, INC. (XNYS:DKS)</v>
    <v>2</v>
    <v>3</v>
    <v>Finance</v>
    <v>4</v>
    <v>en-US</v>
    <v>a1r4dm</v>
    <v>268435456</v>
    <v>1</v>
    <v>Powered by Refinitiv</v>
    <v>244.38</v>
    <v>186.67</v>
    <v>1.2131000000000001</v>
    <v>-5.6150000000000002</v>
    <v>-2.6199E-2</v>
    <v>USD</v>
    <v>DICK'S Sporting Goods, Inc. is an omni-channel sporting goods retailer. The Company owns and operates Golf Galaxy, Public Lands, and Going Going Gone! specialty concept stores, and also offers its products online and through its mobile applications. It also owns and operates DICK’S House of Sport and Golf Galaxy Performance Center, as well as GameChanger, a youth sports mobile platform for livestreaming, scheduling, communications and scorekeeping. The Company operates over 3,200 stores e-commerce and digital businesses across 20 countries in North America, Europe, Asia, and Australia, plus a licensed store presence in Europe, the Middle East and Asia. It carries a wide variety of national brands, including but not limited to adidas, Asics, Brooks, Callaway Golf, Carhartt, Columbia, Hoka, Jordan, New Balance, Nike, Peloton, The North Face, Under Armour, Wilson, Yeti, and others. It also owns and operates brands such as Foot Locker, Kids Foot Locker, Champs Sports, WSS, and atmos.</v>
    <v>31600</v>
    <v>New York Stock Exchange</v>
    <v>XNYS</v>
    <v>XNYS</v>
    <v>345 Court Street, CORAOPOLIS, PA, 15108 US</v>
    <v>214.47</v>
    <v>Specialty Retailers</v>
    <v>Stock</v>
    <v>46224.663938657031</v>
    <v>73</v>
    <v>208.7</v>
    <v>18679627610</v>
    <v>DICK'S SPORTING GOODS, INC.</v>
    <v>DICK'S SPORTING GOODS, INC.</v>
    <v>214.32</v>
    <v>19.837399999999999</v>
    <v>214.32</v>
    <v>208.70500000000001</v>
    <v>89502540</v>
    <v>DKS</v>
    <v>DICK'S SPORTING GOODS, INC. (XNYS:DKS)</v>
    <v>294528</v>
    <v>1155908</v>
    <v>1996</v>
  </rv>
  <rv s="2">
    <v>74</v>
  </rv>
  <rv s="0">
    <v>http://pt.wikipedia.org/wiki/Oracle_Corporation</v>
    <v>Wikipedia</v>
  </rv>
  <rv s="3">
    <v>30</v>
    <v>76</v>
  </rv>
  <rv s="4">
    <v>9</v>
    <v>https://www.bing.com/th?id=AMMS_672116c618c664d13b2515d6587ba357&amp;qlt=95</v>
    <v>77</v>
    <v>0</v>
    <v>https://www.bing.com/images/search?form=xlimg&amp;q=oracle+corporation</v>
    <v>Image of ORACLE CORPORATION</v>
  </rv>
  <rv s="0">
    <v>https://www.bing.com/financeapi/forcetrigger?t=a1zbec&amp;q=XNYS%3aORCL&amp;form=skydnc</v>
    <v>Learn more on Bing</v>
  </rv>
  <rv s="5">
    <v>5</v>
    <v>ORACLE CORPORATION (XNYS:ORCL)</v>
    <v>7</v>
    <v>8</v>
    <v>Finance</v>
    <v>4</v>
    <v>en-US</v>
    <v>a1zbec</v>
    <v>268435456</v>
    <v>1</v>
    <v>Powered by Refinitiv</v>
    <v>345.72</v>
    <v>120.03</v>
    <v>1.7263999999999999</v>
    <v>3.69</v>
    <v>3.04E-2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141000</v>
    <v>New York Stock Exchange</v>
    <v>XNYS</v>
    <v>XNYS</v>
    <v>2300 Oracle Way, AUSTIN, TX, 78741 US</v>
    <v>126.2</v>
    <v>78</v>
    <v>Software &amp; IT Services</v>
    <v>Stock</v>
    <v>46224.664085358592</v>
    <v>79</v>
    <v>122.21</v>
    <v>360260507970</v>
    <v>ORACLE CORPORATION</v>
    <v>ORACLE CORPORATION</v>
    <v>122.63</v>
    <v>20.349799999999998</v>
    <v>121.38</v>
    <v>125.07</v>
    <v>2880471000</v>
    <v>ORCL</v>
    <v>ORACLE CORPORATION (XNYS:ORCL)</v>
    <v>10656681</v>
    <v>36649915</v>
    <v>2005</v>
  </rv>
  <rv s="2">
    <v>80</v>
  </rv>
  <rv s="0">
    <v>https://www.bing.com/financeapi/forcetrigger?t=a1ygoc&amp;q=XNAS%3aNFLX&amp;form=skydnc</v>
    <v>Learn more on Bing</v>
  </rv>
  <rv s="1">
    <v>0</v>
    <v>NETFLIX, INC. (XNAS:NFLX)</v>
    <v>2</v>
    <v>3</v>
    <v>Finance</v>
    <v>4</v>
    <v>en-US</v>
    <v>a1ygoc</v>
    <v>268435456</v>
    <v>1</v>
    <v>Powered by Refinitiv</v>
    <v>126.71</v>
    <v>65.08</v>
    <v>1.5286999999999999</v>
    <v>-0.2</v>
    <v>-2.9589999999999998E-3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68.099999999999994</v>
    <v>Software &amp; IT Services</v>
    <v>Stock</v>
    <v>46224.66408313594</v>
    <v>82</v>
    <v>67.17</v>
    <v>280649488600</v>
    <v>NETFLIX, INC.</v>
    <v>NETFLIX, INC.</v>
    <v>67.489999999999995</v>
    <v>21.233699999999999</v>
    <v>67.599999999999994</v>
    <v>67.400000000000006</v>
    <v>4163939000</v>
    <v>NFLX</v>
    <v>NETFLIX, INC. (XNAS:NFLX)</v>
    <v>17646944</v>
    <v>53916188</v>
    <v>1997</v>
  </rv>
  <rv s="2">
    <v>83</v>
  </rv>
  <rv s="0">
    <v>https://www.bing.com/financeapi/forcetrigger?t=a1o4ec&amp;q=XNYS%3aBA&amp;form=skydnc</v>
    <v>Learn more on Bing</v>
  </rv>
  <rv s="1">
    <v>0</v>
    <v>THE BOEING COMPANY (XNYS:BA)</v>
    <v>2</v>
    <v>3</v>
    <v>Finance</v>
    <v>4</v>
    <v>en-US</v>
    <v>a1o4ec</v>
    <v>268435456</v>
    <v>1</v>
    <v>Powered by Refinitiv</v>
    <v>254.34989999999999</v>
    <v>176.77</v>
    <v>1.2151000000000001</v>
    <v>1.66</v>
    <v>7.9240000000000005E-3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211.7</v>
    <v>Aerospace &amp; Defense</v>
    <v>Stock</v>
    <v>46224.664061284377</v>
    <v>85</v>
    <v>207.2</v>
    <v>166442147622</v>
    <v>THE BOEING COMPANY</v>
    <v>THE BOEING COMPANY</v>
    <v>209.745</v>
    <v>92.964100000000002</v>
    <v>209.48</v>
    <v>211.14</v>
    <v>788302300</v>
    <v>BA</v>
    <v>THE BOEING COMPANY (XNYS:BA)</v>
    <v>1839621</v>
    <v>5387413</v>
    <v>1934</v>
  </rv>
  <rv s="2">
    <v>86</v>
  </rv>
  <rv s="0">
    <v>https://www.bing.com/financeapi/forcetrigger?t=a1xxmw&amp;q=XNYS%3aMRK&amp;form=skydnc</v>
    <v>Learn more on Bing</v>
  </rv>
  <rv s="1">
    <v>0</v>
    <v>MERCK &amp; CO., INC. (XNYS:MRK)</v>
    <v>2</v>
    <v>3</v>
    <v>Finance</v>
    <v>4</v>
    <v>en-US</v>
    <v>a1xxmw</v>
    <v>268435456</v>
    <v>1</v>
    <v>Powered by Refinitiv</v>
    <v>131.74</v>
    <v>76.66</v>
    <v>0.21299999999999999</v>
    <v>0.89</v>
    <v>7.1540000000000006E-3</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126.77</v>
    <v>Pharmaceuticals</v>
    <v>Stock</v>
    <v>46224.664078390626</v>
    <v>88</v>
    <v>124.095</v>
    <v>309444248960</v>
    <v>MERCK &amp; CO., INC.</v>
    <v>MERCK &amp; CO., INC.</v>
    <v>124.4</v>
    <v>35.251300000000001</v>
    <v>124.4</v>
    <v>125.29</v>
    <v>2469824000</v>
    <v>MRK</v>
    <v>MERCK &amp; CO., INC. (XNYS:MRK)</v>
    <v>2886858</v>
    <v>11311915</v>
    <v>1970</v>
  </rv>
  <rv s="2">
    <v>89</v>
  </rv>
  <rv s="0">
    <v>https://www.bing.com/financeapi/forcetrigger?t=a1yv52&amp;q=XNAS%3aNVDA&amp;form=skydnc</v>
    <v>Learn more on Bing</v>
  </rv>
  <rv s="1">
    <v>0</v>
    <v>NVIDIA CORPORATION (XNAS:NVDA)</v>
    <v>2</v>
    <v>3</v>
    <v>Finance</v>
    <v>4</v>
    <v>en-US</v>
    <v>a1yv52</v>
    <v>268435456</v>
    <v>1</v>
    <v>Powered by Refinitiv</v>
    <v>236.54</v>
    <v>164.07</v>
    <v>2.2206999999999999</v>
    <v>2.76</v>
    <v>1.3576999999999999E-2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208.65</v>
    <v>Semiconductors &amp; Semiconductor Equipment</v>
    <v>Stock</v>
    <v>46224.664090370316</v>
    <v>91</v>
    <v>204.01009999999999</v>
    <v>4986168000000</v>
    <v>NVIDIA CORPORATION</v>
    <v>NVIDIA CORPORATION</v>
    <v>207.7</v>
    <v>31.552800000000001</v>
    <v>203.28</v>
    <v>206.04</v>
    <v>24200000000</v>
    <v>NVDA</v>
    <v>NVIDIA CORPORATION (XNAS:NVDA)</v>
    <v>44409630</v>
    <v>140236146</v>
    <v>1998</v>
  </rv>
  <rv s="2">
    <v>92</v>
  </rv>
  <rv s="0">
    <v>https://www.bing.com/financeapi/forcetrigger?t=a1ntlh&amp;q=XNAS%3aASML&amp;form=skydnc</v>
    <v>Learn more on Bing</v>
  </rv>
  <rv s="1">
    <v>0</v>
    <v>ASML Holding NV (XNAS:ASML)</v>
    <v>2</v>
    <v>3</v>
    <v>Finance</v>
    <v>4</v>
    <v>en-US</v>
    <v>a1ntlh</v>
    <v>268435456</v>
    <v>1</v>
    <v>Powered by Refinitiv</v>
    <v>1999.96</v>
    <v>683.48</v>
    <v>1.7917000000000001</v>
    <v>73.995000000000005</v>
    <v>4.2549999999999998E-2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43938</v>
    <v>Nasdaq Stock Market</v>
    <v>XNAS</v>
    <v>XNAS</v>
    <v>De Run 6501, VELDHOVEN, NOORD-BRABANT, 5504 DR NL</v>
    <v>1821.75</v>
    <v>Semiconductors &amp; Semiconductor Equipment</v>
    <v>Stock</v>
    <v>46224.664090659375</v>
    <v>94</v>
    <v>1785.54</v>
    <v>703717602315</v>
    <v>ASML Holding NV</v>
    <v>ASML Holding NV</v>
    <v>1800</v>
    <v>59.860399999999998</v>
    <v>1739.02</v>
    <v>1813.0150000000001</v>
    <v>388147700</v>
    <v>ASML</v>
    <v>ASML Holding NV (XNAS:ASML)</v>
    <v>773286</v>
    <v>2200000</v>
    <v>1994</v>
  </rv>
  <rv s="2">
    <v>95</v>
  </rv>
  <rv s="0">
    <v>https://www.bing.com/financeapi/forcetrigger?t=a33k6h&amp;q=S%26P+500+INDEX&amp;form=skydnc</v>
    <v>Learn more on Bing</v>
  </rv>
  <rv s="6">
    <v>10</v>
    <v>S&amp;P 500 INDEX</v>
    <v>11</v>
    <v>12</v>
    <v>Finance</v>
    <v>13</v>
    <v>en-US</v>
    <v>a33k6h</v>
    <v>268435456</v>
    <v>1</v>
    <v>Powered by Refinitiv</v>
    <v>7620.9</v>
    <v>6212.69</v>
    <v>58.15</v>
    <v>7.8120000000000004E-3</v>
    <v>DE</v>
    <v>7505.15</v>
    <v>Index</v>
    <v>97</v>
    <v>7467.86</v>
    <v>S&amp;P 500 INDEX</v>
    <v>7489.95</v>
    <v>7443.28</v>
    <v>7501.43</v>
    <v>INX</v>
    <v>S&amp;P 500 INDEX</v>
  </rv>
  <rv s="2">
    <v>98</v>
  </rv>
  <rv s="0">
    <v>https://www.bing.com/financeapi/forcetrigger?t=a1mou2&amp;q=XNAS%3aAAPL&amp;form=skydnc</v>
    <v>Learn more on Bing</v>
  </rv>
  <rv s="1">
    <v>0</v>
    <v>APPLE INC. (XNAS:AAPL)</v>
    <v>2</v>
    <v>3</v>
    <v>Finance</v>
    <v>4</v>
    <v>en-US</v>
    <v>a1mou2</v>
    <v>268435456</v>
    <v>1</v>
    <v>Powered by Refinitiv</v>
    <v>334.99</v>
    <v>201.5</v>
    <v>1.0744</v>
    <v>2.2749999999999999</v>
    <v>6.966E-3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328.98</v>
    <v>Computers, Phones &amp; Household Electronics</v>
    <v>Stock</v>
    <v>46224.664098263282</v>
    <v>100</v>
    <v>322.22039999999998</v>
    <v>4830158646400</v>
    <v>APPLE INC.</v>
    <v>APPLE INC.</v>
    <v>323.14</v>
    <v>39.940899999999999</v>
    <v>326.58999999999997</v>
    <v>328.86500000000001</v>
    <v>14687360000</v>
    <v>AAPL</v>
    <v>APPLE INC. (XNAS:AAPL)</v>
    <v>15240812</v>
    <v>62770043</v>
    <v>1977</v>
  </rv>
  <rv s="2">
    <v>101</v>
  </rv>
  <rv s="7">
    <v>12</v>
    <v>Price</v>
    <v>0</v>
  </rv>
  <rv s="0">
    <v>https://www.bing.com/financeapi/forcetrigger?t=a28i3m&amp;q=OTCM%3aASCCY&amp;form=skydnc</v>
    <v>Learn more on Bing</v>
  </rv>
  <rv s="1">
    <v>0</v>
    <v>ASICS Corporation (OTCM:ASCCY)</v>
    <v>2</v>
    <v>14</v>
    <v>Finance</v>
    <v>15</v>
    <v>en-US</v>
    <v>a28i3m</v>
    <v>268435456</v>
    <v>1</v>
    <v>Powered by Refinitiv</v>
    <v>31.99</v>
    <v>22.2</v>
    <v>1.3665</v>
    <v>-0.4975</v>
    <v>-1.6303000000000002E-2</v>
    <v>USD</v>
    <v>ASICS Corporation is a Japan-based company mainly engaged in the manufacture and sale of sports products, such as sports shoes, sportswear, sports equipment and others. The Company operates through six business segments. The Japan Region, Americas Region, Europe Region (including the Middle East and Africa), Oceania/Southeast and South Asia Region, and the East Asia Region segment mainly sell sporting goods. The Others segment is engaged in the manufacture and sale of HAGLOFS brand outdoor products.</v>
    <v>9455</v>
    <v>OTC Markets</v>
    <v>OTCM</v>
    <v>OTCM</v>
    <v>Yamato Kobe Bldg., 1-2-4, Sannomiya-cho, Chuo-ku, KOBE-SHI, HYOGO-KEN, 650-0021 JP</v>
    <v>30.04</v>
    <v>Textiles &amp; Apparel</v>
    <v>Stock</v>
    <v>46224.653263842185</v>
    <v>104</v>
    <v>29.79</v>
    <v>3595291000000</v>
    <v>ASICS Corporation</v>
    <v>ASICS Corporation</v>
    <v>29.88</v>
    <v>0</v>
    <v>30.515000000000001</v>
    <v>30.017499999999998</v>
    <v>734482200</v>
    <v>ASCCY</v>
    <v>ASICS Corporation (OTCM:ASCCY)</v>
    <v>16152</v>
    <v>3356010</v>
    <v>1943</v>
  </rv>
  <rv s="2">
    <v>105</v>
  </rv>
  <rv s="0">
    <v>https://www.bing.com/financeapi/forcetrigger?t=a1o73m&amp;q=XNAS%3aBATRK&amp;form=skydnc</v>
    <v>Learn more on Bing</v>
  </rv>
  <rv s="1">
    <v>0</v>
    <v>ATLANTA BRAVES HOLDINGS, INC. (XNAS:BATRK)</v>
    <v>2</v>
    <v>3</v>
    <v>Finance</v>
    <v>4</v>
    <v>en-US</v>
    <v>a1o73m</v>
    <v>268435456</v>
    <v>1</v>
    <v>Powered by Refinitiv</v>
    <v>53.25</v>
    <v>37.76</v>
    <v>0.79679999999999995</v>
    <v>-0.86</v>
    <v>-1.6787E-2</v>
    <v>USD</v>
    <v>Atlanta Braves Holdings, Inc. is a holding company of Braves Holdings, LLC (Braves Holdings). Braves Holdings is the owner and operator of the Atlanta Braves Major League Baseball Club and the Braves ballpark. The Braves ballpark includes Truist Park. The Company’s segments include Baseball and Mixed-Use Development. The Baseball segment includes operations relating to Braves baseball and Truist Park and includes ticket sales, concessions, advertising sponsorships, suites and premium seat fees, broadcasting rights, retail and licensing. The Mixed-Use Development segment includes retail, office, hotel and entertainment operations primarily within The Battery Atlanta. The Battery Atlanta is an approximately 2.25 million square-foot mixed-use development, located around Truist Park at the intersection of I-75 and I-285, and offers an expansive mix of market-exclusive entertainment experiences, chef-driven restaurants, boutique shopping, the Omni and Aloft Hotels and others.</v>
    <v>1610</v>
    <v>Nasdaq Stock Market</v>
    <v>XNAS</v>
    <v>XNAS</v>
    <v>755 Battery Avenue Se, ATLANTA, GA, 30339 US</v>
    <v>51.12</v>
    <v>Hotels &amp; Entertainment Services</v>
    <v>Stock</v>
    <v>46224.664017407034</v>
    <v>107</v>
    <v>50.16</v>
    <v>3230924213</v>
    <v>ATLANTA BRAVES HOLDINGS, INC.</v>
    <v>ATLANTA BRAVES HOLDINGS, INC.</v>
    <v>50.78</v>
    <v>0</v>
    <v>51.23</v>
    <v>50.37</v>
    <v>64143820</v>
    <v>BATRK</v>
    <v>ATLANTA BRAVES HOLDINGS, INC. (XNAS:BATRK)</v>
    <v>161286</v>
    <v>659853</v>
    <v>2022</v>
  </rv>
  <rv s="2">
    <v>108</v>
  </rv>
  <rv s="0">
    <v>https://www.bing.com/financeapi/forcetrigger?t=bnegf2&amp;q=XNYS%3aYETI&amp;form=skydnc</v>
    <v>Learn more on Bing</v>
  </rv>
  <rv s="1">
    <v>0</v>
    <v>YETI HOLDINGS, INC. (XNYS:YETI)</v>
    <v>2</v>
    <v>3</v>
    <v>Finance</v>
    <v>4</v>
    <v>en-US</v>
    <v>bnegf2</v>
    <v>268435456</v>
    <v>1</v>
    <v>Powered by Refinitiv</v>
    <v>53.21</v>
    <v>30.51</v>
    <v>1.7161</v>
    <v>0.05</v>
    <v>9.8390000000000001E-4</v>
    <v>USD</v>
    <v>YETI Holdings, Inc. is a designer, retailer, and distributor of outdoor products. The Company's product portfolio consists of three categories: Coolers &amp; Equipment; Drinkware, and Other. Its Coolers &amp; Equipment family is comprised of hard coolers, soft coolers, cargo, bags, outdoor living, and associated accessories. Its hard cooler category includes YETI Tundra, YETI Roadie, YETI V Series hard coolers, YETI TANK ice, and YETI Silo 6G water cooler. The Hopper soft cooler product line includes Hopper M15 Soft Cooler, Hopper M12 Soft Backpack Cooler, Hopper M30 Soft Cooler, Hopper Flip Soft Cooler, and Daytrip Lunch Bag, among others. Its Drinkware product line consists of Rambler Colsters, Rambler Lowball, Rambler Wine Tumblers, Rambler Stackable Pints, Rambler Mugs, Rambler Tumblers, Rambler Straw Mugs and Cups, Rambler Bottles, Rambler Jugs, and Yonder Water Bottles. The Other category offers an array of apparel and gear, such as hats, shirts, bottle openers and ice substitutes.</v>
    <v>1390</v>
    <v>New York Stock Exchange</v>
    <v>XNYS</v>
    <v>XNYS</v>
    <v>7601 Southwest Pkwy, AUSTIN, TX, 78735-8989 US</v>
    <v>51.024999999999999</v>
    <v>Leisure Products</v>
    <v>Stock</v>
    <v>46224.664039142968</v>
    <v>110</v>
    <v>49.58</v>
    <v>3853825738</v>
    <v>YETI HOLDINGS, INC.</v>
    <v>YETI HOLDINGS, INC.</v>
    <v>50.875</v>
    <v>25.772600000000001</v>
    <v>50.82</v>
    <v>50.87</v>
    <v>75758320</v>
    <v>YETI</v>
    <v>YETI HOLDINGS, INC. (XNYS:YETI)</v>
    <v>582010</v>
    <v>1142749</v>
    <v>2012</v>
  </rv>
  <rv s="2">
    <v>111</v>
  </rv>
  <rv s="0">
    <v>https://www.bing.com/financeapi/forcetrigger?t=a246z2&amp;q=XNYS%3aTGT&amp;form=skydnc</v>
    <v>Learn more on Bing</v>
  </rv>
  <rv s="1">
    <v>0</v>
    <v>TARGET CORPORATION (XNYS:TGT)</v>
    <v>2</v>
    <v>3</v>
    <v>Finance</v>
    <v>4</v>
    <v>en-US</v>
    <v>a246z2</v>
    <v>268435456</v>
    <v>1</v>
    <v>Powered by Refinitiv</v>
    <v>144.4</v>
    <v>83.44</v>
    <v>0.9607</v>
    <v>-0.35</v>
    <v>-2.5069999999999997E-3</v>
    <v>USD</v>
    <v>Target Corporation is a general merchandise retailer selling products to its guests through its stores and digital channels. The Company offers customers, referred to as guests, differentiated merchandise and everyday essentials at discounted prices. The majority of its stores offer a wide assortment of general merchandise and groceries. Its merchandise categories include apparel and accessories, beauty, food and beverage, hardlines, home furnishings and decor, household essentials, and other merchandise sales. Most of its stores are larger than over 170,000 square feet, offer a variety of general merchandise and a full line of groceries comparable to traditional supermarkets. Its digital channels include merchandise assortment, including many items found in its stores, along with a complementary assortment sold by the Company and third parties through our Target Plus digital marketplace. Its brands include A New Day, All in Motion, Art Class, Auden, Ava &amp; Viv, among others.</v>
    <v>415000</v>
    <v>New York Stock Exchange</v>
    <v>XNYS</v>
    <v>XNYS</v>
    <v>1000 Nicollet Mall, MINNEAPOLIS, MN, 55403 US</v>
    <v>139.63</v>
    <v>Diversified Retail</v>
    <v>Stock</v>
    <v>46224.664076654684</v>
    <v>113</v>
    <v>137.67769999999999</v>
    <v>63241568764</v>
    <v>TARGET CORPORATION</v>
    <v>TARGET CORPORATION</v>
    <v>138.86000000000001</v>
    <v>17.125</v>
    <v>139.59</v>
    <v>139.24</v>
    <v>454191100</v>
    <v>TGT</v>
    <v>TARGET CORPORATION (XNYS:TGT)</v>
    <v>668279</v>
    <v>4775680</v>
    <v>1902</v>
  </rv>
  <rv s="2">
    <v>114</v>
  </rv>
  <rv s="0">
    <v>https://www.bing.com/financeapi/forcetrigger?t=a1wljc&amp;q=XNYS%3aKO&amp;form=skydnc</v>
    <v>Learn more on Bing</v>
  </rv>
  <rv s="1">
    <v>0</v>
    <v>THE COCA-COLA COMPANY (XNYS:KO)</v>
    <v>2</v>
    <v>3</v>
    <v>Finance</v>
    <v>4</v>
    <v>en-US</v>
    <v>a1wljc</v>
    <v>268435456</v>
    <v>1</v>
    <v>Powered by Refinitiv</v>
    <v>85.68</v>
    <v>65.353800000000007</v>
    <v>0.34370000000000001</v>
    <v>-8.5000000000000006E-2</v>
    <v>-1.0349999999999999E-3</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82.355000000000004</v>
    <v>Beverages</v>
    <v>Stock</v>
    <v>46224.664082464842</v>
    <v>116</v>
    <v>81.33</v>
    <v>352954110870</v>
    <v>THE COCA-COLA COMPANY</v>
    <v>THE COCA-COLA COMPANY</v>
    <v>81.944999999999993</v>
    <v>25.825600000000001</v>
    <v>82.12</v>
    <v>82.034999999999997</v>
    <v>4302482000</v>
    <v>KO</v>
    <v>THE COCA-COLA COMPANY (XNYS:KO)</v>
    <v>4893827</v>
    <v>20013554</v>
    <v>1919</v>
  </rv>
  <rv s="2">
    <v>117</v>
  </rv>
  <rv s="0">
    <v>https://www.bing.com/financeapi/forcetrigger?t=af3y27&amp;q=XFRA%3aADS&amp;form=skydnc</v>
    <v>Learn more on Bing</v>
  </rv>
  <rv s="1">
    <v>0</v>
    <v>Adidas AG (XFRA:ADS)</v>
    <v>2</v>
    <v>16</v>
    <v>Finance</v>
    <v>15</v>
    <v>en-US</v>
    <v>af3y27</v>
    <v>268435456</v>
    <v>1</v>
    <v>Powered by Refinitiv</v>
    <v>335.05</v>
    <v>93.44</v>
    <v>1.2045999999999999</v>
    <v>-0.25</v>
    <v>-1.3860000000000001E-3</v>
    <v>EUR</v>
    <v>Adidas AG is a Germany-based company that designs, develops, produces, and markets a range of athletic and sports lifestyle products. The Company's segments include Europe, North America, Asia-Pacific, Russia/CIS, Latin America; Emerging Markets, Adidas Golf, Runtastic, and other centrally managed businesses. Its segment includes wholesale, retail, and e-commerce business activities relating to the distribution and sale of products of the Adidas brand to retail customers and end consumers. The Company has over 2,500 own-retail stores, mono-branded franchise stores, shop-in-shops, joint ventures with retail partners and co-branded stores, and an e-commerce channel, which is available to customers in over 50 countries. Adidas branded products include footwear, apparel, and hardware, such as bags and balls.</v>
    <v>64938</v>
    <v>Deutsche Boerse AG</v>
    <v>XFRA</v>
    <v>XFRA</v>
    <v>Adi-Dassler-Strasse 1, HERZOGENAURACH, BAYERN, 91074 DE</v>
    <v>180.85</v>
    <v>Textiles &amp; Apparel</v>
    <v>Stock</v>
    <v>46224.652777777781</v>
    <v>119</v>
    <v>178.95</v>
    <v>32741750000</v>
    <v>Adidas AG</v>
    <v>Adidas AG</v>
    <v>180.85</v>
    <v>23.3658</v>
    <v>180.4</v>
    <v>180.15</v>
    <v>180000000</v>
    <v>ADS</v>
    <v>Adidas AG (XFRA:ADS)</v>
    <v>180</v>
    <v>540090</v>
    <v>1989</v>
  </rv>
  <rv s="2">
    <v>120</v>
  </rv>
  <rv s="0">
    <v>https://www.bing.com/financeapi/forcetrigger?t=a1pxbh&amp;q=XNYS%3aCMG&amp;form=skydnc</v>
    <v>Learn more on Bing</v>
  </rv>
  <rv s="1">
    <v>0</v>
    <v>CHIPOTLE MEXICAN GRILL, INC. (XNYS:CMG)</v>
    <v>2</v>
    <v>3</v>
    <v>Finance</v>
    <v>4</v>
    <v>en-US</v>
    <v>a1pxbh</v>
    <v>268435456</v>
    <v>1</v>
    <v>Powered by Refinitiv</v>
    <v>54.2</v>
    <v>28.035</v>
    <v>0.94720000000000004</v>
    <v>0.28499999999999998</v>
    <v>8.6020000000000003E-3</v>
    <v>USD</v>
    <v>Chipotle Mexican Grill, Inc. is a restaurant company. The Company develops and operates restaurants that serve a menu of burritos, burrito bowls, quesadillas, tacos, and salads, made using fresh ingredients. The Company operates approximately 3839 restaurants in the United States, Canada, the United Kingdom, France, Germany, Kuwait, and United Arab Emirates. It owns and operates all its restaurants in North America and Europe. The Company is focused in serving sourced, classically cooked, real food with wholesome ingredients without artificial colors, flavors or preservatives. Its menu includes Burrito, Burrito Bowl, Lifestyle Bowl, Quesadilla, Salad, Tacos, Kid’s Meal, Chips and Sides, and Build your Own (digital only). It also includes Raymonte’s Chicken Bowl, The Mr. Fantasy Burrito, Carne Asada, Build-Your-Own Chipotle, catering and group order. Its subsidiaries include Chipotle Mexican Grill Canada Corp., Chipotle Mexican Grill France SAS, among others.</v>
    <v>130301</v>
    <v>New York Stock Exchange</v>
    <v>XNYS</v>
    <v>XNYS</v>
    <v>610 Newport Center Dr., NEWPORT BEACH, CA, 92660 US</v>
    <v>33.619999999999997</v>
    <v>Hotels &amp; Entertainment Services</v>
    <v>Stock</v>
    <v>46224.664044467187</v>
    <v>122</v>
    <v>32.21</v>
    <v>42862556610</v>
    <v>CHIPOTLE MEXICAN GRILL, INC.</v>
    <v>CHIPOTLE MEXICAN GRILL, INC.</v>
    <v>32.520000000000003</v>
    <v>30.5886</v>
    <v>33.130000000000003</v>
    <v>33.414999999999999</v>
    <v>1282734000</v>
    <v>CMG</v>
    <v>CHIPOTLE MEXICAN GRILL, INC. (XNYS:CMG)</v>
    <v>4195570</v>
    <v>19631817</v>
    <v>1998</v>
  </rv>
  <rv s="2">
    <v>123</v>
  </rv>
  <rv s="8">
    <v>17</v>
    <v>Amer Sports, Inc (XNYS:AS)</v>
    <v>18</v>
    <v>3</v>
    <v>Finance</v>
    <v>4</v>
    <v>en-US</v>
    <v>ccac9c</v>
    <v>268435456</v>
    <v>1</v>
    <v>Powered by Refinitiv</v>
    <v>42.76</v>
    <v>28.92</v>
    <v>0.73499999999999999</v>
    <v>-1.66</v>
    <v>-4.5679999999999998E-2</v>
    <v>USD</v>
    <v>Amer Sports Inc is a Finland-based global group of sports and outdoor brands such as Arcteryx, Salomon, Wilson, Peak Performance, Atomic, Armada, ATEC, DeMarini, EvoShield and ENVE. The Company develops, manufactures, and markets sports and fitness equipment. Its products include sports equipment for tennis, badminton, soccer, baseball, basketball, golf, American football, alpine skiing, fitness training, cycling, running, hiking, snowboarding, cross-country skiing and diving. It also offers fitness equipment through factory outlets, and e-commerce companies through trade customers in sporting goods chains, mass merchants, specialty retailers, fitness clubs, and distributors. The Company operates worldwide.</v>
    <v>15400</v>
    <v>New York Stock Exchange</v>
    <v>XNYS</v>
    <v>XNYS</v>
    <v>Siltasaarenkatu 8-10, Fl-00530, HELSINKI, ETELA-SUOMEN, 00511 FI</v>
    <v>36.380000000000003</v>
    <v>Specialty Retailers</v>
    <v>Stock</v>
    <v>46224.664079513284</v>
    <v>34.24</v>
    <v>20054466024</v>
    <v>Amer Sports, Inc</v>
    <v>Amer Sports, Inc</v>
    <v>36.174999999999997</v>
    <v>42.973999999999997</v>
    <v>36.340000000000003</v>
    <v>34.68</v>
    <v>578271800</v>
    <v>AS</v>
    <v>Amer Sports, Inc (XNYS:AS)</v>
    <v>2536466</v>
    <v>3601390</v>
    <v>2020</v>
  </rv>
  <rv s="2">
    <v>125</v>
  </rv>
  <rv s="0">
    <v>https://www.bing.com/financeapi/forcetrigger?t=a1yjxm&amp;q=XNYS%3aNKE&amp;form=skydnc</v>
    <v>Learn more on Bing</v>
  </rv>
  <rv s="1">
    <v>0</v>
    <v>NIKE, INC. (XNYS:NKE)</v>
    <v>2</v>
    <v>3</v>
    <v>Finance</v>
    <v>4</v>
    <v>en-US</v>
    <v>a1yjxm</v>
    <v>268435456</v>
    <v>1</v>
    <v>Powered by Refinitiv</v>
    <v>80.165000000000006</v>
    <v>40</v>
    <v>1.1054999999999999</v>
    <v>-0.33</v>
    <v>-7.5909999999999997E-3</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73000</v>
    <v>New York Stock Exchange</v>
    <v>XNYS</v>
    <v>XNYS</v>
    <v>One Bowerman Dr, BEAVERTON, OR, 97005-6453 US</v>
    <v>43.56</v>
    <v>Textiles &amp; Apparel</v>
    <v>Stock</v>
    <v>46224.664066712503</v>
    <v>127</v>
    <v>42.75</v>
    <v>63998146860</v>
    <v>NIKE, INC.</v>
    <v>NIKE, INC.</v>
    <v>43.1</v>
    <v>20.560500000000001</v>
    <v>43.47</v>
    <v>43.14</v>
    <v>1483499000</v>
    <v>NKE</v>
    <v>NIKE, INC. (XNYS:NKE)</v>
    <v>4180551</v>
    <v>26538510</v>
    <v>1969</v>
  </rv>
  <rv s="2">
    <v>128</v>
  </rv>
  <rv s="0">
    <v>https://www.bing.com/financeapi/forcetrigger?t=a1x252&amp;q=XNAS%3aLOGI&amp;form=skydnc</v>
    <v>Learn more on Bing</v>
  </rv>
  <rv s="1">
    <v>0</v>
    <v>Logitech international SA (XNAS:LOGI)</v>
    <v>2</v>
    <v>19</v>
    <v>Finance</v>
    <v>4</v>
    <v>en-US</v>
    <v>a1x252</v>
    <v>268435456</v>
    <v>1</v>
    <v>Powered by Refinitiv</v>
    <v>129.66</v>
    <v>83.32</v>
    <v>0.94920000000000004</v>
    <v>2.645</v>
    <v>2.5987E-2</v>
    <v>USD</v>
    <v>Logitech International SA is a Switzerland-based holding company. The Company’s purpose is to coordinate the activities of the various Swiss and foreign subsidiaries of the Logitech group. The Company focuses on designing and manufacturing products that enable people to connect and interact with digital content. Its portfolio includes Gaming, Keyboards &amp; Combos, Pointing Devices, Video Collaboration, Webcams, Tablet Accessories, and Headsets. The Company sells its products to a broad range of international customers, in the Americas, Europe, the Middle East, Africa and Asia Pacific. This includes direct sales to retailers, e-tailers, businesses large and small and end consumers through our e-commerce platform, and indirect sales to end customers through distributors.</v>
    <v>7300</v>
    <v>Nasdaq Stock Market</v>
    <v>XNAS</v>
    <v>XNAS</v>
    <v>Route de Pampigny 20, APPLES, VAUD, 1143 CH</v>
    <v>104.8</v>
    <v>Computers, Phones &amp; Household Electronics</v>
    <v>Stock</v>
    <v>46224.66402278906</v>
    <v>130</v>
    <v>103.38</v>
    <v>13323570000</v>
    <v>Logitech international SA</v>
    <v>Logitech international SA</v>
    <v>103.58</v>
    <v>21.768799999999999</v>
    <v>101.78</v>
    <v>104.425</v>
    <v>160784500</v>
    <v>LOGI</v>
    <v>Logitech international SA (XNAS:LOGI)</v>
    <v>357437</v>
    <v>990525</v>
    <v>1988</v>
  </rv>
  <rv s="2">
    <v>131</v>
  </rv>
  <rv s="0">
    <v>https://www.bing.com/financeapi/forcetrigger?t=a1zsjc&amp;q=XNYS%3aPG&amp;form=skydnc</v>
    <v>Learn more on Bing</v>
  </rv>
  <rv s="1">
    <v>0</v>
    <v>THE PROCTER &amp; GAMBLE COMPANY (XNYS:PG)</v>
    <v>2</v>
    <v>3</v>
    <v>Finance</v>
    <v>4</v>
    <v>en-US</v>
    <v>a1zsjc</v>
    <v>268435456</v>
    <v>1</v>
    <v>Powered by Refinitiv</v>
    <v>167.25</v>
    <v>137.62</v>
    <v>0.37219999999999998</v>
    <v>-1.615</v>
    <v>-1.0829E-2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148.285</v>
    <v>Personal &amp; Household Products &amp; Services</v>
    <v>Stock</v>
    <v>46224.664079628907</v>
    <v>133</v>
    <v>146.88</v>
    <v>343503281484</v>
    <v>THE PROCTER &amp; GAMBLE COMPANY</v>
    <v>THE PROCTER &amp; GAMBLE COMPANY</v>
    <v>148.28</v>
    <v>21.574100000000001</v>
    <v>149.13</v>
    <v>147.51499999999999</v>
    <v>2328599000</v>
    <v>PG</v>
    <v>THE PROCTER &amp; GAMBLE COMPANY (XNYS:PG)</v>
    <v>1609363</v>
    <v>9411309</v>
    <v>1905</v>
  </rv>
  <rv s="2">
    <v>134</v>
  </rv>
  <rv s="0">
    <v>https://www.bing.com/financeapi/forcetrigger?t=a1plbh&amp;q=XNAS%3aCHDN&amp;form=skydnc</v>
    <v>Learn more on Bing</v>
  </rv>
  <rv s="1">
    <v>0</v>
    <v>CHURCHILL DOWNS INCORPORATED (XNAS:CHDN)</v>
    <v>2</v>
    <v>3</v>
    <v>Finance</v>
    <v>4</v>
    <v>en-US</v>
    <v>a1plbh</v>
    <v>268435456</v>
    <v>1</v>
    <v>Powered by Refinitiv</v>
    <v>118.455</v>
    <v>80.239999999999995</v>
    <v>0.68500000000000005</v>
    <v>7.0000000000000007E-2</v>
    <v>8.3620000000000005E-4</v>
    <v>USD</v>
    <v>Churchill Downs Incorporated is a racing, online wagering and gaming entertainment company, which is anchored by its flagship event, the Kentucky Derby. The Company operates through three reportable segments: Live and Historical Racing, Wagering Services and Solutions, and Gaming. The Live and Historical Racing segment includes live and historical pari-mutuel racing at Churchill Downs Racetrack and its historical racing properties in Kentucky, Virginia and New Hampshire. The Wagering Services and Solutions segment includes TwinSpires, which is a retail and online sports betting business; United Tote Company, which manufactures and operates pari-mutuel wagering systems for racetracks, off-track betting facilities (OTBs), and other pari-mutuel wagering businesses; and Exacta Systems, LLC that provides central determinant system technology in historical racing machine (HRMs) across the country. The Gaming segment is engaged in the casino properties and associated racetrack facilities.</v>
    <v>6600</v>
    <v>Nasdaq Stock Market</v>
    <v>XNAS</v>
    <v>XNAS</v>
    <v>600 N. Hurstbourne Parkway, Suite 400, LOUISVILLE, KY, 40222 US</v>
    <v>84.27</v>
    <v>Hotels &amp; Entertainment Services</v>
    <v>Stock</v>
    <v>46224.664042626566</v>
    <v>136</v>
    <v>82.770099999999999</v>
    <v>5839207119</v>
    <v>CHURCHILL DOWNS INCORPORATED</v>
    <v>CHURCHILL DOWNS INCORPORATED</v>
    <v>83.59</v>
    <v>15.520899999999999</v>
    <v>83.71</v>
    <v>83.78</v>
    <v>69696910</v>
    <v>CHDN</v>
    <v>CHURCHILL DOWNS INCORPORATED (XNAS:CHDN)</v>
    <v>141983</v>
    <v>1059514</v>
    <v>1937</v>
  </rv>
  <rv s="2">
    <v>137</v>
  </rv>
  <rv s="0">
    <v>https://www.bing.com/financeapi/forcetrigger?t=a1u3ar&amp;q=XNYS%3aGOLF&amp;form=skydnc</v>
    <v>Learn more on Bing</v>
  </rv>
  <rv s="1">
    <v>0</v>
    <v>ACUSHNET HOLDINGS CORP. (XNYS:GOLF)</v>
    <v>2</v>
    <v>3</v>
    <v>Finance</v>
    <v>4</v>
    <v>en-US</v>
    <v>a1u3ar</v>
    <v>268435456</v>
    <v>1</v>
    <v>Powered by Refinitiv</v>
    <v>119.65</v>
    <v>73.09</v>
    <v>0.81289999999999996</v>
    <v>-1.0900000000000001</v>
    <v>-9.7729999999999987E-3</v>
    <v>USD</v>
    <v>Acushnet Holdings Corp. is engaged in the design, development, manufacture and distribution of performance-driven golf products. The Company’s segments include Titleist golf equipment, FootJoy golf wear, and Golf gear. The Titleist golf equipment segment includes Titleist and Pinnacle branded golf balls; PG Golf recycled golf balls; Titleist branded golf clubs, including drivers, fairways, hybrids and irons; Vokey Design wedges; Scotty Cameron putters and Titleist Performance Institute. The FootJoy golf wear segment includes FootJoy branded golf shoes, golf gloves, golf outerwear and golf apparel. The Golf gear segment includes Titleist branded golf bags, headwear, golf gloves, travel gear and other golf accessories, as well as Club Glove travel products and Links &amp; Kings luxury leather golf goods. It designs, manufactures and markets a range of products under the Titleist, FootJoy, KJUS, and other brands.</v>
    <v>7300</v>
    <v>New York Stock Exchange</v>
    <v>XNYS</v>
    <v>XNYS</v>
    <v>333 Bridge St, FAIRHAVEN, MA, 02719-4905 US</v>
    <v>112.85</v>
    <v>Leisure Products</v>
    <v>Stock</v>
    <v>46224.66395929375</v>
    <v>139</v>
    <v>110.07</v>
    <v>6466709282</v>
    <v>ACUSHNET HOLDINGS CORP.</v>
    <v>ACUSHNET HOLDINGS CORP.</v>
    <v>112.84</v>
    <v>38.991700000000002</v>
    <v>111.53</v>
    <v>110.44</v>
    <v>58554050</v>
    <v>GOLF</v>
    <v>ACUSHNET HOLDINGS CORP. (XNYS:GOLF)</v>
    <v>40052</v>
    <v>376739</v>
    <v>2011</v>
  </rv>
  <rv s="2">
    <v>140</v>
  </rv>
</rvData>
</file>

<file path=xl/richData/rdrichvaluestructure.xml><?xml version="1.0" encoding="utf-8"?>
<rvStructures xmlns="http://schemas.microsoft.com/office/spreadsheetml/2017/richdata" count="9">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s t="_error">
    <k n="errorType" t="i"/>
    <k n="field" t="s"/>
    <k n="subType" t="i"/>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20">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1</v>
      <v>1</v>
    </spb>
    <spb s="10">
      <v>1</v>
      <v>1</v>
      <v>3</v>
      <v>1</v>
      <v>1</v>
      <v>1</v>
      <v>5</v>
      <v>1</v>
      <v>1</v>
      <v>1</v>
      <v>9</v>
    </spb>
    <spb s="11">
      <v>from previous close</v>
      <v>from previous close</v>
    </spb>
    <spb s="3">
      <v>1</v>
      <v>2</v>
      <v>2</v>
      <v>1</v>
      <v>3</v>
      <v>1</v>
      <v>1</v>
      <v>1</v>
      <v>4</v>
      <v>4</v>
      <v>5</v>
      <v>11</v>
      <v>1</v>
      <v>1</v>
      <v>1</v>
      <v>4</v>
      <v>7</v>
      <v>8</v>
      <v>9</v>
      <v>4</v>
    </spb>
    <spb s="12">
      <v>Delayed 15 minutes</v>
      <v>from previous close</v>
      <v>from previous close</v>
      <v>GMT</v>
    </spb>
    <spb s="3">
      <v>12</v>
      <v>2</v>
      <v>2</v>
      <v>12</v>
      <v>3</v>
      <v>12</v>
      <v>12</v>
      <v>12</v>
      <v>4</v>
      <v>4</v>
      <v>5</v>
      <v>13</v>
      <v>12</v>
      <v>12</v>
      <v>12</v>
      <v>4</v>
      <v>7</v>
      <v>8</v>
      <v>9</v>
      <v>4</v>
    </spb>
    <spb s="13">
      <v>3</v>
      <v>Name</v>
    </spb>
    <spb s="14">
      <v>1</v>
      <v>1</v>
      <v>1</v>
    </spb>
    <spb s="3">
      <v>1</v>
      <v>2</v>
      <v>2</v>
      <v>1</v>
      <v>3</v>
      <v>1</v>
      <v>1</v>
      <v>1</v>
      <v>4</v>
      <v>4</v>
      <v>5</v>
      <v>14</v>
      <v>1</v>
      <v>1</v>
      <v>1</v>
      <v>4</v>
      <v>7</v>
      <v>8</v>
      <v>9</v>
      <v>4</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s>
  <s>
    <k n="Low" t="i"/>
    <k n="High" t="i"/>
    <k n="Name" t="i"/>
    <k n="Open" t="i"/>
    <k n="Price" t="i"/>
    <k n="Change" t="i"/>
    <k n="Change (%)" t="i"/>
    <k n="52 week low" t="i"/>
    <k n="52 week high" t="i"/>
    <k n="Previous close" t="i"/>
    <k n="`%EntityServiceId" t="i"/>
  </s>
  <s>
    <k n="Change" t="s"/>
    <k n="Change (%)" t="s"/>
  </s>
  <s>
    <k n="Price" t="s"/>
    <k n="Change" t="s"/>
    <k n="Change (%)" t="s"/>
    <k n="Last trade time" t="s"/>
  </s>
  <s>
    <k n="^Order" t="spba"/>
    <k n="TitleProperty" t="s"/>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_([$¥-ja-JP]* #,##0_);_([$¥-ja-JP]* (#,##0);_([$¥-ja-JP]* "-"_);_(@_)</rpv>
    </rSty>
    <rSty dxfid="1">
      <rpv i="0">_([$€-x-euro2] * #,##0.00_);_([$€-x-euro2] * (#,##0.00);_([$€-x-euro2] * "-"??_);_(@_)</rpv>
    </rSty>
    <rSty dxfid="1">
      <rpv i="0">_([$€-x-euro2] * #,##0_);_([$€-x-euro2] * (#,##0);_([$€-x-euro2] * "-"_);_(@_)</rpv>
    </rSty>
    <rSty dxfid="1">
      <rpv i="0" xml:space="preserve">_ [$CHF-fr-CH] * #,##0_ ;_ [$CHF-fr-CH] * -#,##0_ ;_ [$CHF-fr-CH] *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2C6C0C-03AC-D64D-B439-55469CDBFFBE}">
  <we:reference id="wa200001456" version="3.1.1.0" store="en-US" storeType="OMEX"/>
  <we:alternateReferences>
    <we:reference id="WA200001456" version="3.1.1.0" store="" storeType="OMEX"/>
  </we:alternateReferences>
  <we:properties>
    <we:property name="Office.DisableTrustUX" value="true"/>
  </we:properties>
  <we:bindings/>
  <we:snapshot xmlns:r="http://schemas.openxmlformats.org/officeDocument/2006/relationships"/>
  <we:extLs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2615-B094-40CD-B96B-AA44A8969473}">
  <dimension ref="A1:B1"/>
  <sheetViews>
    <sheetView workbookViewId="0"/>
  </sheetViews>
  <sheetFormatPr baseColWidth="10" defaultColWidth="8.83203125" defaultRowHeight="15" x14ac:dyDescent="0.2"/>
  <sheetData>
    <row r="1" spans="1:2" x14ac:dyDescent="0.2">
      <c r="B1" t="s">
        <v>230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AC65-7752-4C51-9E65-AEBB434CA61E}">
  <dimension ref="A2:M48"/>
  <sheetViews>
    <sheetView topLeftCell="A19" workbookViewId="0">
      <selection activeCell="E23" sqref="E23"/>
    </sheetView>
  </sheetViews>
  <sheetFormatPr baseColWidth="10" defaultColWidth="9.1640625" defaultRowHeight="13" x14ac:dyDescent="0.15"/>
  <cols>
    <col min="1" max="1" width="12" style="1" customWidth="1"/>
    <col min="2" max="2" width="14.1640625" style="6" customWidth="1"/>
    <col min="3" max="3" width="17.6640625" style="6" customWidth="1"/>
    <col min="4" max="4" width="17.6640625" style="1" customWidth="1"/>
    <col min="5" max="5" width="32.1640625" style="64" customWidth="1"/>
    <col min="6" max="7" width="17.6640625" style="6" customWidth="1"/>
    <col min="8" max="8" width="39.33203125" style="6" customWidth="1"/>
    <col min="9" max="9" width="53.6640625" style="6" customWidth="1"/>
    <col min="10" max="10" width="26.5" style="1" customWidth="1"/>
    <col min="11" max="16384" width="9.1640625" style="1"/>
  </cols>
  <sheetData>
    <row r="2" spans="1:13" ht="56" x14ac:dyDescent="0.15">
      <c r="A2" s="66" t="s">
        <v>0</v>
      </c>
      <c r="B2" s="66" t="s">
        <v>33</v>
      </c>
      <c r="C2" s="66" t="s">
        <v>220</v>
      </c>
      <c r="D2" s="66" t="s">
        <v>43</v>
      </c>
      <c r="E2" s="67" t="s">
        <v>34</v>
      </c>
      <c r="F2" s="66" t="s">
        <v>551</v>
      </c>
      <c r="G2" s="66" t="s">
        <v>35</v>
      </c>
      <c r="H2" s="66" t="s">
        <v>507</v>
      </c>
      <c r="I2" s="66" t="s">
        <v>173</v>
      </c>
    </row>
    <row r="3" spans="1:13" ht="27.75" customHeight="1" x14ac:dyDescent="0.15">
      <c r="A3" s="78" t="s">
        <v>1</v>
      </c>
      <c r="B3" s="79" t="s">
        <v>171</v>
      </c>
      <c r="C3" s="152">
        <v>46042</v>
      </c>
      <c r="D3" s="152" t="s">
        <v>44</v>
      </c>
      <c r="E3" s="88" t="s">
        <v>505</v>
      </c>
      <c r="F3" s="79" t="s">
        <v>185</v>
      </c>
      <c r="G3" s="90" t="s">
        <v>38</v>
      </c>
      <c r="H3" s="79"/>
      <c r="I3" s="90" t="s">
        <v>38</v>
      </c>
    </row>
    <row r="4" spans="1:13" ht="70" x14ac:dyDescent="0.15">
      <c r="A4" s="78"/>
      <c r="B4" s="79" t="s">
        <v>170</v>
      </c>
      <c r="C4" s="152">
        <f>C3+2</f>
        <v>46044</v>
      </c>
      <c r="D4" s="152"/>
      <c r="E4" s="88" t="s">
        <v>198</v>
      </c>
      <c r="G4" s="79" t="s">
        <v>506</v>
      </c>
      <c r="H4" s="79"/>
      <c r="I4" s="194" t="s">
        <v>547</v>
      </c>
    </row>
    <row r="5" spans="1:13" ht="51.75" customHeight="1" x14ac:dyDescent="0.15">
      <c r="A5" s="78" t="s">
        <v>2</v>
      </c>
      <c r="B5" s="79" t="s">
        <v>171</v>
      </c>
      <c r="C5" s="152">
        <f>C3+7</f>
        <v>46049</v>
      </c>
      <c r="D5" s="152"/>
      <c r="E5" s="90" t="s">
        <v>550</v>
      </c>
      <c r="F5" s="68" t="s">
        <v>16</v>
      </c>
      <c r="G5" s="68" t="s">
        <v>511</v>
      </c>
      <c r="H5" s="90" t="s">
        <v>545</v>
      </c>
      <c r="I5" s="68" t="s">
        <v>546</v>
      </c>
      <c r="J5" s="2" t="s">
        <v>553</v>
      </c>
      <c r="L5" s="2"/>
    </row>
    <row r="6" spans="1:13" ht="51" customHeight="1" x14ac:dyDescent="0.15">
      <c r="A6" s="153"/>
      <c r="B6" s="79" t="s">
        <v>170</v>
      </c>
      <c r="C6" s="152">
        <f>C5+2</f>
        <v>46051</v>
      </c>
      <c r="D6" s="152" t="s">
        <v>25</v>
      </c>
      <c r="E6" s="88" t="s">
        <v>549</v>
      </c>
      <c r="F6" s="68"/>
      <c r="G6" s="68" t="s">
        <v>548</v>
      </c>
      <c r="H6" s="88" t="s">
        <v>222</v>
      </c>
      <c r="I6" s="194" t="s">
        <v>42</v>
      </c>
      <c r="J6" s="3"/>
      <c r="L6" s="2"/>
    </row>
    <row r="7" spans="1:13" ht="48" customHeight="1" x14ac:dyDescent="0.15">
      <c r="A7" s="78" t="s">
        <v>3</v>
      </c>
      <c r="B7" s="79" t="s">
        <v>171</v>
      </c>
      <c r="C7" s="152">
        <f>C5+7</f>
        <v>46056</v>
      </c>
      <c r="E7" s="154" t="s">
        <v>554</v>
      </c>
      <c r="F7" s="68" t="s">
        <v>172</v>
      </c>
      <c r="H7" s="86" t="s">
        <v>221</v>
      </c>
      <c r="I7" s="69"/>
      <c r="J7" s="2"/>
      <c r="K7" s="2"/>
    </row>
    <row r="8" spans="1:13" ht="42" customHeight="1" x14ac:dyDescent="0.15">
      <c r="A8" s="153"/>
      <c r="B8" s="79" t="s">
        <v>170</v>
      </c>
      <c r="C8" s="152">
        <f>C7+2</f>
        <v>46058</v>
      </c>
      <c r="D8" s="152" t="s">
        <v>25</v>
      </c>
      <c r="E8" s="88" t="s">
        <v>555</v>
      </c>
      <c r="F8" s="69"/>
      <c r="G8" s="89" t="s">
        <v>174</v>
      </c>
      <c r="H8" s="154"/>
      <c r="I8" s="69"/>
      <c r="J8" s="2"/>
      <c r="K8" s="7"/>
    </row>
    <row r="9" spans="1:13" ht="44.25" customHeight="1" x14ac:dyDescent="0.15">
      <c r="A9" s="78" t="s">
        <v>18</v>
      </c>
      <c r="B9" s="79" t="s">
        <v>171</v>
      </c>
      <c r="C9" s="152">
        <f>C7+7</f>
        <v>46063</v>
      </c>
      <c r="D9" s="152"/>
      <c r="E9" s="88" t="s">
        <v>552</v>
      </c>
      <c r="F9" s="68"/>
      <c r="G9" s="69" t="s">
        <v>30</v>
      </c>
      <c r="H9" s="79"/>
      <c r="I9" s="155" t="s">
        <v>556</v>
      </c>
      <c r="J9" s="2"/>
      <c r="M9" s="8"/>
    </row>
    <row r="10" spans="1:13" ht="35.25" customHeight="1" x14ac:dyDescent="0.15">
      <c r="A10" s="153"/>
      <c r="B10" s="79" t="s">
        <v>170</v>
      </c>
      <c r="C10" s="152">
        <f t="shared" ref="C10" si="0">C9+2</f>
        <v>46065</v>
      </c>
      <c r="D10" s="152"/>
      <c r="E10" s="155" t="s">
        <v>26</v>
      </c>
      <c r="F10" s="68"/>
      <c r="G10" s="69"/>
      <c r="H10" s="86"/>
      <c r="I10" s="69"/>
    </row>
    <row r="11" spans="1:13" ht="41.25" customHeight="1" x14ac:dyDescent="0.15">
      <c r="A11" s="78" t="s">
        <v>4</v>
      </c>
      <c r="B11" s="79" t="s">
        <v>171</v>
      </c>
      <c r="C11" s="152">
        <f t="shared" ref="C11" si="1">C9+7</f>
        <v>46070</v>
      </c>
      <c r="D11" s="152" t="s">
        <v>45</v>
      </c>
      <c r="E11" s="156" t="s">
        <v>176</v>
      </c>
      <c r="F11" s="70" t="s">
        <v>177</v>
      </c>
      <c r="G11" s="70" t="s">
        <v>180</v>
      </c>
      <c r="H11" s="79"/>
      <c r="I11" s="155"/>
    </row>
    <row r="12" spans="1:13" ht="50.25" customHeight="1" x14ac:dyDescent="0.15">
      <c r="A12" s="78"/>
      <c r="B12" s="79" t="s">
        <v>170</v>
      </c>
      <c r="C12" s="152">
        <f t="shared" ref="C12" si="2">C11+2</f>
        <v>46072</v>
      </c>
      <c r="D12" s="152"/>
      <c r="E12" s="157" t="s">
        <v>178</v>
      </c>
      <c r="F12" s="70" t="s">
        <v>179</v>
      </c>
      <c r="H12" s="79"/>
      <c r="I12" s="155" t="s">
        <v>557</v>
      </c>
    </row>
    <row r="13" spans="1:13" ht="55.5" customHeight="1" x14ac:dyDescent="0.15">
      <c r="A13" s="78" t="s">
        <v>5</v>
      </c>
      <c r="B13" s="79" t="s">
        <v>171</v>
      </c>
      <c r="C13" s="152">
        <f t="shared" ref="C13" si="3">C11+7</f>
        <v>46077</v>
      </c>
      <c r="G13" s="70" t="s">
        <v>181</v>
      </c>
    </row>
    <row r="14" spans="1:13" ht="34.5" customHeight="1" x14ac:dyDescent="0.15">
      <c r="A14" s="195" t="s">
        <v>558</v>
      </c>
      <c r="B14" s="79" t="s">
        <v>170</v>
      </c>
      <c r="C14" s="152">
        <f t="shared" ref="C14" si="4">C13+2</f>
        <v>46079</v>
      </c>
      <c r="D14" s="152" t="s">
        <v>45</v>
      </c>
      <c r="E14" s="158" t="s">
        <v>90</v>
      </c>
      <c r="F14" s="70"/>
      <c r="G14" s="70" t="s">
        <v>186</v>
      </c>
      <c r="H14" s="87" t="s">
        <v>559</v>
      </c>
      <c r="I14" s="72" t="s">
        <v>244</v>
      </c>
    </row>
    <row r="15" spans="1:13" ht="44.25" customHeight="1" x14ac:dyDescent="0.15">
      <c r="A15" s="153" t="s">
        <v>6</v>
      </c>
      <c r="B15" s="79" t="s">
        <v>171</v>
      </c>
      <c r="C15" s="152">
        <f t="shared" ref="C15" si="5">C13+7</f>
        <v>46084</v>
      </c>
      <c r="D15" s="152"/>
      <c r="E15" s="88" t="s">
        <v>247</v>
      </c>
      <c r="F15" s="71" t="s">
        <v>182</v>
      </c>
      <c r="G15" s="70" t="s">
        <v>245</v>
      </c>
      <c r="H15" s="79" t="s">
        <v>246</v>
      </c>
      <c r="I15" s="72"/>
    </row>
    <row r="16" spans="1:13" ht="44.25" customHeight="1" x14ac:dyDescent="0.15">
      <c r="A16" s="153"/>
      <c r="B16" s="79" t="s">
        <v>170</v>
      </c>
      <c r="C16" s="152">
        <f>C15+2</f>
        <v>46086</v>
      </c>
      <c r="E16" s="88" t="s">
        <v>248</v>
      </c>
      <c r="G16" s="70" t="s">
        <v>191</v>
      </c>
      <c r="H16" s="118" t="s">
        <v>560</v>
      </c>
      <c r="I16" s="118" t="s">
        <v>183</v>
      </c>
    </row>
    <row r="17" spans="1:10" ht="40.5" customHeight="1" x14ac:dyDescent="0.15">
      <c r="A17" s="153" t="s">
        <v>7</v>
      </c>
      <c r="B17" s="79" t="s">
        <v>171</v>
      </c>
      <c r="C17" s="152">
        <f>C15+7</f>
        <v>46091</v>
      </c>
      <c r="D17" s="152" t="s">
        <v>45</v>
      </c>
      <c r="E17" s="159" t="s">
        <v>47</v>
      </c>
      <c r="F17" s="72" t="s">
        <v>31</v>
      </c>
      <c r="G17" s="70"/>
      <c r="H17" s="79"/>
      <c r="I17" s="79"/>
    </row>
    <row r="18" spans="1:10" ht="30" customHeight="1" x14ac:dyDescent="0.15">
      <c r="A18" s="153"/>
      <c r="B18" s="79" t="s">
        <v>170</v>
      </c>
      <c r="C18" s="152">
        <f t="shared" ref="C18" si="6">C17+2</f>
        <v>46093</v>
      </c>
      <c r="D18" s="152"/>
      <c r="E18" s="196" t="s">
        <v>561</v>
      </c>
      <c r="F18" s="72"/>
      <c r="G18" s="70"/>
      <c r="H18" s="79"/>
      <c r="I18" s="79"/>
    </row>
    <row r="19" spans="1:10" ht="36.75" customHeight="1" x14ac:dyDescent="0.15">
      <c r="A19" s="153" t="s">
        <v>8</v>
      </c>
      <c r="B19" s="79" t="s">
        <v>171</v>
      </c>
      <c r="C19" s="152">
        <f t="shared" ref="C19" si="7">C17+7</f>
        <v>46098</v>
      </c>
      <c r="E19" s="203" t="s">
        <v>509</v>
      </c>
    </row>
    <row r="20" spans="1:10" ht="27.75" customHeight="1" x14ac:dyDescent="0.15">
      <c r="A20" s="153"/>
      <c r="B20" s="79" t="s">
        <v>170</v>
      </c>
      <c r="C20" s="152">
        <f t="shared" ref="C20" si="8">C19+2</f>
        <v>46100</v>
      </c>
      <c r="D20" s="160"/>
      <c r="E20" s="204"/>
      <c r="H20" s="6" t="s">
        <v>512</v>
      </c>
    </row>
    <row r="21" spans="1:10" ht="27" customHeight="1" x14ac:dyDescent="0.15">
      <c r="A21" s="92" t="s">
        <v>9</v>
      </c>
      <c r="B21" s="91" t="s">
        <v>171</v>
      </c>
      <c r="C21" s="160">
        <f t="shared" ref="C21" si="9">C19+7</f>
        <v>46105</v>
      </c>
      <c r="D21" s="152"/>
      <c r="E21" s="197" t="s">
        <v>591</v>
      </c>
    </row>
    <row r="22" spans="1:10" ht="24.75" customHeight="1" x14ac:dyDescent="0.15">
      <c r="A22" s="92"/>
      <c r="B22" s="91" t="s">
        <v>170</v>
      </c>
      <c r="C22" s="160">
        <f t="shared" ref="C22" si="10">C21+2</f>
        <v>46107</v>
      </c>
      <c r="D22" s="152"/>
      <c r="E22" s="158" t="s">
        <v>27</v>
      </c>
      <c r="F22" s="86"/>
      <c r="G22" s="86" t="s">
        <v>252</v>
      </c>
    </row>
    <row r="23" spans="1:10" ht="30" customHeight="1" x14ac:dyDescent="0.15">
      <c r="A23" s="78" t="s">
        <v>10</v>
      </c>
      <c r="B23" s="79" t="s">
        <v>171</v>
      </c>
      <c r="C23" s="152">
        <f t="shared" ref="C23:C31" si="11">C21+7</f>
        <v>46112</v>
      </c>
      <c r="D23" s="152"/>
      <c r="E23" s="88" t="s">
        <v>187</v>
      </c>
      <c r="F23" s="75" t="s">
        <v>249</v>
      </c>
      <c r="G23" s="74" t="s">
        <v>253</v>
      </c>
      <c r="H23" s="91"/>
      <c r="I23" s="75"/>
    </row>
    <row r="24" spans="1:10" ht="48.5" customHeight="1" x14ac:dyDescent="0.15">
      <c r="A24" s="78"/>
      <c r="B24" s="79" t="s">
        <v>170</v>
      </c>
      <c r="C24" s="152">
        <f t="shared" ref="C24:C32" si="12">C23+2</f>
        <v>46114</v>
      </c>
      <c r="D24" s="152"/>
      <c r="E24" s="88" t="s">
        <v>592</v>
      </c>
      <c r="F24" s="73"/>
      <c r="G24" s="73"/>
      <c r="H24" s="92"/>
      <c r="I24" s="76"/>
    </row>
    <row r="25" spans="1:10" ht="39" customHeight="1" x14ac:dyDescent="0.15">
      <c r="A25" s="151" t="s">
        <v>11</v>
      </c>
      <c r="B25" s="151" t="s">
        <v>171</v>
      </c>
      <c r="C25" s="152">
        <f t="shared" si="11"/>
        <v>46119</v>
      </c>
      <c r="D25" s="151"/>
      <c r="E25" s="158" t="s">
        <v>250</v>
      </c>
      <c r="F25" s="73" t="s">
        <v>188</v>
      </c>
      <c r="G25" s="73" t="s">
        <v>189</v>
      </c>
      <c r="H25" s="79"/>
      <c r="I25" s="76"/>
    </row>
    <row r="26" spans="1:10" ht="39.75" customHeight="1" x14ac:dyDescent="0.15">
      <c r="A26" s="78"/>
      <c r="B26" s="79" t="s">
        <v>170</v>
      </c>
      <c r="C26" s="152">
        <f t="shared" si="12"/>
        <v>46121</v>
      </c>
      <c r="D26" s="158"/>
      <c r="E26" s="158" t="s">
        <v>24</v>
      </c>
      <c r="F26" s="75" t="s">
        <v>32</v>
      </c>
      <c r="G26" s="75" t="s">
        <v>190</v>
      </c>
      <c r="H26" s="77"/>
      <c r="I26" s="75"/>
    </row>
    <row r="27" spans="1:10" ht="42.75" customHeight="1" x14ac:dyDescent="0.15">
      <c r="A27" s="151" t="s">
        <v>12</v>
      </c>
      <c r="B27" s="151" t="s">
        <v>171</v>
      </c>
      <c r="C27" s="152">
        <f t="shared" si="11"/>
        <v>46126</v>
      </c>
      <c r="D27" s="158" t="s">
        <v>175</v>
      </c>
      <c r="E27" s="158" t="s">
        <v>28</v>
      </c>
      <c r="F27" s="80"/>
      <c r="G27" s="81"/>
      <c r="H27" s="87"/>
      <c r="I27" s="82"/>
      <c r="J27" s="20" t="s">
        <v>61</v>
      </c>
    </row>
    <row r="28" spans="1:10" ht="37.5" customHeight="1" x14ac:dyDescent="0.15">
      <c r="A28" s="151"/>
      <c r="B28" s="151" t="s">
        <v>170</v>
      </c>
      <c r="C28" s="152">
        <f t="shared" si="12"/>
        <v>46128</v>
      </c>
      <c r="D28" s="151" t="s">
        <v>46</v>
      </c>
      <c r="E28" s="88" t="s">
        <v>510</v>
      </c>
      <c r="F28" s="198" t="s">
        <v>143</v>
      </c>
      <c r="G28" s="79"/>
      <c r="H28" s="79"/>
      <c r="I28" s="87"/>
      <c r="J28" s="20" t="s">
        <v>61</v>
      </c>
    </row>
    <row r="29" spans="1:10" ht="22.5" customHeight="1" x14ac:dyDescent="0.15">
      <c r="A29" s="152" t="s">
        <v>13</v>
      </c>
      <c r="B29" s="152" t="s">
        <v>171</v>
      </c>
      <c r="C29" s="152">
        <f t="shared" si="11"/>
        <v>46133</v>
      </c>
      <c r="D29" s="151" t="s">
        <v>46</v>
      </c>
      <c r="E29" s="88" t="s">
        <v>510</v>
      </c>
      <c r="F29" s="83"/>
      <c r="G29" s="83"/>
      <c r="H29" s="87"/>
      <c r="I29" s="84" t="s">
        <v>39</v>
      </c>
      <c r="J29" s="20" t="s">
        <v>61</v>
      </c>
    </row>
    <row r="30" spans="1:10" ht="24" customHeight="1" x14ac:dyDescent="0.15">
      <c r="A30" s="152"/>
      <c r="B30" s="152" t="s">
        <v>170</v>
      </c>
      <c r="C30" s="152">
        <f t="shared" si="12"/>
        <v>46135</v>
      </c>
      <c r="D30" s="151" t="s">
        <v>46</v>
      </c>
      <c r="E30" s="88" t="s">
        <v>510</v>
      </c>
      <c r="F30" s="85"/>
      <c r="G30" s="85"/>
      <c r="H30" s="79"/>
      <c r="I30" s="84" t="s">
        <v>39</v>
      </c>
      <c r="J30" s="20" t="s">
        <v>61</v>
      </c>
    </row>
    <row r="31" spans="1:10" ht="28" x14ac:dyDescent="0.15">
      <c r="A31" s="151" t="s">
        <v>14</v>
      </c>
      <c r="B31" s="151" t="s">
        <v>171</v>
      </c>
      <c r="C31" s="152">
        <f t="shared" si="11"/>
        <v>46140</v>
      </c>
      <c r="D31" s="151" t="s">
        <v>46</v>
      </c>
      <c r="E31" s="88" t="s">
        <v>510</v>
      </c>
      <c r="F31" s="84"/>
      <c r="G31" s="85"/>
      <c r="H31" s="79"/>
      <c r="I31" s="84" t="s">
        <v>39</v>
      </c>
      <c r="J31" s="20" t="s">
        <v>61</v>
      </c>
    </row>
    <row r="32" spans="1:10" ht="28" x14ac:dyDescent="0.15">
      <c r="A32" s="151"/>
      <c r="B32" s="151" t="s">
        <v>170</v>
      </c>
      <c r="C32" s="152">
        <f t="shared" si="12"/>
        <v>46142</v>
      </c>
      <c r="D32" s="151" t="s">
        <v>46</v>
      </c>
      <c r="E32" s="88" t="s">
        <v>510</v>
      </c>
      <c r="F32" s="85"/>
      <c r="G32" s="85"/>
      <c r="H32" s="79"/>
      <c r="I32" s="84" t="s">
        <v>39</v>
      </c>
      <c r="J32" s="20" t="s">
        <v>61</v>
      </c>
    </row>
    <row r="33" spans="1:9" ht="14" x14ac:dyDescent="0.15">
      <c r="A33" s="78" t="s">
        <v>19</v>
      </c>
      <c r="B33" s="202" t="s">
        <v>508</v>
      </c>
      <c r="C33" s="202"/>
      <c r="D33" s="79"/>
      <c r="E33" s="88" t="s">
        <v>19</v>
      </c>
      <c r="F33" s="79"/>
      <c r="G33" s="86"/>
      <c r="H33" s="86"/>
      <c r="I33" s="86"/>
    </row>
    <row r="34" spans="1:9" x14ac:dyDescent="0.15">
      <c r="C34" s="169"/>
      <c r="D34" s="4"/>
      <c r="E34" s="63"/>
      <c r="F34" s="5"/>
    </row>
    <row r="35" spans="1:9" x14ac:dyDescent="0.15">
      <c r="F35" s="5"/>
    </row>
    <row r="36" spans="1:9" x14ac:dyDescent="0.15">
      <c r="E36" s="64" t="s">
        <v>195</v>
      </c>
      <c r="G36" s="5"/>
      <c r="H36" s="5"/>
    </row>
    <row r="37" spans="1:9" x14ac:dyDescent="0.15">
      <c r="E37" s="65" t="s">
        <v>192</v>
      </c>
      <c r="G37" s="5"/>
      <c r="H37" s="5"/>
    </row>
    <row r="38" spans="1:9" x14ac:dyDescent="0.15">
      <c r="A38" s="1" t="s">
        <v>22</v>
      </c>
      <c r="C38" s="170">
        <v>0.05</v>
      </c>
      <c r="D38" s="9"/>
      <c r="E38" s="65" t="s">
        <v>193</v>
      </c>
    </row>
    <row r="39" spans="1:9" x14ac:dyDescent="0.15">
      <c r="A39" s="1" t="s">
        <v>23</v>
      </c>
      <c r="C39" s="170">
        <v>0.05</v>
      </c>
      <c r="D39" s="9"/>
      <c r="E39" s="65" t="s">
        <v>194</v>
      </c>
    </row>
    <row r="40" spans="1:9" x14ac:dyDescent="0.15">
      <c r="A40" s="1" t="s">
        <v>20</v>
      </c>
      <c r="C40" s="170">
        <v>0.3</v>
      </c>
      <c r="D40" s="9"/>
      <c r="E40" s="65" t="s">
        <v>196</v>
      </c>
    </row>
    <row r="41" spans="1:9" x14ac:dyDescent="0.15">
      <c r="A41" s="1" t="s">
        <v>184</v>
      </c>
      <c r="C41" s="170">
        <v>0.1</v>
      </c>
      <c r="D41" s="9"/>
      <c r="E41" s="65" t="s">
        <v>197</v>
      </c>
    </row>
    <row r="42" spans="1:9" x14ac:dyDescent="0.15">
      <c r="A42" s="119" t="s">
        <v>15</v>
      </c>
      <c r="B42" s="120"/>
      <c r="C42" s="171">
        <v>0.15</v>
      </c>
      <c r="D42" s="9"/>
      <c r="E42" s="64" t="s">
        <v>251</v>
      </c>
    </row>
    <row r="43" spans="1:9" x14ac:dyDescent="0.15">
      <c r="A43" s="119" t="s">
        <v>37</v>
      </c>
      <c r="B43" s="120"/>
      <c r="C43" s="171">
        <v>0.1</v>
      </c>
      <c r="D43" s="9"/>
    </row>
    <row r="44" spans="1:9" x14ac:dyDescent="0.15">
      <c r="A44" s="11" t="s">
        <v>36</v>
      </c>
      <c r="B44" s="12"/>
      <c r="C44" s="172">
        <v>0.1</v>
      </c>
      <c r="D44" s="9"/>
    </row>
    <row r="45" spans="1:9" ht="14" thickBot="1" x14ac:dyDescent="0.2">
      <c r="A45" s="1" t="s">
        <v>21</v>
      </c>
      <c r="B45" s="10"/>
      <c r="C45" s="173">
        <v>0.15</v>
      </c>
      <c r="D45" s="9"/>
    </row>
    <row r="46" spans="1:9" ht="14" thickTop="1" x14ac:dyDescent="0.15">
      <c r="A46" s="1" t="s">
        <v>17</v>
      </c>
      <c r="C46" s="170">
        <f>SUM(C38:C45)</f>
        <v>1</v>
      </c>
      <c r="D46" s="9"/>
    </row>
    <row r="47" spans="1:9" x14ac:dyDescent="0.15">
      <c r="C47" s="170"/>
    </row>
    <row r="48" spans="1:9" x14ac:dyDescent="0.15">
      <c r="C48" s="170"/>
    </row>
  </sheetData>
  <mergeCells count="2">
    <mergeCell ref="B33:C33"/>
    <mergeCell ref="E19:E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09ED-F3E8-49F0-86EE-FFDA0A44407E}">
  <dimension ref="A1:G15"/>
  <sheetViews>
    <sheetView workbookViewId="0">
      <selection activeCell="I20" sqref="I20"/>
    </sheetView>
  </sheetViews>
  <sheetFormatPr baseColWidth="10" defaultColWidth="8.83203125" defaultRowHeight="15" x14ac:dyDescent="0.2"/>
  <cols>
    <col min="1" max="1" width="26.1640625" customWidth="1"/>
    <col min="2" max="2" width="14.5" customWidth="1"/>
    <col min="5" max="5" width="21.6640625" bestFit="1" customWidth="1"/>
  </cols>
  <sheetData>
    <row r="1" spans="1:7" ht="16" thickBot="1" x14ac:dyDescent="0.25">
      <c r="A1" s="132" t="s">
        <v>621</v>
      </c>
      <c r="B1" s="199" t="s">
        <v>223</v>
      </c>
      <c r="C1" s="200" t="s">
        <v>267</v>
      </c>
      <c r="E1" s="132" t="s">
        <v>621</v>
      </c>
      <c r="F1" s="199" t="s">
        <v>223</v>
      </c>
      <c r="G1" s="200" t="s">
        <v>267</v>
      </c>
    </row>
    <row r="2" spans="1:7" ht="16" thickTop="1" x14ac:dyDescent="0.2">
      <c r="A2" t="s">
        <v>605</v>
      </c>
      <c r="B2" s="17" t="s">
        <v>563</v>
      </c>
      <c r="C2">
        <v>1</v>
      </c>
      <c r="E2" t="s">
        <v>606</v>
      </c>
      <c r="F2" s="17" t="s">
        <v>574</v>
      </c>
      <c r="G2" s="201">
        <v>15</v>
      </c>
    </row>
    <row r="3" spans="1:7" x14ac:dyDescent="0.2">
      <c r="A3" t="s">
        <v>618</v>
      </c>
      <c r="B3" s="17" t="s">
        <v>586</v>
      </c>
      <c r="C3">
        <v>2</v>
      </c>
      <c r="E3" t="s">
        <v>602</v>
      </c>
      <c r="F3" s="17" t="s">
        <v>571</v>
      </c>
      <c r="G3" s="201">
        <v>16</v>
      </c>
    </row>
    <row r="4" spans="1:7" x14ac:dyDescent="0.2">
      <c r="A4" t="s">
        <v>607</v>
      </c>
      <c r="B4" s="17" t="s">
        <v>575</v>
      </c>
      <c r="C4">
        <v>3</v>
      </c>
      <c r="E4" t="s">
        <v>615</v>
      </c>
      <c r="F4" s="17" t="s">
        <v>583</v>
      </c>
      <c r="G4" s="201">
        <v>17</v>
      </c>
    </row>
    <row r="5" spans="1:7" x14ac:dyDescent="0.2">
      <c r="A5" t="s">
        <v>596</v>
      </c>
      <c r="B5" s="17" t="s">
        <v>565</v>
      </c>
      <c r="C5">
        <v>4</v>
      </c>
      <c r="E5" t="s">
        <v>620</v>
      </c>
      <c r="F5" s="17" t="s">
        <v>588</v>
      </c>
      <c r="G5" s="201">
        <v>18</v>
      </c>
    </row>
    <row r="6" spans="1:7" x14ac:dyDescent="0.2">
      <c r="A6" t="s">
        <v>609</v>
      </c>
      <c r="B6" s="17" t="s">
        <v>577</v>
      </c>
      <c r="C6">
        <v>5</v>
      </c>
      <c r="E6" t="s">
        <v>616</v>
      </c>
      <c r="F6" s="17" t="s">
        <v>584</v>
      </c>
      <c r="G6" s="201">
        <v>19</v>
      </c>
    </row>
    <row r="7" spans="1:7" x14ac:dyDescent="0.2">
      <c r="A7" t="s">
        <v>597</v>
      </c>
      <c r="B7" s="17" t="s">
        <v>566</v>
      </c>
      <c r="C7">
        <v>6</v>
      </c>
      <c r="E7" t="s">
        <v>598</v>
      </c>
      <c r="F7" s="17" t="s">
        <v>567</v>
      </c>
      <c r="G7" s="201">
        <v>20</v>
      </c>
    </row>
    <row r="8" spans="1:7" x14ac:dyDescent="0.2">
      <c r="A8" t="s">
        <v>599</v>
      </c>
      <c r="B8" s="17" t="s">
        <v>568</v>
      </c>
      <c r="C8">
        <v>7</v>
      </c>
      <c r="E8" t="s">
        <v>601</v>
      </c>
      <c r="F8" s="17" t="s">
        <v>570</v>
      </c>
      <c r="G8" s="201">
        <v>21</v>
      </c>
    </row>
    <row r="9" spans="1:7" x14ac:dyDescent="0.2">
      <c r="A9" t="s">
        <v>600</v>
      </c>
      <c r="B9" s="17" t="s">
        <v>569</v>
      </c>
      <c r="C9">
        <v>8</v>
      </c>
      <c r="E9" t="s">
        <v>611</v>
      </c>
      <c r="F9" s="17" t="s">
        <v>579</v>
      </c>
      <c r="G9" s="201">
        <v>22</v>
      </c>
    </row>
    <row r="10" spans="1:7" x14ac:dyDescent="0.2">
      <c r="A10" t="s">
        <v>604</v>
      </c>
      <c r="B10" s="17" t="s">
        <v>573</v>
      </c>
      <c r="C10">
        <v>9</v>
      </c>
      <c r="E10" t="s">
        <v>612</v>
      </c>
      <c r="F10" s="17" t="s">
        <v>580</v>
      </c>
      <c r="G10" s="201">
        <v>23</v>
      </c>
    </row>
    <row r="11" spans="1:7" x14ac:dyDescent="0.2">
      <c r="A11" t="s">
        <v>603</v>
      </c>
      <c r="B11" s="17" t="s">
        <v>572</v>
      </c>
      <c r="C11">
        <v>10</v>
      </c>
      <c r="E11" t="s">
        <v>613</v>
      </c>
      <c r="F11" s="17" t="s">
        <v>581</v>
      </c>
      <c r="G11" s="201">
        <v>24</v>
      </c>
    </row>
    <row r="12" spans="1:7" x14ac:dyDescent="0.2">
      <c r="A12" t="s">
        <v>593</v>
      </c>
      <c r="B12" s="17" t="s">
        <v>562</v>
      </c>
      <c r="C12">
        <v>11</v>
      </c>
      <c r="E12" t="s">
        <v>610</v>
      </c>
      <c r="F12" s="17" t="s">
        <v>578</v>
      </c>
      <c r="G12" s="201">
        <v>25</v>
      </c>
    </row>
    <row r="13" spans="1:7" x14ac:dyDescent="0.2">
      <c r="A13" t="s">
        <v>619</v>
      </c>
      <c r="B13" s="17" t="s">
        <v>587</v>
      </c>
      <c r="C13">
        <v>12</v>
      </c>
      <c r="E13" t="s">
        <v>617</v>
      </c>
      <c r="F13" s="17" t="s">
        <v>585</v>
      </c>
      <c r="G13" s="201">
        <v>26</v>
      </c>
    </row>
    <row r="14" spans="1:7" x14ac:dyDescent="0.2">
      <c r="A14" t="s">
        <v>595</v>
      </c>
      <c r="B14" s="17" t="s">
        <v>564</v>
      </c>
      <c r="C14">
        <v>13</v>
      </c>
      <c r="E14" t="s">
        <v>594</v>
      </c>
      <c r="F14" s="17" t="s">
        <v>563</v>
      </c>
      <c r="G14" s="201">
        <v>27</v>
      </c>
    </row>
    <row r="15" spans="1:7" x14ac:dyDescent="0.2">
      <c r="A15" t="s">
        <v>614</v>
      </c>
      <c r="B15" s="17" t="s">
        <v>582</v>
      </c>
      <c r="C15">
        <v>14</v>
      </c>
      <c r="E15" t="s">
        <v>608</v>
      </c>
      <c r="F15" s="17" t="s">
        <v>576</v>
      </c>
      <c r="G15" s="201">
        <v>28</v>
      </c>
    </row>
  </sheetData>
  <autoFilter ref="A1:C1" xr:uid="{70D909ED-F3E8-49F0-86EE-FFDA0A44407E}">
    <sortState xmlns:xlrd2="http://schemas.microsoft.com/office/spreadsheetml/2017/richdata2" ref="A2:C29">
      <sortCondition ref="C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BB380-DF99-44F9-AC85-FBADEBF8B59B}">
  <dimension ref="A1:R32"/>
  <sheetViews>
    <sheetView workbookViewId="0">
      <pane ySplit="1" topLeftCell="A2" activePane="bottomLeft" state="frozen"/>
      <selection pane="bottomLeft" activeCell="D29" sqref="D2:D29"/>
    </sheetView>
  </sheetViews>
  <sheetFormatPr baseColWidth="10" defaultColWidth="8.83203125" defaultRowHeight="15" x14ac:dyDescent="0.2"/>
  <cols>
    <col min="2" max="2" width="23.5" customWidth="1"/>
    <col min="3" max="3" width="47.5" bestFit="1" customWidth="1"/>
    <col min="4" max="4" width="7.5" bestFit="1" customWidth="1"/>
    <col min="5" max="5" width="8.5" customWidth="1"/>
    <col min="6" max="6" width="10.5" customWidth="1"/>
    <col min="8" max="8" width="5.6640625" customWidth="1"/>
    <col min="9" max="9" width="12.83203125" customWidth="1"/>
    <col min="10" max="10" width="13.5" customWidth="1"/>
    <col min="11" max="11" width="14.1640625" customWidth="1"/>
    <col min="17" max="17" width="13.33203125" customWidth="1"/>
  </cols>
  <sheetData>
    <row r="1" spans="1:18" ht="48" x14ac:dyDescent="0.2">
      <c r="A1" s="124" t="s">
        <v>513</v>
      </c>
      <c r="B1" s="161" t="s">
        <v>257</v>
      </c>
      <c r="C1" s="161" t="s">
        <v>233</v>
      </c>
      <c r="D1" s="161" t="s">
        <v>223</v>
      </c>
      <c r="E1" s="168" t="s">
        <v>231</v>
      </c>
      <c r="F1" s="162" t="s">
        <v>241</v>
      </c>
      <c r="G1" s="162" t="s">
        <v>242</v>
      </c>
      <c r="H1" s="162"/>
      <c r="I1" s="163" t="s">
        <v>232</v>
      </c>
      <c r="J1" s="164" t="s">
        <v>235</v>
      </c>
      <c r="K1" s="164" t="s">
        <v>240</v>
      </c>
      <c r="L1" s="164" t="s">
        <v>236</v>
      </c>
      <c r="M1" s="165" t="s">
        <v>237</v>
      </c>
      <c r="N1" s="164" t="s">
        <v>238</v>
      </c>
      <c r="O1" s="164" t="s">
        <v>239</v>
      </c>
      <c r="P1" s="166"/>
      <c r="Q1" s="125" t="s">
        <v>544</v>
      </c>
      <c r="R1" s="125" t="s">
        <v>254</v>
      </c>
    </row>
    <row r="2" spans="1:18" x14ac:dyDescent="0.2">
      <c r="A2" s="103" cm="1">
        <f t="array" ref="A2:A29">_xlfn.SEQUENCE(28)</f>
        <v>1</v>
      </c>
      <c r="B2" s="101" t="s">
        <v>515</v>
      </c>
      <c r="C2" s="101" t="e" vm="1">
        <v>#VALUE!</v>
      </c>
      <c r="D2" s="102" t="str" cm="1">
        <f t="array" aca="1" ref="D2" ca="1">_FV(C2,"Ticker symbol",TRUE)</f>
        <v>TJX</v>
      </c>
      <c r="E2" s="101" t="str" cm="1">
        <f t="array" aca="1" ref="E2" ca="1">_xll.FDSR(D2,"FG_PRICE(1/21/2026)")</f>
        <v>#Calc</v>
      </c>
      <c r="F2" s="101" t="str" cm="1">
        <f t="array" aca="1" ref="F2" ca="1">_xll.FDSR(D2,"FG_PRICE(NOW)")</f>
        <v>#Calc</v>
      </c>
      <c r="G2" s="104" t="e">
        <f t="shared" ref="G2:G29" ca="1" si="0">F2-E2</f>
        <v>#VALUE!</v>
      </c>
      <c r="H2" s="104"/>
      <c r="I2" s="104" t="str" cm="1">
        <f t="array" aca="1" ref="I2" ca="1">_xll.FDSR(D2,"FF_NET_INC(ANN_R,0)")</f>
        <v>#Calc</v>
      </c>
      <c r="J2" s="105" t="str" cm="1">
        <f t="array" aca="1" ref="J2" ca="1">_xll.FDSR(D2,"FF_WKCAP(ANN_R,0)")</f>
        <v>#Calc</v>
      </c>
      <c r="K2" s="108" t="str" cm="1">
        <f t="array" aca="1" ref="K2" ca="1">_xll.FDSR(D2,"FF_EBITDA_OPER(ANN_R,0)")</f>
        <v>#Calc</v>
      </c>
      <c r="L2" s="116" t="str" cm="1">
        <f t="array" aca="1" ref="L2" ca="1">_xll.FDSR(D2,"FF_DEBT_LT(ANN_R,0)")</f>
        <v>#Calc</v>
      </c>
      <c r="M2" s="104" t="str" cm="1">
        <f t="array" aca="1" ref="M2" ca="1">_xll.FDSR(D2,"FF_DPS(ANN,0)")</f>
        <v>#Calc</v>
      </c>
      <c r="N2" s="106" t="str" cm="1">
        <f t="array" aca="1" ref="N2" ca="1">_xll.FDSR(D2,"FF_ROE('ANN_R','0','0','YEARLY',RP,'LOCAL')")</f>
        <v>#Calc</v>
      </c>
      <c r="O2" s="106" t="str" cm="1">
        <f t="array" aca="1" ref="O2" ca="1">_xll.FDSR(D2,"FG_PRICE(0)/FF_EPS(ANN_R,0)")</f>
        <v>#Calc</v>
      </c>
      <c r="P2" s="101"/>
      <c r="Q2" s="167" t="e">
        <f t="shared" ref="Q2:Q29" ca="1" si="1">(F2-E2)/E2</f>
        <v>#VALUE!</v>
      </c>
      <c r="R2" s="126" t="e">
        <f ca="1">RANK(Q2,$Q$2:$Q$31)</f>
        <v>#VALUE!</v>
      </c>
    </row>
    <row r="3" spans="1:18" x14ac:dyDescent="0.2">
      <c r="A3" s="103">
        <v>2</v>
      </c>
      <c r="B3" s="101" t="s">
        <v>516</v>
      </c>
      <c r="C3" s="102" t="e" vm="2">
        <v>#VALUE!</v>
      </c>
      <c r="D3" s="102" t="str" cm="1">
        <f t="array" aca="1" ref="D3" ca="1">_FV(C3,"Ticker symbol",TRUE)</f>
        <v>CALY</v>
      </c>
      <c r="E3" s="101" t="str" cm="1">
        <f t="array" aca="1" ref="E3" ca="1">_xll.FDSR(D3,"FG_PRICE(1/21/2026)")</f>
        <v>#Calc</v>
      </c>
      <c r="F3" s="101" t="str" cm="1">
        <f t="array" aca="1" ref="F3" ca="1">_xll.FDSR(D3,"FG_PRICE(NOW)")</f>
        <v>#Calc</v>
      </c>
      <c r="G3" s="104" t="e">
        <f t="shared" ca="1" si="0"/>
        <v>#VALUE!</v>
      </c>
      <c r="H3" s="104"/>
      <c r="I3" s="104" t="str" cm="1">
        <f t="array" aca="1" ref="I3" ca="1">_xll.FDSR(D3,"FF_NET_INC(ANN_R,0)")</f>
        <v>#Calc</v>
      </c>
      <c r="J3" s="105" t="str" cm="1">
        <f t="array" aca="1" ref="J3" ca="1">_xll.FDSR(D3,"FF_WKCAP(ANN_R,0)")</f>
        <v>#Calc</v>
      </c>
      <c r="K3" s="108" t="str" cm="1">
        <f t="array" aca="1" ref="K3" ca="1">_xll.FDSR(D3,"FF_EBITDA_OPER(ANN_R,0)")</f>
        <v>#Calc</v>
      </c>
      <c r="L3" s="116" t="str" cm="1">
        <f t="array" aca="1" ref="L3" ca="1">_xll.FDSR(D3,"FF_DEBT_LT(ANN_R,0)")</f>
        <v>#Calc</v>
      </c>
      <c r="M3" s="104" t="str" cm="1">
        <f t="array" aca="1" ref="M3" ca="1">_xll.FDSR(D3,"FF_DPS(ANN,0)")</f>
        <v>#Calc</v>
      </c>
      <c r="N3" s="106" t="str" cm="1">
        <f t="array" aca="1" ref="N3" ca="1">_xll.FDSR(D3,"FF_ROE('ANN_R','0','0','YEARLY',RP,'LOCAL')")</f>
        <v>#Calc</v>
      </c>
      <c r="O3" s="106" t="str" cm="1">
        <f t="array" aca="1" ref="O3" ca="1">_xll.FDSR(D3,"FG_PRICE(0)/FF_EPS(ANN_R,0)")</f>
        <v>#Calc</v>
      </c>
      <c r="P3" s="101"/>
      <c r="Q3" s="167" t="e">
        <f t="shared" ca="1" si="1"/>
        <v>#VALUE!</v>
      </c>
      <c r="R3" s="126" t="e">
        <f t="shared" ref="R3:R31" ca="1" si="2">RANK(Q3,$Q$2:$Q$31)</f>
        <v>#VALUE!</v>
      </c>
    </row>
    <row r="4" spans="1:18" x14ac:dyDescent="0.2">
      <c r="A4" s="103">
        <v>3</v>
      </c>
      <c r="B4" s="101" t="s">
        <v>517</v>
      </c>
      <c r="C4" s="102" t="e" vm="3">
        <v>#VALUE!</v>
      </c>
      <c r="D4" s="102" t="str" cm="1">
        <f t="array" aca="1" ref="D4" ca="1">_FV(C4,"Ticker symbol",TRUE)</f>
        <v>PLTR</v>
      </c>
      <c r="E4" s="101" t="str" cm="1">
        <f t="array" aca="1" ref="E4" ca="1">_xll.FDSR(D4,"FG_PRICE(1/21/2026)")</f>
        <v>#Calc</v>
      </c>
      <c r="F4" s="101" t="str" cm="1">
        <f t="array" aca="1" ref="F4" ca="1">_xll.FDSR(D4,"FG_PRICE(NOW)")</f>
        <v>#Calc</v>
      </c>
      <c r="G4" s="104" t="e">
        <f t="shared" ca="1" si="0"/>
        <v>#VALUE!</v>
      </c>
      <c r="H4" s="104"/>
      <c r="I4" s="104" t="str" cm="1">
        <f t="array" aca="1" ref="I4" ca="1">_xll.FDSR(D4,"FF_NET_INC(ANN_R,0)")</f>
        <v>#Calc</v>
      </c>
      <c r="J4" s="105" t="str" cm="1">
        <f t="array" aca="1" ref="J4" ca="1">_xll.FDSR(D4,"FF_WKCAP(ANN_R,0)")</f>
        <v>#Calc</v>
      </c>
      <c r="K4" s="108" t="str" cm="1">
        <f t="array" aca="1" ref="K4" ca="1">_xll.FDSR(D4,"FF_EBITDA_OPER(ANN_R,0)")</f>
        <v>#Calc</v>
      </c>
      <c r="L4" s="116" t="str" cm="1">
        <f t="array" aca="1" ref="L4" ca="1">_xll.FDSR(D4,"FF_DEBT_LT(ANN_R,0)")</f>
        <v>#Calc</v>
      </c>
      <c r="M4" s="104" t="str" cm="1">
        <f t="array" aca="1" ref="M4" ca="1">_xll.FDSR(D4,"FF_DPS(ANN,0)")</f>
        <v>#Calc</v>
      </c>
      <c r="N4" s="106" t="str" cm="1">
        <f t="array" aca="1" ref="N4" ca="1">_xll.FDSR(D4,"FF_ROE('ANN_R','0','0','YEARLY',RP,'LOCAL')")</f>
        <v>#Calc</v>
      </c>
      <c r="O4" s="106" t="str" cm="1">
        <f t="array" aca="1" ref="O4" ca="1">_xll.FDSR(D4,"FG_PRICE(0)/FF_EPS(ANN_R,0)")</f>
        <v>#Calc</v>
      </c>
      <c r="P4" s="101"/>
      <c r="Q4" s="167" t="e">
        <f t="shared" ca="1" si="1"/>
        <v>#VALUE!</v>
      </c>
      <c r="R4" s="126" t="e">
        <f t="shared" ca="1" si="2"/>
        <v>#VALUE!</v>
      </c>
    </row>
    <row r="5" spans="1:18" x14ac:dyDescent="0.2">
      <c r="A5" s="103">
        <v>4</v>
      </c>
      <c r="B5" s="101" t="s">
        <v>518</v>
      </c>
      <c r="C5" s="102" t="e" vm="4">
        <v>#VALUE!</v>
      </c>
      <c r="D5" s="102" t="str" cm="1">
        <f t="array" aca="1" ref="D5" ca="1">_FV(C5,"Ticker symbol",TRUE)</f>
        <v>WM</v>
      </c>
      <c r="E5" s="101" t="str" cm="1">
        <f t="array" aca="1" ref="E5" ca="1">_xll.FDSR(D5,"FG_PRICE(1/21/2026)")</f>
        <v>#Calc</v>
      </c>
      <c r="F5" s="101" t="str" cm="1">
        <f t="array" aca="1" ref="F5" ca="1">_xll.FDSR(D5,"FG_PRICE(NOW)")</f>
        <v>#Calc</v>
      </c>
      <c r="G5" s="104" t="e">
        <f t="shared" ca="1" si="0"/>
        <v>#VALUE!</v>
      </c>
      <c r="H5" s="104"/>
      <c r="I5" s="104" t="str" cm="1">
        <f t="array" aca="1" ref="I5" ca="1">_xll.FDSR(D5,"FF_NET_INC(ANN_R,0)")</f>
        <v>#Calc</v>
      </c>
      <c r="J5" s="105" t="str" cm="1">
        <f t="array" aca="1" ref="J5" ca="1">_xll.FDSR(D5,"FF_WKCAP(ANN_R,0)")</f>
        <v>#Calc</v>
      </c>
      <c r="K5" s="108" t="str" cm="1">
        <f t="array" aca="1" ref="K5" ca="1">_xll.FDSR(D5,"FF_EBITDA_OPER(ANN_R,0)")</f>
        <v>#Calc</v>
      </c>
      <c r="L5" s="116" t="str" cm="1">
        <f t="array" aca="1" ref="L5" ca="1">_xll.FDSR(D5,"FF_DEBT_LT(ANN_R,0)")</f>
        <v>#Calc</v>
      </c>
      <c r="M5" s="104" t="str" cm="1">
        <f t="array" aca="1" ref="M5" ca="1">_xll.FDSR(D5,"FF_DPS(ANN,0)")</f>
        <v>#Calc</v>
      </c>
      <c r="N5" s="106" t="str" cm="1">
        <f t="array" aca="1" ref="N5" ca="1">_xll.FDSR(D5,"FF_ROE('ANN_R','0','0','YEARLY',RP,'LOCAL')")</f>
        <v>#Calc</v>
      </c>
      <c r="O5" s="106" t="str" cm="1">
        <f t="array" aca="1" ref="O5" ca="1">_xll.FDSR(D5,"FG_PRICE(0)/FF_EPS(ANN_R,0)")</f>
        <v>#Calc</v>
      </c>
      <c r="P5" s="101"/>
      <c r="Q5" s="167" t="e">
        <f t="shared" ca="1" si="1"/>
        <v>#VALUE!</v>
      </c>
      <c r="R5" s="126" t="e">
        <f t="shared" ca="1" si="2"/>
        <v>#VALUE!</v>
      </c>
    </row>
    <row r="6" spans="1:18" x14ac:dyDescent="0.2">
      <c r="A6" s="103">
        <v>5</v>
      </c>
      <c r="B6" s="101" t="s">
        <v>519</v>
      </c>
      <c r="C6" s="102" t="e" vm="5">
        <v>#VALUE!</v>
      </c>
      <c r="D6" s="102" t="str" cm="1">
        <f t="array" aca="1" ref="D6" ca="1">_FV(C6,"Ticker symbol",TRUE)</f>
        <v>TSLA</v>
      </c>
      <c r="E6" s="101" t="str" cm="1">
        <f t="array" aca="1" ref="E6" ca="1">_xll.FDSR(D6,"FG_PRICE(1/21/2026)")</f>
        <v>#Calc</v>
      </c>
      <c r="F6" s="101" t="str" cm="1">
        <f t="array" aca="1" ref="F6" ca="1">_xll.FDSR(D6,"FG_PRICE(NOW)")</f>
        <v>#Calc</v>
      </c>
      <c r="G6" s="104" t="e">
        <f t="shared" ca="1" si="0"/>
        <v>#VALUE!</v>
      </c>
      <c r="H6" s="104"/>
      <c r="I6" s="104" t="str" cm="1">
        <f t="array" aca="1" ref="I6" ca="1">_xll.FDSR(D6,"FF_NET_INC(ANN_R,0)")</f>
        <v>#Calc</v>
      </c>
      <c r="J6" s="105" t="str" cm="1">
        <f t="array" aca="1" ref="J6" ca="1">_xll.FDSR(D6,"FF_WKCAP(ANN_R,0)")</f>
        <v>#Calc</v>
      </c>
      <c r="K6" s="108" t="str" cm="1">
        <f t="array" aca="1" ref="K6" ca="1">_xll.FDSR(D6,"FF_EBITDA_OPER(ANN_R,0)")</f>
        <v>#Calc</v>
      </c>
      <c r="L6" s="116" t="str" cm="1">
        <f t="array" aca="1" ref="L6" ca="1">_xll.FDSR(D6,"FF_DEBT_LT(ANN_R,0)")</f>
        <v>#Calc</v>
      </c>
      <c r="M6" s="104" t="str" cm="1">
        <f t="array" aca="1" ref="M6" ca="1">_xll.FDSR(D6,"FF_DPS(ANN,0)")</f>
        <v>#Calc</v>
      </c>
      <c r="N6" s="106" t="str" cm="1">
        <f t="array" aca="1" ref="N6" ca="1">_xll.FDSR(D6,"FF_ROE('ANN_R','0','0','YEARLY',RP,'LOCAL')")</f>
        <v>#Calc</v>
      </c>
      <c r="O6" s="106" t="str" cm="1">
        <f t="array" aca="1" ref="O6" ca="1">_xll.FDSR(D6,"FG_PRICE(0)/FF_EPS(ANN_R,0)")</f>
        <v>#Calc</v>
      </c>
      <c r="P6" s="101"/>
      <c r="Q6" s="167" t="e">
        <f t="shared" ca="1" si="1"/>
        <v>#VALUE!</v>
      </c>
      <c r="R6" s="126" t="e">
        <f t="shared" ca="1" si="2"/>
        <v>#VALUE!</v>
      </c>
    </row>
    <row r="7" spans="1:18" x14ac:dyDescent="0.2">
      <c r="A7" s="103">
        <v>6</v>
      </c>
      <c r="B7" s="101" t="s">
        <v>520</v>
      </c>
      <c r="C7" s="102" t="e" vm="6">
        <v>#VALUE!</v>
      </c>
      <c r="D7" s="102" t="str" cm="1">
        <f t="array" aca="1" ref="D7" ca="1">_FV(C7,"Ticker symbol",TRUE)</f>
        <v>SBUX</v>
      </c>
      <c r="E7" s="101" t="str" cm="1">
        <f t="array" aca="1" ref="E7" ca="1">_xll.FDSR(D7,"FG_PRICE(1/21/2026)")</f>
        <v>#Calc</v>
      </c>
      <c r="F7" s="101" t="str" cm="1">
        <f t="array" aca="1" ref="F7" ca="1">_xll.FDSR(D7,"FG_PRICE(NOW)")</f>
        <v>#Calc</v>
      </c>
      <c r="G7" s="104" t="e">
        <f t="shared" ca="1" si="0"/>
        <v>#VALUE!</v>
      </c>
      <c r="H7" s="104"/>
      <c r="I7" s="104" t="str" cm="1">
        <f t="array" aca="1" ref="I7" ca="1">_xll.FDSR(D7,"FF_NET_INC(ANN_R,0)")</f>
        <v>#Calc</v>
      </c>
      <c r="J7" s="105" t="str" cm="1">
        <f t="array" aca="1" ref="J7" ca="1">_xll.FDSR(D7,"FF_WKCAP(ANN_R,0)")</f>
        <v>#Calc</v>
      </c>
      <c r="K7" s="108" t="str" cm="1">
        <f t="array" aca="1" ref="K7" ca="1">_xll.FDSR(D7,"FF_EBITDA_OPER(ANN_R,0)")</f>
        <v>#Calc</v>
      </c>
      <c r="L7" s="116" t="str" cm="1">
        <f t="array" aca="1" ref="L7" ca="1">_xll.FDSR(D7,"FF_DEBT_LT(ANN_R,0)")</f>
        <v>#Calc</v>
      </c>
      <c r="M7" s="104" t="str" cm="1">
        <f t="array" aca="1" ref="M7" ca="1">_xll.FDSR(D7,"FF_DPS(ANN,0)")</f>
        <v>#Calc</v>
      </c>
      <c r="N7" s="106" t="str" cm="1">
        <f t="array" aca="1" ref="N7" ca="1">_xll.FDSR(D7,"FF_ROE('ANN_R','0','0','YEARLY',RP,'LOCAL')")</f>
        <v>#Calc</v>
      </c>
      <c r="O7" s="106" t="str" cm="1">
        <f t="array" aca="1" ref="O7" ca="1">_xll.FDSR(D7,"FG_PRICE(0)/FF_EPS(ANN_R,0)")</f>
        <v>#Calc</v>
      </c>
      <c r="P7" s="101"/>
      <c r="Q7" s="167" t="e">
        <f t="shared" ca="1" si="1"/>
        <v>#VALUE!</v>
      </c>
      <c r="R7" s="126" t="e">
        <f t="shared" ca="1" si="2"/>
        <v>#VALUE!</v>
      </c>
    </row>
    <row r="8" spans="1:18" x14ac:dyDescent="0.2">
      <c r="A8" s="103">
        <v>7</v>
      </c>
      <c r="B8" s="101" t="s">
        <v>521</v>
      </c>
      <c r="C8" s="102" t="e" vm="7">
        <v>#VALUE!</v>
      </c>
      <c r="D8" s="102" t="str" cm="1">
        <f t="array" aca="1" ref="D8" ca="1">_FV(C8,"Ticker symbol",TRUE)</f>
        <v>RTX</v>
      </c>
      <c r="E8" s="101" t="str" cm="1">
        <f t="array" aca="1" ref="E8" ca="1">_xll.FDSR(D8,"FG_PRICE(1/21/2026)")</f>
        <v>#Calc</v>
      </c>
      <c r="F8" s="101" t="str" cm="1">
        <f t="array" aca="1" ref="F8" ca="1">_xll.FDSR(D8,"FG_PRICE(NOW)")</f>
        <v>#Calc</v>
      </c>
      <c r="G8" s="104" t="e">
        <f t="shared" ca="1" si="0"/>
        <v>#VALUE!</v>
      </c>
      <c r="H8" s="104"/>
      <c r="I8" s="104" t="str" cm="1">
        <f t="array" aca="1" ref="I8" ca="1">_xll.FDSR(D8,"FF_NET_INC(ANN_R,0)")</f>
        <v>#Calc</v>
      </c>
      <c r="J8" s="105" t="str" cm="1">
        <f t="array" aca="1" ref="J8" ca="1">_xll.FDSR(D8,"FF_WKCAP(ANN_R,0)")</f>
        <v>#Calc</v>
      </c>
      <c r="K8" s="108" t="str" cm="1">
        <f t="array" aca="1" ref="K8" ca="1">_xll.FDSR(D8,"FF_EBITDA_OPER(ANN_R,0)")</f>
        <v>#Calc</v>
      </c>
      <c r="L8" s="116" t="str" cm="1">
        <f t="array" aca="1" ref="L8" ca="1">_xll.FDSR(D8,"FF_DEBT_LT(ANN_R,0)")</f>
        <v>#Calc</v>
      </c>
      <c r="M8" s="104" t="str" cm="1">
        <f t="array" aca="1" ref="M8" ca="1">_xll.FDSR(D8,"FF_DPS(ANN,0)")</f>
        <v>#Calc</v>
      </c>
      <c r="N8" s="106" t="str" cm="1">
        <f t="array" aca="1" ref="N8" ca="1">_xll.FDSR(D8,"FF_ROE('ANN_R','0','0','YEARLY',RP,'LOCAL')")</f>
        <v>#Calc</v>
      </c>
      <c r="O8" s="106" t="str" cm="1">
        <f t="array" aca="1" ref="O8" ca="1">_xll.FDSR(D8,"FG_PRICE(0)/FF_EPS(ANN_R,0)")</f>
        <v>#Calc</v>
      </c>
      <c r="P8" s="101"/>
      <c r="Q8" s="167" t="e">
        <f t="shared" ca="1" si="1"/>
        <v>#VALUE!</v>
      </c>
      <c r="R8" s="126" t="e">
        <f t="shared" ca="1" si="2"/>
        <v>#VALUE!</v>
      </c>
    </row>
    <row r="9" spans="1:18" x14ac:dyDescent="0.2">
      <c r="A9" s="103">
        <v>8</v>
      </c>
      <c r="B9" s="101" t="s">
        <v>522</v>
      </c>
      <c r="C9" t="e" vm="8">
        <v>#VALUE!</v>
      </c>
      <c r="D9" s="102" t="str" cm="1">
        <f t="array" aca="1" ref="D9" ca="1">_FV(C9,"Ticker symbol",TRUE)</f>
        <v>GOOGL</v>
      </c>
      <c r="E9" s="101" t="str" cm="1">
        <f t="array" aca="1" ref="E9" ca="1">_xll.FDSR(D9,"FG_PRICE(1/21/2026)")</f>
        <v>#Calc</v>
      </c>
      <c r="F9" s="101" t="str" cm="1">
        <f t="array" aca="1" ref="F9" ca="1">_xll.FDSR(D9,"FG_PRICE(NOW)")</f>
        <v>#Calc</v>
      </c>
      <c r="G9" s="104" t="e">
        <f t="shared" ca="1" si="0"/>
        <v>#VALUE!</v>
      </c>
      <c r="H9" s="104"/>
      <c r="I9" s="104" t="str" cm="1">
        <f t="array" aca="1" ref="I9" ca="1">_xll.FDSR(D9,"FF_NET_INC(ANN_R,0)")</f>
        <v>#Calc</v>
      </c>
      <c r="J9" s="105" t="str" cm="1">
        <f t="array" aca="1" ref="J9" ca="1">_xll.FDSR(D9,"FF_WKCAP(ANN_R,0)")</f>
        <v>#Calc</v>
      </c>
      <c r="K9" s="108" t="str" cm="1">
        <f t="array" aca="1" ref="K9" ca="1">_xll.FDSR(D9,"FF_EBITDA_OPER(ANN_R,0)")</f>
        <v>#Calc</v>
      </c>
      <c r="L9" s="116" t="str" cm="1">
        <f t="array" aca="1" ref="L9" ca="1">_xll.FDSR(D9,"FF_DEBT_LT(ANN_R,0)")</f>
        <v>#Calc</v>
      </c>
      <c r="M9" s="104" t="str" cm="1">
        <f t="array" aca="1" ref="M9" ca="1">_xll.FDSR(D9,"FF_DPS(ANN,0)")</f>
        <v>#Calc</v>
      </c>
      <c r="N9" s="106" t="str" cm="1">
        <f t="array" aca="1" ref="N9" ca="1">_xll.FDSR(D9,"FF_ROE('ANN_R','0','0','YEARLY',RP,'LOCAL')")</f>
        <v>#Calc</v>
      </c>
      <c r="O9" s="106" t="str" cm="1">
        <f t="array" aca="1" ref="O9" ca="1">_xll.FDSR(D9,"FG_PRICE(0)/FF_EPS(ANN_R,0)")</f>
        <v>#Calc</v>
      </c>
      <c r="P9" s="101"/>
      <c r="Q9" s="167" t="e">
        <f t="shared" ca="1" si="1"/>
        <v>#VALUE!</v>
      </c>
      <c r="R9" s="126" t="e">
        <f t="shared" ca="1" si="2"/>
        <v>#VALUE!</v>
      </c>
    </row>
    <row r="10" spans="1:18" x14ac:dyDescent="0.2">
      <c r="A10" s="103">
        <v>9</v>
      </c>
      <c r="B10" s="101" t="s">
        <v>523</v>
      </c>
      <c r="C10" s="102" t="e" vm="9">
        <v>#VALUE!</v>
      </c>
      <c r="D10" s="102" t="str" cm="1">
        <f t="array" aca="1" ref="D10" ca="1">_FV(C10,"Ticker symbol",TRUE)</f>
        <v>DKNG</v>
      </c>
      <c r="E10" s="101" t="str" cm="1">
        <f t="array" aca="1" ref="E10" ca="1">_xll.FDSR(D10,"FG_PRICE(1/21/2026)")</f>
        <v>#Calc</v>
      </c>
      <c r="F10" s="101" t="str" cm="1">
        <f t="array" aca="1" ref="F10" ca="1">_xll.FDSR(D10,"FG_PRICE(NOW)")</f>
        <v>#Calc</v>
      </c>
      <c r="G10" s="104" t="e">
        <f t="shared" ca="1" si="0"/>
        <v>#VALUE!</v>
      </c>
      <c r="H10" s="104"/>
      <c r="I10" s="104" t="str" cm="1">
        <f t="array" aca="1" ref="I10" ca="1">_xll.FDSR(D10,"FF_NET_INC(ANN_R,0)")</f>
        <v>#Calc</v>
      </c>
      <c r="J10" s="105" t="str" cm="1">
        <f t="array" aca="1" ref="J10" ca="1">_xll.FDSR(D10,"FF_WKCAP(ANN_R,0)")</f>
        <v>#Calc</v>
      </c>
      <c r="K10" s="108" t="str" cm="1">
        <f t="array" aca="1" ref="K10" ca="1">_xll.FDSR(D10,"FF_EBITDA_OPER(ANN_R,0)")</f>
        <v>#Calc</v>
      </c>
      <c r="L10" s="116" t="str" cm="1">
        <f t="array" aca="1" ref="L10" ca="1">_xll.FDSR(D10,"FF_DEBT_LT(ANN_R,0)")</f>
        <v>#Calc</v>
      </c>
      <c r="M10" s="104" t="str" cm="1">
        <f t="array" aca="1" ref="M10" ca="1">_xll.FDSR(D10,"FF_DPS(ANN,0)")</f>
        <v>#Calc</v>
      </c>
      <c r="N10" s="106" t="str" cm="1">
        <f t="array" aca="1" ref="N10" ca="1">_xll.FDSR(D10,"FF_ROE('ANN_R','0','0','YEARLY',RP,'LOCAL')")</f>
        <v>#Calc</v>
      </c>
      <c r="O10" s="106" t="str" cm="1">
        <f t="array" aca="1" ref="O10" ca="1">_xll.FDSR(D10,"FG_PRICE(0)/FF_EPS(ANN_R,0)")</f>
        <v>#Calc</v>
      </c>
      <c r="P10" s="101"/>
      <c r="Q10" s="167" t="e">
        <f t="shared" ca="1" si="1"/>
        <v>#VALUE!</v>
      </c>
      <c r="R10" s="126" t="e">
        <f t="shared" ca="1" si="2"/>
        <v>#VALUE!</v>
      </c>
    </row>
    <row r="11" spans="1:18" x14ac:dyDescent="0.2">
      <c r="A11" s="103">
        <v>10</v>
      </c>
      <c r="B11" s="101" t="s">
        <v>524</v>
      </c>
      <c r="C11" s="102" t="e" vm="10">
        <v>#VALUE!</v>
      </c>
      <c r="D11" s="102" t="str" cm="1">
        <f t="array" aca="1" ref="D11" ca="1">_FV(C11,"Ticker symbol",TRUE)</f>
        <v>LYV</v>
      </c>
      <c r="E11" s="101" t="str" cm="1">
        <f t="array" aca="1" ref="E11" ca="1">_xll.FDSR(D11,"FG_PRICE(1/21/2026)")</f>
        <v>#Calc</v>
      </c>
      <c r="F11" s="101" t="str" cm="1">
        <f t="array" aca="1" ref="F11" ca="1">_xll.FDSR(D11,"FG_PRICE(NOW)")</f>
        <v>#Calc</v>
      </c>
      <c r="G11" s="104" t="e">
        <f t="shared" ca="1" si="0"/>
        <v>#VALUE!</v>
      </c>
      <c r="H11" s="104"/>
      <c r="I11" s="104" t="str" cm="1">
        <f t="array" aca="1" ref="I11" ca="1">_xll.FDSR(D11,"FF_NET_INC(ANN_R,0)")</f>
        <v>#Calc</v>
      </c>
      <c r="J11" s="105" t="str" cm="1">
        <f t="array" aca="1" ref="J11" ca="1">_xll.FDSR(D11,"FF_WKCAP(ANN_R,0)")</f>
        <v>#Calc</v>
      </c>
      <c r="K11" s="108" t="str" cm="1">
        <f t="array" aca="1" ref="K11" ca="1">_xll.FDSR(D11,"FF_EBITDA_OPER(ANN_R,0)")</f>
        <v>#Calc</v>
      </c>
      <c r="L11" s="116" t="str" cm="1">
        <f t="array" aca="1" ref="L11" ca="1">_xll.FDSR(D11,"FF_DEBT_LT(ANN_R,0)")</f>
        <v>#Calc</v>
      </c>
      <c r="M11" s="104" t="str" cm="1">
        <f t="array" aca="1" ref="M11" ca="1">_xll.FDSR(D11,"FF_DPS(ANN,0)")</f>
        <v>#Calc</v>
      </c>
      <c r="N11" s="106" t="str" cm="1">
        <f t="array" aca="1" ref="N11" ca="1">_xll.FDSR(D11,"FF_ROE('ANN_R','0','0','YEARLY',RP,'LOCAL')")</f>
        <v>#Calc</v>
      </c>
      <c r="O11" s="106" t="str" cm="1">
        <f t="array" aca="1" ref="O11" ca="1">_xll.FDSR(D11,"FG_PRICE(0)/FF_EPS(ANN_R,0)")</f>
        <v>#Calc</v>
      </c>
      <c r="P11" s="101"/>
      <c r="Q11" s="167" t="e">
        <f t="shared" ca="1" si="1"/>
        <v>#VALUE!</v>
      </c>
      <c r="R11" s="126" t="e">
        <f t="shared" ca="1" si="2"/>
        <v>#VALUE!</v>
      </c>
    </row>
    <row r="12" spans="1:18" x14ac:dyDescent="0.2">
      <c r="A12" s="103">
        <v>11</v>
      </c>
      <c r="B12" s="101" t="s">
        <v>525</v>
      </c>
      <c r="C12" s="102" t="e" vm="11">
        <v>#VALUE!</v>
      </c>
      <c r="D12" s="102" t="str" cm="1">
        <f t="array" aca="1" ref="D12" ca="1">_FV(C12,"Ticker symbol",TRUE)</f>
        <v>MCD</v>
      </c>
      <c r="E12" s="101" t="str" cm="1">
        <f t="array" aca="1" ref="E12" ca="1">_xll.FDSR(D12,"FG_PRICE(1/21/2026)")</f>
        <v>#Calc</v>
      </c>
      <c r="F12" s="101" t="str" cm="1">
        <f t="array" aca="1" ref="F12" ca="1">_xll.FDSR(D12,"FG_PRICE(NOW)")</f>
        <v>#Calc</v>
      </c>
      <c r="G12" s="104" t="e">
        <f t="shared" ca="1" si="0"/>
        <v>#VALUE!</v>
      </c>
      <c r="H12" s="104"/>
      <c r="I12" s="104" t="str" cm="1">
        <f t="array" aca="1" ref="I12" ca="1">_xll.FDSR(D12,"FF_NET_INC(ANN_R,0)")</f>
        <v>#Calc</v>
      </c>
      <c r="J12" s="105" t="str" cm="1">
        <f t="array" aca="1" ref="J12" ca="1">_xll.FDSR(D12,"FF_WKCAP(ANN_R,0)")</f>
        <v>#Calc</v>
      </c>
      <c r="K12" s="108" t="str" cm="1">
        <f t="array" aca="1" ref="K12" ca="1">_xll.FDSR(D12,"FF_EBITDA_OPER(ANN_R,0)")</f>
        <v>#Calc</v>
      </c>
      <c r="L12" s="116" t="str" cm="1">
        <f t="array" aca="1" ref="L12" ca="1">_xll.FDSR(D12,"FF_DEBT_LT(ANN_R,0)")</f>
        <v>#Calc</v>
      </c>
      <c r="M12" s="104" t="str" cm="1">
        <f t="array" aca="1" ref="M12" ca="1">_xll.FDSR(D12,"FF_DPS(ANN,0)")</f>
        <v>#Calc</v>
      </c>
      <c r="N12" s="106" t="str" cm="1">
        <f t="array" aca="1" ref="N12" ca="1">_xll.FDSR(D12,"FF_ROE('ANN_R','0','0','YEARLY',RP,'LOCAL')")</f>
        <v>#Calc</v>
      </c>
      <c r="O12" s="106" t="str" cm="1">
        <f t="array" aca="1" ref="O12" ca="1">_xll.FDSR(D12,"FG_PRICE(0)/FF_EPS(ANN_R,0)")</f>
        <v>#Calc</v>
      </c>
      <c r="P12" s="101"/>
      <c r="Q12" s="167" t="e">
        <f t="shared" ca="1" si="1"/>
        <v>#VALUE!</v>
      </c>
      <c r="R12" s="126" t="e">
        <f t="shared" ca="1" si="2"/>
        <v>#VALUE!</v>
      </c>
    </row>
    <row r="13" spans="1:18" x14ac:dyDescent="0.2">
      <c r="A13" s="103">
        <v>12</v>
      </c>
      <c r="B13" s="101" t="s">
        <v>526</v>
      </c>
      <c r="C13" s="102" t="e" vm="12">
        <v>#VALUE!</v>
      </c>
      <c r="D13" s="102" t="str" cm="1">
        <f t="array" aca="1" ref="D13" ca="1">_FV(C13,"Ticker symbol",TRUE)</f>
        <v>MSFT</v>
      </c>
      <c r="E13" s="101" t="str" cm="1">
        <f t="array" aca="1" ref="E13" ca="1">_xll.FDSR(D13,"FG_PRICE(1/21/2026)")</f>
        <v>#Calc</v>
      </c>
      <c r="F13" s="101" t="str" cm="1">
        <f t="array" aca="1" ref="F13" ca="1">_xll.FDSR(D13,"FG_PRICE(NOW)")</f>
        <v>#Calc</v>
      </c>
      <c r="G13" s="104" t="e">
        <f t="shared" ca="1" si="0"/>
        <v>#VALUE!</v>
      </c>
      <c r="H13" s="104"/>
      <c r="I13" s="104" t="str" cm="1">
        <f t="array" aca="1" ref="I13" ca="1">_xll.FDSR(D13,"FF_NET_INC(ANN_R,0)")</f>
        <v>#Calc</v>
      </c>
      <c r="J13" s="105" t="str" cm="1">
        <f t="array" aca="1" ref="J13" ca="1">_xll.FDSR(D13,"FF_WKCAP(ANN_R,0)")</f>
        <v>#Calc</v>
      </c>
      <c r="K13" s="108" t="str" cm="1">
        <f t="array" aca="1" ref="K13" ca="1">_xll.FDSR(D13,"FF_EBITDA_OPER(ANN_R,0)")</f>
        <v>#Calc</v>
      </c>
      <c r="L13" s="116" t="str" cm="1">
        <f t="array" aca="1" ref="L13" ca="1">_xll.FDSR(D13,"FF_DEBT_LT(ANN_R,0)")</f>
        <v>#Calc</v>
      </c>
      <c r="M13" s="104" t="str" cm="1">
        <f t="array" aca="1" ref="M13" ca="1">_xll.FDSR(D13,"FF_DPS(ANN,0)")</f>
        <v>#Calc</v>
      </c>
      <c r="N13" s="106" t="str" cm="1">
        <f t="array" aca="1" ref="N13" ca="1">_xll.FDSR(D13,"FF_ROE('ANN_R','0','0','YEARLY',RP,'LOCAL')")</f>
        <v>#Calc</v>
      </c>
      <c r="O13" s="106" t="str" cm="1">
        <f t="array" aca="1" ref="O13" ca="1">_xll.FDSR(D13,"FG_PRICE(0)/FF_EPS(ANN_R,0)")</f>
        <v>#Calc</v>
      </c>
      <c r="P13" s="101"/>
      <c r="Q13" s="167" t="e">
        <f t="shared" ca="1" si="1"/>
        <v>#VALUE!</v>
      </c>
      <c r="R13" s="126" t="e">
        <f t="shared" ca="1" si="2"/>
        <v>#VALUE!</v>
      </c>
    </row>
    <row r="14" spans="1:18" x14ac:dyDescent="0.2">
      <c r="A14" s="103">
        <v>13</v>
      </c>
      <c r="B14" s="101" t="s">
        <v>527</v>
      </c>
      <c r="C14" s="102" t="e" vm="2">
        <v>#VALUE!</v>
      </c>
      <c r="D14" s="102" t="str" cm="1">
        <f t="array" aca="1" ref="D14" ca="1">_FV(C14,"Ticker symbol",TRUE)</f>
        <v>CALY</v>
      </c>
      <c r="E14" s="101" t="str" cm="1">
        <f t="array" aca="1" ref="E14" ca="1">_xll.FDSR(D14,"FG_PRICE(1/21/2026)")</f>
        <v>#Calc</v>
      </c>
      <c r="F14" s="101" t="str" cm="1">
        <f t="array" aca="1" ref="F14" ca="1">_xll.FDSR(D14,"FG_PRICE(NOW)")</f>
        <v>#Calc</v>
      </c>
      <c r="G14" s="104" t="e">
        <f t="shared" ca="1" si="0"/>
        <v>#VALUE!</v>
      </c>
      <c r="H14" s="104"/>
      <c r="I14" s="104" t="str" cm="1">
        <f t="array" aca="1" ref="I14" ca="1">_xll.FDSR(D14,"FF_NET_INC(ANN_R,0)")</f>
        <v>#Calc</v>
      </c>
      <c r="J14" s="105" t="str" cm="1">
        <f t="array" aca="1" ref="J14" ca="1">_xll.FDSR(D14,"FF_WKCAP(ANN_R,0)")</f>
        <v>#Calc</v>
      </c>
      <c r="K14" s="108" t="str" cm="1">
        <f t="array" aca="1" ref="K14" ca="1">_xll.FDSR(D14,"FF_EBITDA_OPER(ANN_R,0)")</f>
        <v>#Calc</v>
      </c>
      <c r="L14" s="116" t="str" cm="1">
        <f t="array" aca="1" ref="L14" ca="1">_xll.FDSR(D14,"FF_DEBT_LT(ANN_R,0)")</f>
        <v>#Calc</v>
      </c>
      <c r="M14" s="104" t="str" cm="1">
        <f t="array" aca="1" ref="M14" ca="1">_xll.FDSR(D14,"FF_DPS(ANN,0)")</f>
        <v>#Calc</v>
      </c>
      <c r="N14" s="106" t="str" cm="1">
        <f t="array" aca="1" ref="N14" ca="1">_xll.FDSR(D14,"FF_ROE('ANN_R','0','0','YEARLY',RP,'LOCAL')")</f>
        <v>#Calc</v>
      </c>
      <c r="O14" s="106" t="str" cm="1">
        <f t="array" aca="1" ref="O14" ca="1">_xll.FDSR(D14,"FG_PRICE(0)/FF_EPS(ANN_R,0)")</f>
        <v>#Calc</v>
      </c>
      <c r="P14" s="101"/>
      <c r="Q14" s="167" t="e">
        <f t="shared" ca="1" si="1"/>
        <v>#VALUE!</v>
      </c>
      <c r="R14" s="126" t="e">
        <f t="shared" ca="1" si="2"/>
        <v>#VALUE!</v>
      </c>
    </row>
    <row r="15" spans="1:18" x14ac:dyDescent="0.2">
      <c r="A15" s="103">
        <v>14</v>
      </c>
      <c r="B15" s="101" t="s">
        <v>528</v>
      </c>
      <c r="C15" s="102" t="e" vm="13">
        <v>#VALUE!</v>
      </c>
      <c r="D15" s="102" t="str" cm="1">
        <f t="array" aca="1" ref="D15" ca="1">_FV(C15,"Ticker symbol",TRUE)</f>
        <v>LMT</v>
      </c>
      <c r="E15" s="101" t="str" cm="1">
        <f t="array" aca="1" ref="E15" ca="1">_xll.FDSR(D15,"FG_PRICE(1/21/2026)")</f>
        <v>#Calc</v>
      </c>
      <c r="F15" s="101" t="str" cm="1">
        <f t="array" aca="1" ref="F15" ca="1">_xll.FDSR(D15,"FG_PRICE(NOW)")</f>
        <v>#Calc</v>
      </c>
      <c r="G15" s="104" t="e">
        <f t="shared" ca="1" si="0"/>
        <v>#VALUE!</v>
      </c>
      <c r="H15" s="104"/>
      <c r="I15" s="104" t="str" cm="1">
        <f t="array" aca="1" ref="I15" ca="1">_xll.FDSR(D15,"FF_NET_INC(ANN_R,0)")</f>
        <v>#Calc</v>
      </c>
      <c r="J15" s="105" t="str" cm="1">
        <f t="array" aca="1" ref="J15" ca="1">_xll.FDSR(D15,"FF_WKCAP(ANN_R,0)")</f>
        <v>#Calc</v>
      </c>
      <c r="K15" s="108" t="str" cm="1">
        <f t="array" aca="1" ref="K15" ca="1">_xll.FDSR(D15,"FF_EBITDA_OPER(ANN_R,0)")</f>
        <v>#Calc</v>
      </c>
      <c r="L15" s="116" t="str" cm="1">
        <f t="array" aca="1" ref="L15" ca="1">_xll.FDSR(D15,"FF_DEBT_LT(ANN_R,0)")</f>
        <v>#Calc</v>
      </c>
      <c r="M15" s="104" t="str" cm="1">
        <f t="array" aca="1" ref="M15" ca="1">_xll.FDSR(D15,"FF_DPS(ANN,0)")</f>
        <v>#Calc</v>
      </c>
      <c r="N15" s="106" t="str" cm="1">
        <f t="array" aca="1" ref="N15" ca="1">_xll.FDSR(D15,"FF_ROE('ANN_R','0','0','YEARLY',RP,'LOCAL')")</f>
        <v>#Calc</v>
      </c>
      <c r="O15" s="106" t="str" cm="1">
        <f t="array" aca="1" ref="O15" ca="1">_xll.FDSR(D15,"FG_PRICE(0)/FF_EPS(ANN_R,0)")</f>
        <v>#Calc</v>
      </c>
      <c r="P15" s="101"/>
      <c r="Q15" s="167" t="e">
        <f t="shared" ca="1" si="1"/>
        <v>#VALUE!</v>
      </c>
      <c r="R15" s="126" t="e">
        <f t="shared" ca="1" si="2"/>
        <v>#VALUE!</v>
      </c>
    </row>
    <row r="16" spans="1:18" x14ac:dyDescent="0.2">
      <c r="A16" s="103">
        <v>15</v>
      </c>
      <c r="B16" s="101" t="s">
        <v>529</v>
      </c>
      <c r="C16" s="102" t="e" vm="14">
        <v>#VALUE!</v>
      </c>
      <c r="D16" s="102" t="str" cm="1">
        <f t="array" aca="1" ref="D16" ca="1">_FV(C16,"Ticker symbol",TRUE)</f>
        <v>RL</v>
      </c>
      <c r="E16" s="101" t="str" cm="1">
        <f t="array" aca="1" ref="E16" ca="1">_xll.FDSR(D16,"FG_PRICE(1/21/2026)")</f>
        <v>#Calc</v>
      </c>
      <c r="F16" s="101" t="str" cm="1">
        <f t="array" aca="1" ref="F16" ca="1">_xll.FDSR(D16,"FG_PRICE(NOW)")</f>
        <v>#Calc</v>
      </c>
      <c r="G16" s="104" t="e">
        <f t="shared" ca="1" si="0"/>
        <v>#VALUE!</v>
      </c>
      <c r="H16" s="104"/>
      <c r="I16" s="104" t="str" cm="1">
        <f t="array" aca="1" ref="I16" ca="1">_xll.FDSR(D16,"FF_NET_INC(ANN_R,0)")</f>
        <v>#Calc</v>
      </c>
      <c r="J16" s="105" t="str" cm="1">
        <f t="array" aca="1" ref="J16" ca="1">_xll.FDSR(D16,"FF_WKCAP(ANN_R,0)")</f>
        <v>#Calc</v>
      </c>
      <c r="K16" s="108" t="str" cm="1">
        <f t="array" aca="1" ref="K16" ca="1">_xll.FDSR(D16,"FF_EBITDA_OPER(ANN_R,0)")</f>
        <v>#Calc</v>
      </c>
      <c r="L16" s="116" t="str" cm="1">
        <f t="array" aca="1" ref="L16" ca="1">_xll.FDSR(D16,"FF_DEBT_LT(ANN_R,0)")</f>
        <v>#Calc</v>
      </c>
      <c r="M16" s="104" t="str" cm="1">
        <f t="array" aca="1" ref="M16" ca="1">_xll.FDSR(D16,"FF_DPS(ANN,0)")</f>
        <v>#Calc</v>
      </c>
      <c r="N16" s="106" t="str" cm="1">
        <f t="array" aca="1" ref="N16" ca="1">_xll.FDSR(D16,"FF_ROE('ANN_R','0','0','YEARLY',RP,'LOCAL')")</f>
        <v>#Calc</v>
      </c>
      <c r="O16" s="106" t="str" cm="1">
        <f t="array" aca="1" ref="O16" ca="1">_xll.FDSR(D16,"FG_PRICE(0)/FF_EPS(ANN_R,0)")</f>
        <v>#Calc</v>
      </c>
      <c r="P16" s="101"/>
      <c r="Q16" s="167" t="e">
        <f t="shared" ca="1" si="1"/>
        <v>#VALUE!</v>
      </c>
      <c r="R16" s="126" t="e">
        <f t="shared" ca="1" si="2"/>
        <v>#VALUE!</v>
      </c>
    </row>
    <row r="17" spans="1:18" x14ac:dyDescent="0.2">
      <c r="A17" s="103">
        <v>16</v>
      </c>
      <c r="B17" s="101" t="s">
        <v>530</v>
      </c>
      <c r="C17" s="102" t="e" vm="15">
        <v>#VALUE!</v>
      </c>
      <c r="D17" s="102" t="str" cm="1">
        <f t="array" aca="1" ref="D17" ca="1">_FV(C17,"Ticker symbol",TRUE)</f>
        <v>COST</v>
      </c>
      <c r="E17" s="101" t="str" cm="1">
        <f t="array" aca="1" ref="E17" ca="1">_xll.FDSR(D17,"FG_PRICE(1/21/2026)")</f>
        <v>#Calc</v>
      </c>
      <c r="F17" s="101" t="str" cm="1">
        <f t="array" aca="1" ref="F17" ca="1">_xll.FDSR(D17,"FG_PRICE(NOW)")</f>
        <v>#Calc</v>
      </c>
      <c r="G17" s="104" t="e">
        <f t="shared" ca="1" si="0"/>
        <v>#VALUE!</v>
      </c>
      <c r="H17" s="104"/>
      <c r="I17" s="104" t="str" cm="1">
        <f t="array" aca="1" ref="I17" ca="1">_xll.FDSR(D17,"FF_NET_INC(ANN_R,0)")</f>
        <v>#Calc</v>
      </c>
      <c r="J17" s="105" t="str" cm="1">
        <f t="array" aca="1" ref="J17" ca="1">_xll.FDSR(D17,"FF_WKCAP(ANN_R,0)")</f>
        <v>#Calc</v>
      </c>
      <c r="K17" s="108" t="str" cm="1">
        <f t="array" aca="1" ref="K17" ca="1">_xll.FDSR(D17,"FF_EBITDA_OPER(ANN_R,0)")</f>
        <v>#Calc</v>
      </c>
      <c r="L17" s="116" t="str" cm="1">
        <f t="array" aca="1" ref="L17" ca="1">_xll.FDSR(D17,"FF_DEBT_LT(ANN_R,0)")</f>
        <v>#Calc</v>
      </c>
      <c r="M17" s="104" t="str" cm="1">
        <f t="array" aca="1" ref="M17" ca="1">_xll.FDSR(D17,"FF_DPS(ANN,0)")</f>
        <v>#Calc</v>
      </c>
      <c r="N17" s="106" t="str" cm="1">
        <f t="array" aca="1" ref="N17" ca="1">_xll.FDSR(D17,"FF_ROE('ANN_R','0','0','YEARLY',RP,'LOCAL')")</f>
        <v>#Calc</v>
      </c>
      <c r="O17" s="106" t="str" cm="1">
        <f t="array" aca="1" ref="O17" ca="1">_xll.FDSR(D17,"FG_PRICE(0)/FF_EPS(ANN_R,0)")</f>
        <v>#Calc</v>
      </c>
      <c r="P17" s="101"/>
      <c r="Q17" s="167" t="e">
        <f t="shared" ca="1" si="1"/>
        <v>#VALUE!</v>
      </c>
      <c r="R17" s="126" t="e">
        <f t="shared" ca="1" si="2"/>
        <v>#VALUE!</v>
      </c>
    </row>
    <row r="18" spans="1:18" x14ac:dyDescent="0.2">
      <c r="A18" s="103">
        <v>17</v>
      </c>
      <c r="B18" s="101" t="s">
        <v>531</v>
      </c>
      <c r="C18" s="102" t="e" vm="16">
        <v>#VALUE!</v>
      </c>
      <c r="D18" s="102" t="str" cm="1">
        <f t="array" aca="1" ref="D18" ca="1">_FV(C18,"Ticker symbol",TRUE)</f>
        <v>DIS</v>
      </c>
      <c r="E18" s="101" t="str" cm="1">
        <f t="array" aca="1" ref="E18" ca="1">_xll.FDSR(D18,"FG_PRICE(1/21/2026)")</f>
        <v>#Calc</v>
      </c>
      <c r="F18" s="101" t="str" cm="1">
        <f t="array" aca="1" ref="F18" ca="1">_xll.FDSR(D18,"FG_PRICE(NOW)")</f>
        <v>#Calc</v>
      </c>
      <c r="G18" s="104" t="e">
        <f t="shared" ca="1" si="0"/>
        <v>#VALUE!</v>
      </c>
      <c r="H18" s="104"/>
      <c r="I18" s="104" t="str" cm="1">
        <f t="array" aca="1" ref="I18" ca="1">_xll.FDSR(D18,"FF_NET_INC(ANN_R,0)")</f>
        <v>#Calc</v>
      </c>
      <c r="J18" s="105" t="str" cm="1">
        <f t="array" aca="1" ref="J18" ca="1">_xll.FDSR(D18,"FF_WKCAP(ANN_R,0)")</f>
        <v>#Calc</v>
      </c>
      <c r="K18" s="108" t="str" cm="1">
        <f t="array" aca="1" ref="K18" ca="1">_xll.FDSR(D18,"FF_EBITDA_OPER(ANN_R,0)")</f>
        <v>#Calc</v>
      </c>
      <c r="L18" s="116" t="str" cm="1">
        <f t="array" aca="1" ref="L18" ca="1">_xll.FDSR(D18,"FF_DEBT_LT(ANN_R,0)")</f>
        <v>#Calc</v>
      </c>
      <c r="M18" s="104" t="str" cm="1">
        <f t="array" aca="1" ref="M18" ca="1">_xll.FDSR(D18,"FF_DPS(ANN,0)")</f>
        <v>#Calc</v>
      </c>
      <c r="N18" s="106" t="str" cm="1">
        <f t="array" aca="1" ref="N18" ca="1">_xll.FDSR(D18,"FF_ROE('ANN_R','0','0','YEARLY',RP,'LOCAL')")</f>
        <v>#Calc</v>
      </c>
      <c r="O18" s="106" t="str" cm="1">
        <f t="array" aca="1" ref="O18" ca="1">_xll.FDSR(D18,"FG_PRICE(0)/FF_EPS(ANN_R,0)")</f>
        <v>#Calc</v>
      </c>
      <c r="P18" s="101"/>
      <c r="Q18" s="167" t="e">
        <f t="shared" ca="1" si="1"/>
        <v>#VALUE!</v>
      </c>
      <c r="R18" s="126" t="e">
        <f t="shared" ca="1" si="2"/>
        <v>#VALUE!</v>
      </c>
    </row>
    <row r="19" spans="1:18" x14ac:dyDescent="0.2">
      <c r="A19" s="103">
        <v>18</v>
      </c>
      <c r="B19" s="101" t="s">
        <v>532</v>
      </c>
      <c r="C19" s="102" t="e" vm="17">
        <v>#VALUE!</v>
      </c>
      <c r="D19" s="102" t="str" cm="1">
        <f t="array" aca="1" ref="D19" ca="1">_FV(C19,"Ticker symbol",TRUE)</f>
        <v>META</v>
      </c>
      <c r="E19" s="101" t="str" cm="1">
        <f t="array" aca="1" ref="E19" ca="1">_xll.FDSR(D19,"FG_PRICE(1/21/2026)")</f>
        <v>#Calc</v>
      </c>
      <c r="F19" s="101" t="str" cm="1">
        <f t="array" aca="1" ref="F19" ca="1">_xll.FDSR(D19,"FG_PRICE(NOW)")</f>
        <v>#Calc</v>
      </c>
      <c r="G19" s="104" t="e">
        <f t="shared" ca="1" si="0"/>
        <v>#VALUE!</v>
      </c>
      <c r="H19" s="104"/>
      <c r="I19" s="104" t="str" cm="1">
        <f t="array" aca="1" ref="I19" ca="1">_xll.FDSR(D19,"FF_NET_INC(ANN_R,0)")</f>
        <v>#Calc</v>
      </c>
      <c r="J19" s="105" t="str" cm="1">
        <f t="array" aca="1" ref="J19" ca="1">_xll.FDSR(D19,"FF_WKCAP(ANN_R,0)")</f>
        <v>#Calc</v>
      </c>
      <c r="K19" s="108" t="str" cm="1">
        <f t="array" aca="1" ref="K19" ca="1">_xll.FDSR(D19,"FF_EBITDA_OPER(ANN_R,0)")</f>
        <v>#Calc</v>
      </c>
      <c r="L19" s="116" t="str" cm="1">
        <f t="array" aca="1" ref="L19" ca="1">_xll.FDSR(D19,"FF_DEBT_LT(ANN_R,0)")</f>
        <v>#Calc</v>
      </c>
      <c r="M19" s="104" t="str" cm="1">
        <f t="array" aca="1" ref="M19" ca="1">_xll.FDSR(D19,"FF_DPS(ANN,0)")</f>
        <v>#Calc</v>
      </c>
      <c r="N19" s="106" t="str" cm="1">
        <f t="array" aca="1" ref="N19" ca="1">_xll.FDSR(D19,"FF_ROE('ANN_R','0','0','YEARLY',RP,'LOCAL')")</f>
        <v>#Calc</v>
      </c>
      <c r="O19" s="106" t="str" cm="1">
        <f t="array" aca="1" ref="O19" ca="1">_xll.FDSR(D19,"FG_PRICE(0)/FF_EPS(ANN_R,0)")</f>
        <v>#Calc</v>
      </c>
      <c r="P19" s="101"/>
      <c r="Q19" s="167" t="e">
        <f t="shared" ca="1" si="1"/>
        <v>#VALUE!</v>
      </c>
      <c r="R19" s="126" t="e">
        <f t="shared" ca="1" si="2"/>
        <v>#VALUE!</v>
      </c>
    </row>
    <row r="20" spans="1:18" x14ac:dyDescent="0.2">
      <c r="A20" s="103">
        <v>19</v>
      </c>
      <c r="B20" s="101" t="s">
        <v>533</v>
      </c>
      <c r="C20" s="102" t="e" vm="18">
        <v>#VALUE!</v>
      </c>
      <c r="D20" s="102" t="str" cm="1">
        <f t="array" aca="1" ref="D20" ca="1">_FV(C20,"Ticker symbol",TRUE)</f>
        <v>XOM</v>
      </c>
      <c r="E20" s="101" t="str" cm="1">
        <f t="array" aca="1" ref="E20" ca="1">_xll.FDSR(D20,"FG_PRICE(1/21/2026)")</f>
        <v>#Calc</v>
      </c>
      <c r="F20" s="101" t="str" cm="1">
        <f t="array" aca="1" ref="F20" ca="1">_xll.FDSR(D20,"FG_PRICE(NOW)")</f>
        <v>#Calc</v>
      </c>
      <c r="G20" s="104" t="e">
        <f t="shared" ca="1" si="0"/>
        <v>#VALUE!</v>
      </c>
      <c r="H20" s="104"/>
      <c r="I20" s="107" t="str" cm="1">
        <f t="array" aca="1" ref="I20" ca="1">_xll.FDSR(D20,"FF_NET_INC(ANN_R,0)")</f>
        <v>#Calc</v>
      </c>
      <c r="J20" s="105" t="str" cm="1">
        <f t="array" aca="1" ref="J20" ca="1">_xll.FDSR(D20,"FF_WKCAP(ANN_R,0)")</f>
        <v>#Calc</v>
      </c>
      <c r="K20" s="108" t="str" cm="1">
        <f t="array" aca="1" ref="K20" ca="1">_xll.FDSR(D20,"FF_EBITDA_OPER(ANN_R,0)")</f>
        <v>#Calc</v>
      </c>
      <c r="L20" s="116" t="str" cm="1">
        <f t="array" aca="1" ref="L20" ca="1">_xll.FDSR(D20,"FF_DEBT_LT(ANN_R,0)")</f>
        <v>#Calc</v>
      </c>
      <c r="M20" s="104" t="str" cm="1">
        <f t="array" aca="1" ref="M20" ca="1">_xll.FDSR(D20,"FF_DPS(ANN,0)")</f>
        <v>#Calc</v>
      </c>
      <c r="N20" s="106" t="str" cm="1">
        <f t="array" aca="1" ref="N20" ca="1">_xll.FDSR(D20,"FF_ROE('ANN_R','0','0','YEARLY',RP,'LOCAL')")</f>
        <v>#Calc</v>
      </c>
      <c r="O20" s="106" t="str" cm="1">
        <f t="array" aca="1" ref="O20" ca="1">_xll.FDSR(D20,"FG_PRICE(0)/FF_EPS(ANN_R,0)")</f>
        <v>#Calc</v>
      </c>
      <c r="P20" s="101"/>
      <c r="Q20" s="167" t="e">
        <f t="shared" ca="1" si="1"/>
        <v>#VALUE!</v>
      </c>
      <c r="R20" s="126" t="e">
        <f t="shared" ca="1" si="2"/>
        <v>#VALUE!</v>
      </c>
    </row>
    <row r="21" spans="1:18" x14ac:dyDescent="0.2">
      <c r="A21" s="103">
        <v>20</v>
      </c>
      <c r="B21" s="101" t="s">
        <v>534</v>
      </c>
      <c r="C21" s="102" t="e" vm="19">
        <v>#VALUE!</v>
      </c>
      <c r="D21" s="102" t="str" cm="1">
        <f t="array" aca="1" ref="D21" ca="1">_FV(C21,"Ticker symbol",TRUE)</f>
        <v>MU</v>
      </c>
      <c r="E21" s="101" t="str" cm="1">
        <f t="array" aca="1" ref="E21" ca="1">_xll.FDSR(D21,"FG_PRICE(1/21/2026)")</f>
        <v>#Calc</v>
      </c>
      <c r="F21" s="101" t="str" cm="1">
        <f t="array" aca="1" ref="F21" ca="1">_xll.FDSR(D21,"FG_PRICE(NOW)")</f>
        <v>#Calc</v>
      </c>
      <c r="G21" s="104" t="e">
        <f t="shared" ca="1" si="0"/>
        <v>#VALUE!</v>
      </c>
      <c r="H21" s="104"/>
      <c r="I21" s="104" t="str" cm="1">
        <f t="array" aca="1" ref="I21" ca="1">_xll.FDSR(D21,"FF_NET_INC(ANN_R,0)")</f>
        <v>#Calc</v>
      </c>
      <c r="J21" s="105" t="str" cm="1">
        <f t="array" aca="1" ref="J21" ca="1">_xll.FDSR(D21,"FF_WKCAP(ANN_R,0)")</f>
        <v>#Calc</v>
      </c>
      <c r="K21" s="108" t="str" cm="1">
        <f t="array" aca="1" ref="K21" ca="1">_xll.FDSR(D21,"FF_EBITDA_OPER(ANN_R,0)")</f>
        <v>#Calc</v>
      </c>
      <c r="L21" s="116" t="str" cm="1">
        <f t="array" aca="1" ref="L21" ca="1">_xll.FDSR(D21,"FF_DEBT_LT(ANN_R,0)")</f>
        <v>#Calc</v>
      </c>
      <c r="M21" s="104" t="str" cm="1">
        <f t="array" aca="1" ref="M21" ca="1">_xll.FDSR(D21,"FF_DPS(ANN,0)")</f>
        <v>#Calc</v>
      </c>
      <c r="N21" s="106" t="str" cm="1">
        <f t="array" aca="1" ref="N21" ca="1">_xll.FDSR(D21,"FF_ROE('ANN_R','0','0','YEARLY',RP,'LOCAL')")</f>
        <v>#Calc</v>
      </c>
      <c r="O21" s="106" t="str" cm="1">
        <f t="array" aca="1" ref="O21" ca="1">_xll.FDSR(D21,"FG_PRICE(0)/FF_EPS(ANN_R,0)")</f>
        <v>#Calc</v>
      </c>
      <c r="P21" s="101"/>
      <c r="Q21" s="167" t="e">
        <f t="shared" ca="1" si="1"/>
        <v>#VALUE!</v>
      </c>
      <c r="R21" s="126" t="e">
        <f t="shared" ca="1" si="2"/>
        <v>#VALUE!</v>
      </c>
    </row>
    <row r="22" spans="1:18" x14ac:dyDescent="0.2">
      <c r="A22" s="103">
        <v>21</v>
      </c>
      <c r="B22" s="101" t="s">
        <v>535</v>
      </c>
      <c r="C22" s="102" t="e" vm="20">
        <v>#VALUE!</v>
      </c>
      <c r="D22" s="102" t="str" cm="1">
        <f t="array" aca="1" ref="D22" ca="1">_FV(C22,"Ticker symbol",TRUE)</f>
        <v>ABNB</v>
      </c>
      <c r="E22" s="101" t="str" cm="1">
        <f t="array" aca="1" ref="E22" ca="1">_xll.FDSR(D22,"FG_PRICE(1/21/2026)")</f>
        <v>#Calc</v>
      </c>
      <c r="F22" s="101" t="str" cm="1">
        <f t="array" aca="1" ref="F22" ca="1">_xll.FDSR(D22,"FG_PRICE(NOW)")</f>
        <v>#Calc</v>
      </c>
      <c r="G22" s="104" t="e">
        <f t="shared" ca="1" si="0"/>
        <v>#VALUE!</v>
      </c>
      <c r="H22" s="104"/>
      <c r="I22" s="104" t="str" cm="1">
        <f t="array" aca="1" ref="I22" ca="1">_xll.FDSR(D22,"FF_NET_INC(ANN_R,0)")</f>
        <v>#Calc</v>
      </c>
      <c r="J22" s="105" t="str" cm="1">
        <f t="array" aca="1" ref="J22" ca="1">_xll.FDSR(D22,"FF_WKCAP(ANN_R,0)")</f>
        <v>#Calc</v>
      </c>
      <c r="K22" s="121" t="str" cm="1">
        <f t="array" aca="1" ref="K22" ca="1">_xll.FDSR(D22,"FF_EBITDA_OPER(ANN_R,0)")</f>
        <v>#Calc</v>
      </c>
      <c r="L22" s="122" t="str" cm="1">
        <f t="array" aca="1" ref="L22" ca="1">_xll.FDSR(D22,"FF_DEBT_LT(ANN_R,0)")</f>
        <v>#Calc</v>
      </c>
      <c r="M22" s="107" t="str" cm="1">
        <f t="array" aca="1" ref="M22" ca="1">_xll.FDSR(D22,"FF_DPS(ANN,0)")</f>
        <v>#Calc</v>
      </c>
      <c r="N22" s="106" t="str" cm="1">
        <f t="array" aca="1" ref="N22" ca="1">_xll.FDSR(D22,"FF_ROE('ANN_R','0','0','YEARLY',RP,'LOCAL')")</f>
        <v>#Calc</v>
      </c>
      <c r="O22" s="106" t="str" cm="1">
        <f t="array" aca="1" ref="O22" ca="1">_xll.FDSR(D22,"FG_PRICE(0)/FF_EPS(ANN_R,0)")</f>
        <v>#Calc</v>
      </c>
      <c r="P22" s="123"/>
      <c r="Q22" s="167" t="e">
        <f t="shared" ca="1" si="1"/>
        <v>#VALUE!</v>
      </c>
      <c r="R22" s="126" t="e">
        <f t="shared" ca="1" si="2"/>
        <v>#VALUE!</v>
      </c>
    </row>
    <row r="23" spans="1:18" x14ac:dyDescent="0.2">
      <c r="A23" s="103">
        <v>22</v>
      </c>
      <c r="B23" s="101" t="s">
        <v>536</v>
      </c>
      <c r="C23" s="102" t="e" vm="21">
        <v>#VALUE!</v>
      </c>
      <c r="D23" s="102" t="str" cm="1">
        <f t="array" aca="1" ref="D23" ca="1">_FV(C23,"Ticker symbol",TRUE)</f>
        <v>HIMS</v>
      </c>
      <c r="E23" s="101" t="str" cm="1">
        <f t="array" aca="1" ref="E23" ca="1">_xll.FDSR(D23,"FG_PRICE(1/21/2026)")</f>
        <v>#Calc</v>
      </c>
      <c r="F23" s="101" t="str" cm="1">
        <f t="array" aca="1" ref="F23" ca="1">_xll.FDSR(D23,"FG_PRICE(NOW)")</f>
        <v>#Calc</v>
      </c>
      <c r="G23" s="104" t="e">
        <f t="shared" ca="1" si="0"/>
        <v>#VALUE!</v>
      </c>
      <c r="H23" s="104"/>
      <c r="I23" s="104" t="str" cm="1">
        <f t="array" aca="1" ref="I23" ca="1">_xll.FDSR(D23,"FF_NET_INC(ANN_R,0)")</f>
        <v>#Calc</v>
      </c>
      <c r="J23" s="105" t="str" cm="1">
        <f t="array" aca="1" ref="J23" ca="1">_xll.FDSR(D23,"FF_WKCAP(ANN_R,0)")</f>
        <v>#Calc</v>
      </c>
      <c r="K23" s="121" t="str" cm="1">
        <f t="array" aca="1" ref="K23" ca="1">_xll.FDSR(D23,"FF_EBITDA_OPER(ANN_R,0)")</f>
        <v>#Calc</v>
      </c>
      <c r="L23" s="122" t="str" cm="1">
        <f t="array" aca="1" ref="L23" ca="1">_xll.FDSR(D23,"FF_DEBT_LT(ANN_R,0)")</f>
        <v>#Calc</v>
      </c>
      <c r="M23" s="107" t="str" cm="1">
        <f t="array" aca="1" ref="M23" ca="1">_xll.FDSR(D23,"FF_DPS(ANN,0)")</f>
        <v>#Calc</v>
      </c>
      <c r="N23" s="106" t="str" cm="1">
        <f t="array" aca="1" ref="N23" ca="1">_xll.FDSR(D23,"FF_ROE('ANN_R','0','0','YEARLY',RP,'LOCAL')")</f>
        <v>#Calc</v>
      </c>
      <c r="O23" s="106" t="str" cm="1">
        <f t="array" aca="1" ref="O23" ca="1">_xll.FDSR(D23,"FG_PRICE(0)/FF_EPS(ANN_R,0)")</f>
        <v>#Calc</v>
      </c>
      <c r="P23" s="123"/>
      <c r="Q23" s="167" t="e">
        <f t="shared" ca="1" si="1"/>
        <v>#VALUE!</v>
      </c>
      <c r="R23" s="126" t="e">
        <f t="shared" ca="1" si="2"/>
        <v>#VALUE!</v>
      </c>
    </row>
    <row r="24" spans="1:18" x14ac:dyDescent="0.2">
      <c r="A24" s="103">
        <v>23</v>
      </c>
      <c r="B24" s="101" t="s">
        <v>537</v>
      </c>
      <c r="C24" s="102" t="e" vm="22">
        <v>#VALUE!</v>
      </c>
      <c r="D24" s="102" t="str" cm="1">
        <f t="array" aca="1" ref="D24" ca="1">_FV(C24,"Ticker symbol",TRUE)</f>
        <v>DKS</v>
      </c>
      <c r="E24" s="101" t="str" cm="1">
        <f t="array" aca="1" ref="E24" ca="1">_xll.FDSR(D24,"FG_PRICE(1/21/2026)")</f>
        <v>#Calc</v>
      </c>
      <c r="F24" s="101" t="str" cm="1">
        <f t="array" aca="1" ref="F24" ca="1">_xll.FDSR(D24,"FG_PRICE(NOW)")</f>
        <v>#Calc</v>
      </c>
      <c r="G24" s="104" t="e">
        <f t="shared" ca="1" si="0"/>
        <v>#VALUE!</v>
      </c>
      <c r="H24" s="104"/>
      <c r="I24" s="104" t="str" cm="1">
        <f t="array" aca="1" ref="I24" ca="1">_xll.FDSR(D24,"FF_NET_INC(ANN_R,0)")</f>
        <v>#Calc</v>
      </c>
      <c r="J24" s="105" t="str" cm="1">
        <f t="array" aca="1" ref="J24" ca="1">_xll.FDSR(D24,"FF_WKCAP(ANN_R,0)")</f>
        <v>#Calc</v>
      </c>
      <c r="K24" s="121" t="str" cm="1">
        <f t="array" aca="1" ref="K24" ca="1">_xll.FDSR(D24,"FF_EBITDA_OPER(ANN_R,0)")</f>
        <v>#Calc</v>
      </c>
      <c r="L24" s="122" t="str" cm="1">
        <f t="array" aca="1" ref="L24" ca="1">_xll.FDSR(D24,"FF_DEBT_LT(ANN_R,0)")</f>
        <v>#Calc</v>
      </c>
      <c r="M24" s="107" t="str" cm="1">
        <f t="array" aca="1" ref="M24" ca="1">_xll.FDSR(D24,"FF_DPS(ANN,0)")</f>
        <v>#Calc</v>
      </c>
      <c r="N24" s="106" t="str" cm="1">
        <f t="array" aca="1" ref="N24" ca="1">_xll.FDSR(D24,"FF_ROE('ANN_R','0','0','YEARLY',RP,'LOCAL')")</f>
        <v>#Calc</v>
      </c>
      <c r="O24" s="106" t="str" cm="1">
        <f t="array" aca="1" ref="O24" ca="1">_xll.FDSR(D24,"FG_PRICE(0)/FF_EPS(ANN_R,0)")</f>
        <v>#Calc</v>
      </c>
      <c r="P24" s="123"/>
      <c r="Q24" s="167" t="e">
        <f t="shared" ca="1" si="1"/>
        <v>#VALUE!</v>
      </c>
      <c r="R24" s="126" t="e">
        <f t="shared" ca="1" si="2"/>
        <v>#VALUE!</v>
      </c>
    </row>
    <row r="25" spans="1:18" x14ac:dyDescent="0.2">
      <c r="A25" s="103">
        <v>24</v>
      </c>
      <c r="B25" s="101" t="s">
        <v>538</v>
      </c>
      <c r="C25" s="102" t="e" vm="23">
        <v>#VALUE!</v>
      </c>
      <c r="D25" s="102" t="str" cm="1">
        <f t="array" aca="1" ref="D25" ca="1">_FV(C25,"Ticker symbol",TRUE)</f>
        <v>ORCL</v>
      </c>
      <c r="E25" s="101" t="str" cm="1">
        <f t="array" aca="1" ref="E25" ca="1">_xll.FDSR(D25,"FG_PRICE(1/21/2026)")</f>
        <v>#Calc</v>
      </c>
      <c r="F25" s="101" t="str" cm="1">
        <f t="array" aca="1" ref="F25" ca="1">_xll.FDSR(D25,"FG_PRICE(NOW)")</f>
        <v>#Calc</v>
      </c>
      <c r="G25" s="104" t="e">
        <f t="shared" ca="1" si="0"/>
        <v>#VALUE!</v>
      </c>
      <c r="H25" s="104"/>
      <c r="I25" s="104" t="str" cm="1">
        <f t="array" aca="1" ref="I25" ca="1">_xll.FDSR(D25,"FF_NET_INC(ANN_R,0)")</f>
        <v>#Calc</v>
      </c>
      <c r="J25" s="105" t="str" cm="1">
        <f t="array" aca="1" ref="J25" ca="1">_xll.FDSR(D25,"FF_WKCAP(ANN_R,0)")</f>
        <v>#Calc</v>
      </c>
      <c r="K25" s="121" t="str" cm="1">
        <f t="array" aca="1" ref="K25" ca="1">_xll.FDSR(D25,"FF_EBITDA_OPER(ANN_R,0)")</f>
        <v>#Calc</v>
      </c>
      <c r="L25" s="122" t="str" cm="1">
        <f t="array" aca="1" ref="L25" ca="1">_xll.FDSR(D25,"FF_DEBT_LT(ANN_R,0)")</f>
        <v>#Calc</v>
      </c>
      <c r="M25" s="107" t="str" cm="1">
        <f t="array" aca="1" ref="M25" ca="1">_xll.FDSR(D25,"FF_DPS(ANN,0)")</f>
        <v>#Calc</v>
      </c>
      <c r="N25" s="106" t="str" cm="1">
        <f t="array" aca="1" ref="N25" ca="1">_xll.FDSR(D25,"FF_ROE('ANN_R','0','0','YEARLY',RP,'LOCAL')")</f>
        <v>#Calc</v>
      </c>
      <c r="O25" s="106" t="str" cm="1">
        <f t="array" aca="1" ref="O25" ca="1">_xll.FDSR(D25,"FG_PRICE(0)/FF_EPS(ANN_R,0)")</f>
        <v>#Calc</v>
      </c>
      <c r="P25" s="123"/>
      <c r="Q25" s="167" t="e">
        <f t="shared" ca="1" si="1"/>
        <v>#VALUE!</v>
      </c>
      <c r="R25" s="126" t="e">
        <f t="shared" ca="1" si="2"/>
        <v>#VALUE!</v>
      </c>
    </row>
    <row r="26" spans="1:18" x14ac:dyDescent="0.2">
      <c r="A26" s="103">
        <v>25</v>
      </c>
      <c r="B26" s="101" t="s">
        <v>539</v>
      </c>
      <c r="C26" s="102" t="e" vm="24">
        <v>#VALUE!</v>
      </c>
      <c r="D26" s="102" t="str" cm="1">
        <f t="array" aca="1" ref="D26" ca="1">_FV(C26,"Ticker symbol",TRUE)</f>
        <v>NFLX</v>
      </c>
      <c r="E26" s="101" t="str" cm="1">
        <f t="array" aca="1" ref="E26" ca="1">_xll.FDSR(D26,"FG_PRICE(1/21/2026)")</f>
        <v>#Calc</v>
      </c>
      <c r="F26" s="101" t="str" cm="1">
        <f t="array" aca="1" ref="F26" ca="1">_xll.FDSR(D26,"FG_PRICE(NOW)")</f>
        <v>#Calc</v>
      </c>
      <c r="G26" s="104" t="e">
        <f t="shared" ca="1" si="0"/>
        <v>#VALUE!</v>
      </c>
      <c r="H26" s="104"/>
      <c r="I26" s="104" t="str" cm="1">
        <f t="array" aca="1" ref="I26" ca="1">_xll.FDSR(D26,"FF_NET_INC(ANN_R,0)")</f>
        <v>#Calc</v>
      </c>
      <c r="J26" s="105" t="str" cm="1">
        <f t="array" aca="1" ref="J26" ca="1">_xll.FDSR(D26,"FF_WKCAP(ANN_R,0)")</f>
        <v>#Calc</v>
      </c>
      <c r="K26" s="121" t="str" cm="1">
        <f t="array" aca="1" ref="K26" ca="1">_xll.FDSR(D26,"FF_EBITDA_OPER(ANN_R,0)")</f>
        <v>#Calc</v>
      </c>
      <c r="L26" s="122" t="str" cm="1">
        <f t="array" aca="1" ref="L26" ca="1">_xll.FDSR(D26,"FF_DEBT_LT(ANN_R,0)")</f>
        <v>#Calc</v>
      </c>
      <c r="M26" s="107" t="str" cm="1">
        <f t="array" aca="1" ref="M26" ca="1">_xll.FDSR(D26,"FF_DPS(ANN,0)")</f>
        <v>#Calc</v>
      </c>
      <c r="N26" s="106" t="str" cm="1">
        <f t="array" aca="1" ref="N26" ca="1">_xll.FDSR(D26,"FF_ROE('ANN_R','0','0','YEARLY',RP,'LOCAL')")</f>
        <v>#Calc</v>
      </c>
      <c r="O26" s="106" t="str" cm="1">
        <f t="array" aca="1" ref="O26" ca="1">_xll.FDSR(D26,"FG_PRICE(0)/FF_EPS(ANN_R,0)")</f>
        <v>#Calc</v>
      </c>
      <c r="P26" s="123"/>
      <c r="Q26" s="167" t="e">
        <f t="shared" ca="1" si="1"/>
        <v>#VALUE!</v>
      </c>
      <c r="R26" s="126" t="e">
        <f t="shared" ca="1" si="2"/>
        <v>#VALUE!</v>
      </c>
    </row>
    <row r="27" spans="1:18" x14ac:dyDescent="0.2">
      <c r="A27" s="103">
        <v>26</v>
      </c>
      <c r="B27" s="101" t="s">
        <v>540</v>
      </c>
      <c r="C27" s="102" t="e" vm="25">
        <v>#VALUE!</v>
      </c>
      <c r="D27" s="102" t="str" cm="1">
        <f t="array" aca="1" ref="D27" ca="1">_FV(C27,"Ticker symbol",TRUE)</f>
        <v>BA</v>
      </c>
      <c r="E27" s="101" t="str" cm="1">
        <f t="array" aca="1" ref="E27" ca="1">_xll.FDSR(D27,"FG_PRICE(1/21/2026)")</f>
        <v>#Calc</v>
      </c>
      <c r="F27" s="101" t="str" cm="1">
        <f t="array" aca="1" ref="F27" ca="1">_xll.FDSR(D27,"FG_PRICE(NOW)")</f>
        <v>#Calc</v>
      </c>
      <c r="G27" s="104" t="e">
        <f t="shared" ca="1" si="0"/>
        <v>#VALUE!</v>
      </c>
      <c r="H27" s="104"/>
      <c r="I27" s="104" t="str" cm="1">
        <f t="array" aca="1" ref="I27" ca="1">_xll.FDSR(D27,"FF_NET_INC(ANN_R,0)")</f>
        <v>#Calc</v>
      </c>
      <c r="J27" s="105" t="str" cm="1">
        <f t="array" aca="1" ref="J27" ca="1">_xll.FDSR(D27,"FF_WKCAP(ANN_R,0)")</f>
        <v>#Calc</v>
      </c>
      <c r="K27" s="121" t="str" cm="1">
        <f t="array" aca="1" ref="K27" ca="1">_xll.FDSR(D27,"FF_EBITDA_OPER(ANN_R,0)")</f>
        <v>#Calc</v>
      </c>
      <c r="L27" s="122" t="str" cm="1">
        <f t="array" aca="1" ref="L27" ca="1">_xll.FDSR(D27,"FF_DEBT_LT(ANN_R,0)")</f>
        <v>#Calc</v>
      </c>
      <c r="M27" s="107" t="str" cm="1">
        <f t="array" aca="1" ref="M27" ca="1">_xll.FDSR(D27,"FF_DPS(ANN,0)")</f>
        <v>#Calc</v>
      </c>
      <c r="N27" s="106" t="str" cm="1">
        <f t="array" aca="1" ref="N27" ca="1">_xll.FDSR(D27,"FF_ROE('ANN_R','0','0','YEARLY',RP,'LOCAL')")</f>
        <v>#Calc</v>
      </c>
      <c r="O27" s="106" t="str" cm="1">
        <f t="array" aca="1" ref="O27" ca="1">_xll.FDSR(D27,"FG_PRICE(0)/FF_EPS(ANN_R,0)")</f>
        <v>#Calc</v>
      </c>
      <c r="P27" s="123"/>
      <c r="Q27" s="167" t="e">
        <f t="shared" ca="1" si="1"/>
        <v>#VALUE!</v>
      </c>
      <c r="R27" s="126" t="e">
        <f t="shared" ca="1" si="2"/>
        <v>#VALUE!</v>
      </c>
    </row>
    <row r="28" spans="1:18" x14ac:dyDescent="0.2">
      <c r="A28" s="103">
        <v>27</v>
      </c>
      <c r="B28" s="101" t="s">
        <v>541</v>
      </c>
      <c r="C28" s="102" t="e" vm="26">
        <v>#VALUE!</v>
      </c>
      <c r="D28" s="102" t="str" cm="1">
        <f t="array" aca="1" ref="D28" ca="1">_FV(C28,"Ticker symbol",TRUE)</f>
        <v>MRK</v>
      </c>
      <c r="E28" s="101" t="str" cm="1">
        <f t="array" aca="1" ref="E28" ca="1">_xll.FDSR(D28,"FG_PRICE(1/21/2026)")</f>
        <v>#Calc</v>
      </c>
      <c r="F28" s="101" t="str" cm="1">
        <f t="array" aca="1" ref="F28" ca="1">_xll.FDSR(D28,"FG_PRICE(NOW)")</f>
        <v>#Calc</v>
      </c>
      <c r="G28" s="104" t="e">
        <f t="shared" ca="1" si="0"/>
        <v>#VALUE!</v>
      </c>
      <c r="H28" s="104"/>
      <c r="I28" s="104" t="str" cm="1">
        <f t="array" aca="1" ref="I28" ca="1">_xll.FDSR(D28,"FF_NET_INC(ANN_R,0)")</f>
        <v>#Calc</v>
      </c>
      <c r="J28" s="105" t="str" cm="1">
        <f t="array" aca="1" ref="J28" ca="1">_xll.FDSR(D28,"FF_WKCAP(ANN_R,0)")</f>
        <v>#Calc</v>
      </c>
      <c r="K28" s="121" t="str" cm="1">
        <f t="array" aca="1" ref="K28" ca="1">_xll.FDSR(D28,"FF_EBITDA_OPER(ANN_R,0)")</f>
        <v>#Calc</v>
      </c>
      <c r="L28" s="122" t="str" cm="1">
        <f t="array" aca="1" ref="L28" ca="1">_xll.FDSR(D28,"FF_DEBT_LT(ANN_R,0)")</f>
        <v>#Calc</v>
      </c>
      <c r="M28" s="107" t="str" cm="1">
        <f t="array" aca="1" ref="M28" ca="1">_xll.FDSR(D28,"FF_DPS(ANN,0)")</f>
        <v>#Calc</v>
      </c>
      <c r="N28" s="106" t="str" cm="1">
        <f t="array" aca="1" ref="N28" ca="1">_xll.FDSR(D28,"FF_ROE('ANN_R','0','0','YEARLY',RP,'LOCAL')")</f>
        <v>#Calc</v>
      </c>
      <c r="O28" s="106" t="str" cm="1">
        <f t="array" aca="1" ref="O28" ca="1">_xll.FDSR(D28,"FG_PRICE(0)/FF_EPS(ANN_R,0)")</f>
        <v>#Calc</v>
      </c>
      <c r="P28" s="123"/>
      <c r="Q28" s="167" t="e">
        <f t="shared" ca="1" si="1"/>
        <v>#VALUE!</v>
      </c>
      <c r="R28" s="126" t="e">
        <f t="shared" ca="1" si="2"/>
        <v>#VALUE!</v>
      </c>
    </row>
    <row r="29" spans="1:18" ht="16" thickBot="1" x14ac:dyDescent="0.25">
      <c r="A29" s="174">
        <v>28</v>
      </c>
      <c r="B29" s="183" t="s">
        <v>542</v>
      </c>
      <c r="C29" s="184" t="e" vm="27">
        <v>#VALUE!</v>
      </c>
      <c r="D29" s="184" t="str" cm="1">
        <f t="array" aca="1" ref="D29" ca="1">_FV(C29,"Ticker symbol",TRUE)</f>
        <v>NVDA</v>
      </c>
      <c r="E29" s="101" t="str" cm="1">
        <f t="array" aca="1" ref="E29" ca="1">_xll.FDSR(D29,"FG_PRICE(1/21/2026)")</f>
        <v>#Calc</v>
      </c>
      <c r="F29" s="183" t="str" cm="1">
        <f t="array" aca="1" ref="F29" ca="1">_xll.FDSR(D29,"FG_PRICE(NOW)")</f>
        <v>#Calc</v>
      </c>
      <c r="G29" s="185" t="e">
        <f t="shared" ca="1" si="0"/>
        <v>#VALUE!</v>
      </c>
      <c r="H29" s="185"/>
      <c r="I29" s="185" t="str" cm="1">
        <f t="array" aca="1" ref="I29" ca="1">_xll.FDSR(D29,"FF_NET_INC(ANN_R,0)")</f>
        <v>#Calc</v>
      </c>
      <c r="J29" s="186" t="str" cm="1">
        <f t="array" aca="1" ref="J29" ca="1">_xll.FDSR(D29,"FF_WKCAP(ANN_R,0)")</f>
        <v>#Calc</v>
      </c>
      <c r="K29" s="187" t="str" cm="1">
        <f t="array" aca="1" ref="K29" ca="1">_xll.FDSR(D29,"FF_EBITDA_OPER(ANN_R,0)")</f>
        <v>#Calc</v>
      </c>
      <c r="L29" s="188" t="str" cm="1">
        <f t="array" aca="1" ref="L29" ca="1">_xll.FDSR(D29,"FF_DEBT_LT(ANN_R,0)")</f>
        <v>#Calc</v>
      </c>
      <c r="M29" s="189" t="str" cm="1">
        <f t="array" aca="1" ref="M29" ca="1">_xll.FDSR(D29,"FF_DPS(ANN,0)")</f>
        <v>#Calc</v>
      </c>
      <c r="N29" s="190" t="str" cm="1">
        <f t="array" aca="1" ref="N29" ca="1">_xll.FDSR(D29,"FF_ROE('ANN_R','0','0','YEARLY',RP,'LOCAL')")</f>
        <v>#Calc</v>
      </c>
      <c r="O29" s="190" t="str" cm="1">
        <f t="array" aca="1" ref="O29" ca="1">_xll.FDSR(D29,"FG_PRICE(0)/FF_EPS(ANN_R,0)")</f>
        <v>#Calc</v>
      </c>
      <c r="P29" s="191"/>
      <c r="Q29" s="192" t="e">
        <f t="shared" ca="1" si="1"/>
        <v>#VALUE!</v>
      </c>
      <c r="R29" s="126" t="e">
        <f t="shared" ca="1" si="2"/>
        <v>#VALUE!</v>
      </c>
    </row>
    <row r="30" spans="1:18" ht="16" thickTop="1" x14ac:dyDescent="0.2">
      <c r="A30" s="111">
        <v>29</v>
      </c>
      <c r="B30" s="109" t="s">
        <v>543</v>
      </c>
      <c r="C30" s="110" t="e" vm="28">
        <v>#VALUE!</v>
      </c>
      <c r="D30" s="110" t="str" cm="1">
        <f t="array" aca="1" ref="D30" ca="1">_FV(C30,"Ticker symbol",TRUE)</f>
        <v>ASML</v>
      </c>
      <c r="E30" s="101" t="str" cm="1">
        <f t="array" aca="1" ref="E30" ca="1">_xll.FDSR(D30,"FG_PRICE(1/21/2026)")</f>
        <v>#Calc</v>
      </c>
      <c r="F30" s="109" t="str" cm="1">
        <f t="array" aca="1" ref="F30" ca="1">_xll.FDSR(D30,"FG_PRICE(NOW)")</f>
        <v>#Calc</v>
      </c>
      <c r="G30" s="112" t="e">
        <f t="shared" ref="G30" ca="1" si="3">F30-E30</f>
        <v>#VALUE!</v>
      </c>
      <c r="H30" s="112"/>
      <c r="I30" s="112" t="str" cm="1">
        <f t="array" aca="1" ref="I30" ca="1">_xll.FDSR(D30,"FF_NET_INC(ANN_R,0)")</f>
        <v>#Calc</v>
      </c>
      <c r="J30" s="113" t="str" cm="1">
        <f t="array" aca="1" ref="J30" ca="1">_xll.FDSR(D30,"FF_WKCAP(ANN_R,0)")</f>
        <v>#Calc</v>
      </c>
      <c r="K30" s="178" t="str" cm="1">
        <f t="array" aca="1" ref="K30" ca="1">_xll.FDSR(D30,"FF_EBITDA_OPER(ANN_R,0)")</f>
        <v>#Calc</v>
      </c>
      <c r="L30" s="179" t="str" cm="1">
        <f t="array" aca="1" ref="L30" ca="1">_xll.FDSR(D30,"FF_DEBT_LT(ANN_R,0)")</f>
        <v>#Calc</v>
      </c>
      <c r="M30" s="180" t="str" cm="1">
        <f t="array" aca="1" ref="M30" ca="1">_xll.FDSR(D30,"FF_DPS(ANN,0)")</f>
        <v>#Calc</v>
      </c>
      <c r="N30" s="114" t="str" cm="1">
        <f t="array" aca="1" ref="N30" ca="1">_xll.FDSR(D30,"FF_ROE('ANN_R','0','0','YEARLY',RP,'LOCAL')")</f>
        <v>#Calc</v>
      </c>
      <c r="O30" s="114" t="str" cm="1">
        <f t="array" aca="1" ref="O30" ca="1">_xll.FDSR(D30,"FG_PRICE(0)/FF_EPS(ANN_R,0)")</f>
        <v>#Calc</v>
      </c>
      <c r="P30" s="181"/>
      <c r="Q30" s="182" t="e">
        <f t="shared" ref="Q30" ca="1" si="4">(F30-E30)/E30</f>
        <v>#VALUE!</v>
      </c>
      <c r="R30" s="126" t="e">
        <f t="shared" ca="1" si="2"/>
        <v>#VALUE!</v>
      </c>
    </row>
    <row r="31" spans="1:18" ht="16" thickBot="1" x14ac:dyDescent="0.25">
      <c r="A31" s="175" t="s">
        <v>514</v>
      </c>
      <c r="B31" s="176"/>
      <c r="C31" s="177" t="e" vm="29">
        <v>#VALUE!</v>
      </c>
      <c r="D31" s="177" t="s">
        <v>234</v>
      </c>
      <c r="E31" s="101" cm="1">
        <f t="array" ref="E31">_xll.FDSR(D31,"FG_PRICE(1/21/2026)")</f>
        <v>6875.62</v>
      </c>
      <c r="F31" s="101" cm="1">
        <f t="array" ref="F31">_xll.FDSR(D31,"FG_PRICE(NOW)")</f>
        <v>6927.82</v>
      </c>
      <c r="G31" s="193">
        <f t="shared" ref="G31:G32" si="5">F31-E31</f>
        <v>52.199999999999818</v>
      </c>
      <c r="H31" s="104"/>
      <c r="I31" s="104"/>
      <c r="J31" s="105"/>
      <c r="K31" s="121"/>
      <c r="L31" s="122"/>
      <c r="M31" s="107"/>
      <c r="N31" s="106"/>
      <c r="O31" s="106"/>
      <c r="P31" s="123"/>
      <c r="Q31" s="167">
        <f t="shared" ref="Q31:Q32" si="6">(F31-E31)/E31</f>
        <v>7.5920426085210957E-3</v>
      </c>
      <c r="R31" s="126" t="e">
        <f t="shared" ca="1" si="2"/>
        <v>#VALUE!</v>
      </c>
    </row>
    <row r="32" spans="1:18" ht="16" thickTop="1" x14ac:dyDescent="0.2">
      <c r="C32" t="e" vm="30">
        <v>#VALUE!</v>
      </c>
      <c r="D32" s="102" t="str" cm="1">
        <f t="array" aca="1" ref="D32" ca="1">_FV(C32,"Ticker symbol",TRUE)</f>
        <v>AAPL</v>
      </c>
      <c r="E32" s="101" t="str" cm="1">
        <f t="array" aca="1" ref="E32" ca="1">_xll.FDSR(D32,"FG_PRICE(1/21/2026)")</f>
        <v>#Calc</v>
      </c>
      <c r="F32" s="101" t="str" cm="1">
        <f t="array" aca="1" ref="F32" ca="1">_xll.FDSR(D32,"FG_PRICE(NOW)")</f>
        <v>#Calc</v>
      </c>
      <c r="G32" s="104" t="e">
        <f t="shared" ca="1" si="5"/>
        <v>#VALUE!</v>
      </c>
      <c r="H32" s="104"/>
      <c r="I32" s="104" t="str" cm="1">
        <f t="array" aca="1" ref="I32" ca="1">_xll.FDSR(D32,"FF_NET_INC(ANN_R,0)")</f>
        <v>#Calc</v>
      </c>
      <c r="J32" s="105" t="str" cm="1">
        <f t="array" aca="1" ref="J32" ca="1">_xll.FDSR(D32,"FF_WKCAP(ANN_R,0)")</f>
        <v>#Calc</v>
      </c>
      <c r="K32" s="121" t="str" cm="1">
        <f t="array" aca="1" ref="K32" ca="1">_xll.FDSR(D32,"FF_EBITDA_OPER(ANN_R,0)")</f>
        <v>#Calc</v>
      </c>
      <c r="L32" s="122" t="str" cm="1">
        <f t="array" aca="1" ref="L32" ca="1">_xll.FDSR(D32,"FF_DEBT_LT(ANN_R,0)")</f>
        <v>#Calc</v>
      </c>
      <c r="M32" s="107" t="str" cm="1">
        <f t="array" aca="1" ref="M32" ca="1">_xll.FDSR(D32,"FF_DPS(ANN,0)")</f>
        <v>#Calc</v>
      </c>
      <c r="N32" s="106" t="str" cm="1">
        <f t="array" aca="1" ref="N32" ca="1">_xll.FDSR(D32,"FF_ROE('ANN_R','0','0','YEARLY',RP,'LOCAL')")</f>
        <v>#Calc</v>
      </c>
      <c r="O32" s="106" t="str" cm="1">
        <f t="array" aca="1" ref="O32" ca="1">_xll.FDSR(D32,"FG_PRICE(0)/FF_EPS(ANN_R,0)")</f>
        <v>#Calc</v>
      </c>
      <c r="P32" s="123"/>
      <c r="Q32" s="167" t="e">
        <f t="shared" ca="1" si="6"/>
        <v>#VALUE!</v>
      </c>
    </row>
  </sheetData>
  <conditionalFormatting sqref="C2 C16:C30">
    <cfRule type="duplicateValues" dxfId="3" priority="7"/>
  </conditionalFormatting>
  <conditionalFormatting sqref="G2:H31">
    <cfRule type="colorScale" priority="9">
      <colorScale>
        <cfvo type="min"/>
        <cfvo type="percentile" val="50"/>
        <cfvo type="max"/>
        <color rgb="FFF8696B"/>
        <color rgb="FFFCFCFF"/>
        <color rgb="FF63BE7B"/>
      </colorScale>
    </cfRule>
    <cfRule type="cellIs" dxfId="2" priority="10" operator="greaterThan">
      <formula>0</formula>
    </cfRule>
    <cfRule type="colorScale" priority="11">
      <colorScale>
        <cfvo type="min"/>
        <cfvo type="percentile" val="50"/>
        <cfvo type="max"/>
        <color rgb="FFF8696B"/>
        <color rgb="FFFCFCFF"/>
        <color rgb="FF63BE7B"/>
      </colorScale>
    </cfRule>
  </conditionalFormatting>
  <conditionalFormatting sqref="G32:H32">
    <cfRule type="colorScale" priority="1">
      <colorScale>
        <cfvo type="min"/>
        <cfvo type="percentile" val="50"/>
        <cfvo type="max"/>
        <color rgb="FFF8696B"/>
        <color rgb="FFFCFCFF"/>
        <color rgb="FF63BE7B"/>
      </colorScale>
    </cfRule>
    <cfRule type="cellIs" dxfId="1" priority="2" operator="greaterThan">
      <formula>0</formula>
    </cfRule>
    <cfRule type="colorScale" priority="3">
      <colorScale>
        <cfvo type="min"/>
        <cfvo type="percentile" val="50"/>
        <cfvo type="max"/>
        <color rgb="FFF8696B"/>
        <color rgb="FFFCFCFF"/>
        <color rgb="FF63BE7B"/>
      </colorScale>
    </cfRule>
  </conditionalFormatting>
  <conditionalFormatting sqref="Q2:Q32">
    <cfRule type="iconSet" priority="13">
      <iconSet iconSet="4Arrows">
        <cfvo type="percent" val="0"/>
        <cfvo type="percent" val="25"/>
        <cfvo type="percent" val="50"/>
        <cfvo type="percent" val="75"/>
      </iconSet>
    </cfRule>
  </conditionalFormatting>
  <conditionalFormatting sqref="R2:R31">
    <cfRule type="cellIs" dxfId="0" priority="8" operator="lessThan">
      <formula>14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08DB-B533-4874-8700-4E8311C9D5E4}">
  <dimension ref="A1:R32"/>
  <sheetViews>
    <sheetView tabSelected="1" workbookViewId="0">
      <selection activeCell="D2" sqref="D2"/>
    </sheetView>
  </sheetViews>
  <sheetFormatPr baseColWidth="10" defaultColWidth="25" defaultRowHeight="15" x14ac:dyDescent="0.2"/>
  <sheetData>
    <row r="1" spans="1:18" x14ac:dyDescent="0.2">
      <c r="A1" t="s">
        <v>513</v>
      </c>
      <c r="B1" t="s">
        <v>257</v>
      </c>
      <c r="C1" t="s">
        <v>233</v>
      </c>
      <c r="D1" t="s">
        <v>223</v>
      </c>
      <c r="E1" t="s">
        <v>231</v>
      </c>
      <c r="F1" t="s">
        <v>241</v>
      </c>
      <c r="G1" t="s">
        <v>242</v>
      </c>
      <c r="I1" t="s">
        <v>232</v>
      </c>
      <c r="J1" t="s">
        <v>235</v>
      </c>
      <c r="K1" t="s">
        <v>240</v>
      </c>
      <c r="L1" t="s">
        <v>236</v>
      </c>
      <c r="M1" t="s">
        <v>237</v>
      </c>
      <c r="N1" t="s">
        <v>238</v>
      </c>
      <c r="O1" t="s">
        <v>239</v>
      </c>
      <c r="Q1" t="s">
        <v>544</v>
      </c>
      <c r="R1" t="s">
        <v>254</v>
      </c>
    </row>
    <row r="2" spans="1:18" x14ac:dyDescent="0.2">
      <c r="A2">
        <v>1</v>
      </c>
      <c r="B2" t="s">
        <v>515</v>
      </c>
      <c r="C2" t="e" vm="1">
        <v>#VALUE!</v>
      </c>
      <c r="D2" t="s">
        <v>562</v>
      </c>
      <c r="E2">
        <v>155.85</v>
      </c>
      <c r="F2">
        <v>154.79</v>
      </c>
      <c r="G2">
        <v>-1.0600000000000023</v>
      </c>
      <c r="I2">
        <v>4864</v>
      </c>
      <c r="J2">
        <v>1983</v>
      </c>
      <c r="K2">
        <v>7347</v>
      </c>
      <c r="L2">
        <v>11142</v>
      </c>
      <c r="M2">
        <v>1.5</v>
      </c>
      <c r="N2">
        <v>61.981522777954801</v>
      </c>
      <c r="O2">
        <v>36.593726521412499</v>
      </c>
      <c r="Q2">
        <v>-6.8014116137311668E-3</v>
      </c>
      <c r="R2">
        <v>14</v>
      </c>
    </row>
    <row r="3" spans="1:18" x14ac:dyDescent="0.2">
      <c r="A3">
        <v>2</v>
      </c>
      <c r="B3" t="s">
        <v>516</v>
      </c>
      <c r="C3" t="e" vm="2">
        <v>#VALUE!</v>
      </c>
      <c r="D3" t="s">
        <v>563</v>
      </c>
      <c r="E3">
        <v>15.48</v>
      </c>
      <c r="F3">
        <v>14.83</v>
      </c>
      <c r="G3">
        <v>-0.65000000000000036</v>
      </c>
      <c r="I3">
        <v>-1447.7</v>
      </c>
      <c r="J3">
        <v>774.8</v>
      </c>
      <c r="K3">
        <v>483.9</v>
      </c>
      <c r="L3">
        <v>4331.7</v>
      </c>
      <c r="M3">
        <v>0</v>
      </c>
      <c r="N3">
        <v>-46.061820900746099</v>
      </c>
      <c r="O3">
        <v>-1.904628971678</v>
      </c>
      <c r="Q3">
        <v>-4.198966408268736E-2</v>
      </c>
      <c r="R3">
        <v>19</v>
      </c>
    </row>
    <row r="4" spans="1:18" x14ac:dyDescent="0.2">
      <c r="A4">
        <v>3</v>
      </c>
      <c r="B4" t="s">
        <v>517</v>
      </c>
      <c r="C4" t="e" vm="3">
        <v>#VALUE!</v>
      </c>
      <c r="D4" t="s">
        <v>564</v>
      </c>
      <c r="E4">
        <v>165.33</v>
      </c>
      <c r="F4">
        <v>139.16</v>
      </c>
      <c r="G4">
        <v>-26.170000000000016</v>
      </c>
      <c r="I4">
        <v>1625.0329999999999</v>
      </c>
      <c r="J4">
        <v>7182.5929999999998</v>
      </c>
      <c r="K4">
        <v>1440.16</v>
      </c>
      <c r="L4">
        <v>183.47399999999999</v>
      </c>
      <c r="M4">
        <v>0</v>
      </c>
      <c r="N4">
        <v>26.2302144466146</v>
      </c>
      <c r="O4">
        <v>215.71428571428601</v>
      </c>
      <c r="Q4">
        <v>-0.15828948164277515</v>
      </c>
      <c r="R4">
        <v>29</v>
      </c>
    </row>
    <row r="5" spans="1:18" x14ac:dyDescent="0.2">
      <c r="A5">
        <v>4</v>
      </c>
      <c r="B5" t="s">
        <v>518</v>
      </c>
      <c r="C5" t="e" vm="4">
        <v>#VALUE!</v>
      </c>
      <c r="D5" t="s">
        <v>565</v>
      </c>
      <c r="E5">
        <v>226.49</v>
      </c>
      <c r="F5">
        <v>227.17</v>
      </c>
      <c r="G5">
        <v>0.6799999999999784</v>
      </c>
      <c r="I5">
        <v>2708</v>
      </c>
      <c r="J5">
        <v>-614</v>
      </c>
      <c r="K5">
        <v>7470</v>
      </c>
      <c r="L5">
        <v>22196</v>
      </c>
      <c r="M5">
        <v>3.3</v>
      </c>
      <c r="N5">
        <v>29.689727003618</v>
      </c>
      <c r="O5">
        <v>33.849253731343303</v>
      </c>
      <c r="Q5">
        <v>3.0023400591636645E-3</v>
      </c>
      <c r="R5">
        <v>13</v>
      </c>
    </row>
    <row r="6" spans="1:18" x14ac:dyDescent="0.2">
      <c r="A6">
        <v>5</v>
      </c>
      <c r="B6" t="s">
        <v>519</v>
      </c>
      <c r="C6" t="e" vm="5">
        <v>#VALUE!</v>
      </c>
      <c r="D6" t="s">
        <v>566</v>
      </c>
      <c r="E6">
        <v>431.44</v>
      </c>
      <c r="F6">
        <v>409.745</v>
      </c>
      <c r="G6">
        <v>-21.694999999999993</v>
      </c>
      <c r="I6">
        <v>3794</v>
      </c>
      <c r="J6">
        <v>36928</v>
      </c>
      <c r="K6">
        <v>10997</v>
      </c>
      <c r="L6">
        <v>12125</v>
      </c>
      <c r="M6">
        <v>0</v>
      </c>
      <c r="N6">
        <v>4.8939051918735901</v>
      </c>
      <c r="O6">
        <v>382.28566114934</v>
      </c>
      <c r="Q6">
        <v>-5.0285091785648044E-2</v>
      </c>
      <c r="R6">
        <v>22</v>
      </c>
    </row>
    <row r="7" spans="1:18" x14ac:dyDescent="0.2">
      <c r="A7">
        <v>6</v>
      </c>
      <c r="B7" t="s">
        <v>520</v>
      </c>
      <c r="C7" t="e" vm="6">
        <v>#VALUE!</v>
      </c>
      <c r="D7" t="s">
        <v>567</v>
      </c>
      <c r="E7">
        <v>96.43</v>
      </c>
      <c r="F7">
        <v>98.631399999999999</v>
      </c>
      <c r="G7">
        <v>2.2013999999999925</v>
      </c>
      <c r="I7">
        <v>1856.4</v>
      </c>
      <c r="J7">
        <v>-2828.1</v>
      </c>
      <c r="K7">
        <v>5232.8</v>
      </c>
      <c r="L7">
        <v>23548.1</v>
      </c>
      <c r="M7">
        <v>2.44</v>
      </c>
      <c r="N7" t="e">
        <v>#N/A</v>
      </c>
      <c r="O7">
        <v>61.060968870878597</v>
      </c>
      <c r="Q7">
        <v>2.2828995125998054E-2</v>
      </c>
      <c r="R7">
        <v>8</v>
      </c>
    </row>
    <row r="8" spans="1:18" x14ac:dyDescent="0.2">
      <c r="A8">
        <v>7</v>
      </c>
      <c r="B8" t="s">
        <v>521</v>
      </c>
      <c r="C8" t="e" vm="7">
        <v>#VALUE!</v>
      </c>
      <c r="D8" t="s">
        <v>568</v>
      </c>
      <c r="E8">
        <v>197.5</v>
      </c>
      <c r="F8">
        <v>199.62</v>
      </c>
      <c r="G8">
        <v>2.1200000000000045</v>
      </c>
      <c r="I8">
        <v>6732</v>
      </c>
      <c r="J8">
        <v>-1152</v>
      </c>
      <c r="K8">
        <v>12887</v>
      </c>
      <c r="L8">
        <v>35890</v>
      </c>
      <c r="M8">
        <v>2.67</v>
      </c>
      <c r="N8">
        <v>10.7367564851955</v>
      </c>
      <c r="O8">
        <v>40.027402228445901</v>
      </c>
      <c r="Q8">
        <v>1.0734177215189896E-2</v>
      </c>
      <c r="R8">
        <v>11</v>
      </c>
    </row>
    <row r="9" spans="1:18" x14ac:dyDescent="0.2">
      <c r="A9">
        <v>8</v>
      </c>
      <c r="B9" t="s">
        <v>522</v>
      </c>
      <c r="C9" t="e" vm="8">
        <v>#VALUE!</v>
      </c>
      <c r="D9" t="s">
        <v>569</v>
      </c>
      <c r="E9">
        <v>328.38</v>
      </c>
      <c r="F9">
        <v>321.58</v>
      </c>
      <c r="G9">
        <v>-6.8000000000000114</v>
      </c>
      <c r="I9">
        <v>132170</v>
      </c>
      <c r="J9">
        <v>103293</v>
      </c>
      <c r="K9">
        <v>150301</v>
      </c>
      <c r="L9">
        <v>61350</v>
      </c>
      <c r="M9">
        <v>0.83</v>
      </c>
      <c r="N9">
        <v>35.704782474211498</v>
      </c>
      <c r="O9">
        <v>29.8750809660405</v>
      </c>
      <c r="Q9">
        <v>-2.0707716669711954E-2</v>
      </c>
      <c r="R9">
        <v>16</v>
      </c>
    </row>
    <row r="10" spans="1:18" x14ac:dyDescent="0.2">
      <c r="A10">
        <v>9</v>
      </c>
      <c r="B10" t="s">
        <v>523</v>
      </c>
      <c r="C10" t="e" vm="9">
        <v>#VALUE!</v>
      </c>
      <c r="D10" t="s">
        <v>570</v>
      </c>
      <c r="E10">
        <v>31.58</v>
      </c>
      <c r="F10">
        <v>26.945</v>
      </c>
      <c r="G10">
        <v>-4.634999999999998</v>
      </c>
      <c r="I10">
        <v>-507.28500000000003</v>
      </c>
      <c r="J10">
        <v>-121.23</v>
      </c>
      <c r="K10">
        <v>-230.51300000000001</v>
      </c>
      <c r="L10">
        <v>1324.0889999999999</v>
      </c>
      <c r="M10">
        <v>0</v>
      </c>
      <c r="N10">
        <v>-54.814007213663203</v>
      </c>
      <c r="O10">
        <v>-25.289758692760799</v>
      </c>
      <c r="Q10">
        <v>-0.14677010766307785</v>
      </c>
      <c r="R10">
        <v>28</v>
      </c>
    </row>
    <row r="11" spans="1:18" x14ac:dyDescent="0.2">
      <c r="A11">
        <v>10</v>
      </c>
      <c r="B11" t="s">
        <v>524</v>
      </c>
      <c r="C11" t="e" vm="10">
        <v>#VALUE!</v>
      </c>
      <c r="D11" t="s">
        <v>571</v>
      </c>
      <c r="E11">
        <v>139.71</v>
      </c>
      <c r="F11">
        <v>141.68</v>
      </c>
      <c r="G11">
        <v>1.9699999999999989</v>
      </c>
      <c r="I11">
        <v>638.21100000000001</v>
      </c>
      <c r="J11">
        <v>-68.141999999999797</v>
      </c>
      <c r="K11">
        <v>2035.55</v>
      </c>
      <c r="L11">
        <v>7857.4340000000002</v>
      </c>
      <c r="M11">
        <v>0</v>
      </c>
      <c r="N11">
        <v>1055.2605036458899</v>
      </c>
      <c r="O11">
        <v>51.418349092767698</v>
      </c>
      <c r="Q11">
        <v>1.4100637033855836E-2</v>
      </c>
      <c r="R11">
        <v>10</v>
      </c>
    </row>
    <row r="12" spans="1:18" x14ac:dyDescent="0.2">
      <c r="A12">
        <v>11</v>
      </c>
      <c r="B12" t="s">
        <v>525</v>
      </c>
      <c r="C12" t="e" vm="11">
        <v>#VALUE!</v>
      </c>
      <c r="D12" t="s">
        <v>572</v>
      </c>
      <c r="E12">
        <v>305.69</v>
      </c>
      <c r="F12">
        <v>324.64999999999998</v>
      </c>
      <c r="G12">
        <v>18.95999999999998</v>
      </c>
      <c r="I12">
        <v>8223</v>
      </c>
      <c r="J12">
        <v>737</v>
      </c>
      <c r="K12">
        <v>13957</v>
      </c>
      <c r="L12">
        <v>51312</v>
      </c>
      <c r="M12">
        <v>6.78</v>
      </c>
      <c r="N12" t="e">
        <v>#N/A</v>
      </c>
      <c r="O12">
        <v>28.721424307335699</v>
      </c>
      <c r="Q12">
        <v>6.2023618698681601E-2</v>
      </c>
      <c r="R12">
        <v>5</v>
      </c>
    </row>
    <row r="13" spans="1:18" x14ac:dyDescent="0.2">
      <c r="A13">
        <v>12</v>
      </c>
      <c r="B13" t="s">
        <v>526</v>
      </c>
      <c r="C13" t="e" vm="12">
        <v>#VALUE!</v>
      </c>
      <c r="D13" t="s">
        <v>573</v>
      </c>
      <c r="E13">
        <v>444.11</v>
      </c>
      <c r="F13">
        <v>408.53</v>
      </c>
      <c r="G13">
        <v>-35.580000000000041</v>
      </c>
      <c r="I13">
        <v>101832</v>
      </c>
      <c r="J13">
        <v>49913</v>
      </c>
      <c r="K13">
        <v>162681</v>
      </c>
      <c r="L13">
        <v>100589</v>
      </c>
      <c r="M13">
        <v>3.32</v>
      </c>
      <c r="N13">
        <v>33.280824111537399</v>
      </c>
      <c r="O13">
        <v>29.4062882569843</v>
      </c>
      <c r="Q13">
        <v>-8.0115286753281931E-2</v>
      </c>
      <c r="R13">
        <v>24</v>
      </c>
    </row>
    <row r="14" spans="1:18" x14ac:dyDescent="0.2">
      <c r="A14">
        <v>13</v>
      </c>
      <c r="B14" t="s">
        <v>527</v>
      </c>
      <c r="C14" t="e" vm="2">
        <v>#VALUE!</v>
      </c>
      <c r="D14" t="s">
        <v>563</v>
      </c>
      <c r="E14">
        <v>15.48</v>
      </c>
      <c r="F14">
        <v>14.83</v>
      </c>
      <c r="G14">
        <v>-0.65000000000000036</v>
      </c>
      <c r="I14">
        <v>-1447.7</v>
      </c>
      <c r="J14">
        <v>774.8</v>
      </c>
      <c r="K14">
        <v>483.9</v>
      </c>
      <c r="L14">
        <v>4331.7</v>
      </c>
      <c r="M14">
        <v>0</v>
      </c>
      <c r="N14">
        <v>-46.061820900746099</v>
      </c>
      <c r="O14">
        <v>-1.904628971678</v>
      </c>
      <c r="Q14">
        <v>-4.198966408268736E-2</v>
      </c>
      <c r="R14">
        <v>19</v>
      </c>
    </row>
    <row r="15" spans="1:18" x14ac:dyDescent="0.2">
      <c r="A15">
        <v>14</v>
      </c>
      <c r="B15" t="s">
        <v>528</v>
      </c>
      <c r="C15" t="e" vm="13">
        <v>#VALUE!</v>
      </c>
      <c r="D15" t="s">
        <v>574</v>
      </c>
      <c r="E15">
        <v>586.23</v>
      </c>
      <c r="F15">
        <v>630.11</v>
      </c>
      <c r="G15">
        <v>43.879999999999995</v>
      </c>
      <c r="I15">
        <v>5017</v>
      </c>
      <c r="J15">
        <v>2027</v>
      </c>
      <c r="K15">
        <v>9119</v>
      </c>
      <c r="L15">
        <v>21357</v>
      </c>
      <c r="M15">
        <v>13.35</v>
      </c>
      <c r="N15">
        <v>76.865328634901203</v>
      </c>
      <c r="O15">
        <v>29.022484303805701</v>
      </c>
      <c r="Q15">
        <v>7.4851167630452201E-2</v>
      </c>
      <c r="R15">
        <v>3</v>
      </c>
    </row>
    <row r="16" spans="1:18" x14ac:dyDescent="0.2">
      <c r="A16">
        <v>15</v>
      </c>
      <c r="B16" t="s">
        <v>529</v>
      </c>
      <c r="C16" t="e" vm="14">
        <v>#VALUE!</v>
      </c>
      <c r="D16" t="s">
        <v>575</v>
      </c>
      <c r="E16">
        <v>369.58</v>
      </c>
      <c r="F16">
        <v>338.85</v>
      </c>
      <c r="G16">
        <v>-30.729999999999961</v>
      </c>
      <c r="I16">
        <v>742.9</v>
      </c>
      <c r="J16">
        <v>1646.1</v>
      </c>
      <c r="K16">
        <v>1199.9000000000001</v>
      </c>
      <c r="L16">
        <v>2022.4</v>
      </c>
      <c r="M16">
        <v>3.3</v>
      </c>
      <c r="N16">
        <v>29.4871794871795</v>
      </c>
      <c r="O16">
        <v>29.5396199107497</v>
      </c>
      <c r="Q16">
        <v>-8.3148438768331515E-2</v>
      </c>
      <c r="R16">
        <v>25</v>
      </c>
    </row>
    <row r="17" spans="1:18" x14ac:dyDescent="0.2">
      <c r="A17">
        <v>16</v>
      </c>
      <c r="B17" t="s">
        <v>530</v>
      </c>
      <c r="C17" t="e" vm="15">
        <v>#VALUE!</v>
      </c>
      <c r="D17" t="s">
        <v>576</v>
      </c>
      <c r="E17">
        <v>982.86</v>
      </c>
      <c r="F17">
        <v>998.97</v>
      </c>
      <c r="G17">
        <v>16.110000000000014</v>
      </c>
      <c r="I17">
        <v>8099</v>
      </c>
      <c r="J17">
        <v>1272</v>
      </c>
      <c r="K17">
        <v>12809</v>
      </c>
      <c r="L17">
        <v>9574</v>
      </c>
      <c r="M17">
        <v>4.92</v>
      </c>
      <c r="N17">
        <v>30.686166786647998</v>
      </c>
      <c r="O17">
        <v>54.984320165201197</v>
      </c>
      <c r="Q17">
        <v>1.6390940724009536E-2</v>
      </c>
      <c r="R17">
        <v>9</v>
      </c>
    </row>
    <row r="18" spans="1:18" x14ac:dyDescent="0.2">
      <c r="A18">
        <v>17</v>
      </c>
      <c r="B18" t="s">
        <v>531</v>
      </c>
      <c r="C18" t="e" vm="16">
        <v>#VALUE!</v>
      </c>
      <c r="D18" t="s">
        <v>577</v>
      </c>
      <c r="E18">
        <v>113.19</v>
      </c>
      <c r="F18">
        <v>107.855</v>
      </c>
      <c r="G18">
        <v>-5.3349999999999937</v>
      </c>
      <c r="I18">
        <v>12404</v>
      </c>
      <c r="J18">
        <v>-11958</v>
      </c>
      <c r="K18">
        <v>18908</v>
      </c>
      <c r="L18">
        <v>38166</v>
      </c>
      <c r="M18">
        <v>1</v>
      </c>
      <c r="N18">
        <v>11.7816351245459</v>
      </c>
      <c r="O18">
        <v>15.870466623839301</v>
      </c>
      <c r="Q18">
        <v>-4.713313896987361E-2</v>
      </c>
      <c r="R18">
        <v>21</v>
      </c>
    </row>
    <row r="19" spans="1:18" x14ac:dyDescent="0.2">
      <c r="A19">
        <v>18</v>
      </c>
      <c r="B19" t="s">
        <v>532</v>
      </c>
      <c r="C19" t="e" vm="17">
        <v>#VALUE!</v>
      </c>
      <c r="D19" t="s">
        <v>578</v>
      </c>
      <c r="E19">
        <v>612.96</v>
      </c>
      <c r="F19">
        <v>665.04</v>
      </c>
      <c r="G19">
        <v>52.079999999999927</v>
      </c>
      <c r="I19">
        <v>60458</v>
      </c>
      <c r="J19">
        <v>66886</v>
      </c>
      <c r="K19">
        <v>101892</v>
      </c>
      <c r="L19">
        <v>82560</v>
      </c>
      <c r="M19">
        <v>2.1</v>
      </c>
      <c r="N19">
        <v>30.238071421426401</v>
      </c>
      <c r="O19">
        <v>28.161614441416901</v>
      </c>
      <c r="Q19">
        <v>8.4964761158966201E-2</v>
      </c>
      <c r="R19">
        <v>2</v>
      </c>
    </row>
    <row r="20" spans="1:18" x14ac:dyDescent="0.2">
      <c r="A20">
        <v>19</v>
      </c>
      <c r="B20" t="s">
        <v>533</v>
      </c>
      <c r="C20" t="e" vm="18">
        <v>#VALUE!</v>
      </c>
      <c r="D20" t="s">
        <v>579</v>
      </c>
      <c r="E20">
        <v>133.61000000000001</v>
      </c>
      <c r="F20">
        <v>149.25</v>
      </c>
      <c r="G20">
        <v>15.639999999999986</v>
      </c>
      <c r="I20">
        <v>28844</v>
      </c>
      <c r="J20">
        <v>11052</v>
      </c>
      <c r="K20">
        <v>59931</v>
      </c>
      <c r="L20">
        <v>34241</v>
      </c>
      <c r="M20">
        <v>4</v>
      </c>
      <c r="N20">
        <v>11.0282914445097</v>
      </c>
      <c r="O20">
        <v>22.246268656716399</v>
      </c>
      <c r="Q20">
        <v>0.11705710650400408</v>
      </c>
      <c r="R20">
        <v>1</v>
      </c>
    </row>
    <row r="21" spans="1:18" x14ac:dyDescent="0.2">
      <c r="A21">
        <v>20</v>
      </c>
      <c r="B21" t="s">
        <v>534</v>
      </c>
      <c r="C21" t="e" vm="19">
        <v>#VALUE!</v>
      </c>
      <c r="D21" t="s">
        <v>580</v>
      </c>
      <c r="E21">
        <v>389.11</v>
      </c>
      <c r="F21">
        <v>381.18</v>
      </c>
      <c r="G21">
        <v>-7.9300000000000068</v>
      </c>
      <c r="I21">
        <v>8539</v>
      </c>
      <c r="J21">
        <v>17387</v>
      </c>
      <c r="K21">
        <v>18362</v>
      </c>
      <c r="L21">
        <v>14718</v>
      </c>
      <c r="M21">
        <v>0.46</v>
      </c>
      <c r="N21">
        <v>17.199081533999401</v>
      </c>
      <c r="O21">
        <v>51.999947300466403</v>
      </c>
      <c r="Q21">
        <v>-2.0379841176017082E-2</v>
      </c>
      <c r="R21">
        <v>15</v>
      </c>
    </row>
    <row r="22" spans="1:18" x14ac:dyDescent="0.2">
      <c r="A22">
        <v>21</v>
      </c>
      <c r="B22" t="s">
        <v>535</v>
      </c>
      <c r="C22" t="e" vm="20">
        <v>#VALUE!</v>
      </c>
      <c r="D22" t="s">
        <v>581</v>
      </c>
      <c r="E22">
        <v>133.59</v>
      </c>
      <c r="F22">
        <v>121.895</v>
      </c>
      <c r="G22">
        <v>-11.695000000000007</v>
      </c>
      <c r="I22">
        <v>2648</v>
      </c>
      <c r="J22">
        <v>7019</v>
      </c>
      <c r="K22">
        <v>2618</v>
      </c>
      <c r="L22">
        <v>2231</v>
      </c>
      <c r="M22">
        <v>0</v>
      </c>
      <c r="N22">
        <v>31.9478795922061</v>
      </c>
      <c r="O22">
        <v>29.7608028450334</v>
      </c>
      <c r="Q22">
        <v>-8.7543977842652942E-2</v>
      </c>
      <c r="R22">
        <v>26</v>
      </c>
    </row>
    <row r="23" spans="1:18" x14ac:dyDescent="0.2">
      <c r="A23">
        <v>22</v>
      </c>
      <c r="B23" t="s">
        <v>536</v>
      </c>
      <c r="C23" t="e" vm="21">
        <v>#VALUE!</v>
      </c>
      <c r="D23" t="s">
        <v>582</v>
      </c>
      <c r="E23">
        <v>28.89</v>
      </c>
      <c r="F23">
        <v>16.850000000000001</v>
      </c>
      <c r="G23">
        <v>-12.04</v>
      </c>
      <c r="I23">
        <v>126.038</v>
      </c>
      <c r="J23">
        <v>174.464</v>
      </c>
      <c r="K23">
        <v>85.091999999999999</v>
      </c>
      <c r="L23">
        <v>9.4559999999999995</v>
      </c>
      <c r="M23">
        <v>0</v>
      </c>
      <c r="N23">
        <v>30.713071660503601</v>
      </c>
      <c r="O23">
        <v>43.254415633220603</v>
      </c>
      <c r="Q23">
        <v>-0.41675320179993075</v>
      </c>
      <c r="R23">
        <v>30</v>
      </c>
    </row>
    <row r="24" spans="1:18" x14ac:dyDescent="0.2">
      <c r="A24">
        <v>23</v>
      </c>
      <c r="B24" t="s">
        <v>537</v>
      </c>
      <c r="C24" t="e" vm="22">
        <v>#VALUE!</v>
      </c>
      <c r="D24" t="s">
        <v>583</v>
      </c>
      <c r="E24">
        <v>211.98</v>
      </c>
      <c r="F24">
        <v>205.38</v>
      </c>
      <c r="G24">
        <v>-6.5999999999999943</v>
      </c>
      <c r="I24">
        <v>1165.308</v>
      </c>
      <c r="J24">
        <v>2337.645</v>
      </c>
      <c r="K24">
        <v>1929.0239999999999</v>
      </c>
      <c r="L24">
        <v>3984.5239999999999</v>
      </c>
      <c r="M24">
        <v>4.4000000000000004</v>
      </c>
      <c r="N24">
        <v>40.075624898440303</v>
      </c>
      <c r="O24">
        <v>14.8229065108633</v>
      </c>
      <c r="Q24">
        <v>-3.1135012737050639E-2</v>
      </c>
      <c r="R24">
        <v>18</v>
      </c>
    </row>
    <row r="25" spans="1:18" x14ac:dyDescent="0.2">
      <c r="A25">
        <v>24</v>
      </c>
      <c r="B25" t="s">
        <v>538</v>
      </c>
      <c r="C25" t="e" vm="23">
        <v>#VALUE!</v>
      </c>
      <c r="D25" t="s">
        <v>584</v>
      </c>
      <c r="E25">
        <v>173.88</v>
      </c>
      <c r="F25">
        <v>156.04</v>
      </c>
      <c r="G25">
        <v>-17.840000000000003</v>
      </c>
      <c r="I25">
        <v>12443</v>
      </c>
      <c r="J25">
        <v>-8064</v>
      </c>
      <c r="K25">
        <v>24226</v>
      </c>
      <c r="L25">
        <v>99510</v>
      </c>
      <c r="M25">
        <v>1.7</v>
      </c>
      <c r="N25">
        <v>85.357571600068596</v>
      </c>
      <c r="O25">
        <v>32.8957066519256</v>
      </c>
      <c r="Q25">
        <v>-0.10259949390384175</v>
      </c>
      <c r="R25">
        <v>27</v>
      </c>
    </row>
    <row r="26" spans="1:18" x14ac:dyDescent="0.2">
      <c r="A26">
        <v>25</v>
      </c>
      <c r="B26" t="s">
        <v>539</v>
      </c>
      <c r="C26" t="e" vm="24">
        <v>#VALUE!</v>
      </c>
      <c r="D26" t="s">
        <v>585</v>
      </c>
      <c r="E26">
        <v>85.36</v>
      </c>
      <c r="F26">
        <v>80.394999999999996</v>
      </c>
      <c r="G26">
        <v>-4.9650000000000034</v>
      </c>
      <c r="I26">
        <v>10981.200999999999</v>
      </c>
      <c r="J26">
        <v>2039.261</v>
      </c>
      <c r="K26">
        <v>30174.738000000001</v>
      </c>
      <c r="L26">
        <v>15516.496999999999</v>
      </c>
      <c r="M26">
        <v>0</v>
      </c>
      <c r="N26">
        <v>42.762472946591402</v>
      </c>
      <c r="O26">
        <v>32.515822784810098</v>
      </c>
      <c r="Q26">
        <v>-5.8165417057169676E-2</v>
      </c>
      <c r="R26">
        <v>23</v>
      </c>
    </row>
    <row r="27" spans="1:18" x14ac:dyDescent="0.2">
      <c r="A27">
        <v>26</v>
      </c>
      <c r="B27" t="s">
        <v>540</v>
      </c>
      <c r="C27" t="e" vm="25">
        <v>#VALUE!</v>
      </c>
      <c r="D27" t="s">
        <v>586</v>
      </c>
      <c r="E27">
        <v>250.07</v>
      </c>
      <c r="F27">
        <v>242.495</v>
      </c>
      <c r="G27">
        <v>-7.5749999999999886</v>
      </c>
      <c r="I27">
        <v>2234</v>
      </c>
      <c r="J27">
        <v>20344</v>
      </c>
      <c r="K27">
        <v>-3372</v>
      </c>
      <c r="L27">
        <v>47569</v>
      </c>
      <c r="M27">
        <v>0</v>
      </c>
      <c r="N27">
        <v>289.003880983182</v>
      </c>
      <c r="O27">
        <v>98.075060532687601</v>
      </c>
      <c r="Q27">
        <v>-3.0291518374854998E-2</v>
      </c>
      <c r="R27">
        <v>17</v>
      </c>
    </row>
    <row r="28" spans="1:18" x14ac:dyDescent="0.2">
      <c r="A28">
        <v>27</v>
      </c>
      <c r="B28" t="s">
        <v>541</v>
      </c>
      <c r="C28" t="e" vm="26">
        <v>#VALUE!</v>
      </c>
      <c r="D28" t="s">
        <v>587</v>
      </c>
      <c r="E28">
        <v>111.11</v>
      </c>
      <c r="F28">
        <v>119.25</v>
      </c>
      <c r="G28">
        <v>8.14</v>
      </c>
      <c r="I28">
        <v>18254</v>
      </c>
      <c r="J28" t="e">
        <v>#N/A</v>
      </c>
      <c r="K28" t="e">
        <v>#N/A</v>
      </c>
      <c r="L28" t="e">
        <v>#N/A</v>
      </c>
      <c r="M28">
        <v>3.28</v>
      </c>
      <c r="N28" t="e">
        <v>#N/A</v>
      </c>
      <c r="O28">
        <v>16.745866066033098</v>
      </c>
      <c r="Q28">
        <v>7.3260732607326073E-2</v>
      </c>
      <c r="R28">
        <v>4</v>
      </c>
    </row>
    <row r="29" spans="1:18" x14ac:dyDescent="0.2">
      <c r="A29">
        <v>28</v>
      </c>
      <c r="B29" t="s">
        <v>542</v>
      </c>
      <c r="C29" t="e" vm="27">
        <v>#VALUE!</v>
      </c>
      <c r="D29" t="s">
        <v>588</v>
      </c>
      <c r="E29">
        <v>183.32</v>
      </c>
      <c r="F29">
        <v>190.29</v>
      </c>
      <c r="G29">
        <v>6.9699999999999989</v>
      </c>
      <c r="I29">
        <v>72880</v>
      </c>
      <c r="J29">
        <v>62079</v>
      </c>
      <c r="K29">
        <v>83317</v>
      </c>
      <c r="L29">
        <v>9982</v>
      </c>
      <c r="M29">
        <v>3.4000000000000002E-2</v>
      </c>
      <c r="N29">
        <v>119.17746617063899</v>
      </c>
      <c r="O29">
        <v>63.103260499625598</v>
      </c>
      <c r="Q29">
        <v>3.8020946977962031E-2</v>
      </c>
      <c r="R29">
        <v>7</v>
      </c>
    </row>
    <row r="30" spans="1:18" x14ac:dyDescent="0.2">
      <c r="A30">
        <v>29</v>
      </c>
      <c r="B30" t="s">
        <v>543</v>
      </c>
      <c r="C30" t="e" vm="28">
        <v>#VALUE!</v>
      </c>
      <c r="D30" t="s">
        <v>589</v>
      </c>
      <c r="E30">
        <v>1360.09</v>
      </c>
      <c r="F30">
        <v>1420.77</v>
      </c>
      <c r="G30">
        <v>60.680000000000064</v>
      </c>
      <c r="I30">
        <v>10844.9569584083</v>
      </c>
      <c r="J30">
        <v>7460.3412900000003</v>
      </c>
      <c r="K30">
        <v>13912.31897</v>
      </c>
      <c r="L30">
        <v>3181.5850500000001</v>
      </c>
      <c r="M30" t="e">
        <v>#N/A</v>
      </c>
      <c r="N30">
        <v>51.4390091993602</v>
      </c>
      <c r="O30">
        <v>50.618486901260603</v>
      </c>
      <c r="Q30">
        <v>4.4614694615797534E-2</v>
      </c>
      <c r="R30">
        <v>6</v>
      </c>
    </row>
    <row r="31" spans="1:18" x14ac:dyDescent="0.2">
      <c r="A31" t="s">
        <v>514</v>
      </c>
      <c r="C31" t="e" vm="29">
        <v>#VALUE!</v>
      </c>
      <c r="D31" t="s">
        <v>234</v>
      </c>
      <c r="E31">
        <v>6875.62</v>
      </c>
      <c r="F31">
        <v>6927.82</v>
      </c>
      <c r="G31">
        <v>52.199999999999818</v>
      </c>
      <c r="Q31">
        <v>7.5920426085210957E-3</v>
      </c>
      <c r="R31">
        <v>12</v>
      </c>
    </row>
    <row r="32" spans="1:18" x14ac:dyDescent="0.2">
      <c r="C32" t="e" vm="30">
        <v>#VALUE!</v>
      </c>
      <c r="D32" t="s">
        <v>590</v>
      </c>
      <c r="E32">
        <v>247.65</v>
      </c>
      <c r="F32">
        <v>274.20510000000002</v>
      </c>
      <c r="G32">
        <v>26.55510000000001</v>
      </c>
      <c r="I32">
        <v>112010</v>
      </c>
      <c r="J32">
        <v>-17674</v>
      </c>
      <c r="K32">
        <v>144748</v>
      </c>
      <c r="L32">
        <v>89931</v>
      </c>
      <c r="M32">
        <v>1.02</v>
      </c>
      <c r="N32">
        <v>171.42244974480201</v>
      </c>
      <c r="O32">
        <v>37.256530475552601</v>
      </c>
      <c r="Q32">
        <v>0.10722834645669295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581A-05BD-4080-909C-A40F2CA2B348}">
  <sheetPr>
    <pageSetUpPr fitToPage="1"/>
  </sheetPr>
  <dimension ref="A1:I32"/>
  <sheetViews>
    <sheetView workbookViewId="0">
      <selection activeCell="H32" sqref="H32"/>
    </sheetView>
  </sheetViews>
  <sheetFormatPr baseColWidth="10" defaultColWidth="8.83203125" defaultRowHeight="15" x14ac:dyDescent="0.2"/>
  <cols>
    <col min="1" max="1" width="27.6640625" bestFit="1" customWidth="1"/>
    <col min="2" max="2" width="44.83203125" customWidth="1"/>
    <col min="3" max="4" width="9.5" customWidth="1"/>
    <col min="5" max="5" width="25.5" style="17" customWidth="1"/>
    <col min="6" max="6" width="7.83203125" customWidth="1"/>
  </cols>
  <sheetData>
    <row r="1" spans="1:9" ht="15" customHeight="1" x14ac:dyDescent="0.2">
      <c r="A1" s="13"/>
      <c r="B1" s="13"/>
      <c r="C1" s="13"/>
      <c r="D1" s="13"/>
      <c r="E1" s="13" t="s">
        <v>243</v>
      </c>
    </row>
    <row r="2" spans="1:9" ht="17" thickBot="1" x14ac:dyDescent="0.25">
      <c r="A2" s="15" t="s">
        <v>40</v>
      </c>
      <c r="B2" s="16" t="s">
        <v>41</v>
      </c>
      <c r="C2" s="16" t="s">
        <v>223</v>
      </c>
      <c r="D2" s="16" t="s">
        <v>227</v>
      </c>
      <c r="E2" s="93" t="s">
        <v>225</v>
      </c>
      <c r="F2" t="s">
        <v>226</v>
      </c>
    </row>
    <row r="3" spans="1:9" ht="16" thickTop="1" x14ac:dyDescent="0.2">
      <c r="A3" s="94"/>
      <c r="B3" s="14"/>
      <c r="C3" s="14"/>
      <c r="D3" s="95" t="e" cm="1" vm="31">
        <f t="array" ref="D3">_FV(B3,"Price")</f>
        <v>#VALUE!</v>
      </c>
    </row>
    <row r="4" spans="1:9" x14ac:dyDescent="0.2">
      <c r="A4" s="94"/>
      <c r="B4" s="14"/>
      <c r="C4" s="14"/>
      <c r="D4" s="95" t="e" cm="1" vm="31">
        <f t="array" ref="D4">_FV(B4,"Price")</f>
        <v>#VALUE!</v>
      </c>
    </row>
    <row r="5" spans="1:9" x14ac:dyDescent="0.2">
      <c r="A5" s="94"/>
      <c r="B5" s="14"/>
      <c r="C5" s="14"/>
      <c r="D5" s="95" t="e" cm="1" vm="31">
        <f t="array" ref="D5">_FV(B5,"Price")</f>
        <v>#VALUE!</v>
      </c>
    </row>
    <row r="6" spans="1:9" x14ac:dyDescent="0.2">
      <c r="A6" s="94"/>
      <c r="B6" s="14"/>
      <c r="C6" s="14"/>
      <c r="D6" s="95" t="e" cm="1" vm="31">
        <f t="array" ref="D6">_FV(B6,"Price")</f>
        <v>#VALUE!</v>
      </c>
    </row>
    <row r="7" spans="1:9" x14ac:dyDescent="0.2">
      <c r="A7" s="94"/>
      <c r="B7" s="14"/>
      <c r="C7" s="14"/>
      <c r="D7" s="95" t="e" cm="1" vm="31">
        <f t="array" ref="D7">_FV(B7,"Price")</f>
        <v>#VALUE!</v>
      </c>
    </row>
    <row r="8" spans="1:9" x14ac:dyDescent="0.2">
      <c r="A8" s="97"/>
      <c r="B8" s="14"/>
      <c r="C8" s="14"/>
      <c r="D8" s="95" t="e" cm="1" vm="31">
        <f t="array" ref="D8">_FV(B8,"Price")</f>
        <v>#VALUE!</v>
      </c>
      <c r="E8" s="117"/>
    </row>
    <row r="9" spans="1:9" x14ac:dyDescent="0.2">
      <c r="A9" s="94"/>
      <c r="B9" s="14"/>
      <c r="C9" s="14"/>
      <c r="D9" s="95" t="e" cm="1" vm="31">
        <f t="array" ref="D9">_FV(B9,"Price")</f>
        <v>#VALUE!</v>
      </c>
    </row>
    <row r="10" spans="1:9" x14ac:dyDescent="0.2">
      <c r="A10" s="94"/>
      <c r="B10" s="14"/>
      <c r="C10" s="14"/>
      <c r="D10" s="95" t="e" cm="1" vm="31">
        <f t="array" ref="D10">_FV(B10,"Price")</f>
        <v>#VALUE!</v>
      </c>
    </row>
    <row r="11" spans="1:9" x14ac:dyDescent="0.2">
      <c r="B11" s="14"/>
      <c r="C11" s="14"/>
      <c r="D11" s="95" t="e" cm="1" vm="31">
        <f t="array" ref="D11">_FV(B11,"Price")</f>
        <v>#VALUE!</v>
      </c>
      <c r="G11" s="14"/>
    </row>
    <row r="12" spans="1:9" x14ac:dyDescent="0.2">
      <c r="A12" s="96"/>
      <c r="C12" s="14"/>
      <c r="D12" s="95" t="e" cm="1" vm="31">
        <f t="array" ref="D12">_FV(B12,"Price")</f>
        <v>#VALUE!</v>
      </c>
    </row>
    <row r="13" spans="1:9" x14ac:dyDescent="0.2">
      <c r="A13" s="98"/>
      <c r="B13" s="14"/>
      <c r="C13" s="14"/>
      <c r="D13" s="95" t="e" cm="1" vm="31">
        <f t="array" ref="D13">_FV(B13,"Price")</f>
        <v>#VALUE!</v>
      </c>
      <c r="G13" s="17"/>
      <c r="I13" s="17"/>
    </row>
    <row r="14" spans="1:9" x14ac:dyDescent="0.2">
      <c r="A14" s="94"/>
      <c r="B14" s="14"/>
      <c r="C14" s="14"/>
      <c r="D14" s="95" t="e" cm="1" vm="31">
        <f t="array" ref="D14">_FV(B14,"Price")</f>
        <v>#VALUE!</v>
      </c>
    </row>
    <row r="15" spans="1:9" x14ac:dyDescent="0.2">
      <c r="A15" s="94"/>
      <c r="B15" s="14"/>
      <c r="C15" s="14"/>
      <c r="D15" s="95" t="e" cm="1" vm="31">
        <f t="array" ref="D15">_FV(B15,"Price")</f>
        <v>#VALUE!</v>
      </c>
    </row>
    <row r="16" spans="1:9" x14ac:dyDescent="0.2">
      <c r="A16" s="94"/>
      <c r="B16" s="14"/>
      <c r="C16" s="14"/>
      <c r="D16" s="95" t="e" cm="1" vm="31">
        <f t="array" ref="D16">_FV(B16,"Price")</f>
        <v>#VALUE!</v>
      </c>
    </row>
    <row r="17" spans="1:4" x14ac:dyDescent="0.2">
      <c r="A17" s="94"/>
      <c r="B17" s="14"/>
      <c r="C17" s="14"/>
      <c r="D17" s="95" t="e" cm="1" vm="31">
        <f t="array" ref="D17">_FV(B17,"Price")</f>
        <v>#VALUE!</v>
      </c>
    </row>
    <row r="18" spans="1:4" x14ac:dyDescent="0.2">
      <c r="A18" s="94"/>
      <c r="B18" s="14"/>
      <c r="C18" s="14"/>
      <c r="D18" s="95" t="e" cm="1" vm="31">
        <f t="array" ref="D18">_FV(B18,"Price")</f>
        <v>#VALUE!</v>
      </c>
    </row>
    <row r="19" spans="1:4" x14ac:dyDescent="0.2">
      <c r="A19" s="94"/>
      <c r="B19" s="14"/>
      <c r="C19" s="14"/>
      <c r="D19" s="95" t="e" cm="1" vm="31">
        <f t="array" ref="D19">_FV(B19,"Price")</f>
        <v>#VALUE!</v>
      </c>
    </row>
    <row r="20" spans="1:4" x14ac:dyDescent="0.2">
      <c r="A20" s="94"/>
      <c r="B20" s="14"/>
      <c r="C20" s="14"/>
      <c r="D20" s="95" t="e" cm="1" vm="31">
        <f t="array" ref="D20">_FV(B20,"Price")</f>
        <v>#VALUE!</v>
      </c>
    </row>
    <row r="21" spans="1:4" x14ac:dyDescent="0.2">
      <c r="A21" s="94"/>
      <c r="B21" s="14"/>
      <c r="C21" s="14"/>
      <c r="D21" s="95" t="e" cm="1" vm="31">
        <f t="array" ref="D21">_FV(B21,"Price")</f>
        <v>#VALUE!</v>
      </c>
    </row>
    <row r="22" spans="1:4" x14ac:dyDescent="0.2">
      <c r="A22" s="94"/>
      <c r="B22" s="14"/>
      <c r="C22" s="14"/>
      <c r="D22" s="95" t="e" cm="1" vm="31">
        <f t="array" ref="D22">_FV(B22,"Price")</f>
        <v>#VALUE!</v>
      </c>
    </row>
    <row r="23" spans="1:4" x14ac:dyDescent="0.2">
      <c r="A23" s="94"/>
      <c r="B23" s="14"/>
      <c r="C23" s="14"/>
      <c r="D23" s="95" t="e" cm="1" vm="31">
        <f t="array" ref="D23">_FV(B23,"Price")</f>
        <v>#VALUE!</v>
      </c>
    </row>
    <row r="24" spans="1:4" x14ac:dyDescent="0.2">
      <c r="A24" s="94"/>
      <c r="B24" s="14"/>
      <c r="C24" s="14"/>
      <c r="D24" s="95" t="e" cm="1" vm="31">
        <f t="array" ref="D24">_FV(B24,"Price")</f>
        <v>#VALUE!</v>
      </c>
    </row>
    <row r="25" spans="1:4" x14ac:dyDescent="0.2">
      <c r="A25" s="14"/>
    </row>
    <row r="26" spans="1:4" x14ac:dyDescent="0.2">
      <c r="A26" s="14"/>
    </row>
    <row r="27" spans="1:4" x14ac:dyDescent="0.2">
      <c r="A27" s="14"/>
    </row>
    <row r="28" spans="1:4" x14ac:dyDescent="0.2">
      <c r="A28" s="14"/>
    </row>
    <row r="29" spans="1:4" x14ac:dyDescent="0.2">
      <c r="A29" s="14" t="s">
        <v>108</v>
      </c>
    </row>
    <row r="30" spans="1:4" x14ac:dyDescent="0.2">
      <c r="A30" s="14" t="s">
        <v>228</v>
      </c>
    </row>
    <row r="31" spans="1:4" x14ac:dyDescent="0.2">
      <c r="A31" s="14" t="s">
        <v>229</v>
      </c>
    </row>
    <row r="32" spans="1:4" x14ac:dyDescent="0.2">
      <c r="A32" s="14"/>
    </row>
  </sheetData>
  <autoFilter ref="A2:E2" xr:uid="{C6C0581A-05BD-4080-909C-A40F2CA2B348}">
    <sortState xmlns:xlrd2="http://schemas.microsoft.com/office/spreadsheetml/2017/richdata2" ref="A3:E24">
      <sortCondition ref="A2"/>
    </sortState>
  </autoFilter>
  <pageMargins left="0.25" right="0.25" top="0.75" bottom="0.75" header="0.3" footer="0.3"/>
  <pageSetup scale="4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1C8F-E9E9-4FAC-B43E-720CCDA18890}">
  <dimension ref="A1:A13"/>
  <sheetViews>
    <sheetView workbookViewId="0">
      <selection activeCell="G23" sqref="G23"/>
    </sheetView>
  </sheetViews>
  <sheetFormatPr baseColWidth="10" defaultColWidth="8.83203125" defaultRowHeight="15" x14ac:dyDescent="0.2"/>
  <sheetData>
    <row r="1" spans="1:1" ht="17" x14ac:dyDescent="0.2">
      <c r="A1" s="18" t="s">
        <v>48</v>
      </c>
    </row>
    <row r="2" spans="1:1" ht="17" x14ac:dyDescent="0.2">
      <c r="A2" s="18" t="s">
        <v>49</v>
      </c>
    </row>
    <row r="3" spans="1:1" ht="17" x14ac:dyDescent="0.2">
      <c r="A3" s="18" t="s">
        <v>50</v>
      </c>
    </row>
    <row r="4" spans="1:1" ht="17" x14ac:dyDescent="0.2">
      <c r="A4" s="18" t="s">
        <v>51</v>
      </c>
    </row>
    <row r="5" spans="1:1" ht="17" x14ac:dyDescent="0.2">
      <c r="A5" s="18" t="s">
        <v>52</v>
      </c>
    </row>
    <row r="6" spans="1:1" ht="17" x14ac:dyDescent="0.2">
      <c r="A6" s="18" t="s">
        <v>53</v>
      </c>
    </row>
    <row r="7" spans="1:1" ht="17" x14ac:dyDescent="0.2">
      <c r="A7" s="18" t="s">
        <v>54</v>
      </c>
    </row>
    <row r="8" spans="1:1" ht="17" x14ac:dyDescent="0.2">
      <c r="A8" s="18" t="s">
        <v>55</v>
      </c>
    </row>
    <row r="9" spans="1:1" ht="17" x14ac:dyDescent="0.2">
      <c r="A9" s="18" t="s">
        <v>56</v>
      </c>
    </row>
    <row r="10" spans="1:1" ht="17" x14ac:dyDescent="0.2">
      <c r="A10" s="18" t="s">
        <v>57</v>
      </c>
    </row>
    <row r="11" spans="1:1" ht="17" x14ac:dyDescent="0.2">
      <c r="A11" s="18" t="s">
        <v>58</v>
      </c>
    </row>
    <row r="12" spans="1:1" ht="17" x14ac:dyDescent="0.2">
      <c r="A12" s="18" t="s">
        <v>59</v>
      </c>
    </row>
    <row r="13" spans="1:1" ht="17" x14ac:dyDescent="0.2">
      <c r="A13" s="19" t="s">
        <v>60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5665-0E38-459E-A2C9-8A65DE501622}">
  <dimension ref="A1:D83"/>
  <sheetViews>
    <sheetView workbookViewId="0">
      <selection sqref="A1:XFD1048576"/>
    </sheetView>
  </sheetViews>
  <sheetFormatPr baseColWidth="10" defaultColWidth="8.6640625" defaultRowHeight="15" x14ac:dyDescent="0.2"/>
  <cols>
    <col min="1" max="1" width="38.5" style="21" customWidth="1"/>
    <col min="2" max="2" width="60.5" style="21" customWidth="1"/>
    <col min="3" max="3" width="9.5" style="21" customWidth="1"/>
    <col min="4" max="4" width="56" style="21" customWidth="1"/>
    <col min="5" max="5" width="26.1640625" style="21" customWidth="1"/>
    <col min="6" max="16384" width="8.6640625" style="21"/>
  </cols>
  <sheetData>
    <row r="1" spans="1:4" ht="32" x14ac:dyDescent="0.2">
      <c r="A1" s="39" t="s">
        <v>121</v>
      </c>
    </row>
    <row r="3" spans="1:4" ht="17" thickBot="1" x14ac:dyDescent="0.25">
      <c r="A3" s="37" t="s">
        <v>119</v>
      </c>
      <c r="B3" s="37" t="s">
        <v>112</v>
      </c>
      <c r="C3" s="37"/>
      <c r="D3" s="37" t="s">
        <v>77</v>
      </c>
    </row>
    <row r="4" spans="1:4" ht="17" thickTop="1" x14ac:dyDescent="0.2">
      <c r="A4" s="21" t="s">
        <v>106</v>
      </c>
      <c r="B4" s="21" t="s">
        <v>104</v>
      </c>
      <c r="D4" s="21" t="s">
        <v>62</v>
      </c>
    </row>
    <row r="5" spans="1:4" ht="32" x14ac:dyDescent="0.2">
      <c r="A5" s="21" t="s">
        <v>91</v>
      </c>
      <c r="B5" s="40" t="s">
        <v>92</v>
      </c>
      <c r="C5" s="40"/>
      <c r="D5" s="21" t="s">
        <v>72</v>
      </c>
    </row>
    <row r="6" spans="1:4" ht="33.5" customHeight="1" x14ac:dyDescent="0.2">
      <c r="B6" s="21" t="s">
        <v>105</v>
      </c>
      <c r="D6" s="21" t="s">
        <v>114</v>
      </c>
    </row>
    <row r="8" spans="1:4" ht="16" x14ac:dyDescent="0.2">
      <c r="A8" s="21" t="s">
        <v>115</v>
      </c>
      <c r="B8" s="21" t="s">
        <v>113</v>
      </c>
      <c r="D8" s="21" t="s">
        <v>75</v>
      </c>
    </row>
    <row r="9" spans="1:4" ht="16" x14ac:dyDescent="0.2">
      <c r="A9" s="21" t="s">
        <v>107</v>
      </c>
    </row>
    <row r="10" spans="1:4" ht="17" thickBot="1" x14ac:dyDescent="0.25">
      <c r="A10" s="37" t="s">
        <v>120</v>
      </c>
      <c r="B10" s="37" t="s">
        <v>112</v>
      </c>
      <c r="C10" s="37"/>
      <c r="D10" s="37" t="s">
        <v>77</v>
      </c>
    </row>
    <row r="11" spans="1:4" ht="26" customHeight="1" thickTop="1" x14ac:dyDescent="0.2">
      <c r="A11" s="21" t="s">
        <v>78</v>
      </c>
      <c r="B11" s="21" t="s">
        <v>93</v>
      </c>
      <c r="D11" s="21" t="s">
        <v>63</v>
      </c>
    </row>
    <row r="12" spans="1:4" ht="36.75" customHeight="1" x14ac:dyDescent="0.2">
      <c r="D12" s="21" t="s">
        <v>64</v>
      </c>
    </row>
    <row r="13" spans="1:4" ht="16" x14ac:dyDescent="0.2">
      <c r="B13" s="21" t="s">
        <v>95</v>
      </c>
    </row>
    <row r="14" spans="1:4" ht="16" x14ac:dyDescent="0.2">
      <c r="B14" s="21" t="s">
        <v>96</v>
      </c>
      <c r="D14" s="21" t="s">
        <v>65</v>
      </c>
    </row>
    <row r="15" spans="1:4" ht="32" x14ac:dyDescent="0.2">
      <c r="B15" s="21" t="s">
        <v>79</v>
      </c>
      <c r="D15" s="21" t="s">
        <v>66</v>
      </c>
    </row>
    <row r="17" spans="1:4" ht="48" x14ac:dyDescent="0.2">
      <c r="B17" s="21" t="s">
        <v>97</v>
      </c>
    </row>
    <row r="18" spans="1:4" ht="32" x14ac:dyDescent="0.2">
      <c r="A18" s="21" t="s">
        <v>110</v>
      </c>
      <c r="B18" s="38" t="s">
        <v>83</v>
      </c>
      <c r="D18" s="21" t="s">
        <v>67</v>
      </c>
    </row>
    <row r="19" spans="1:4" ht="32" x14ac:dyDescent="0.2">
      <c r="B19" s="21" t="s">
        <v>80</v>
      </c>
      <c r="D19" s="21" t="s">
        <v>68</v>
      </c>
    </row>
    <row r="20" spans="1:4" ht="16" x14ac:dyDescent="0.2">
      <c r="D20" s="21" t="s">
        <v>98</v>
      </c>
    </row>
    <row r="21" spans="1:4" ht="16" x14ac:dyDescent="0.2">
      <c r="D21" s="21" t="s">
        <v>69</v>
      </c>
    </row>
    <row r="23" spans="1:4" ht="16" x14ac:dyDescent="0.2">
      <c r="D23" s="21" t="s">
        <v>70</v>
      </c>
    </row>
    <row r="24" spans="1:4" ht="32" x14ac:dyDescent="0.2">
      <c r="D24" s="21" t="s">
        <v>71</v>
      </c>
    </row>
    <row r="26" spans="1:4" x14ac:dyDescent="0.2">
      <c r="C26" s="38"/>
    </row>
    <row r="29" spans="1:4" ht="16" x14ac:dyDescent="0.2">
      <c r="A29" s="21" t="s">
        <v>108</v>
      </c>
      <c r="B29" s="21" t="s">
        <v>94</v>
      </c>
      <c r="D29" s="21" t="s">
        <v>116</v>
      </c>
    </row>
    <row r="30" spans="1:4" ht="24" customHeight="1" x14ac:dyDescent="0.2">
      <c r="B30" s="21" t="s">
        <v>109</v>
      </c>
    </row>
    <row r="32" spans="1:4" ht="16" x14ac:dyDescent="0.2">
      <c r="A32" s="21" t="s">
        <v>82</v>
      </c>
      <c r="B32" s="21" t="s">
        <v>100</v>
      </c>
    </row>
    <row r="33" spans="1:4" ht="19.5" customHeight="1" x14ac:dyDescent="0.2"/>
    <row r="34" spans="1:4" ht="16" x14ac:dyDescent="0.2">
      <c r="A34" s="21" t="s">
        <v>102</v>
      </c>
      <c r="B34" s="41" t="s">
        <v>101</v>
      </c>
      <c r="C34" s="41"/>
    </row>
    <row r="37" spans="1:4" ht="32" x14ac:dyDescent="0.2">
      <c r="A37" s="42" t="s">
        <v>29</v>
      </c>
      <c r="B37" s="21" t="s">
        <v>99</v>
      </c>
      <c r="D37" s="21" t="s">
        <v>73</v>
      </c>
    </row>
    <row r="38" spans="1:4" ht="16" x14ac:dyDescent="0.2">
      <c r="B38" s="43" t="s">
        <v>144</v>
      </c>
      <c r="C38" s="43"/>
    </row>
    <row r="39" spans="1:4" ht="16" x14ac:dyDescent="0.2">
      <c r="B39" s="21" t="s">
        <v>84</v>
      </c>
    </row>
    <row r="40" spans="1:4" ht="17.5" customHeight="1" x14ac:dyDescent="0.2">
      <c r="B40" s="21" t="s">
        <v>85</v>
      </c>
    </row>
    <row r="41" spans="1:4" ht="16" x14ac:dyDescent="0.2">
      <c r="B41" s="21" t="s">
        <v>86</v>
      </c>
    </row>
    <row r="42" spans="1:4" ht="16" x14ac:dyDescent="0.2">
      <c r="B42" s="21" t="s">
        <v>87</v>
      </c>
    </row>
    <row r="43" spans="1:4" ht="16" x14ac:dyDescent="0.2">
      <c r="B43" s="21" t="s">
        <v>88</v>
      </c>
    </row>
    <row r="44" spans="1:4" ht="16" x14ac:dyDescent="0.2">
      <c r="B44" s="21" t="s">
        <v>89</v>
      </c>
      <c r="D44" s="44" t="s">
        <v>122</v>
      </c>
    </row>
    <row r="45" spans="1:4" ht="16" x14ac:dyDescent="0.2">
      <c r="B45" s="43" t="s">
        <v>145</v>
      </c>
      <c r="C45" s="43"/>
    </row>
    <row r="46" spans="1:4" ht="16" x14ac:dyDescent="0.2">
      <c r="B46" s="43" t="s">
        <v>146</v>
      </c>
      <c r="C46" s="43"/>
    </row>
    <row r="47" spans="1:4" ht="16" x14ac:dyDescent="0.2">
      <c r="B47" s="43" t="s">
        <v>147</v>
      </c>
      <c r="C47" s="43"/>
    </row>
    <row r="48" spans="1:4" ht="32" x14ac:dyDescent="0.2">
      <c r="B48" s="43" t="s">
        <v>148</v>
      </c>
      <c r="C48" s="43"/>
    </row>
    <row r="49" spans="1:4" x14ac:dyDescent="0.2">
      <c r="A49" s="43"/>
    </row>
    <row r="50" spans="1:4" ht="24.75" customHeight="1" x14ac:dyDescent="0.2">
      <c r="A50" s="45" t="s">
        <v>111</v>
      </c>
      <c r="B50" s="41" t="s">
        <v>103</v>
      </c>
      <c r="C50" s="41"/>
    </row>
    <row r="53" spans="1:4" ht="32" x14ac:dyDescent="0.2">
      <c r="A53" s="21" t="s">
        <v>117</v>
      </c>
      <c r="B53" s="21" t="s">
        <v>118</v>
      </c>
      <c r="D53" s="21" t="s">
        <v>74</v>
      </c>
    </row>
    <row r="61" spans="1:4" x14ac:dyDescent="0.2">
      <c r="A61" s="43"/>
    </row>
    <row r="71" spans="1:1" x14ac:dyDescent="0.2">
      <c r="A71" s="43"/>
    </row>
    <row r="72" spans="1:1" x14ac:dyDescent="0.2">
      <c r="A72" s="43"/>
    </row>
    <row r="73" spans="1:1" x14ac:dyDescent="0.2">
      <c r="A73" s="43"/>
    </row>
    <row r="74" spans="1:1" x14ac:dyDescent="0.2">
      <c r="A74" s="43"/>
    </row>
    <row r="75" spans="1:1" x14ac:dyDescent="0.2">
      <c r="A75" s="43"/>
    </row>
    <row r="76" spans="1:1" x14ac:dyDescent="0.2">
      <c r="A76" s="43"/>
    </row>
    <row r="77" spans="1:1" x14ac:dyDescent="0.2">
      <c r="A77" s="43"/>
    </row>
    <row r="78" spans="1:1" x14ac:dyDescent="0.2">
      <c r="A78" s="43"/>
    </row>
    <row r="79" spans="1:1" x14ac:dyDescent="0.2">
      <c r="A79" s="43"/>
    </row>
    <row r="80" spans="1:1" x14ac:dyDescent="0.2">
      <c r="A80" s="43"/>
    </row>
    <row r="81" spans="1:1" x14ac:dyDescent="0.2">
      <c r="A81" s="43"/>
    </row>
    <row r="82" spans="1:1" x14ac:dyDescent="0.2">
      <c r="A82" s="43"/>
    </row>
    <row r="83" spans="1:1" x14ac:dyDescent="0.2">
      <c r="A83" s="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D34A-77B4-44CF-9CFA-AD9830E2A842}">
  <dimension ref="A1:D57"/>
  <sheetViews>
    <sheetView topLeftCell="A11" workbookViewId="0">
      <selection activeCell="E5" sqref="E5"/>
    </sheetView>
  </sheetViews>
  <sheetFormatPr baseColWidth="10" defaultColWidth="8.83203125" defaultRowHeight="15" x14ac:dyDescent="0.2"/>
  <cols>
    <col min="1" max="1" width="22.33203125" customWidth="1"/>
    <col min="2" max="2" width="54.83203125" customWidth="1"/>
    <col min="3" max="3" width="22.83203125" customWidth="1"/>
  </cols>
  <sheetData>
    <row r="1" spans="1:4" ht="129" customHeight="1" x14ac:dyDescent="0.2">
      <c r="A1" s="220" t="s">
        <v>119</v>
      </c>
      <c r="B1" s="220" t="s">
        <v>112</v>
      </c>
      <c r="C1" s="220" t="s">
        <v>77</v>
      </c>
    </row>
    <row r="2" spans="1:4" ht="16" thickBot="1" x14ac:dyDescent="0.25">
      <c r="A2" s="221"/>
      <c r="B2" s="221"/>
      <c r="C2" s="221"/>
    </row>
    <row r="3" spans="1:4" ht="28" x14ac:dyDescent="0.2">
      <c r="A3" s="22" t="s">
        <v>76</v>
      </c>
      <c r="B3" s="24" t="s">
        <v>104</v>
      </c>
      <c r="C3" s="26" t="s">
        <v>62</v>
      </c>
    </row>
    <row r="4" spans="1:4" x14ac:dyDescent="0.2">
      <c r="A4" s="22"/>
      <c r="B4" s="24" t="s">
        <v>92</v>
      </c>
      <c r="C4" s="26"/>
    </row>
    <row r="5" spans="1:4" ht="42" x14ac:dyDescent="0.2">
      <c r="A5" s="22"/>
      <c r="B5" s="24" t="s">
        <v>105</v>
      </c>
      <c r="C5" s="26" t="s">
        <v>124</v>
      </c>
    </row>
    <row r="6" spans="1:4" ht="16" thickBot="1" x14ac:dyDescent="0.25">
      <c r="A6" s="23" t="s">
        <v>123</v>
      </c>
      <c r="B6" s="25"/>
      <c r="C6" s="27"/>
    </row>
    <row r="7" spans="1:4" ht="28" x14ac:dyDescent="0.2">
      <c r="A7" s="22" t="s">
        <v>115</v>
      </c>
      <c r="B7" s="26" t="s">
        <v>107</v>
      </c>
      <c r="C7" s="209" t="s">
        <v>126</v>
      </c>
    </row>
    <row r="8" spans="1:4" x14ac:dyDescent="0.2">
      <c r="A8" s="28"/>
      <c r="B8" s="26" t="s">
        <v>113</v>
      </c>
      <c r="C8" s="215"/>
    </row>
    <row r="9" spans="1:4" ht="16" thickBot="1" x14ac:dyDescent="0.25">
      <c r="A9" s="29" t="s">
        <v>125</v>
      </c>
      <c r="B9" s="27"/>
      <c r="C9" s="210"/>
    </row>
    <row r="10" spans="1:4" ht="16" thickBot="1" x14ac:dyDescent="0.25">
      <c r="A10" s="31"/>
    </row>
    <row r="11" spans="1:4" ht="76" customHeight="1" x14ac:dyDescent="0.2">
      <c r="A11" s="216" t="s">
        <v>120</v>
      </c>
      <c r="B11" s="216" t="s">
        <v>112</v>
      </c>
      <c r="C11" s="216" t="s">
        <v>77</v>
      </c>
      <c r="D11" s="216" t="s">
        <v>81</v>
      </c>
    </row>
    <row r="12" spans="1:4" ht="16" thickBot="1" x14ac:dyDescent="0.25">
      <c r="A12" s="217"/>
      <c r="B12" s="217"/>
      <c r="C12" s="217"/>
      <c r="D12" s="217"/>
    </row>
    <row r="13" spans="1:4" x14ac:dyDescent="0.2">
      <c r="A13" s="205" t="s">
        <v>78</v>
      </c>
      <c r="B13" s="26" t="s">
        <v>127</v>
      </c>
      <c r="C13" s="205" t="s">
        <v>63</v>
      </c>
      <c r="D13" s="209">
        <v>15</v>
      </c>
    </row>
    <row r="14" spans="1:4" x14ac:dyDescent="0.2">
      <c r="A14" s="213"/>
      <c r="B14" s="26" t="s">
        <v>93</v>
      </c>
      <c r="C14" s="213"/>
      <c r="D14" s="215"/>
    </row>
    <row r="15" spans="1:4" ht="16" thickBot="1" x14ac:dyDescent="0.25">
      <c r="A15" s="206"/>
      <c r="B15" s="27"/>
      <c r="C15" s="206"/>
      <c r="D15" s="210"/>
    </row>
    <row r="16" spans="1:4" ht="180" customHeight="1" x14ac:dyDescent="0.2">
      <c r="A16" s="209"/>
      <c r="B16" s="205" t="s">
        <v>95</v>
      </c>
      <c r="C16" s="205" t="s">
        <v>64</v>
      </c>
      <c r="D16" s="209"/>
    </row>
    <row r="17" spans="1:4" ht="16" thickBot="1" x14ac:dyDescent="0.25">
      <c r="A17" s="210"/>
      <c r="B17" s="206"/>
      <c r="C17" s="206"/>
      <c r="D17" s="210"/>
    </row>
    <row r="18" spans="1:4" ht="76" customHeight="1" x14ac:dyDescent="0.2">
      <c r="A18" s="209"/>
      <c r="B18" s="205" t="s">
        <v>96</v>
      </c>
      <c r="C18" s="205" t="s">
        <v>65</v>
      </c>
      <c r="D18" s="211"/>
    </row>
    <row r="19" spans="1:4" ht="16" thickBot="1" x14ac:dyDescent="0.25">
      <c r="A19" s="210"/>
      <c r="B19" s="206"/>
      <c r="C19" s="206"/>
      <c r="D19" s="212"/>
    </row>
    <row r="20" spans="1:4" x14ac:dyDescent="0.2">
      <c r="A20" s="209"/>
      <c r="B20" s="26" t="s">
        <v>79</v>
      </c>
      <c r="C20" s="205" t="s">
        <v>129</v>
      </c>
      <c r="D20" s="211"/>
    </row>
    <row r="21" spans="1:4" ht="42" x14ac:dyDescent="0.2">
      <c r="A21" s="215"/>
      <c r="B21" s="26" t="s">
        <v>128</v>
      </c>
      <c r="C21" s="213"/>
      <c r="D21" s="214"/>
    </row>
    <row r="22" spans="1:4" ht="16" thickBot="1" x14ac:dyDescent="0.25">
      <c r="A22" s="210"/>
      <c r="B22" s="32"/>
      <c r="C22" s="206"/>
      <c r="D22" s="212"/>
    </row>
    <row r="23" spans="1:4" x14ac:dyDescent="0.2">
      <c r="A23" s="205" t="s">
        <v>110</v>
      </c>
      <c r="B23" s="26" t="s">
        <v>130</v>
      </c>
      <c r="C23" s="205" t="s">
        <v>67</v>
      </c>
      <c r="D23" s="211">
        <v>10</v>
      </c>
    </row>
    <row r="24" spans="1:4" x14ac:dyDescent="0.2">
      <c r="A24" s="213"/>
      <c r="B24" s="26"/>
      <c r="C24" s="213"/>
      <c r="D24" s="214"/>
    </row>
    <row r="25" spans="1:4" x14ac:dyDescent="0.2">
      <c r="A25" s="213"/>
      <c r="B25" s="26" t="s">
        <v>131</v>
      </c>
      <c r="C25" s="213"/>
      <c r="D25" s="214"/>
    </row>
    <row r="26" spans="1:4" ht="16" thickBot="1" x14ac:dyDescent="0.25">
      <c r="A26" s="206"/>
      <c r="B26" s="32"/>
      <c r="C26" s="206"/>
      <c r="D26" s="212"/>
    </row>
    <row r="27" spans="1:4" ht="42" x14ac:dyDescent="0.2">
      <c r="A27" s="209"/>
      <c r="B27" s="205" t="s">
        <v>80</v>
      </c>
      <c r="C27" s="26" t="s">
        <v>68</v>
      </c>
      <c r="D27" s="211"/>
    </row>
    <row r="28" spans="1:4" ht="28" x14ac:dyDescent="0.2">
      <c r="A28" s="215"/>
      <c r="B28" s="213"/>
      <c r="C28" s="26" t="s">
        <v>98</v>
      </c>
      <c r="D28" s="214"/>
    </row>
    <row r="29" spans="1:4" ht="28" x14ac:dyDescent="0.2">
      <c r="A29" s="215"/>
      <c r="B29" s="213"/>
      <c r="C29" s="26" t="s">
        <v>69</v>
      </c>
      <c r="D29" s="214"/>
    </row>
    <row r="30" spans="1:4" x14ac:dyDescent="0.2">
      <c r="A30" s="215"/>
      <c r="B30" s="213"/>
      <c r="C30" s="26"/>
      <c r="D30" s="214"/>
    </row>
    <row r="31" spans="1:4" ht="16" thickBot="1" x14ac:dyDescent="0.25">
      <c r="A31" s="210"/>
      <c r="B31" s="206"/>
      <c r="C31" s="27"/>
      <c r="D31" s="212"/>
    </row>
    <row r="32" spans="1:4" ht="19" thickBot="1" x14ac:dyDescent="0.25">
      <c r="A32" s="33"/>
      <c r="B32" s="34"/>
      <c r="C32" s="34"/>
      <c r="D32" s="35"/>
    </row>
    <row r="33" spans="1:4" ht="76" customHeight="1" x14ac:dyDescent="0.2">
      <c r="A33" s="216" t="s">
        <v>120</v>
      </c>
      <c r="B33" s="216" t="s">
        <v>112</v>
      </c>
      <c r="C33" s="216" t="s">
        <v>77</v>
      </c>
      <c r="D33" s="218" t="s">
        <v>81</v>
      </c>
    </row>
    <row r="34" spans="1:4" ht="16" thickBot="1" x14ac:dyDescent="0.25">
      <c r="A34" s="217"/>
      <c r="B34" s="217"/>
      <c r="C34" s="217"/>
      <c r="D34" s="219"/>
    </row>
    <row r="35" spans="1:4" ht="35.5" customHeight="1" x14ac:dyDescent="0.2">
      <c r="A35" s="205" t="s">
        <v>108</v>
      </c>
      <c r="B35" s="24" t="s">
        <v>94</v>
      </c>
      <c r="C35" s="205" t="s">
        <v>116</v>
      </c>
      <c r="D35" s="211">
        <v>10</v>
      </c>
    </row>
    <row r="36" spans="1:4" x14ac:dyDescent="0.2">
      <c r="A36" s="213"/>
      <c r="B36" s="24" t="s">
        <v>109</v>
      </c>
      <c r="C36" s="213"/>
      <c r="D36" s="214"/>
    </row>
    <row r="37" spans="1:4" ht="16" thickBot="1" x14ac:dyDescent="0.25">
      <c r="A37" s="206"/>
      <c r="B37" s="36" t="s">
        <v>132</v>
      </c>
      <c r="C37" s="206"/>
      <c r="D37" s="212"/>
    </row>
    <row r="38" spans="1:4" ht="63" customHeight="1" x14ac:dyDescent="0.2">
      <c r="A38" s="205" t="s">
        <v>82</v>
      </c>
      <c r="B38" s="205" t="s">
        <v>133</v>
      </c>
      <c r="C38" s="205" t="s">
        <v>134</v>
      </c>
      <c r="D38" s="211">
        <v>10</v>
      </c>
    </row>
    <row r="39" spans="1:4" ht="16" thickBot="1" x14ac:dyDescent="0.25">
      <c r="A39" s="206"/>
      <c r="B39" s="206"/>
      <c r="C39" s="206"/>
      <c r="D39" s="212"/>
    </row>
    <row r="40" spans="1:4" ht="76" customHeight="1" x14ac:dyDescent="0.2">
      <c r="A40" s="205" t="s">
        <v>102</v>
      </c>
      <c r="B40" s="205" t="s">
        <v>135</v>
      </c>
      <c r="C40" s="209"/>
      <c r="D40" s="211">
        <v>10</v>
      </c>
    </row>
    <row r="41" spans="1:4" ht="16" thickBot="1" x14ac:dyDescent="0.25">
      <c r="A41" s="206"/>
      <c r="B41" s="206"/>
      <c r="C41" s="210"/>
      <c r="D41" s="212"/>
    </row>
    <row r="42" spans="1:4" ht="18" customHeight="1" x14ac:dyDescent="0.2">
      <c r="A42" s="205" t="s">
        <v>29</v>
      </c>
      <c r="B42" s="205" t="s">
        <v>136</v>
      </c>
      <c r="C42" s="24" t="s">
        <v>84</v>
      </c>
      <c r="D42" s="211">
        <v>30</v>
      </c>
    </row>
    <row r="43" spans="1:4" x14ac:dyDescent="0.2">
      <c r="A43" s="213"/>
      <c r="B43" s="213"/>
      <c r="C43" s="24" t="s">
        <v>85</v>
      </c>
      <c r="D43" s="214"/>
    </row>
    <row r="44" spans="1:4" x14ac:dyDescent="0.2">
      <c r="A44" s="213"/>
      <c r="B44" s="213"/>
      <c r="C44" s="24" t="s">
        <v>86</v>
      </c>
      <c r="D44" s="214"/>
    </row>
    <row r="45" spans="1:4" x14ac:dyDescent="0.2">
      <c r="A45" s="213"/>
      <c r="B45" s="213"/>
      <c r="C45" s="24" t="s">
        <v>87</v>
      </c>
      <c r="D45" s="214"/>
    </row>
    <row r="46" spans="1:4" x14ac:dyDescent="0.2">
      <c r="A46" s="213"/>
      <c r="B46" s="213"/>
      <c r="C46" s="24" t="s">
        <v>88</v>
      </c>
      <c r="D46" s="214"/>
    </row>
    <row r="47" spans="1:4" ht="16" thickBot="1" x14ac:dyDescent="0.25">
      <c r="A47" s="206"/>
      <c r="B47" s="206"/>
      <c r="C47" s="36" t="s">
        <v>89</v>
      </c>
      <c r="D47" s="212"/>
    </row>
    <row r="48" spans="1:4" x14ac:dyDescent="0.2">
      <c r="A48" s="209"/>
      <c r="B48" s="205"/>
      <c r="C48" s="24" t="s">
        <v>137</v>
      </c>
      <c r="D48" s="211"/>
    </row>
    <row r="49" spans="1:4" x14ac:dyDescent="0.2">
      <c r="A49" s="215"/>
      <c r="B49" s="213"/>
      <c r="C49" s="24" t="s">
        <v>138</v>
      </c>
      <c r="D49" s="214"/>
    </row>
    <row r="50" spans="1:4" x14ac:dyDescent="0.2">
      <c r="A50" s="215"/>
      <c r="B50" s="213"/>
      <c r="C50" s="24" t="s">
        <v>139</v>
      </c>
      <c r="D50" s="214"/>
    </row>
    <row r="51" spans="1:4" x14ac:dyDescent="0.2">
      <c r="A51" s="215"/>
      <c r="B51" s="213"/>
      <c r="C51" s="24" t="s">
        <v>140</v>
      </c>
      <c r="D51" s="214"/>
    </row>
    <row r="52" spans="1:4" ht="16" thickBot="1" x14ac:dyDescent="0.25">
      <c r="A52" s="210"/>
      <c r="B52" s="206"/>
      <c r="C52" s="36" t="s">
        <v>122</v>
      </c>
      <c r="D52" s="212"/>
    </row>
    <row r="53" spans="1:4" ht="89" customHeight="1" x14ac:dyDescent="0.2">
      <c r="A53" s="205" t="s">
        <v>111</v>
      </c>
      <c r="B53" s="207" t="s">
        <v>141</v>
      </c>
      <c r="C53" s="209" t="s">
        <v>142</v>
      </c>
      <c r="D53" s="211">
        <v>5</v>
      </c>
    </row>
    <row r="54" spans="1:4" ht="16" thickBot="1" x14ac:dyDescent="0.25">
      <c r="A54" s="206"/>
      <c r="B54" s="208"/>
      <c r="C54" s="210"/>
      <c r="D54" s="212"/>
    </row>
    <row r="55" spans="1:4" ht="128" customHeight="1" x14ac:dyDescent="0.2">
      <c r="A55" s="205" t="s">
        <v>117</v>
      </c>
      <c r="B55" s="205" t="s">
        <v>118</v>
      </c>
      <c r="C55" s="205" t="s">
        <v>74</v>
      </c>
      <c r="D55" s="211">
        <v>10</v>
      </c>
    </row>
    <row r="56" spans="1:4" ht="16" thickBot="1" x14ac:dyDescent="0.25">
      <c r="A56" s="206"/>
      <c r="B56" s="206"/>
      <c r="C56" s="206"/>
      <c r="D56" s="212"/>
    </row>
    <row r="57" spans="1:4" ht="16" x14ac:dyDescent="0.2">
      <c r="A57" s="30"/>
    </row>
  </sheetData>
  <mergeCells count="57">
    <mergeCell ref="A1:A2"/>
    <mergeCell ref="B1:B2"/>
    <mergeCell ref="C1:C2"/>
    <mergeCell ref="C7:C9"/>
    <mergeCell ref="A11:A12"/>
    <mergeCell ref="B11:B12"/>
    <mergeCell ref="C11:C12"/>
    <mergeCell ref="D11:D12"/>
    <mergeCell ref="A13:A15"/>
    <mergeCell ref="C13:C15"/>
    <mergeCell ref="D13:D15"/>
    <mergeCell ref="A16:A17"/>
    <mergeCell ref="B16:B17"/>
    <mergeCell ref="C16:C17"/>
    <mergeCell ref="D16:D17"/>
    <mergeCell ref="A18:A19"/>
    <mergeCell ref="B18:B19"/>
    <mergeCell ref="C18:C19"/>
    <mergeCell ref="D18:D19"/>
    <mergeCell ref="A20:A22"/>
    <mergeCell ref="C20:C22"/>
    <mergeCell ref="D20:D22"/>
    <mergeCell ref="A23:A26"/>
    <mergeCell ref="C23:C26"/>
    <mergeCell ref="D23:D26"/>
    <mergeCell ref="A27:A31"/>
    <mergeCell ref="B27:B31"/>
    <mergeCell ref="D27:D31"/>
    <mergeCell ref="A33:A34"/>
    <mergeCell ref="B33:B34"/>
    <mergeCell ref="C33:C34"/>
    <mergeCell ref="D33:D34"/>
    <mergeCell ref="A35:A37"/>
    <mergeCell ref="C35:C37"/>
    <mergeCell ref="D35:D37"/>
    <mergeCell ref="A38:A39"/>
    <mergeCell ref="B38:B39"/>
    <mergeCell ref="C38:C39"/>
    <mergeCell ref="D38:D39"/>
    <mergeCell ref="A40:A41"/>
    <mergeCell ref="B40:B41"/>
    <mergeCell ref="C40:C41"/>
    <mergeCell ref="D40:D41"/>
    <mergeCell ref="A42:A47"/>
    <mergeCell ref="B42:B47"/>
    <mergeCell ref="D42:D47"/>
    <mergeCell ref="A48:A52"/>
    <mergeCell ref="B48:B52"/>
    <mergeCell ref="D48:D52"/>
    <mergeCell ref="A53:A54"/>
    <mergeCell ref="B53:B54"/>
    <mergeCell ref="C53:C54"/>
    <mergeCell ref="D53:D54"/>
    <mergeCell ref="A55:A56"/>
    <mergeCell ref="B55:B56"/>
    <mergeCell ref="C55:C56"/>
    <mergeCell ref="D55:D5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9B3A-768A-40B0-95FB-36B42D67BB74}">
  <sheetPr>
    <pageSetUpPr fitToPage="1"/>
  </sheetPr>
  <dimension ref="A1:J63"/>
  <sheetViews>
    <sheetView workbookViewId="0">
      <selection activeCell="F18" sqref="F18"/>
    </sheetView>
  </sheetViews>
  <sheetFormatPr baseColWidth="10" defaultColWidth="8.6640625" defaultRowHeight="15" x14ac:dyDescent="0.2"/>
  <cols>
    <col min="1" max="1" width="19.6640625" style="21" customWidth="1"/>
    <col min="2" max="2" width="60.5" style="46" customWidth="1"/>
    <col min="3" max="3" width="9.5" style="52" customWidth="1"/>
    <col min="4" max="4" width="8.6640625" style="21" customWidth="1"/>
    <col min="5" max="5" width="8.6640625" style="21"/>
    <col min="6" max="6" width="38.5" style="21" customWidth="1"/>
    <col min="7" max="7" width="9" style="46" customWidth="1"/>
    <col min="8" max="8" width="9.5" style="52" customWidth="1"/>
    <col min="9" max="9" width="12" style="21" customWidth="1"/>
    <col min="10" max="16384" width="8.6640625" style="21"/>
  </cols>
  <sheetData>
    <row r="1" spans="1:9" ht="16" x14ac:dyDescent="0.2">
      <c r="A1" s="56"/>
      <c r="B1" s="39" t="s">
        <v>157</v>
      </c>
      <c r="C1" s="52">
        <f>SUM(C4:C34)</f>
        <v>100</v>
      </c>
      <c r="D1" s="51">
        <v>0.15</v>
      </c>
      <c r="F1" s="56"/>
      <c r="G1" s="39"/>
      <c r="H1" s="52">
        <f>SUM(H4:H34)</f>
        <v>100</v>
      </c>
      <c r="I1" s="51">
        <v>0.1</v>
      </c>
    </row>
    <row r="2" spans="1:9" ht="49" thickBot="1" x14ac:dyDescent="0.25">
      <c r="A2" s="37" t="s">
        <v>158</v>
      </c>
      <c r="B2" s="47" t="s">
        <v>112</v>
      </c>
      <c r="C2" s="53" t="s">
        <v>17</v>
      </c>
      <c r="D2" s="37" t="s">
        <v>149</v>
      </c>
      <c r="F2" s="37" t="s">
        <v>159</v>
      </c>
      <c r="G2" s="47"/>
      <c r="H2" s="53" t="s">
        <v>17</v>
      </c>
      <c r="I2" s="37" t="s">
        <v>150</v>
      </c>
    </row>
    <row r="3" spans="1:9" ht="18" thickTop="1" thickBot="1" x14ac:dyDescent="0.25">
      <c r="A3" s="37"/>
      <c r="B3" s="47"/>
      <c r="C3" s="53" t="s">
        <v>156</v>
      </c>
      <c r="D3" s="37"/>
      <c r="F3" s="37"/>
      <c r="G3" s="47"/>
      <c r="H3" s="53" t="s">
        <v>156</v>
      </c>
      <c r="I3" s="37"/>
    </row>
    <row r="4" spans="1:9" ht="21.75" customHeight="1" thickTop="1" x14ac:dyDescent="0.2">
      <c r="A4" s="56" t="s">
        <v>78</v>
      </c>
      <c r="B4" s="56"/>
      <c r="C4" s="57">
        <v>15</v>
      </c>
      <c r="D4" s="56"/>
      <c r="F4" s="62" t="s">
        <v>160</v>
      </c>
      <c r="G4" s="56"/>
      <c r="H4" s="57">
        <v>10</v>
      </c>
      <c r="I4" s="56"/>
    </row>
    <row r="5" spans="1:9" ht="19.5" customHeight="1" x14ac:dyDescent="0.2">
      <c r="B5" s="46" t="s">
        <v>93</v>
      </c>
      <c r="F5" s="62" t="s">
        <v>161</v>
      </c>
      <c r="G5" s="56"/>
      <c r="H5" s="57">
        <v>10</v>
      </c>
      <c r="I5" s="56"/>
    </row>
    <row r="6" spans="1:9" ht="16" x14ac:dyDescent="0.2">
      <c r="B6" s="46" t="s">
        <v>95</v>
      </c>
      <c r="F6" s="62" t="s">
        <v>162</v>
      </c>
      <c r="G6" s="56"/>
      <c r="H6" s="57">
        <v>10</v>
      </c>
      <c r="I6" s="56"/>
    </row>
    <row r="7" spans="1:9" ht="16" x14ac:dyDescent="0.2">
      <c r="B7" s="46" t="s">
        <v>96</v>
      </c>
      <c r="F7" s="62" t="s">
        <v>163</v>
      </c>
      <c r="G7" s="56"/>
      <c r="H7" s="57">
        <v>20</v>
      </c>
      <c r="I7" s="56"/>
    </row>
    <row r="8" spans="1:9" ht="16" x14ac:dyDescent="0.2">
      <c r="B8" s="46" t="s">
        <v>79</v>
      </c>
      <c r="F8" s="62" t="s">
        <v>164</v>
      </c>
      <c r="G8" s="58"/>
      <c r="H8" s="57">
        <v>30</v>
      </c>
      <c r="I8" s="56"/>
    </row>
    <row r="9" spans="1:9" ht="28" x14ac:dyDescent="0.2">
      <c r="B9" s="46" t="s">
        <v>97</v>
      </c>
      <c r="F9" s="62" t="s">
        <v>165</v>
      </c>
      <c r="G9" s="58"/>
      <c r="H9" s="57">
        <v>10</v>
      </c>
      <c r="I9" s="56"/>
    </row>
    <row r="10" spans="1:9" ht="32" x14ac:dyDescent="0.2">
      <c r="A10" s="56" t="s">
        <v>110</v>
      </c>
      <c r="B10" s="56"/>
      <c r="C10" s="57">
        <v>10</v>
      </c>
      <c r="D10" s="56"/>
      <c r="F10" s="62" t="s">
        <v>166</v>
      </c>
      <c r="G10" s="58"/>
      <c r="H10" s="57">
        <v>10</v>
      </c>
      <c r="I10" s="56"/>
    </row>
    <row r="11" spans="1:9" ht="28" x14ac:dyDescent="0.2">
      <c r="B11" s="48" t="s">
        <v>83</v>
      </c>
      <c r="G11" s="48"/>
    </row>
    <row r="12" spans="1:9" ht="16" x14ac:dyDescent="0.2">
      <c r="B12" s="46" t="s">
        <v>80</v>
      </c>
      <c r="F12" s="56" t="s">
        <v>167</v>
      </c>
      <c r="G12" s="56"/>
      <c r="H12" s="56"/>
      <c r="I12" s="56"/>
    </row>
    <row r="13" spans="1:9" ht="16" x14ac:dyDescent="0.2">
      <c r="A13" s="56" t="s">
        <v>108</v>
      </c>
      <c r="B13" s="56"/>
      <c r="C13" s="57">
        <v>10</v>
      </c>
      <c r="D13" s="56"/>
    </row>
    <row r="14" spans="1:9" x14ac:dyDescent="0.2">
      <c r="B14" s="46" t="s">
        <v>94</v>
      </c>
    </row>
    <row r="15" spans="1:9" x14ac:dyDescent="0.2">
      <c r="B15" s="46" t="s">
        <v>109</v>
      </c>
    </row>
    <row r="16" spans="1:9" ht="16" x14ac:dyDescent="0.2">
      <c r="A16" s="56" t="s">
        <v>82</v>
      </c>
      <c r="B16" s="56"/>
      <c r="C16" s="57">
        <v>10</v>
      </c>
      <c r="D16" s="56"/>
    </row>
    <row r="17" spans="1:10" x14ac:dyDescent="0.2">
      <c r="B17" s="46" t="s">
        <v>100</v>
      </c>
    </row>
    <row r="18" spans="1:10" ht="16" x14ac:dyDescent="0.2">
      <c r="A18" s="56" t="s">
        <v>102</v>
      </c>
      <c r="B18" s="58"/>
      <c r="C18" s="57">
        <v>10</v>
      </c>
      <c r="D18" s="56"/>
    </row>
    <row r="19" spans="1:10" x14ac:dyDescent="0.2">
      <c r="B19" s="49" t="s">
        <v>101</v>
      </c>
      <c r="C19" s="54"/>
      <c r="F19"/>
      <c r="G19"/>
      <c r="H19"/>
      <c r="I19"/>
      <c r="J19"/>
    </row>
    <row r="20" spans="1:10" ht="16" x14ac:dyDescent="0.2">
      <c r="A20" s="59" t="s">
        <v>29</v>
      </c>
      <c r="B20" s="56"/>
      <c r="C20" s="57">
        <v>30</v>
      </c>
      <c r="D20" s="56"/>
      <c r="F20"/>
      <c r="G20"/>
      <c r="H20"/>
      <c r="I20"/>
      <c r="J20"/>
    </row>
    <row r="21" spans="1:10" x14ac:dyDescent="0.2">
      <c r="A21" s="42"/>
      <c r="B21" s="46" t="s">
        <v>99</v>
      </c>
      <c r="F21"/>
      <c r="G21"/>
      <c r="H21"/>
      <c r="I21"/>
      <c r="J21"/>
    </row>
    <row r="22" spans="1:10" x14ac:dyDescent="0.2">
      <c r="B22" s="50" t="s">
        <v>151</v>
      </c>
      <c r="C22" s="55"/>
      <c r="F22"/>
      <c r="G22"/>
      <c r="H22"/>
      <c r="I22"/>
      <c r="J22"/>
    </row>
    <row r="23" spans="1:10" x14ac:dyDescent="0.2">
      <c r="B23" s="46" t="s">
        <v>84</v>
      </c>
      <c r="F23"/>
      <c r="G23"/>
      <c r="H23"/>
      <c r="I23"/>
      <c r="J23"/>
    </row>
    <row r="24" spans="1:10" ht="17.5" customHeight="1" x14ac:dyDescent="0.2">
      <c r="B24" s="46" t="s">
        <v>85</v>
      </c>
      <c r="F24"/>
      <c r="G24"/>
      <c r="H24"/>
      <c r="I24"/>
      <c r="J24"/>
    </row>
    <row r="25" spans="1:10" x14ac:dyDescent="0.2">
      <c r="B25" s="46" t="s">
        <v>168</v>
      </c>
    </row>
    <row r="26" spans="1:10" x14ac:dyDescent="0.2">
      <c r="B26" s="46" t="s">
        <v>169</v>
      </c>
    </row>
    <row r="27" spans="1:10" x14ac:dyDescent="0.2">
      <c r="B27" s="50" t="s">
        <v>152</v>
      </c>
      <c r="C27" s="55"/>
      <c r="G27" s="50"/>
      <c r="H27" s="55"/>
    </row>
    <row r="28" spans="1:10" x14ac:dyDescent="0.2">
      <c r="B28" s="50" t="s">
        <v>153</v>
      </c>
      <c r="C28" s="55"/>
      <c r="G28" s="50"/>
      <c r="H28" s="55"/>
    </row>
    <row r="29" spans="1:10" x14ac:dyDescent="0.2">
      <c r="B29" s="50" t="s">
        <v>154</v>
      </c>
      <c r="C29" s="55"/>
      <c r="F29"/>
      <c r="G29"/>
      <c r="H29"/>
      <c r="I29"/>
      <c r="J29"/>
    </row>
    <row r="30" spans="1:10" x14ac:dyDescent="0.2">
      <c r="B30" s="50" t="s">
        <v>155</v>
      </c>
      <c r="C30" s="55"/>
      <c r="F30"/>
      <c r="G30"/>
      <c r="H30"/>
      <c r="I30"/>
      <c r="J30"/>
    </row>
    <row r="31" spans="1:10" ht="24.75" customHeight="1" x14ac:dyDescent="0.2">
      <c r="A31" s="60" t="s">
        <v>111</v>
      </c>
      <c r="B31" s="56"/>
      <c r="C31" s="61">
        <v>5</v>
      </c>
      <c r="D31" s="56"/>
      <c r="F31"/>
      <c r="G31"/>
      <c r="H31"/>
      <c r="I31"/>
      <c r="J31"/>
    </row>
    <row r="32" spans="1:10" ht="24.75" customHeight="1" x14ac:dyDescent="0.2">
      <c r="A32" s="45"/>
      <c r="B32" s="49" t="s">
        <v>103</v>
      </c>
      <c r="C32" s="54"/>
      <c r="F32"/>
      <c r="G32"/>
      <c r="H32"/>
      <c r="I32"/>
      <c r="J32"/>
    </row>
    <row r="33" spans="1:10" ht="32" x14ac:dyDescent="0.2">
      <c r="A33" s="56" t="s">
        <v>117</v>
      </c>
      <c r="B33" s="56"/>
      <c r="C33" s="57"/>
      <c r="D33" s="56"/>
      <c r="F33"/>
      <c r="G33"/>
      <c r="H33"/>
      <c r="I33"/>
      <c r="J33"/>
    </row>
    <row r="34" spans="1:10" x14ac:dyDescent="0.2">
      <c r="B34" s="46" t="s">
        <v>118</v>
      </c>
      <c r="C34" s="52">
        <v>10</v>
      </c>
      <c r="F34"/>
      <c r="G34"/>
      <c r="H34"/>
      <c r="I34"/>
      <c r="J34"/>
    </row>
    <row r="35" spans="1:10" x14ac:dyDescent="0.2">
      <c r="F35"/>
      <c r="G35"/>
      <c r="H35"/>
      <c r="I35"/>
      <c r="J35"/>
    </row>
    <row r="36" spans="1:10" x14ac:dyDescent="0.2">
      <c r="F36"/>
      <c r="G36"/>
      <c r="H36"/>
      <c r="I36"/>
      <c r="J36"/>
    </row>
    <row r="41" spans="1:10" x14ac:dyDescent="0.2">
      <c r="A41" s="43"/>
      <c r="F41" s="43"/>
    </row>
    <row r="51" spans="1:6" x14ac:dyDescent="0.2">
      <c r="A51" s="43"/>
      <c r="F51" s="43"/>
    </row>
    <row r="52" spans="1:6" x14ac:dyDescent="0.2">
      <c r="A52" s="43"/>
      <c r="F52" s="43"/>
    </row>
    <row r="53" spans="1:6" x14ac:dyDescent="0.2">
      <c r="A53" s="43"/>
      <c r="F53" s="43"/>
    </row>
    <row r="54" spans="1:6" x14ac:dyDescent="0.2">
      <c r="A54" s="43"/>
      <c r="F54" s="43"/>
    </row>
    <row r="55" spans="1:6" x14ac:dyDescent="0.2">
      <c r="A55" s="43"/>
      <c r="F55" s="43"/>
    </row>
    <row r="56" spans="1:6" x14ac:dyDescent="0.2">
      <c r="A56" s="43"/>
      <c r="F56" s="43"/>
    </row>
    <row r="57" spans="1:6" x14ac:dyDescent="0.2">
      <c r="A57" s="43"/>
      <c r="F57" s="43"/>
    </row>
    <row r="58" spans="1:6" x14ac:dyDescent="0.2">
      <c r="A58" s="43"/>
      <c r="F58" s="43"/>
    </row>
    <row r="59" spans="1:6" x14ac:dyDescent="0.2">
      <c r="A59" s="43"/>
      <c r="F59" s="43"/>
    </row>
    <row r="60" spans="1:6" x14ac:dyDescent="0.2">
      <c r="A60" s="43"/>
      <c r="F60" s="43"/>
    </row>
    <row r="61" spans="1:6" x14ac:dyDescent="0.2">
      <c r="A61" s="43"/>
      <c r="F61" s="43"/>
    </row>
    <row r="62" spans="1:6" x14ac:dyDescent="0.2">
      <c r="A62" s="43"/>
      <c r="F62" s="43"/>
    </row>
    <row r="63" spans="1:6" x14ac:dyDescent="0.2">
      <c r="A63" s="42"/>
      <c r="F63" s="42"/>
    </row>
  </sheetData>
  <pageMargins left="0.25" right="0.25" top="0.75" bottom="0.75" header="0.3" footer="0.3"/>
  <pageSetup orientation="portrait" r:id="rId1"/>
  <rowBreaks count="1" manualBreakCount="1">
    <brk id="34"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CC89-A8F8-493B-982F-679037588047}">
  <dimension ref="A1:Y40"/>
  <sheetViews>
    <sheetView workbookViewId="0">
      <selection activeCell="AC30" sqref="AC30"/>
    </sheetView>
  </sheetViews>
  <sheetFormatPr baseColWidth="10" defaultColWidth="8.83203125" defaultRowHeight="15" x14ac:dyDescent="0.2"/>
  <cols>
    <col min="1" max="1" width="39.1640625" customWidth="1"/>
    <col min="2" max="2" width="9.83203125" customWidth="1"/>
    <col min="3" max="3" width="6.83203125" hidden="1" customWidth="1"/>
    <col min="4" max="4" width="29.5" hidden="1" customWidth="1"/>
    <col min="5" max="5" width="18.5" hidden="1" customWidth="1"/>
    <col min="6" max="6" width="20.5" style="17" hidden="1" customWidth="1"/>
    <col min="7" max="7" width="17.5" style="17" hidden="1" customWidth="1"/>
    <col min="8" max="8" width="16" style="17" hidden="1" customWidth="1"/>
    <col min="9" max="9" width="21.83203125" style="17" hidden="1" customWidth="1"/>
    <col min="10" max="10" width="18.6640625" style="17" hidden="1" customWidth="1"/>
    <col min="11" max="11" width="20.33203125" style="17" hidden="1" customWidth="1"/>
    <col min="12" max="12" width="17.33203125" style="17" hidden="1" customWidth="1"/>
    <col min="13" max="13" width="24.33203125" hidden="1" customWidth="1"/>
    <col min="14" max="14" width="17.5" hidden="1" customWidth="1"/>
    <col min="15" max="15" width="15.1640625" hidden="1" customWidth="1"/>
    <col min="16" max="16" width="15.5" hidden="1" customWidth="1"/>
    <col min="17" max="17" width="34.6640625" hidden="1" customWidth="1"/>
    <col min="18" max="18" width="21.6640625" hidden="1" customWidth="1"/>
    <col min="19" max="19" width="14.5" style="17" hidden="1" customWidth="1"/>
    <col min="20" max="20" width="15.33203125" customWidth="1"/>
    <col min="21" max="21" width="30.6640625" customWidth="1"/>
    <col min="22" max="22" width="14.6640625" customWidth="1"/>
    <col min="23" max="23" width="18" customWidth="1"/>
    <col min="24" max="24" width="11.1640625" customWidth="1"/>
    <col min="25" max="25" width="8.33203125" style="145" customWidth="1"/>
  </cols>
  <sheetData>
    <row r="1" spans="1:25" x14ac:dyDescent="0.2">
      <c r="A1" s="222" t="s">
        <v>501</v>
      </c>
      <c r="B1" s="222"/>
      <c r="C1" s="129" t="s">
        <v>267</v>
      </c>
      <c r="D1" s="103">
        <v>1</v>
      </c>
      <c r="E1" s="103">
        <v>2</v>
      </c>
      <c r="F1" s="141">
        <v>3</v>
      </c>
      <c r="G1" s="141">
        <v>4</v>
      </c>
      <c r="H1" s="141">
        <v>5</v>
      </c>
      <c r="I1" s="141">
        <v>6</v>
      </c>
      <c r="J1" s="141">
        <v>7</v>
      </c>
      <c r="K1" s="141">
        <v>8</v>
      </c>
      <c r="L1" s="141">
        <v>9</v>
      </c>
      <c r="M1" s="141">
        <v>10</v>
      </c>
      <c r="N1" s="141">
        <v>11</v>
      </c>
      <c r="O1" s="141">
        <v>13</v>
      </c>
      <c r="P1" s="141">
        <v>15</v>
      </c>
      <c r="Q1" s="141">
        <v>12</v>
      </c>
      <c r="R1" s="141">
        <v>14</v>
      </c>
      <c r="S1" s="141">
        <v>16</v>
      </c>
      <c r="T1" s="141">
        <v>17</v>
      </c>
      <c r="U1" s="141">
        <v>19</v>
      </c>
      <c r="V1" s="141">
        <v>20</v>
      </c>
      <c r="W1" s="141">
        <v>21</v>
      </c>
      <c r="X1" s="141">
        <v>22</v>
      </c>
      <c r="Y1" s="142">
        <v>18</v>
      </c>
    </row>
    <row r="2" spans="1:25" ht="17" thickBot="1" x14ac:dyDescent="0.25">
      <c r="A2" s="13" t="s">
        <v>256</v>
      </c>
      <c r="C2" s="115" t="s">
        <v>40</v>
      </c>
      <c r="D2" s="110" t="s">
        <v>224</v>
      </c>
      <c r="E2" s="101" t="s">
        <v>211</v>
      </c>
      <c r="F2" s="103" t="s">
        <v>205</v>
      </c>
      <c r="G2" s="103" t="s">
        <v>210</v>
      </c>
      <c r="H2" s="103" t="s">
        <v>214</v>
      </c>
      <c r="I2" s="103" t="s">
        <v>219</v>
      </c>
      <c r="J2" s="103" t="s">
        <v>212</v>
      </c>
      <c r="K2" s="103" t="s">
        <v>203</v>
      </c>
      <c r="L2" s="103" t="s">
        <v>204</v>
      </c>
      <c r="M2" s="101" t="s">
        <v>216</v>
      </c>
      <c r="N2" s="101" t="s">
        <v>206</v>
      </c>
      <c r="O2" s="101" t="s">
        <v>217</v>
      </c>
      <c r="P2" s="101" t="s">
        <v>213</v>
      </c>
      <c r="Q2" s="149" t="s">
        <v>208</v>
      </c>
      <c r="R2" s="149" t="s">
        <v>207</v>
      </c>
      <c r="S2" s="103" t="s">
        <v>218</v>
      </c>
      <c r="T2" s="101" t="s">
        <v>209</v>
      </c>
      <c r="U2" s="101" t="s">
        <v>200</v>
      </c>
      <c r="V2" s="101" t="s">
        <v>201</v>
      </c>
      <c r="W2" s="101" t="s">
        <v>202</v>
      </c>
      <c r="X2" s="101" t="s">
        <v>199</v>
      </c>
      <c r="Y2" s="143" t="s">
        <v>215</v>
      </c>
    </row>
    <row r="3" spans="1:25" ht="34" thickTop="1" thickBot="1" x14ac:dyDescent="0.25">
      <c r="A3" s="127" t="s">
        <v>257</v>
      </c>
      <c r="B3" s="127" t="s">
        <v>502</v>
      </c>
      <c r="C3" s="115" t="s">
        <v>233</v>
      </c>
      <c r="D3" s="109" t="e" vm="32">
        <v>#VALUE!</v>
      </c>
      <c r="E3" s="102" t="e" vm="9">
        <v>#VALUE!</v>
      </c>
      <c r="F3" s="103" t="e" vm="33">
        <v>#VALUE!</v>
      </c>
      <c r="G3" s="103" t="e" vm="13">
        <v>#VALUE!</v>
      </c>
      <c r="H3" s="103" t="e" vm="34">
        <v>#VALUE!</v>
      </c>
      <c r="I3" s="103" t="e" vm="35">
        <v>#VALUE!</v>
      </c>
      <c r="J3" s="103" t="e" vm="12">
        <v>#VALUE!</v>
      </c>
      <c r="K3" s="103" t="e" vm="16">
        <v>#VALUE!</v>
      </c>
      <c r="L3" s="103" t="e" vm="36">
        <v>#VALUE!</v>
      </c>
      <c r="M3" s="102" t="e" vm="20">
        <v>#VALUE!</v>
      </c>
      <c r="N3" s="102" t="e" vm="37">
        <v>#VALUE!</v>
      </c>
      <c r="O3" s="102" t="e" vm="38">
        <v>#VALUE!</v>
      </c>
      <c r="P3" s="102" t="e" vm="30">
        <v>#VALUE!</v>
      </c>
      <c r="Q3" s="102" t="e" vm="39">
        <v>#VALUE!</v>
      </c>
      <c r="R3" s="102" t="e" vm="40">
        <v>#VALUE!</v>
      </c>
      <c r="S3" s="103" t="e" vm="41">
        <v>#VALUE!</v>
      </c>
      <c r="T3" s="102" t="e" vm="42">
        <v>#VALUE!</v>
      </c>
      <c r="U3" s="102" t="e" vm="7">
        <v>#VALUE!</v>
      </c>
      <c r="V3" s="102" t="e" vm="18">
        <v>#VALUE!</v>
      </c>
      <c r="W3" s="102" t="e" vm="43">
        <v>#VALUE!</v>
      </c>
      <c r="X3" s="102" t="e" vm="2">
        <v>#VALUE!</v>
      </c>
      <c r="Y3" s="144" t="e" vm="44">
        <v>#VALUE!</v>
      </c>
    </row>
    <row r="4" spans="1:25" ht="17" thickTop="1" x14ac:dyDescent="0.2">
      <c r="A4" s="13" t="s">
        <v>258</v>
      </c>
      <c r="B4" s="13">
        <v>15</v>
      </c>
      <c r="C4" s="128"/>
      <c r="D4" s="17">
        <v>13</v>
      </c>
      <c r="E4">
        <v>13</v>
      </c>
      <c r="F4" s="17">
        <v>13</v>
      </c>
      <c r="G4" s="17">
        <v>15</v>
      </c>
      <c r="H4" s="17">
        <v>14</v>
      </c>
      <c r="I4" s="17">
        <v>15</v>
      </c>
      <c r="J4" s="17">
        <v>14</v>
      </c>
      <c r="K4" s="17">
        <v>13</v>
      </c>
      <c r="L4" s="17">
        <v>15</v>
      </c>
      <c r="M4" s="17">
        <v>13</v>
      </c>
      <c r="N4" s="17">
        <v>11</v>
      </c>
      <c r="O4" s="17">
        <v>14</v>
      </c>
      <c r="P4" s="17">
        <v>14</v>
      </c>
      <c r="Q4" s="17">
        <v>11</v>
      </c>
      <c r="R4" s="17">
        <v>12</v>
      </c>
      <c r="S4" s="17">
        <v>14</v>
      </c>
      <c r="T4" s="17">
        <v>13</v>
      </c>
      <c r="U4">
        <v>13</v>
      </c>
      <c r="V4">
        <v>12</v>
      </c>
      <c r="W4">
        <v>14</v>
      </c>
      <c r="X4">
        <v>10</v>
      </c>
      <c r="Y4" s="145">
        <v>15</v>
      </c>
    </row>
    <row r="5" spans="1:25" ht="16" x14ac:dyDescent="0.2">
      <c r="A5" s="13" t="s">
        <v>259</v>
      </c>
      <c r="B5" s="13">
        <v>10</v>
      </c>
      <c r="C5" s="128"/>
      <c r="D5" s="17">
        <v>9</v>
      </c>
      <c r="E5">
        <v>9</v>
      </c>
      <c r="F5" s="17">
        <v>10</v>
      </c>
      <c r="G5" s="17">
        <v>10</v>
      </c>
      <c r="H5" s="17">
        <v>8</v>
      </c>
      <c r="I5" s="17">
        <v>9</v>
      </c>
      <c r="J5" s="17">
        <v>8</v>
      </c>
      <c r="K5" s="17">
        <v>9</v>
      </c>
      <c r="L5" s="17">
        <v>9</v>
      </c>
      <c r="M5" s="17">
        <v>8</v>
      </c>
      <c r="N5" s="17">
        <v>8</v>
      </c>
      <c r="O5" s="17">
        <v>9</v>
      </c>
      <c r="P5" s="17">
        <v>8</v>
      </c>
      <c r="Q5" s="17">
        <v>8</v>
      </c>
      <c r="R5" s="17">
        <v>7</v>
      </c>
      <c r="S5" s="17">
        <v>9</v>
      </c>
      <c r="T5" s="17">
        <v>9</v>
      </c>
      <c r="U5">
        <v>9</v>
      </c>
      <c r="V5">
        <v>7</v>
      </c>
      <c r="W5">
        <v>9</v>
      </c>
      <c r="X5">
        <v>7</v>
      </c>
      <c r="Y5" s="145">
        <v>10</v>
      </c>
    </row>
    <row r="6" spans="1:25" ht="16" x14ac:dyDescent="0.2">
      <c r="A6" s="13" t="s">
        <v>260</v>
      </c>
      <c r="B6" s="13">
        <v>10</v>
      </c>
      <c r="C6" s="128"/>
      <c r="D6" s="17">
        <v>9</v>
      </c>
      <c r="E6">
        <v>9</v>
      </c>
      <c r="F6" s="17">
        <v>10</v>
      </c>
      <c r="G6" s="17">
        <v>9</v>
      </c>
      <c r="H6" s="17">
        <v>10</v>
      </c>
      <c r="I6" s="17">
        <v>10</v>
      </c>
      <c r="J6" s="17">
        <v>9</v>
      </c>
      <c r="K6" s="17">
        <v>10</v>
      </c>
      <c r="L6" s="17">
        <v>10</v>
      </c>
      <c r="M6" s="17">
        <v>9</v>
      </c>
      <c r="N6" s="17">
        <v>7</v>
      </c>
      <c r="O6" s="17">
        <v>9</v>
      </c>
      <c r="P6" s="17">
        <v>9</v>
      </c>
      <c r="Q6" s="17">
        <v>9</v>
      </c>
      <c r="R6" s="17">
        <v>8</v>
      </c>
      <c r="S6" s="17">
        <v>9</v>
      </c>
      <c r="T6" s="17">
        <v>8</v>
      </c>
      <c r="U6">
        <v>9</v>
      </c>
      <c r="V6">
        <v>10</v>
      </c>
      <c r="W6">
        <v>10</v>
      </c>
      <c r="X6">
        <v>9</v>
      </c>
      <c r="Y6" s="145">
        <v>9</v>
      </c>
    </row>
    <row r="7" spans="1:25" ht="16" x14ac:dyDescent="0.2">
      <c r="A7" s="13" t="s">
        <v>261</v>
      </c>
      <c r="B7" s="13">
        <v>10</v>
      </c>
      <c r="C7" s="128"/>
      <c r="D7" s="17">
        <v>10</v>
      </c>
      <c r="E7">
        <v>10</v>
      </c>
      <c r="F7" s="17">
        <v>9</v>
      </c>
      <c r="G7" s="17">
        <v>9</v>
      </c>
      <c r="H7" s="17">
        <v>10</v>
      </c>
      <c r="I7" s="17">
        <v>10</v>
      </c>
      <c r="J7" s="17">
        <v>10</v>
      </c>
      <c r="K7" s="17">
        <v>10</v>
      </c>
      <c r="L7" s="17">
        <v>10</v>
      </c>
      <c r="M7" s="17">
        <v>10</v>
      </c>
      <c r="N7" s="17">
        <v>9</v>
      </c>
      <c r="O7" s="17">
        <v>10</v>
      </c>
      <c r="P7" s="17">
        <v>10</v>
      </c>
      <c r="Q7" s="17">
        <v>8</v>
      </c>
      <c r="R7" s="17">
        <v>0</v>
      </c>
      <c r="S7" s="17">
        <v>9</v>
      </c>
      <c r="T7" s="17">
        <v>9</v>
      </c>
      <c r="U7">
        <v>9</v>
      </c>
      <c r="V7">
        <v>8</v>
      </c>
      <c r="W7">
        <v>10</v>
      </c>
      <c r="X7">
        <v>7</v>
      </c>
      <c r="Y7" s="145">
        <v>9</v>
      </c>
    </row>
    <row r="8" spans="1:25" ht="16" x14ac:dyDescent="0.2">
      <c r="A8" s="13" t="s">
        <v>262</v>
      </c>
      <c r="B8" s="13">
        <v>10</v>
      </c>
      <c r="C8" s="128"/>
      <c r="D8" s="17">
        <v>10</v>
      </c>
      <c r="E8">
        <v>9</v>
      </c>
      <c r="F8" s="17">
        <v>9</v>
      </c>
      <c r="G8" s="17">
        <v>9</v>
      </c>
      <c r="H8" s="17">
        <v>8</v>
      </c>
      <c r="I8" s="17">
        <v>10</v>
      </c>
      <c r="J8" s="17">
        <v>10</v>
      </c>
      <c r="K8" s="17">
        <v>9</v>
      </c>
      <c r="L8" s="17">
        <v>10</v>
      </c>
      <c r="M8" s="17">
        <v>9</v>
      </c>
      <c r="N8" s="17">
        <v>8</v>
      </c>
      <c r="O8" s="17">
        <v>9</v>
      </c>
      <c r="P8" s="17">
        <v>10</v>
      </c>
      <c r="Q8" s="17">
        <v>8</v>
      </c>
      <c r="R8" s="17">
        <v>9</v>
      </c>
      <c r="S8" s="17">
        <v>9</v>
      </c>
      <c r="T8" s="17">
        <v>9</v>
      </c>
      <c r="U8">
        <v>9</v>
      </c>
      <c r="V8">
        <v>8</v>
      </c>
      <c r="W8">
        <v>10</v>
      </c>
      <c r="X8">
        <v>8</v>
      </c>
      <c r="Y8" s="145">
        <v>10</v>
      </c>
    </row>
    <row r="9" spans="1:25" ht="16" x14ac:dyDescent="0.2">
      <c r="A9" s="13" t="s">
        <v>263</v>
      </c>
      <c r="B9" s="13">
        <v>30</v>
      </c>
      <c r="C9" s="128"/>
      <c r="D9" s="17">
        <v>27</v>
      </c>
      <c r="E9">
        <v>27</v>
      </c>
      <c r="F9" s="17">
        <v>28</v>
      </c>
      <c r="G9" s="17">
        <v>28</v>
      </c>
      <c r="H9" s="17">
        <v>27</v>
      </c>
      <c r="I9" s="17">
        <v>28</v>
      </c>
      <c r="J9" s="17">
        <v>27</v>
      </c>
      <c r="K9" s="17">
        <v>28</v>
      </c>
      <c r="L9" s="17">
        <v>28</v>
      </c>
      <c r="M9" s="17">
        <v>28</v>
      </c>
      <c r="N9" s="17">
        <v>27</v>
      </c>
      <c r="O9" s="17">
        <v>28</v>
      </c>
      <c r="P9" s="17">
        <v>27</v>
      </c>
      <c r="Q9" s="17">
        <v>24</v>
      </c>
      <c r="R9" s="17">
        <v>25</v>
      </c>
      <c r="S9" s="17">
        <v>27</v>
      </c>
      <c r="T9" s="17">
        <v>28</v>
      </c>
      <c r="U9">
        <v>28</v>
      </c>
      <c r="V9">
        <v>25</v>
      </c>
      <c r="W9">
        <v>28</v>
      </c>
      <c r="X9">
        <v>20</v>
      </c>
      <c r="Y9" s="145">
        <v>29</v>
      </c>
    </row>
    <row r="10" spans="1:25" ht="16" x14ac:dyDescent="0.2">
      <c r="A10" s="13" t="s">
        <v>264</v>
      </c>
      <c r="B10" s="13">
        <v>5</v>
      </c>
      <c r="C10" s="128"/>
      <c r="D10" s="17">
        <v>5</v>
      </c>
      <c r="E10">
        <v>5</v>
      </c>
      <c r="F10" s="17">
        <v>5</v>
      </c>
      <c r="G10" s="17">
        <v>5</v>
      </c>
      <c r="H10" s="17">
        <v>5</v>
      </c>
      <c r="I10" s="17">
        <v>5</v>
      </c>
      <c r="J10" s="17">
        <v>5</v>
      </c>
      <c r="K10" s="17">
        <v>5</v>
      </c>
      <c r="L10" s="17">
        <v>5</v>
      </c>
      <c r="M10" s="17">
        <v>5</v>
      </c>
      <c r="N10" s="17">
        <v>5</v>
      </c>
      <c r="O10" s="17">
        <v>5</v>
      </c>
      <c r="P10" s="17">
        <v>5</v>
      </c>
      <c r="Q10" s="17">
        <v>4</v>
      </c>
      <c r="R10" s="17">
        <v>4</v>
      </c>
      <c r="S10" s="17">
        <v>5</v>
      </c>
      <c r="T10" s="17">
        <v>5</v>
      </c>
      <c r="U10">
        <v>5</v>
      </c>
      <c r="V10">
        <v>5</v>
      </c>
      <c r="W10">
        <v>5</v>
      </c>
      <c r="X10">
        <v>5</v>
      </c>
      <c r="Y10" s="145">
        <v>5</v>
      </c>
    </row>
    <row r="11" spans="1:25" ht="17" thickBot="1" x14ac:dyDescent="0.25">
      <c r="A11" s="127" t="s">
        <v>265</v>
      </c>
      <c r="B11" s="127">
        <v>10</v>
      </c>
      <c r="C11" s="128"/>
      <c r="D11" s="99">
        <v>10</v>
      </c>
      <c r="E11" s="100">
        <v>10</v>
      </c>
      <c r="F11" s="99">
        <v>10</v>
      </c>
      <c r="G11" s="99">
        <v>9</v>
      </c>
      <c r="H11" s="99">
        <v>8</v>
      </c>
      <c r="I11" s="99">
        <v>10</v>
      </c>
      <c r="J11" s="99">
        <v>9</v>
      </c>
      <c r="K11" s="99">
        <v>9</v>
      </c>
      <c r="L11" s="99">
        <v>9</v>
      </c>
      <c r="M11" s="99">
        <v>10</v>
      </c>
      <c r="N11" s="17">
        <v>10</v>
      </c>
      <c r="O11" s="17">
        <v>10</v>
      </c>
      <c r="P11" s="99">
        <v>9</v>
      </c>
      <c r="Q11" s="17">
        <v>8</v>
      </c>
      <c r="R11" s="99">
        <v>10</v>
      </c>
      <c r="S11" s="99">
        <v>10</v>
      </c>
      <c r="T11" s="99">
        <v>9</v>
      </c>
      <c r="U11" s="100">
        <v>10</v>
      </c>
      <c r="V11" s="100">
        <v>10</v>
      </c>
      <c r="W11">
        <v>10</v>
      </c>
      <c r="X11">
        <v>9</v>
      </c>
      <c r="Y11" s="150">
        <v>10</v>
      </c>
    </row>
    <row r="12" spans="1:25" ht="17" thickTop="1" x14ac:dyDescent="0.2">
      <c r="A12" s="140" t="s">
        <v>325</v>
      </c>
      <c r="B12" s="13">
        <f>SUM(B4:B11)</f>
        <v>100</v>
      </c>
      <c r="C12" s="128"/>
      <c r="D12" s="17">
        <f>SUM(D4:D11)</f>
        <v>93</v>
      </c>
      <c r="E12">
        <f>SUM(E4:E11)</f>
        <v>92</v>
      </c>
      <c r="F12" s="17">
        <f t="shared" ref="F12:L12" si="0">SUM(F4:F11)</f>
        <v>94</v>
      </c>
      <c r="G12" s="17">
        <f t="shared" si="0"/>
        <v>94</v>
      </c>
      <c r="H12" s="17">
        <f t="shared" si="0"/>
        <v>90</v>
      </c>
      <c r="I12" s="17">
        <f t="shared" si="0"/>
        <v>97</v>
      </c>
      <c r="J12" s="17">
        <f t="shared" si="0"/>
        <v>92</v>
      </c>
      <c r="K12" s="17">
        <f t="shared" si="0"/>
        <v>93</v>
      </c>
      <c r="L12" s="17">
        <f t="shared" si="0"/>
        <v>96</v>
      </c>
      <c r="M12" s="17">
        <f>SUM(M4:M11)</f>
        <v>92</v>
      </c>
      <c r="N12" s="17">
        <f t="shared" ref="N12:Q12" si="1">SUM(N4:N11)</f>
        <v>85</v>
      </c>
      <c r="O12" s="17">
        <f t="shared" si="1"/>
        <v>94</v>
      </c>
      <c r="P12" s="17">
        <f t="shared" si="1"/>
        <v>92</v>
      </c>
      <c r="Q12" s="17">
        <f t="shared" si="1"/>
        <v>80</v>
      </c>
      <c r="R12" s="17">
        <f t="shared" ref="R12:Y12" si="2">SUM(R4:R11)</f>
        <v>75</v>
      </c>
      <c r="S12" s="17">
        <f t="shared" si="2"/>
        <v>92</v>
      </c>
      <c r="T12" s="17">
        <f t="shared" si="2"/>
        <v>90</v>
      </c>
      <c r="U12">
        <f t="shared" si="2"/>
        <v>92</v>
      </c>
      <c r="V12">
        <f t="shared" si="2"/>
        <v>85</v>
      </c>
      <c r="W12">
        <f t="shared" si="2"/>
        <v>96</v>
      </c>
      <c r="X12">
        <f t="shared" si="2"/>
        <v>75</v>
      </c>
      <c r="Y12" s="145">
        <f t="shared" si="2"/>
        <v>97</v>
      </c>
    </row>
    <row r="13" spans="1:25" ht="16" x14ac:dyDescent="0.2">
      <c r="A13" s="13" t="s">
        <v>492</v>
      </c>
      <c r="B13" s="13"/>
      <c r="C13" s="128"/>
      <c r="D13" s="17"/>
      <c r="Q13" s="17">
        <f>Q12-5</f>
        <v>75</v>
      </c>
      <c r="R13" s="17">
        <f>R12-5</f>
        <v>70</v>
      </c>
      <c r="T13" s="17">
        <f>T12-5</f>
        <v>85</v>
      </c>
      <c r="V13">
        <f>V12-5</f>
        <v>80</v>
      </c>
      <c r="W13">
        <f>W12-5</f>
        <v>91</v>
      </c>
      <c r="X13">
        <f>X12-5</f>
        <v>70</v>
      </c>
      <c r="Y13" s="145">
        <f>Y12-5</f>
        <v>92</v>
      </c>
    </row>
    <row r="14" spans="1:25" ht="16" x14ac:dyDescent="0.2">
      <c r="A14" s="13" t="s">
        <v>324</v>
      </c>
      <c r="D14" s="138">
        <v>93</v>
      </c>
      <c r="E14" s="139">
        <v>92</v>
      </c>
      <c r="F14" s="138">
        <v>95</v>
      </c>
      <c r="G14" s="138">
        <v>95</v>
      </c>
      <c r="H14" s="138">
        <v>90</v>
      </c>
      <c r="I14" s="138">
        <v>94</v>
      </c>
      <c r="J14" s="138">
        <v>93</v>
      </c>
      <c r="K14" s="138">
        <v>95</v>
      </c>
      <c r="L14" s="138">
        <v>95</v>
      </c>
      <c r="M14" s="138">
        <v>92</v>
      </c>
      <c r="N14" t="s">
        <v>384</v>
      </c>
      <c r="O14">
        <v>95</v>
      </c>
      <c r="P14">
        <v>90</v>
      </c>
      <c r="Q14" s="148" t="s">
        <v>491</v>
      </c>
      <c r="R14" s="148" t="s">
        <v>420</v>
      </c>
      <c r="U14">
        <v>94</v>
      </c>
      <c r="V14">
        <v>80</v>
      </c>
      <c r="W14">
        <v>96</v>
      </c>
      <c r="X14">
        <v>85</v>
      </c>
      <c r="Y14" s="145">
        <v>94</v>
      </c>
    </row>
    <row r="15" spans="1:25" x14ac:dyDescent="0.2">
      <c r="F15" s="147">
        <v>-5</v>
      </c>
      <c r="I15" s="17" t="s">
        <v>335</v>
      </c>
      <c r="O15" t="s">
        <v>389</v>
      </c>
      <c r="Q15" t="s">
        <v>385</v>
      </c>
      <c r="R15" t="s">
        <v>491</v>
      </c>
      <c r="S15" s="17">
        <v>92</v>
      </c>
      <c r="T15">
        <v>90</v>
      </c>
      <c r="U15" t="s">
        <v>437</v>
      </c>
      <c r="W15" t="s">
        <v>465</v>
      </c>
      <c r="X15" t="s">
        <v>473</v>
      </c>
      <c r="Y15" s="145" t="s">
        <v>436</v>
      </c>
    </row>
    <row r="16" spans="1:25" ht="16" x14ac:dyDescent="0.2">
      <c r="A16" s="13" t="s">
        <v>266</v>
      </c>
      <c r="B16" s="13"/>
      <c r="C16" s="128"/>
      <c r="D16" t="s">
        <v>276</v>
      </c>
      <c r="E16" t="s">
        <v>283</v>
      </c>
      <c r="F16" s="17" t="s">
        <v>370</v>
      </c>
      <c r="G16" s="17" t="s">
        <v>300</v>
      </c>
      <c r="H16" s="17" t="s">
        <v>318</v>
      </c>
      <c r="I16" s="17" t="s">
        <v>326</v>
      </c>
      <c r="J16" s="17" t="s">
        <v>351</v>
      </c>
      <c r="K16" s="17" t="s">
        <v>358</v>
      </c>
      <c r="L16" s="17" t="s">
        <v>361</v>
      </c>
      <c r="M16" s="17" t="s">
        <v>374</v>
      </c>
      <c r="N16" t="s">
        <v>382</v>
      </c>
      <c r="O16" s="17" t="s">
        <v>390</v>
      </c>
      <c r="P16" t="s">
        <v>412</v>
      </c>
      <c r="R16" t="s">
        <v>386</v>
      </c>
      <c r="U16" t="s">
        <v>438</v>
      </c>
      <c r="V16" t="s">
        <v>458</v>
      </c>
      <c r="W16" t="s">
        <v>467</v>
      </c>
      <c r="X16" t="s">
        <v>474</v>
      </c>
      <c r="Y16" s="145" t="s">
        <v>428</v>
      </c>
    </row>
    <row r="17" spans="1:25" ht="16" x14ac:dyDescent="0.2">
      <c r="A17" s="13" t="s">
        <v>371</v>
      </c>
      <c r="D17" t="s">
        <v>277</v>
      </c>
      <c r="E17" t="s">
        <v>284</v>
      </c>
      <c r="F17" s="17" t="s">
        <v>372</v>
      </c>
      <c r="G17" s="17" t="s">
        <v>305</v>
      </c>
      <c r="H17" s="17" t="s">
        <v>319</v>
      </c>
      <c r="I17" s="17" t="s">
        <v>327</v>
      </c>
      <c r="J17" s="17" t="s">
        <v>341</v>
      </c>
      <c r="K17" s="17" t="s">
        <v>352</v>
      </c>
      <c r="L17" s="17" t="s">
        <v>362</v>
      </c>
      <c r="M17" s="17" t="s">
        <v>375</v>
      </c>
      <c r="N17" t="s">
        <v>383</v>
      </c>
      <c r="O17" s="17" t="s">
        <v>391</v>
      </c>
      <c r="P17" t="s">
        <v>413</v>
      </c>
      <c r="Q17" s="17" t="s">
        <v>481</v>
      </c>
      <c r="S17" s="17" t="s">
        <v>430</v>
      </c>
      <c r="T17" t="s">
        <v>454</v>
      </c>
      <c r="U17" t="s">
        <v>439</v>
      </c>
      <c r="V17" t="s">
        <v>459</v>
      </c>
      <c r="W17" t="s">
        <v>468</v>
      </c>
      <c r="X17" t="s">
        <v>475</v>
      </c>
      <c r="Y17" s="145" t="s">
        <v>429</v>
      </c>
    </row>
    <row r="18" spans="1:25" x14ac:dyDescent="0.2">
      <c r="D18" t="s">
        <v>270</v>
      </c>
      <c r="E18" t="s">
        <v>285</v>
      </c>
      <c r="G18" s="17" t="s">
        <v>306</v>
      </c>
      <c r="H18" s="17" t="s">
        <v>320</v>
      </c>
      <c r="I18" s="17" t="s">
        <v>328</v>
      </c>
      <c r="J18" s="17" t="s">
        <v>342</v>
      </c>
      <c r="K18" s="17" t="s">
        <v>353</v>
      </c>
      <c r="L18" s="17" t="s">
        <v>363</v>
      </c>
      <c r="M18" s="17" t="s">
        <v>376</v>
      </c>
      <c r="N18" s="17" t="s">
        <v>421</v>
      </c>
      <c r="O18" s="17" t="s">
        <v>392</v>
      </c>
      <c r="P18" s="17" t="s">
        <v>414</v>
      </c>
      <c r="Q18" s="17" t="s">
        <v>482</v>
      </c>
      <c r="R18" s="17" t="s">
        <v>487</v>
      </c>
      <c r="S18" s="17" t="s">
        <v>446</v>
      </c>
      <c r="T18" s="17" t="s">
        <v>455</v>
      </c>
      <c r="U18" t="s">
        <v>440</v>
      </c>
      <c r="V18" t="s">
        <v>460</v>
      </c>
      <c r="W18" t="s">
        <v>469</v>
      </c>
      <c r="X18" t="s">
        <v>476</v>
      </c>
      <c r="Y18" s="145" t="s">
        <v>430</v>
      </c>
    </row>
    <row r="19" spans="1:25" ht="48" x14ac:dyDescent="0.2">
      <c r="D19" t="s">
        <v>271</v>
      </c>
      <c r="E19" t="s">
        <v>286</v>
      </c>
      <c r="F19" s="17" t="s">
        <v>399</v>
      </c>
      <c r="G19" s="17" t="s">
        <v>307</v>
      </c>
      <c r="H19" s="17" t="s">
        <v>321</v>
      </c>
      <c r="I19" s="17" t="s">
        <v>329</v>
      </c>
      <c r="J19" s="17" t="s">
        <v>343</v>
      </c>
      <c r="K19" s="17" t="s">
        <v>354</v>
      </c>
      <c r="L19" s="17" t="s">
        <v>364</v>
      </c>
      <c r="M19" s="17" t="s">
        <v>377</v>
      </c>
      <c r="N19" s="17" t="s">
        <v>422</v>
      </c>
      <c r="O19" s="17" t="s">
        <v>393</v>
      </c>
      <c r="P19" s="17" t="s">
        <v>416</v>
      </c>
      <c r="Q19" s="17" t="s">
        <v>483</v>
      </c>
      <c r="R19" s="17" t="s">
        <v>488</v>
      </c>
      <c r="S19" s="17" t="s">
        <v>447</v>
      </c>
      <c r="T19" s="17" t="s">
        <v>456</v>
      </c>
      <c r="U19" t="s">
        <v>441</v>
      </c>
      <c r="V19" t="s">
        <v>461</v>
      </c>
      <c r="W19" t="s">
        <v>470</v>
      </c>
      <c r="X19" t="s">
        <v>477</v>
      </c>
      <c r="Y19" s="146" t="s">
        <v>431</v>
      </c>
    </row>
    <row r="20" spans="1:25" x14ac:dyDescent="0.2">
      <c r="A20" t="s">
        <v>367</v>
      </c>
      <c r="D20" t="s">
        <v>272</v>
      </c>
      <c r="E20" t="s">
        <v>289</v>
      </c>
      <c r="F20" s="17" t="s">
        <v>400</v>
      </c>
      <c r="G20" s="17" t="s">
        <v>309</v>
      </c>
      <c r="H20" s="17" t="s">
        <v>322</v>
      </c>
      <c r="I20" s="17" t="s">
        <v>330</v>
      </c>
      <c r="J20" s="17" t="s">
        <v>344</v>
      </c>
      <c r="K20" s="17" t="s">
        <v>355</v>
      </c>
      <c r="L20" s="17" t="s">
        <v>365</v>
      </c>
      <c r="M20" s="17" t="s">
        <v>378</v>
      </c>
      <c r="N20" s="17" t="s">
        <v>423</v>
      </c>
      <c r="O20" s="17" t="s">
        <v>394</v>
      </c>
      <c r="P20" s="17" t="s">
        <v>417</v>
      </c>
      <c r="Q20" s="17" t="s">
        <v>484</v>
      </c>
      <c r="R20" s="17"/>
      <c r="S20" s="17" t="s">
        <v>448</v>
      </c>
      <c r="U20" t="s">
        <v>442</v>
      </c>
      <c r="W20" t="s">
        <v>471</v>
      </c>
      <c r="Y20" s="145" t="s">
        <v>432</v>
      </c>
    </row>
    <row r="21" spans="1:25" x14ac:dyDescent="0.2">
      <c r="D21" t="s">
        <v>273</v>
      </c>
      <c r="E21" t="s">
        <v>287</v>
      </c>
      <c r="F21" s="17" t="s">
        <v>401</v>
      </c>
      <c r="G21" s="17" t="s">
        <v>308</v>
      </c>
      <c r="I21" s="17" t="s">
        <v>331</v>
      </c>
      <c r="J21" s="17" t="s">
        <v>345</v>
      </c>
      <c r="K21" s="17" t="s">
        <v>356</v>
      </c>
      <c r="L21" s="17" t="s">
        <v>369</v>
      </c>
      <c r="N21" s="17" t="s">
        <v>424</v>
      </c>
      <c r="O21" s="17" t="s">
        <v>395</v>
      </c>
      <c r="R21" s="17" t="s">
        <v>489</v>
      </c>
      <c r="S21" s="17" t="s">
        <v>449</v>
      </c>
      <c r="T21" t="s">
        <v>457</v>
      </c>
      <c r="U21" t="s">
        <v>443</v>
      </c>
      <c r="V21" t="s">
        <v>462</v>
      </c>
      <c r="W21" t="s">
        <v>472</v>
      </c>
      <c r="Y21" s="145" t="s">
        <v>366</v>
      </c>
    </row>
    <row r="22" spans="1:25" x14ac:dyDescent="0.2">
      <c r="D22" t="s">
        <v>281</v>
      </c>
      <c r="E22" t="s">
        <v>288</v>
      </c>
      <c r="G22" s="17" t="s">
        <v>310</v>
      </c>
      <c r="H22" s="17" t="s">
        <v>323</v>
      </c>
      <c r="I22" s="17" t="s">
        <v>332</v>
      </c>
      <c r="J22" s="17" t="s">
        <v>346</v>
      </c>
      <c r="K22" s="17" t="s">
        <v>357</v>
      </c>
      <c r="L22" s="17" t="s">
        <v>366</v>
      </c>
      <c r="N22" s="17" t="s">
        <v>425</v>
      </c>
      <c r="O22" s="17" t="s">
        <v>396</v>
      </c>
      <c r="P22" s="17" t="s">
        <v>418</v>
      </c>
      <c r="Q22" s="17" t="s">
        <v>485</v>
      </c>
      <c r="R22" s="17" t="s">
        <v>466</v>
      </c>
      <c r="S22" s="17" t="s">
        <v>450</v>
      </c>
      <c r="V22" t="s">
        <v>463</v>
      </c>
      <c r="Y22" s="145" t="s">
        <v>433</v>
      </c>
    </row>
    <row r="23" spans="1:25" x14ac:dyDescent="0.2">
      <c r="D23" t="s">
        <v>274</v>
      </c>
      <c r="E23" t="s">
        <v>290</v>
      </c>
      <c r="F23" s="17" t="s">
        <v>402</v>
      </c>
      <c r="G23" s="17" t="s">
        <v>311</v>
      </c>
      <c r="I23" s="17" t="s">
        <v>333</v>
      </c>
      <c r="J23" s="17" t="s">
        <v>347</v>
      </c>
      <c r="M23" s="17" t="s">
        <v>381</v>
      </c>
      <c r="N23" s="17" t="s">
        <v>426</v>
      </c>
      <c r="O23" s="17" t="s">
        <v>397</v>
      </c>
      <c r="Q23" s="17" t="s">
        <v>486</v>
      </c>
      <c r="R23" s="17" t="s">
        <v>490</v>
      </c>
      <c r="S23" s="17" t="s">
        <v>451</v>
      </c>
      <c r="U23" t="s">
        <v>444</v>
      </c>
      <c r="V23" t="s">
        <v>464</v>
      </c>
      <c r="X23" t="s">
        <v>478</v>
      </c>
    </row>
    <row r="24" spans="1:25" x14ac:dyDescent="0.2">
      <c r="A24" t="s">
        <v>387</v>
      </c>
      <c r="G24" s="17" t="s">
        <v>315</v>
      </c>
      <c r="I24" s="17" t="s">
        <v>334</v>
      </c>
      <c r="J24" s="17" t="s">
        <v>348</v>
      </c>
      <c r="M24" s="17" t="s">
        <v>379</v>
      </c>
      <c r="P24" s="17" t="s">
        <v>419</v>
      </c>
      <c r="S24" s="17" t="s">
        <v>452</v>
      </c>
      <c r="U24" t="s">
        <v>445</v>
      </c>
    </row>
    <row r="25" spans="1:25" x14ac:dyDescent="0.2">
      <c r="A25" t="s">
        <v>388</v>
      </c>
      <c r="D25" t="s">
        <v>275</v>
      </c>
      <c r="E25" t="s">
        <v>299</v>
      </c>
      <c r="F25" s="17" t="s">
        <v>403</v>
      </c>
      <c r="G25" s="17" t="s">
        <v>312</v>
      </c>
      <c r="I25" s="17" t="s">
        <v>338</v>
      </c>
      <c r="J25" s="17" t="s">
        <v>349</v>
      </c>
      <c r="M25" s="17" t="s">
        <v>380</v>
      </c>
      <c r="X25" t="s">
        <v>479</v>
      </c>
      <c r="Y25" s="145" t="s">
        <v>434</v>
      </c>
    </row>
    <row r="26" spans="1:25" ht="16" x14ac:dyDescent="0.2">
      <c r="A26" s="13" t="s">
        <v>269</v>
      </c>
      <c r="E26" t="s">
        <v>291</v>
      </c>
      <c r="F26" s="17" t="s">
        <v>404</v>
      </c>
      <c r="G26" s="17" t="s">
        <v>317</v>
      </c>
      <c r="I26" s="17" t="s">
        <v>339</v>
      </c>
      <c r="J26" s="17" t="s">
        <v>350</v>
      </c>
      <c r="M26" t="s">
        <v>373</v>
      </c>
      <c r="S26" s="17" t="s">
        <v>453</v>
      </c>
      <c r="V26" t="s">
        <v>466</v>
      </c>
      <c r="Y26" s="145" t="s">
        <v>435</v>
      </c>
    </row>
    <row r="27" spans="1:25" x14ac:dyDescent="0.2">
      <c r="E27" t="s">
        <v>292</v>
      </c>
      <c r="I27" s="17" t="s">
        <v>336</v>
      </c>
      <c r="X27" t="s">
        <v>480</v>
      </c>
    </row>
    <row r="28" spans="1:25" x14ac:dyDescent="0.2">
      <c r="E28" t="s">
        <v>293</v>
      </c>
      <c r="I28" s="17" t="s">
        <v>340</v>
      </c>
      <c r="R28" t="s">
        <v>503</v>
      </c>
    </row>
    <row r="29" spans="1:25" x14ac:dyDescent="0.2">
      <c r="F29" s="17" t="s">
        <v>405</v>
      </c>
      <c r="R29" t="s">
        <v>504</v>
      </c>
      <c r="X29" t="s">
        <v>493</v>
      </c>
    </row>
    <row r="30" spans="1:25" x14ac:dyDescent="0.2">
      <c r="A30" t="s">
        <v>415</v>
      </c>
      <c r="F30" s="17" t="s">
        <v>406</v>
      </c>
    </row>
    <row r="32" spans="1:25" x14ac:dyDescent="0.2">
      <c r="D32" t="s">
        <v>278</v>
      </c>
      <c r="E32" t="s">
        <v>294</v>
      </c>
      <c r="F32" s="17" t="s">
        <v>407</v>
      </c>
      <c r="G32" s="17" t="s">
        <v>313</v>
      </c>
      <c r="X32" t="s">
        <v>500</v>
      </c>
    </row>
    <row r="33" spans="1:24" x14ac:dyDescent="0.2">
      <c r="D33" s="137" t="s">
        <v>279</v>
      </c>
      <c r="E33" t="s">
        <v>295</v>
      </c>
      <c r="G33" s="17" t="s">
        <v>314</v>
      </c>
      <c r="X33" t="s">
        <v>494</v>
      </c>
    </row>
    <row r="34" spans="1:24" x14ac:dyDescent="0.2">
      <c r="D34" t="s">
        <v>280</v>
      </c>
      <c r="E34" t="s">
        <v>296</v>
      </c>
      <c r="F34" s="17" t="s">
        <v>408</v>
      </c>
      <c r="G34" s="17" t="s">
        <v>298</v>
      </c>
      <c r="X34" t="s">
        <v>495</v>
      </c>
    </row>
    <row r="35" spans="1:24" x14ac:dyDescent="0.2">
      <c r="D35" t="s">
        <v>282</v>
      </c>
      <c r="E35" t="s">
        <v>297</v>
      </c>
      <c r="F35" s="17" t="s">
        <v>409</v>
      </c>
      <c r="G35" s="17" t="s">
        <v>316</v>
      </c>
      <c r="Q35" t="s">
        <v>427</v>
      </c>
      <c r="X35" t="s">
        <v>496</v>
      </c>
    </row>
    <row r="36" spans="1:24" x14ac:dyDescent="0.2">
      <c r="A36" t="s">
        <v>269</v>
      </c>
      <c r="E36" t="s">
        <v>298</v>
      </c>
      <c r="I36" s="17" t="s">
        <v>337</v>
      </c>
      <c r="J36" s="17" t="s">
        <v>296</v>
      </c>
      <c r="K36" s="17" t="s">
        <v>296</v>
      </c>
      <c r="L36" s="17" t="s">
        <v>337</v>
      </c>
      <c r="O36" s="17" t="s">
        <v>398</v>
      </c>
      <c r="X36" t="s">
        <v>497</v>
      </c>
    </row>
    <row r="37" spans="1:24" x14ac:dyDescent="0.2">
      <c r="E37" t="s">
        <v>206</v>
      </c>
      <c r="F37" s="17" t="s">
        <v>410</v>
      </c>
      <c r="I37" s="17" t="s">
        <v>278</v>
      </c>
      <c r="J37" s="17" t="s">
        <v>278</v>
      </c>
      <c r="K37" s="17" t="s">
        <v>359</v>
      </c>
      <c r="L37" s="17" t="s">
        <v>298</v>
      </c>
      <c r="O37" s="17" t="s">
        <v>360</v>
      </c>
      <c r="X37" t="s">
        <v>498</v>
      </c>
    </row>
    <row r="38" spans="1:24" x14ac:dyDescent="0.2">
      <c r="E38" t="s">
        <v>280</v>
      </c>
      <c r="F38" s="17" t="s">
        <v>411</v>
      </c>
      <c r="I38" s="17" t="s">
        <v>280</v>
      </c>
      <c r="K38" s="17" t="s">
        <v>337</v>
      </c>
      <c r="L38" s="17" t="s">
        <v>368</v>
      </c>
      <c r="X38" t="s">
        <v>499</v>
      </c>
    </row>
    <row r="39" spans="1:24" x14ac:dyDescent="0.2">
      <c r="E39" t="s">
        <v>282</v>
      </c>
      <c r="K39" s="17" t="s">
        <v>360</v>
      </c>
    </row>
    <row r="40" spans="1:24" x14ac:dyDescent="0.2">
      <c r="K40" s="17" t="s">
        <v>295</v>
      </c>
    </row>
  </sheetData>
  <mergeCells count="1">
    <mergeCell ref="A1:B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C762-ED42-4237-81C8-C1B763849A88}">
  <dimension ref="A6:L30"/>
  <sheetViews>
    <sheetView workbookViewId="0">
      <selection activeCell="A9" sqref="A9"/>
    </sheetView>
  </sheetViews>
  <sheetFormatPr baseColWidth="10" defaultColWidth="8.83203125" defaultRowHeight="15" x14ac:dyDescent="0.2"/>
  <cols>
    <col min="2" max="2" width="22" bestFit="1" customWidth="1"/>
    <col min="3" max="3" width="49.33203125" customWidth="1"/>
    <col min="4" max="4" width="16.5" customWidth="1"/>
    <col min="5" max="6" width="17.33203125" customWidth="1"/>
    <col min="7" max="7" width="13.5" customWidth="1"/>
    <col min="8" max="8" width="15.1640625" customWidth="1"/>
    <col min="9" max="9" width="16.5" customWidth="1"/>
    <col min="10" max="10" width="21.33203125" customWidth="1"/>
    <col min="11" max="11" width="17.6640625" customWidth="1"/>
    <col min="12" max="12" width="21.83203125" customWidth="1"/>
  </cols>
  <sheetData>
    <row r="6" spans="1:12" ht="48" x14ac:dyDescent="0.2">
      <c r="A6" s="222" t="s">
        <v>255</v>
      </c>
      <c r="B6" s="13" t="s">
        <v>256</v>
      </c>
      <c r="C6" s="13" t="s">
        <v>257</v>
      </c>
      <c r="D6" s="13" t="s">
        <v>258</v>
      </c>
      <c r="E6" s="13" t="s">
        <v>259</v>
      </c>
      <c r="F6" s="13" t="s">
        <v>260</v>
      </c>
      <c r="G6" s="13" t="s">
        <v>261</v>
      </c>
      <c r="H6" s="13" t="s">
        <v>262</v>
      </c>
      <c r="I6" s="13" t="s">
        <v>263</v>
      </c>
      <c r="J6" s="13" t="s">
        <v>264</v>
      </c>
      <c r="K6" s="13" t="s">
        <v>265</v>
      </c>
      <c r="L6" s="13" t="s">
        <v>268</v>
      </c>
    </row>
    <row r="7" spans="1:12" ht="17" thickBot="1" x14ac:dyDescent="0.25">
      <c r="A7" s="222"/>
      <c r="B7" s="13"/>
      <c r="C7" s="130"/>
      <c r="D7" s="130" t="s">
        <v>81</v>
      </c>
      <c r="E7" s="130"/>
      <c r="F7" s="130"/>
      <c r="G7" s="130"/>
      <c r="H7" s="130"/>
      <c r="I7" s="130"/>
      <c r="J7" s="130"/>
      <c r="K7" s="130"/>
      <c r="L7" s="132"/>
    </row>
    <row r="8" spans="1:12" ht="17" thickTop="1" thickBot="1" x14ac:dyDescent="0.25">
      <c r="A8" s="129" t="s">
        <v>267</v>
      </c>
      <c r="B8" s="115" t="s">
        <v>40</v>
      </c>
      <c r="C8" s="131" t="s">
        <v>233</v>
      </c>
      <c r="D8" s="127">
        <v>15</v>
      </c>
      <c r="E8" s="127">
        <v>10</v>
      </c>
      <c r="F8" s="127">
        <v>10</v>
      </c>
      <c r="G8" s="127">
        <v>10</v>
      </c>
      <c r="H8" s="127">
        <v>10</v>
      </c>
      <c r="I8" s="127">
        <v>30</v>
      </c>
      <c r="J8" s="127">
        <v>5</v>
      </c>
      <c r="K8" s="127">
        <v>10</v>
      </c>
      <c r="L8" s="100"/>
    </row>
    <row r="9" spans="1:12" s="136" customFormat="1" ht="51" customHeight="1" thickTop="1" x14ac:dyDescent="0.2">
      <c r="A9" s="133">
        <v>1</v>
      </c>
      <c r="B9" s="134"/>
      <c r="C9" s="135"/>
    </row>
    <row r="10" spans="1:12" x14ac:dyDescent="0.2">
      <c r="A10" s="103">
        <v>2</v>
      </c>
      <c r="B10" s="101"/>
      <c r="C10" s="102"/>
    </row>
    <row r="11" spans="1:12" x14ac:dyDescent="0.2">
      <c r="A11" s="103">
        <v>3</v>
      </c>
      <c r="B11" s="101"/>
      <c r="C11" s="102"/>
    </row>
    <row r="12" spans="1:12" x14ac:dyDescent="0.2">
      <c r="A12" s="103">
        <v>4</v>
      </c>
      <c r="B12" s="101"/>
      <c r="C12" s="102"/>
    </row>
    <row r="13" spans="1:12" x14ac:dyDescent="0.2">
      <c r="A13" s="103">
        <v>5</v>
      </c>
      <c r="B13" s="101"/>
      <c r="C13" s="102"/>
    </row>
    <row r="14" spans="1:12" x14ac:dyDescent="0.2">
      <c r="A14" s="103">
        <v>6</v>
      </c>
      <c r="B14" s="101"/>
      <c r="C14" s="102"/>
    </row>
    <row r="15" spans="1:12" x14ac:dyDescent="0.2">
      <c r="A15" s="103">
        <v>7</v>
      </c>
      <c r="B15" s="101"/>
      <c r="C15" s="102"/>
    </row>
    <row r="16" spans="1:12" x14ac:dyDescent="0.2">
      <c r="A16" s="103">
        <v>8</v>
      </c>
      <c r="B16" s="101"/>
      <c r="C16" s="102"/>
    </row>
    <row r="17" spans="1:3" x14ac:dyDescent="0.2">
      <c r="A17" s="103">
        <v>9</v>
      </c>
      <c r="B17" s="101"/>
      <c r="C17" s="102"/>
    </row>
    <row r="18" spans="1:3" x14ac:dyDescent="0.2">
      <c r="A18" s="103">
        <v>10</v>
      </c>
      <c r="B18" s="101"/>
      <c r="C18" s="102"/>
    </row>
    <row r="19" spans="1:3" x14ac:dyDescent="0.2">
      <c r="A19" s="103">
        <v>11</v>
      </c>
      <c r="B19" s="101"/>
      <c r="C19" s="102"/>
    </row>
    <row r="20" spans="1:3" x14ac:dyDescent="0.2">
      <c r="A20" s="103">
        <v>12</v>
      </c>
      <c r="B20" s="101"/>
      <c r="C20" s="102"/>
    </row>
    <row r="21" spans="1:3" x14ac:dyDescent="0.2">
      <c r="A21" s="103">
        <v>13</v>
      </c>
      <c r="B21" s="101"/>
      <c r="C21" s="102"/>
    </row>
    <row r="22" spans="1:3" x14ac:dyDescent="0.2">
      <c r="A22" s="103">
        <v>14</v>
      </c>
      <c r="B22" s="101"/>
      <c r="C22" s="102"/>
    </row>
    <row r="23" spans="1:3" x14ac:dyDescent="0.2">
      <c r="A23" s="103">
        <v>15</v>
      </c>
      <c r="B23" s="101"/>
      <c r="C23" s="102"/>
    </row>
    <row r="24" spans="1:3" x14ac:dyDescent="0.2">
      <c r="A24" s="103">
        <v>16</v>
      </c>
      <c r="B24" s="101"/>
      <c r="C24" s="102"/>
    </row>
    <row r="25" spans="1:3" x14ac:dyDescent="0.2">
      <c r="A25" s="103">
        <v>17</v>
      </c>
      <c r="B25" s="101"/>
      <c r="C25" s="102"/>
    </row>
    <row r="26" spans="1:3" x14ac:dyDescent="0.2">
      <c r="A26" s="103">
        <v>18</v>
      </c>
      <c r="B26" s="101"/>
      <c r="C26" s="102"/>
    </row>
    <row r="27" spans="1:3" x14ac:dyDescent="0.2">
      <c r="A27" s="103">
        <v>19</v>
      </c>
      <c r="B27" s="101"/>
      <c r="C27" s="102"/>
    </row>
    <row r="28" spans="1:3" x14ac:dyDescent="0.2">
      <c r="A28" s="103">
        <v>20</v>
      </c>
      <c r="B28" s="101"/>
      <c r="C28" s="102"/>
    </row>
    <row r="29" spans="1:3" x14ac:dyDescent="0.2">
      <c r="A29" s="103">
        <v>21</v>
      </c>
      <c r="B29" s="101"/>
      <c r="C29" s="102"/>
    </row>
    <row r="30" spans="1:3" x14ac:dyDescent="0.2">
      <c r="A30" s="103">
        <v>22</v>
      </c>
      <c r="B30" s="101"/>
      <c r="C30" s="102"/>
    </row>
  </sheetData>
  <mergeCells count="1">
    <mergeCell ref="A6:A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D5FD-E9A3-4E67-BF97-73145AD2B9B0}">
  <dimension ref="A3:A6"/>
  <sheetViews>
    <sheetView workbookViewId="0">
      <selection activeCell="A7" sqref="A7"/>
    </sheetView>
  </sheetViews>
  <sheetFormatPr baseColWidth="10" defaultColWidth="8.83203125" defaultRowHeight="15" x14ac:dyDescent="0.2"/>
  <sheetData>
    <row r="3" spans="1:1" x14ac:dyDescent="0.2">
      <c r="A3" t="s">
        <v>301</v>
      </c>
    </row>
    <row r="4" spans="1:1" x14ac:dyDescent="0.2">
      <c r="A4" t="s">
        <v>302</v>
      </c>
    </row>
    <row r="5" spans="1:1" x14ac:dyDescent="0.2">
      <c r="A5" t="s">
        <v>303</v>
      </c>
    </row>
    <row r="6" spans="1:1" x14ac:dyDescent="0.2">
      <c r="A6" t="s">
        <v>304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AD93-F159-4152-93A2-29CA80E81045}">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6264437"><![CDATA[{"SP50^FG_PRICE(0)/FF_EPS(ANN_R,0)":null,"SP50^FF_ROE('ANN_R','0','0','YEARLY',RP,'LOCAL')":null,"SP50^FF_DPS(ANN,0)":null,"SP50^FF_DEBT_LT(ANN_R,0)":null,"SP50^FF_EBITDA_OPER(ANN_R,0)":null,"SP50^FF_WKCAP(ANN_R,0)":null,"SP50^FF_NET_INC(ANN_R,0)":null,"DKS^FF_EBITDA_OPER(ANN_R,0)":1929.024,"DKS^FF_WKCAP(ANN_R,0)":2337.645,"DKS^FF_NET_INC(ANN_R,0)":1165.308,"HIMS^FG_PRICE(0)/FF_EPS(ANN_R,0)":43.2544156332206,"HIMS^FF_ROE('ANN_R','0','0','YEARLY',RP,'LOCAL')":30.7130716605036,"HIMS^FF_DPS(ANN,0)":0.0,"HIMS^FF_DEBT_LT(ANN_R,0)":9.456,"HIMS^FF_EBITDA_OPER(ANN_R,0)":85.092,"HIMS^FF_WKCAP(ANN_R,0)":174.464,"HIMS^FF_NET_INC(ANN_R,0)":126.038,"ABNB^FG_PRICE(0)/FF_EPS(ANN_R,0)":29.7608028450334,"ABNB^FF_ROE('ANN_R','0','0','YEARLY',RP,'LOCAL')":31.9478795922061,"ABNB^FF_DPS(ANN,0)":0.0,"MCD^FF_DEBT_LT(ANN_R,0)":51312.0,"MCD^FF_EBITDA_OPER(ANN_R,0)":13957.0,"MCD^FF_WKCAP(ANN_R,0)":737.0,"MCD^FF_NET_INC(ANN_R,0)":8223.0,"PLTR^FF_DEBT_LT(ANN_R,0)":183.474,"PLTR^FF_WKCAP(ANN_R,0)":7182.593,"PLTR^FF_NET_INC(ANN_R,0)":1625.033,"CALY^FG_PRICE(0)/FF_EPS(ANN_R,0)":-1.904628971678,"CALY^FF_DPS(ANN,0)":0.0,"CALY^FF_DEBT_LT(ANN_R,0)":4331.7,"TJX^FG_PRICE(0)/FF_EPS(ANN_R,0)":36.5937265214125,"TJX^FF_ROE('ANN_R','0','0','YEARLY',RP,'LOCAL')":61.9815227779548,"TJX^FF_NET_INC(ANN_R,0)":4864.0,"GOOGL^FG_PRICE(1/21/2026)":328.38,"TSLA^FG_PRICE(1/21/2026)":431.44,"WM^FG_PRICE(1/21/2026)":226.49,"PLTR^FG_PRICE(NOW)":139.16,"ABNB^FF_DEBT_LT(ANN_R,0)":2231.0,"ABNB^FF_EBITDA_OPER(ANN_R,0)":2618.0,"ABNB^FF_WKCAP(ANN_R,0)":7019.0,"ABNB^FF_NET_INC(ANN_R,0)":2648.0,"MU^FG_PRICE(0)/FF_EPS(ANN_R,0)":51.9999473004664,"MU^FF_ROE('ANN_R','0','0','YEARLY',RP,'LOCAL')":17.1990815339994,"MU^FF_DPS(ANN,0)":0.46,"MU^FF_DEBT_LT(ANN_R,0)":14718.0,"MU^FF_EBITDA_OPER(ANN_R,0)":18362.0,"MU^FF_WKCAP(ANN_R,0)":17387.0,"MU^FF_NET_INC(ANN_R,0)":8539.0,"XOM^FG_PRICE(0)/FF_EPS(ANN_R,0)":22.2462686567164,"XOM^FF_ROE('ANN_R','0','0','YEARLY',RP,'LOCAL')":11.0282914445097,"XOM^FF_DPS(ANN,0)":4.0,"XOM^FF_DEBT_LT(ANN_R,0)":34241.0,"XOM^FF_EBITDA_OPER(ANN_R,0)":59931.0,"XOM^FF_WKCAP(ANN_R,0)":11052.0,"XOM^FF_NET_INC(ANN_R,0)":28844.0,"META^FG_PRICE(0)/FF_EPS(ANN_R,0)":28.1616144414169,"META^FF_ROE('ANN_R','0','0','YEARLY',RP,'LOCAL')":30.2380714214264,"META^FF_DPS(ANN,0)":2.1,"COST^FG_PRICE(0)/FF_EPS(ANN_R,0)":54.9843201652012,"COST^FF_ROE('ANN_R','0','0','YEARLY',RP,'LOCAL')":30.686166786648,"COST^FF_DPS(ANN,0)":4.92,"COST^FF_DEBT_LT(ANN_R,0)":9574.0,"COST^FF_EBITDA_OPER(ANN_R,0)":12809.0,"COST^FF_WKCAP(ANN_R,0)":1272.0,"COST^FF_NET_INC(ANN_R,0)":8099.0,"RL^FG_PRICE(0)/FF_EPS(ANN_R,0)":29.5396199107497,"RL^FF_ROE('ANN_R','0','0','YEARLY',RP,'LOCAL')":29.4871794871795,"RL^FF_DPS(ANN,0)":3.3,"RL^FF_DEBT_LT(ANN_R,0)":2022.4,"RL^FF_EBITDA_OPER(ANN_R,0)":1199.9,"RL^FF_WKCAP(ANN_R,0)":1646.1,"RL^FF_NET_INC(ANN_R,0)":742.9,"LMT^FG_PRICE(0)/FF_EPS(ANN_R,0)":29.0224843038057,"LMT^FF_ROE('ANN_R','0','0','YEARLY',RP,'LOCAL')":76.8653286349012,"LMT^FF_DPS(ANN,0)":13.35,"LMT^FF_DEBT_LT(ANN_R,0)":21357.0,"MCD^FG_PRICE(0)/FF_EPS(ANN_R,0)":28.7214243073357,"MCD^FF_ROE('ANN_R','0','0','YEARLY',RP,'LOCAL')":null,"MCD^FF_DPS(ANN,0)":6.78,"TJX^FF_DPS(ANN,0)":1.5,"TJX^FF_DEBT_LT(ANN_R,0)":11142.0,"TJX^FF_EBITDA_OPER(ANN_R,0)":7347.0,"AAPL^FG_PRICE(1/21/2026)":247.65,"LMT^FF_EBITDA_OPER(ANN_R,0)":9119.0,"LMT^FF_WKCAP(ANN_R,0)":2027.0,"LMT^FF_NET_INC(ANN_R,0)":5017.0,"CALY^FF_ROE('ANN_R','0','0','YEARLY',RP,'LOCAL')":-46.0618209007461,"CALY^FF_EBITDA_OPER(ANN_R,0)":483.9,"CALY^FF_NET_INC(ANN_R,0)":-1447.7,"LYV^FF_EBITDA_OPER(ANN_R,0)":2035.55,"CALY^FG_PRICE(1/21/2026)":15.48,"LYV^FG_PRICE(0)/FF_EPS(ANN_R,0)":51.4183490927677,"DKNG^FF_WKCAP(ANN_R,0)":-121.23,"DKNG^FF_NET_INC(ANN_R,0)":-507.285,"SBUX^FF_DPS(ANN,0)":2.44,"RL^FG_PRICE(NOW)":338.85,"ASML^FF_DEBT_LT(ANN_R,0)":3181.58505,"WM^FF_EBITDA_OPER(ANN_R,0)":7470.0,"MRK^FF_DEBT_LT(ANN_R,0)":null,"SBUX^FG_PRICE(1/21/2026)":96.43,"TSLA^FG_PRICE(NOW)":409.745,"WM^FF_NET_INC(ANN_R,0)":2708.0,"ASML^FF_EBITDA_OPER(ANN_R,0)":13912.31897,"ASML^FF_WKCAP(ANN_R,0)":7460.34129,"ASML^FF_NET_INC(ANN_R,0)":10844.9569584083,"NVDA^FF_ROE('ANN_R','0','0','YEARLY',RP,'LOCAL')":119.177466170639,"NVDA^FF_DPS(ANN,0)":0.034,"ORCL^FF_EBITDA_OPER(ANN_R,0)":24226.0,"ORCL^FF_NET_INC(ANN_R,0)":12443.0,"RTX^FF_DPS(ANN,0)":2.67,"SP50^FG_PRICE(NOW)":6927.82,"ORCL^FG_PRICE(NOW)":156.04,"ORCL^FG_PRICE(1/21/2026)":173.88,"MU^FG_PRICE(NOW)":381.18,"MU^FG_PRICE(1/21/2026)":389.11,"META^FG_PRICE(NOW)":665.04,"RTX^FF_NET_INC(ANN_R,0)":6732.0,"AAPL^FG_PRICE(0)/FF_EPS(ANN_R,0)":37.2565304755526,"AAPL^FF_ROE('ANN_R','0','0','YEARLY',RP,'LOCAL')":171.422449744802,"ASML^FG_PRICE(NOW)":1420.77,"ASML^FG_PRICE(1/21/2026)":1360.09,"NVDA^FG_PRICE(NOW)":190.29,"NVDA^FG_PRICE(1/21/2026)":183.32,"MRK^FG_PRICE(NOW)":119.25,"MRK^FG_PRICE(1/21/2026)":111.11,"BA^FG_PRICE(NOW)":242.495,"AAPL^FF_DPS(ANN,0)":1.02,"AAPL^FF_DEBT_LT(ANN_R,0)":89931.0,"AAPL^FF_EBITDA_OPER(ANN_R,0)":144748.0,"AAPL^FF_WKCAP(ANN_R,0)":-17674.0,"AAPL^FF_NET_INC(ANN_R,0)":112010.0,"MSFT^FG_PRICE(0)/FF_EPS(ANN_R,0)":29.4062882569843,"MSFT^FF_ROE('ANN_R','0','0','YEARLY',RP,'LOCAL')":33.2808241115374,"MSFT^FF_DPS(ANN,0)":3.32,"MSFT^FF_DEBT_LT(ANN_R,0)":100589.0,"MSFT^FF_EBITDA_OPER(ANN_R,0)":162681.0,"MSFT^FF_WKCAP(ANN_R,0)":49913.0,"MSFT^FF_NET_INC(ANN_R,0)":101832.0,"GOOGL^FG_PRICE(0)/FF_EPS(ANN_R,0)":29.8750809660405,"GOOGL^FF_ROE('ANN_R','0','0','YEARLY',RP,'LOCAL')":35.7047824742115,"GOOGL^FF_DPS(ANN,0)":0.83,"GOOGL^FF_DEBT_LT(ANN_R,0)":61350.0,"GOOGL^FF_EBITDA_OPER(ANN_R,0)":150301.0,"GOOGL^FF_WKCAP(ANN_R,0)":103293.0,"GOOGL^FF_NET_INC(ANN_R,0)":132170.0,"ASML^FG_PRICE(0)/FF_EPS(ANN_R,0)":50.6184869012606,"ASML^FF_ROE('ANN_R','0','0','YEARLY',RP,'LOCAL')":51.4390091993602,"ASML^FF_DPS(ANN,0)":null,"WM^FF_DEBT_LT(ANN_R,0)":22196.0,"MRK^FF_DPS(ANN,0)":3.28,"SBUX^FG_PRICE(NOW)":98.6314,"NVDA^FF_DEBT_LT(ANN_R,0)":9982.0,"NVDA^FF_EBITDA_OPER(ANN_R,0)":83317.0,"NVDA^FF_WKCAP(ANN_R,0)":62079.0,"MRK^FG_PRICE(0)/FF_EPS(ANN_R,0)":16.7458660660331,"MRK^FF_ROE('ANN_R','0','0','YEARLY',RP,'LOCAL')":null,"PLTR^FF_ROE('ANN_R','0','0','YEARLY',RP,'LOCAL')":26.2302144466146,"SP50^FG_PRICE(1/21/2026)":6875.62,"PLTR^FF_DPS(ANN,0)":0.0,"AAPL^FG_PRICE(NOW)":274.2051,"BA^FF_DPS(ANN,0)":0.0,"DKS^FF_ROE('ANN_R','0','0','YEARLY',RP,'LOCAL')":40.0756248984403,"BA^FF_WKCAP(ANN_R,0)":20344.0,"NFLX^FG_PRICE(0)/FF_EPS(ANN_R,0)":32.5158227848101,"NFLX^FF_DEBT_LT(ANN_R,0)":15516.497,"ORCL^FF_DEBT_LT(ANN_R,0)":99510.0,"ORCL^FG_PRICE(0)/FF_EPS(ANN_R,0)":32.8957066519256,"DKS^FG_PRICE(0)/FF_EPS(ANN_R,0)":14.8229065108633,"DKS^FF_DEBT_LT(ANN_R,0)":3984.524,"NFLX^FF_WKCAP(ANN_R,0)":2039.261,"TSLA^FF_NET_INC(ANN_R,0)":3794.0,"WM^FF_ROE('ANN_R','0','0','YEARLY',RP,'LOCAL')":29.689727003618,"TJX^FG_PRICE(NOW)":154.79,"DIS^FG_PRICE(1/21/2026)":113.19,"RL^FG_PRICE(1/21/2026)":369.58,"LMT^FG_PRICE(NOW)":630.11,"NFLX^FG_PRICE(1/21/2026)":85.36,"BA^FF_EBITDA_OPER(ANN_R,0)":-3372.0,"CALY^FF_WKCAP(ANN_R,0)":774.8,"LYV^FF_WKCAP(ANN_R,0)":-68.1419999999998,"HIMS^FG_PRICE(1/21/2026)":28.89,"ABNB^FG_PRICE(1/21/2026)":133.59,"DKNG^FF_DPS(ANN,0)":0.0,"SBUX^FG_PRICE(0)/FF_EPS(ANN_R,0)":61.0609688708786,"META^FG_PRICE(1/21/2026)":612.96,"RTX^FF_ROE('ANN_R','0','0','YEARLY',RP,'LOCAL')":10.7367564851955,"RTX^FF_EBITDA_OPER(ANN_R,0)":12887.0,"MRK^FF_EBITDA_OPER(ANN_R,0)":null,"WM^FF_WKCAP(ANN_R,0)":-614.0,"MSFT^FG_PRICE(1/21/2026)":444.11,"TJX^FG_PRICE(1/21/2026)":155.85,"TJX^FF_WKCAP(ANN_R,0)":1983.0,"MCD^FG_PRICE(NOW)":324.65,"NVDA^FG_PRICE(0)/FF_EPS(ANN_R,0)":63.1032604996256,"NVDA^FF_NET_INC(ANN_R,0)":72880.0,"PLTR^FG_PRICE(1/21/2026)":165.33,"PLTR^FF_EBITDA_OPER(ANN_R,0)":1440.16,"CALY^FG_PRICE(NOW)":14.83,"BA^FG_PRICE(1/21/2026)":250.07,"NFLX^FG_PRICE(NOW)":80.395,"NFLX^FF_DPS(ANN,0)":0.0,"NFLX^FF_EBITDA_OPER(ANN_R,0)":30174.738,"NFLX^FF_NET_INC(ANN_R,0)":10981.201,"ORCL^FF_ROE('ANN_R','0','0','YEARLY',RP,'LOCAL')":85.3575716000686,"ORCL^FF_DPS(ANN,0)":1.7,"ORCL^FF_WKCAP(ANN_R,0)":-8064.0,"DKS^FF_DPS(ANN,0)":4.4,"DIS^FG_PRICE(NOW)":107.855,"COST^FG_PRICE(NOW)":998.97,"BA^FF_ROE('ANN_R','0','0','YEARLY',RP,'LOCAL')":289.003880983182,"DKNG^FG_PRICE(0)/FF_EPS(ANN_R,0)":-25.2897586927608,"GOOGL^FG_PRICE(NOW)":321.58,"WM^FG_PRICE(NOW)":227.17,"LYV^FF_ROE('ANN_R','0','0','YEARLY',RP,'LOCAL')":1055.26050364589,"LYV^FF_DEBT_LT(ANN_R,0)":7857.434,"COST^FG_PRICE(1/21/2026)":982.86,"DKS^FG_PRICE(1/21/2026)":211.98,"XOM^FG_PRICE(NOW)":149.25,"DKNG^FF_EBITDA_OPER(ANN_R,0)":-230.513,"BA^FF_NET_INC(ANN_R,0)":2234.0,"NFLX^FF_ROE('ANN_R','0','0','YEARLY',RP,'LOCAL')":42.7624729465914,"BA^FF_DEBT_LT(ANN_R,0)":47569.0,"LYV^FF_NET_INC(ANN_R,0)":638.211,"DKNG^FF_ROE('ANN_R','0','0','YEARLY',RP,'LOCAL')":-54.8140072136632,"DKNG^FF_DEBT_LT(ANN_R,0)":1324.089,"RTX^FG_PRICE(0)/FF_EPS(ANN_R,0)":40.0274022284459,"RTX^FF_DEBT_LT(ANN_R,0)":35890.0,"RTX^FF_WKCAP(ANN_R,0)":-1152.0,"TSLA^FF_EBITDA_OPER(ANN_R,0)":10997.0,"TSLA^FF_WKCAP(ANN_R,0)":36928.0,"LMT^FG_PRICE(1/21/2026)":586.23,"DKS^FG_PRICE(NOW)":205.38,"HIMS^FG_PRICE(NOW)":16.85,"ABNB^FG_PRICE(NOW)":121.895,"XOM^FG_PRICE(1/21/2026)":133.61,"LYV^FF_DPS(ANN,0)":0.0,"SBUX^FF_ROE('ANN_R','0','0','YEARLY',RP,'LOCAL')":null,"SBUX^FF_DEBT_LT(ANN_R,0)":23548.1,"WM^FG_PRICE(0)/FF_EPS(ANN_R,0)":33.8492537313433,"WM^FF_DPS(ANN,0)":3.3,"MRK^FF_WKCAP(ANN_R,0)":null,"MRK^FF_NET_INC(ANN_R,0)":18254.0,"BA^FG_PRICE(0)/FF_EPS(ANN_R,0)":98.0750605326876,"META^FF_DEBT_LT(ANN_R,0)":82560.0,"META^FF_EBITDA_OPER(ANN_R,0)":101892.0,"META^FF_WKCAP(ANN_R,0)":66886.0,"META^FF_NET_INC(ANN_R,0)":60458.0,"DIS^FG_PRICE(0)/FF_EPS(ANN_R,0)":15.8704666238393,"DIS^FF_ROE('ANN_R','0','0','YEARLY',RP,'LOCAL')":11.7816351245459,"DIS^FF_DPS(ANN,0)":1.0,"DIS^FF_DEBT_LT(ANN_R,0)":38166.0,"SBUX^FF_EBITDA_OPER(ANN_R,0)":5232.8,"SBUX^FF_WKCAP(ANN_R,0)":-2828.1,"SBUX^FF_NET_INC(ANN_R,0)":1856.4,"TSLA^FG_PRICE(0)/FF_EPS(ANN_R,0)":382.28566114934,"TSLA^FF_ROE('ANN_R','0','0','YEARLY',RP,'LOCAL')":4.89390519187359,"TSLA^FF_DPS(ANN,0)":0.0,"TSLA^FF_DEBT_LT(ANN_R,0)":12125.0,"DIS^FF_EBITDA_OPER(ANN_R,0)":18908.0,"DIS^FF_WKCAP(ANN_R,0)":-11958.0,"DIS^FF_NET_INC(ANN_R,0)":12404.0,"MSFT^FG_PRICE(NOW)":408.53,"DKNG^FG_PRICE(1/21/2026)":31.58,"RTX^FG_PRICE(NOW)":199.62,"MCD^FG_PRICE(1/21/2026)":305.69,"LYV^FG_PRICE(NOW)":141.68,"LYV^FG_PRICE(1/21/2026)":139.71,"DKNG^FG_PRICE(NOW)":26.945,"RTX^FG_PRICE(1/21/2026)":197.5,"PLTR^FG_PRICE(0)/FF_EPS(ANN_R,0)":215.714285714286}]]></FdsFormulaCache>
</file>

<file path=customXml/itemProps1.xml><?xml version="1.0" encoding="utf-8"?>
<ds:datastoreItem xmlns:ds="http://schemas.openxmlformats.org/officeDocument/2006/customXml" ds:itemID="{5A0C40DB-7619-470A-AD3F-62A7EFEF91E3}">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 Plan- SP26</vt:lpstr>
      <vt:lpstr>SP26 Order</vt:lpstr>
      <vt:lpstr>Company Project Tracker </vt:lpstr>
      <vt:lpstr>Sheet1</vt:lpstr>
      <vt:lpstr>Checkin #1</vt:lpstr>
      <vt:lpstr>Project #2 Check In Criteria</vt:lpstr>
      <vt:lpstr>Project Rubric</vt:lpstr>
      <vt:lpstr>Word Table</vt:lpstr>
      <vt:lpstr>Score Sheet</vt:lpstr>
      <vt:lpstr>Project Score</vt:lpstr>
      <vt:lpstr>Presentation Score</vt:lpstr>
      <vt:lpstr>Sheet3</vt:lpstr>
      <vt:lpstr>Sheet4</vt:lpstr>
      <vt:lpstr>'Score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cp:lastPrinted>2025-09-02T11:41:32Z</cp:lastPrinted>
  <dcterms:created xsi:type="dcterms:W3CDTF">2025-01-07T13:52:13Z</dcterms:created>
  <dcterms:modified xsi:type="dcterms:W3CDTF">2026-07-21T16:00:56Z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ies>
</file>