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6 - Valuing Bonds/"/>
    </mc:Choice>
  </mc:AlternateContent>
  <xr:revisionPtr revIDLastSave="34" documentId="8_{0F3564C7-AEBE-45E4-9B03-226744EAD0B5}" xr6:coauthVersionLast="47" xr6:coauthVersionMax="47" xr10:uidLastSave="{5AE14E70-7786-4C95-8337-FEEB28D2D345}"/>
  <bookViews>
    <workbookView xWindow="-120" yWindow="-120" windowWidth="19440" windowHeight="11520" tabRatio="500" firstSheet="2" activeTab="3" xr2:uid="{00000000-000D-0000-FFFF-FFFF00000000}"/>
  </bookViews>
  <sheets>
    <sheet name="📋 Instructions" sheetId="1" r:id="rId1"/>
    <sheet name="📊 Company Baseline" sheetId="2" r:id="rId2"/>
    <sheet name="🔢 Bond Pricing" sheetId="3" r:id="rId3"/>
    <sheet name="📈 Ratio Impact" sheetId="4" r:id="rId4"/>
    <sheet name="📋 CFO 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4" l="1"/>
  <c r="B24" i="4"/>
  <c r="B15" i="4"/>
  <c r="E12" i="4"/>
  <c r="D12" i="4"/>
  <c r="C12" i="4"/>
  <c r="B12" i="4"/>
  <c r="B17" i="4"/>
  <c r="C15" i="4"/>
  <c r="B14" i="4"/>
  <c r="E16" i="4"/>
  <c r="D16" i="4"/>
  <c r="C16" i="4"/>
  <c r="B16" i="4"/>
  <c r="B25" i="4"/>
  <c r="B23" i="4"/>
  <c r="B22" i="4"/>
  <c r="D13" i="4"/>
  <c r="B13" i="4"/>
  <c r="F48" i="2"/>
  <c r="F40" i="2"/>
  <c r="F44" i="2" s="1"/>
  <c r="F49" i="2" s="1"/>
  <c r="F28" i="2"/>
  <c r="F33" i="2" s="1"/>
  <c r="B27" i="4" l="1"/>
</calcChain>
</file>

<file path=xl/sharedStrings.xml><?xml version="1.0" encoding="utf-8"?>
<sst xmlns="http://schemas.openxmlformats.org/spreadsheetml/2006/main" count="299" uniqueCount="239">
  <si>
    <t>BUS 311 — Corporate Finance  |  Chapter 6: Bond Issuance &amp; Financial Ratio Analysis  [STUDENT VERSION]</t>
  </si>
  <si>
    <t>Assignment: Strategic Debt Offering — How Bond Issuance Shapes a Corporation's Financial Profile</t>
  </si>
  <si>
    <t xml:space="preserve">  SCENARIO OVERVIEW</t>
  </si>
  <si>
    <t>You are a junior financial analyst at Meridian Industrial Corp (MRID), a regional manufacturing firm. The CFO is evaluating a $200 million senior unsecured bond offering to refinance short-term debt and fund capital expenditures. Your job is to: (1) price the bond issue, (2) model the financial impact under three deployment scenarios, and (3) deliver a data-driven recommendation to the CFO.
Work through each tab in order — yellow cells are yours to complete. Read the formula hints carefully.</t>
  </si>
  <si>
    <t xml:space="preserve">  YOUR TASKS BY TAB</t>
  </si>
  <si>
    <t>📊 Company Baseline</t>
  </si>
  <si>
    <t>Given: Full income statement &amp; balance sheet data. Your job: Build the IS subtotals (Gross Profit, EBIT, EBT, Net Income) and calculate 5 key financial ratios.</t>
  </si>
  <si>
    <t>🔢 Bond Pricing</t>
  </si>
  <si>
    <t>Given: Bond assumptions (par, coupon, YTM, maturity). Your job: Build every pricing formula — semiannual coupon, PV of bond, YTM sensitivity table.</t>
  </si>
  <si>
    <t>📈 Ratio Impact</t>
  </si>
  <si>
    <t>Given: Pre-offering financials. Your job: Model how the $200M offering changes the balance sheet under 3 scenarios, then compute post-offering ratios.</t>
  </si>
  <si>
    <t>📋 CFO Dashboard</t>
  </si>
  <si>
    <t>Given: Blank scorecard. Your job: Link in your ratio results and write a 5-part CFO recommendation memo.</t>
  </si>
  <si>
    <t xml:space="preserve">  COLOR CODING — READ THIS FIRST</t>
  </si>
  <si>
    <t>🟡 YELLOW CELL</t>
  </si>
  <si>
    <t>You must enter a formula or value here. These are graded.</t>
  </si>
  <si>
    <t>🟢 GREEN CELL</t>
  </si>
  <si>
    <t>Formula hint — read this for guidance on what to enter in the yellow cell above/beside it.</t>
  </si>
  <si>
    <t>Blue text</t>
  </si>
  <si>
    <t>Hard-coded INPUT provided for you — do not change these.</t>
  </si>
  <si>
    <t>Black text</t>
  </si>
  <si>
    <t>Formula already entered — do not edit.</t>
  </si>
  <si>
    <t>Green text</t>
  </si>
  <si>
    <t>Cross-sheet link pulling from another tab.</t>
  </si>
  <si>
    <t xml:space="preserve">  GRADING RUBRIC</t>
  </si>
  <si>
    <t>Section</t>
  </si>
  <si>
    <t>What's Graded</t>
  </si>
  <si>
    <t>Points</t>
  </si>
  <si>
    <t>Tab 2 — Company Baseline</t>
  </si>
  <si>
    <t>IS formulas (4 cells) + 5 ratio formulas</t>
  </si>
  <si>
    <t>20 pts</t>
  </si>
  <si>
    <t>Tab 3 — Bond Pricing</t>
  </si>
  <si>
    <t>8 bond calculation formulas + sensitivity table (5 rows)</t>
  </si>
  <si>
    <t>30 pts</t>
  </si>
  <si>
    <t>Tab 4 — Ratio Impact</t>
  </si>
  <si>
    <t>BS scenario adjustments (12 cells) + 5 ratio comparisons</t>
  </si>
  <si>
    <t>25 pts</t>
  </si>
  <si>
    <t>Tab 5 — CFO Dashboard</t>
  </si>
  <si>
    <t>Cross-sheet links (8 cells) + written recommendation (5 prompts)</t>
  </si>
  <si>
    <t xml:space="preserve">  INCOME STATEMENT  ($ thousands)</t>
  </si>
  <si>
    <t>Formula Hint</t>
  </si>
  <si>
    <t>Revenue</t>
  </si>
  <si>
    <t>Given — hard-coded input</t>
  </si>
  <si>
    <t>Cost of Goods Sold</t>
  </si>
  <si>
    <t>Gross Profit</t>
  </si>
  <si>
    <t>Selling, General &amp; Admin</t>
  </si>
  <si>
    <t>Given</t>
  </si>
  <si>
    <t>Depreciation &amp; Amortization</t>
  </si>
  <si>
    <t>EBIT (Operating Income)</t>
  </si>
  <si>
    <t>Interest Expense</t>
  </si>
  <si>
    <t>Given (stored as positive; represents $9.8M annual cost)</t>
  </si>
  <si>
    <t>EBT (Earnings Before Tax)</t>
  </si>
  <si>
    <t>Income Tax Expense (25%)</t>
  </si>
  <si>
    <t>Net Income</t>
  </si>
  <si>
    <t xml:space="preserve">  BALANCE SHEET  ($ thousands) — data provided; review before proceeding</t>
  </si>
  <si>
    <t xml:space="preserve">  ASSETS</t>
  </si>
  <si>
    <t>Cash &amp; Cash Equivalents</t>
  </si>
  <si>
    <t>Accounts Receivable</t>
  </si>
  <si>
    <t>Inventory</t>
  </si>
  <si>
    <t>Other Current Assets</t>
  </si>
  <si>
    <t>Total Current Assets</t>
  </si>
  <si>
    <t>Property, Plant &amp; Equipment (net)</t>
  </si>
  <si>
    <t>Intangible Assets</t>
  </si>
  <si>
    <t>Other Long-Term Assets</t>
  </si>
  <si>
    <t>Total Assets</t>
  </si>
  <si>
    <t xml:space="preserve">  LIABILITIES &amp; EQUITY</t>
  </si>
  <si>
    <t>Accounts Payable</t>
  </si>
  <si>
    <t>Short-Term Debt (Current)</t>
  </si>
  <si>
    <t>Other Current Liabilities</t>
  </si>
  <si>
    <t>Total Current Liabilities</t>
  </si>
  <si>
    <t>Long-Term Debt</t>
  </si>
  <si>
    <t>Deferred Tax Liability</t>
  </si>
  <si>
    <t>Total Liabilities</t>
  </si>
  <si>
    <t>Common Stock &amp; APIC</t>
  </si>
  <si>
    <t>Retained Earnings</t>
  </si>
  <si>
    <t>Total Equity</t>
  </si>
  <si>
    <t>Total Liabilities &amp; Equity</t>
  </si>
  <si>
    <t xml:space="preserve">  ★ PART 2 — YOUR TASK: Calculate Pre-Offering Financial Ratios  (yellow cells = your formulas)</t>
  </si>
  <si>
    <t>Ratio Name</t>
  </si>
  <si>
    <t>Benchmark</t>
  </si>
  <si>
    <t>Result</t>
  </si>
  <si>
    <t>Formula Guidance</t>
  </si>
  <si>
    <t>Debt / Equity Ratio</t>
  </si>
  <si>
    <t>&lt; 1.5x</t>
  </si>
  <si>
    <t>Debt / EBITDA</t>
  </si>
  <si>
    <t>&lt; 3.0x</t>
  </si>
  <si>
    <t>Interest Coverage (TIE)</t>
  </si>
  <si>
    <t>&gt; 3.0x</t>
  </si>
  <si>
    <t>Current Ratio</t>
  </si>
  <si>
    <t>&gt; 1.5x</t>
  </si>
  <si>
    <t>Net Debt / EBITDA</t>
  </si>
  <si>
    <t>&lt; 2.5x</t>
  </si>
  <si>
    <t>MRID — Proposed Bond Offering: Pricing Model  |  ★ Build Every Formula</t>
  </si>
  <si>
    <t xml:space="preserve">  STEP 1 — Bond Assumptions  (given — blue = inputs, do NOT change)</t>
  </si>
  <si>
    <t>Assumption</t>
  </si>
  <si>
    <t>Value</t>
  </si>
  <si>
    <t>Context / Notes</t>
  </si>
  <si>
    <t>Face Value (Par) per Bond ($)</t>
  </si>
  <si>
    <t>Standard U.S. corporate bond par value</t>
  </si>
  <si>
    <t>Number of Bonds Issued</t>
  </si>
  <si>
    <t>Total offering size = Par × # Bonds = $200,000,000</t>
  </si>
  <si>
    <t>Annual Coupon Rate</t>
  </si>
  <si>
    <t>MRID's stated coupon rate on the bond</t>
  </si>
  <si>
    <t>Market Yield to Maturity (YTM)</t>
  </si>
  <si>
    <t>Current market rate investors demand for MRID's credit rating (BBB+)</t>
  </si>
  <si>
    <t>Years to Maturity</t>
  </si>
  <si>
    <t>Bond matures in 10 years</t>
  </si>
  <si>
    <t>Payment Frequency (periods per year)</t>
  </si>
  <si>
    <t>Standard: semiannual (2 payments per year)</t>
  </si>
  <si>
    <t xml:space="preserve">  ★ STEP 2 — YOUR TASK: Build Each Bond Calculation Formula  (yellow = your formula, green = hint)</t>
  </si>
  <si>
    <t>Metric</t>
  </si>
  <si>
    <t>Your Formula Cell</t>
  </si>
  <si>
    <t>Formula Structure Hint</t>
  </si>
  <si>
    <t>Semiannual Coupon Payment ($)</t>
  </si>
  <si>
    <t>Semiannual Discount Rate</t>
  </si>
  <si>
    <t>Total Number of Periods  (n)</t>
  </si>
  <si>
    <t>Price per Bond  [PV function]</t>
  </si>
  <si>
    <t>✎  = PV(semiannual_rate, total_periods, −coupon_payment, −face_value)
   Excel syntax: =PV(C15, C16, -C14, -B5)
   The negatives on pmt and fv are because they are cash outflows to the issuer
   ⭐ This is the KEY formula — will it be at premium or discount?</t>
  </si>
  <si>
    <t>Premium / (Discount) per Bond</t>
  </si>
  <si>
    <t>Total Offering Proceeds  ($000s)</t>
  </si>
  <si>
    <t>Annual Interest Expense  ($000s)</t>
  </si>
  <si>
    <t>Effective Annual Rate (EAR)</t>
  </si>
  <si>
    <t xml:space="preserve">  ★ STEP 3 — YOUR TASK: Yield Sensitivity Table  (use PV formula with each YTM scenario)</t>
  </si>
  <si>
    <t>Scenario</t>
  </si>
  <si>
    <t>Market YTM</t>
  </si>
  <si>
    <t>Price per Bond</t>
  </si>
  <si>
    <t>Premium / (Discount)</t>
  </si>
  <si>
    <t>Total Proceeds  ($000s)</t>
  </si>
  <si>
    <t>Interpretation</t>
  </si>
  <si>
    <t>Rates Fall     (YTM = 4.5%)</t>
  </si>
  <si>
    <t>Bond issued at PREMIUM — investors accept lower yield than coupon</t>
  </si>
  <si>
    <t>Par / Flat     (YTM = 5.5%)</t>
  </si>
  <si>
    <t>Bond priced at par — coupon rate equals market rate</t>
  </si>
  <si>
    <t>Base Case      (YTM = 5.8%)</t>
  </si>
  <si>
    <t>Student base case — slight DISCOUNT</t>
  </si>
  <si>
    <t>Rates Rise     (YTM = 6.5%)</t>
  </si>
  <si>
    <t>Discount widens — MRID raises less than $200M face value</t>
  </si>
  <si>
    <t>Stress Case    (YTM = 7.5%)</t>
  </si>
  <si>
    <t>Deep discount — borrowing cost rises significantly</t>
  </si>
  <si>
    <t xml:space="preserve">  DISCUSSION QUESTIONS — type your answers in the yellow cells</t>
  </si>
  <si>
    <t>Q1:  Why is MRID's bond priced BELOW par in the base case scenario? What does that mean for the company's total cost of borrowing?</t>
  </si>
  <si>
    <t>[ Type your answer here ]</t>
  </si>
  <si>
    <t>Q2:  If interest rates spike to 7.5% after MRID issues the bond, who bears the financial risk? Explain your reasoning.</t>
  </si>
  <si>
    <t>Q3:  Why does corporate America use semiannual coupons rather than annual payments? What's the investor's benefit?</t>
  </si>
  <si>
    <t>MRID — Post-Offering Financial Ratio Impact  |  ★ Model 3 Scenarios</t>
  </si>
  <si>
    <t>How does the $200M bond offering change MRID's financial ratios? You will model three different uses of the proceeds.</t>
  </si>
  <si>
    <t xml:space="preserve">  SCENARIO DESCRIPTIONS — read carefully before building your formulas</t>
  </si>
  <si>
    <t>Scenario A — Refinance Short-Term Debt</t>
  </si>
  <si>
    <t>MRID uses ALL $200M to retire its revolving credit line (Short-Term Debt, currently $45M at 8.5% interest). Since $45M &lt; $200M, assume the remaining $155M retires other ST obligations / reduces cash needs. Net effect: ST Debt → $0; LT Debt → +$200M; Total assets unchanged (debt-for-debt swap). Interest savings: lose 8.5% on $45M; pay 5.5% on $200M new bonds.</t>
  </si>
  <si>
    <t>Scenario B — Fund Capital Expenditure</t>
  </si>
  <si>
    <t>MRID uses ALL $200M to purchase new manufacturing equipment (PP&amp;E). Net effect: LT Debt → +$200M; PP&amp;E (net) → +$200M; Total assets increase by $200M. New D&amp;A of ~$10M/yr assumed. Revenue and EBIT modestly improve (+2.5%). Interest expense increases by full $11M/yr (existing ST debt remains).</t>
  </si>
  <si>
    <t>Scenario C — Mixed Use ($100M each)</t>
  </si>
  <si>
    <t xml:space="preserve">  ★ PART A — Post-Offering Balance Sheet  (yellow = your formulas; pre-offering values are linked from Baseline tab)</t>
  </si>
  <si>
    <t>Line Item</t>
  </si>
  <si>
    <t>Pre-Offering ($000s)</t>
  </si>
  <si>
    <t>Scenario A</t>
  </si>
  <si>
    <t>Scenario B</t>
  </si>
  <si>
    <t>Scenario C</t>
  </si>
  <si>
    <t>What Should Change?  (guide for your formula)</t>
  </si>
  <si>
    <t>Cash &amp; Equivalents</t>
  </si>
  <si>
    <t>✎  No change in any scenario — proceeds go to debt/PPE, not cash</t>
  </si>
  <si>
    <t>Short-Term Debt</t>
  </si>
  <si>
    <t>✎  Scenario A: Retire ALL ST debt → $0.  Scenario B: Unchanged → same as pre.  Scenario C: Retire ALL ST debt → $0</t>
  </si>
  <si>
    <t>✎  ALL scenarios: Add $200M new bond → LT Debt increases by $200,000</t>
  </si>
  <si>
    <t>PP&amp;E  (net)</t>
  </si>
  <si>
    <t>✎  Scenario A: No change.  Scenario B: +$200M CapEx.  Scenario C: +$100M CapEx</t>
  </si>
  <si>
    <t>✎  No change — bond is DEBT, not equity. Equity = $220,800</t>
  </si>
  <si>
    <t>Total Debt  (ST + LT)</t>
  </si>
  <si>
    <t>✎  = Short-Term Debt + Long-Term Debt for each scenario</t>
  </si>
  <si>
    <t xml:space="preserve">  ★ PART B — Post-Offering Income Statement  (yellow = your formulas)</t>
  </si>
  <si>
    <t>Item</t>
  </si>
  <si>
    <t>Pre-Offering</t>
  </si>
  <si>
    <t>Key Assumption &amp; Formula Hint</t>
  </si>
  <si>
    <t>EBIT</t>
  </si>
  <si>
    <t>✎  Hint: ScA = same as pre;  ScB = B23*1.025;  ScC = B23*1.012</t>
  </si>
  <si>
    <t>D&amp;A</t>
  </si>
  <si>
    <t>✎  Hint: ScA = same;  ScB = B24+10000;  ScC = B24+5000</t>
  </si>
  <si>
    <t>EBITDA  (EBIT + D&amp;A)</t>
  </si>
  <si>
    <t>Interest Expense  ($000s)</t>
  </si>
  <si>
    <t>Net Income  ($000s)</t>
  </si>
  <si>
    <t xml:space="preserve">  ★ PART C — Financial Ratio Comparison  (all 20 ratio cells are yours)</t>
  </si>
  <si>
    <t>Ratio</t>
  </si>
  <si>
    <t>Best?</t>
  </si>
  <si>
    <t>Formula Structure for Each Column</t>
  </si>
  <si>
    <t>Debt / Equity</t>
  </si>
  <si>
    <t xml:space="preserve">  ANALYSIS QUESTIONS — answer after completing your ratio table</t>
  </si>
  <si>
    <t>Q1:  Which scenario results in the lowest Debt/EBITDA ratio? Why does that matter to a credit analyst?</t>
  </si>
  <si>
    <t>Q2:  Under which scenario does Interest Coverage (TIE) improve vs. the pre-offering baseline? Explain why.</t>
  </si>
  <si>
    <t>Q3:  How does each scenario affect the Current Ratio differently? Which scenario is best for short-term liquidity?</t>
  </si>
  <si>
    <t>Meridian Industrial Corp — CFO Bond Offering Decision Dashboard</t>
  </si>
  <si>
    <t>Prepared by: [ Your Name ]  |  Date: [ Date ]  |  BUS 311 Corporate Finance</t>
  </si>
  <si>
    <t xml:space="preserve">  ★ PART 1 — Ratio Scorecard  (link each cell to your completed Ratio Impact tab — yellow = your cross-sheet links)</t>
  </si>
  <si>
    <t>Formula Hint  (link from Ratio Impact tab)</t>
  </si>
  <si>
    <t>✎  Link cols C–G from '📈 Ratio Impact'!C32 through G32
   Example col C: ='📈 Ratio Impact'!C32</t>
  </si>
  <si>
    <t>✎  Link cols C–G from '📈 Ratio Impact'!C33 through G33
   Example col C: ='📈 Ratio Impact'!C33</t>
  </si>
  <si>
    <t>Interest Coverage</t>
  </si>
  <si>
    <t>✎  Link cols C–G from '📈 Ratio Impact'!C34 through G34
   Example col C: ='📈 Ratio Impact'!C34</t>
  </si>
  <si>
    <t>✎  Link cols C–G from '📈 Ratio Impact'!C35 through G35
   Example col C: ='📈 Ratio Impact'!C35</t>
  </si>
  <si>
    <t xml:space="preserve">  ★ PART 2 — Annual Debt Service Summary  (link from your Ratio Impact IS section)</t>
  </si>
  <si>
    <t>EBIT  ($000s)</t>
  </si>
  <si>
    <t>Interest Coverage Ratio</t>
  </si>
  <si>
    <t xml:space="preserve">  ★ PART 3 — CFO Recommendation Memo  (your written analysis — replace all placeholder text)</t>
  </si>
  <si>
    <t>1.  Recommended Scenario</t>
  </si>
  <si>
    <t xml:space="preserve">  Guidance: State which scenario you recommend (A, B, or C) and write 2–3 sentences explaining your financial reasoning. Reference at least TWO specific ratios that support your choice.</t>
  </si>
  <si>
    <t>2.  Primary Financial Risk</t>
  </si>
  <si>
    <t xml:space="preserve">  Guidance: Identify the biggest financial risk created by this bond offering. Which ratio is most affected? What threshold are you most concerned about breaching?</t>
  </si>
  <si>
    <t>3.  Bond Pricing Analysis</t>
  </si>
  <si>
    <t xml:space="preserve">  Guidance: Explain in plain English why MRID's bond was priced at a discount. What does that mean for the total cost of borrowing? How does this differ from a bond at par?</t>
  </si>
  <si>
    <t>4.  Credit Rating Impact</t>
  </si>
  <si>
    <t xml:space="preserve">  Guidance: Based on the Debt/EBITDA and Interest Coverage ratios, how do you expect Moody's or S&amp;P to react to this offering? What level of Debt/EBITDA typically triggers a downgrade review for investment-grade firms?</t>
  </si>
  <si>
    <t>5.  Alternative Financing</t>
  </si>
  <si>
    <t xml:space="preserve">  Guidance: Name ONE alternative to a bond offering MRID could have considered. Describe the key trade-off vs. issuing bonds (think: cost, dilution, flexibility, balance sheet impact).</t>
  </si>
  <si>
    <t xml:space="preserve">✎ = Gross Profit − SG&amp;A − D&amp;A    </t>
  </si>
  <si>
    <t xml:space="preserve">✎ = Revenue − Cost of Goods Sold    </t>
  </si>
  <si>
    <t xml:space="preserve">✎ = EBIT − Interest Expense   </t>
  </si>
  <si>
    <t>✎ = EBT × 25% tax rate     (negative because it's a cost)</t>
  </si>
  <si>
    <t xml:space="preserve">✎ = EBT + Tax (both already signed)  </t>
  </si>
  <si>
    <t>✎  = Par Value × Annual Coupon Rate ÷ Payment Frequency
   This is the cash payment MRID makes every 6 months per bond</t>
  </si>
  <si>
    <t>✎  = Annual YTM ÷ Payment Frequency
   You need this because coupons are paid every 6 months</t>
  </si>
  <si>
    <t>✎  = Years to Maturity × Payment Frequency
   Total semiannual periods over bond life</t>
  </si>
  <si>
    <t>✎  = Price per Bond − Face Value
   Positive = premium (investors pay more); Negative = discount</t>
  </si>
  <si>
    <t>✎  = Price per Bond × Number of Bonds ÷ 1,000
   Divide by 1,000 to express in $thousands like the financials</t>
  </si>
  <si>
    <t>✎  = Par Value × Coupon Rate × Number of Bonds ÷ 1,000
   This is what MRID pays in coupon interest each year</t>
  </si>
  <si>
    <t>✎  = (1 + Semiannual Rate)² − 1
   EAR &gt; stated YTM because of semiannual compounding</t>
  </si>
  <si>
    <t>💡 SENSITIVITY TABLE HINT — For each row, adapt your PV formula from Step 2 to use the YTM in column B of that row.
   Premium/(Discount):  = [Price per Bond cell] - B5
   Total Proceeds ($000s):  = [Price per Bond cell] * B6 / 1000
   Tip: Use absolute references ($B$5, $B$6, etc.) so you can copy the formula down!</t>
  </si>
  <si>
    <t>Meridian Industrial Corp (MRID) — Pre-Offering Financial Statements  (FY 2025)</t>
  </si>
  <si>
    <t>FY 2025 ($000s)</t>
  </si>
  <si>
    <t xml:space="preserve">✎ = (Short-Term Debt + Long-Term Debt) / Total Equity
</t>
  </si>
  <si>
    <t xml:space="preserve">✎ = (ST Debt + LT Debt) / EBITDA;  EBITDA = EBIT + D&amp;A
</t>
  </si>
  <si>
    <t xml:space="preserve">✎ = EBIT / Interest Expense
</t>
  </si>
  <si>
    <t xml:space="preserve">✎ = Total Current Assets / Total Current Liabilities
</t>
  </si>
  <si>
    <t xml:space="preserve">✎ = (Total Debt - Cash) / EBITDA
</t>
  </si>
  <si>
    <t>MRID splits the proceeds: $100M retires all Short-Term Debt ($45M); $100M funds CapEx (PP&amp;E). Net effect: ST Debt → $0; LT Debt → +$200M; PP&amp;E → +$100M; Total assets increase by $100M. D&amp;A increases ~$5M/yr. Blended interest savings/cost scenario. Revenue (1.5%) and EBIT (+1.2) modest improvements.</t>
  </si>
  <si>
    <t>✎  Hint:  Pre=B22,  ScA=B22,  ScB=B22*1.025,  ScC=B22*1.015</t>
  </si>
  <si>
    <t>✎  Hint: =EBIT + D&amp;A for each scenario.</t>
  </si>
  <si>
    <t xml:space="preserve">✎  =(EBIT + Interest Expense) × (1 − 0.25 tax rate)
</t>
  </si>
  <si>
    <t>✎  Scen A: (110000*0.055+200000*0.055)  [retired all ST]
  Scen B: (45000*0.085+110000*0.055+200000*0.055)  [ST stays]
  Scen C: same as Scen A (all ST retired)</t>
  </si>
  <si>
    <t>✎ LINK  -📈 Ratio Impact Tab</t>
  </si>
  <si>
    <t>💡 IMPORTANT NOTE ON SIGNS:  Interest Expense (F12) is stored as a POSITIVE number ($9,800). EBIT (F10) and D&amp;A (F9) are also positive. Net Income will be positive. When building ratio formulas, use the cell references directly — do not negate them unless the formula guidance says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</si>
</sst>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0\x"/>
    <numFmt numFmtId="166" formatCode="\$#,##0"/>
    <numFmt numFmtId="167" formatCode="\$#,##0.00"/>
    <numFmt numFmtId="168" formatCode="0.000%"/>
    <numFmt numFmtId="169" formatCode="0.0\x"/>
  </numFmts>
  <fonts count="21" x14ac:knownFonts="1">
    <font>
      <sz val="11"/>
      <color theme="1"/>
      <name val="Calibri"/>
      <family val="2"/>
      <charset val="1"/>
    </font>
    <font>
      <b/>
      <sz val="15"/>
      <color rgb="FFC9A84C"/>
      <name val="Arial"/>
      <family val="2"/>
    </font>
    <font>
      <b/>
      <sz val="12"/>
      <color rgb="FF0D1F3C"/>
      <name val="Arial"/>
      <family val="2"/>
    </font>
    <font>
      <b/>
      <sz val="10"/>
      <color rgb="FFC9A84C"/>
      <name val="Arial"/>
      <family val="2"/>
    </font>
    <font>
      <sz val="10"/>
      <name val="Arial"/>
      <family val="2"/>
    </font>
    <font>
      <b/>
      <sz val="10"/>
      <color rgb="FF0D1F3C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B5E2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3"/>
      <color rgb="FFC9A84C"/>
      <name val="Arial"/>
      <family val="2"/>
    </font>
    <font>
      <sz val="10"/>
      <color rgb="FF0000FF"/>
      <name val="Arial"/>
      <family val="2"/>
    </font>
    <font>
      <i/>
      <sz val="9"/>
      <color rgb="FF1B5E20"/>
      <name val="Arial"/>
      <family val="2"/>
    </font>
    <font>
      <i/>
      <sz val="9"/>
      <color rgb="FF5D4037"/>
      <name val="Arial"/>
      <family val="2"/>
    </font>
    <font>
      <i/>
      <sz val="10"/>
      <color rgb="FF757575"/>
      <name val="Arial"/>
      <family val="2"/>
    </font>
    <font>
      <sz val="9"/>
      <name val="Arial"/>
      <family val="2"/>
    </font>
    <font>
      <sz val="10"/>
      <color rgb="FF008000"/>
      <name val="Arial"/>
      <family val="2"/>
    </font>
    <font>
      <b/>
      <sz val="14"/>
      <color rgb="FFC9A84C"/>
      <name val="Arial"/>
      <family val="2"/>
    </font>
    <font>
      <i/>
      <sz val="10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F3C"/>
        <bgColor rgb="FF2C3E50"/>
      </patternFill>
    </fill>
    <fill>
      <patternFill patternType="solid">
        <fgColor rgb="FFD6EAF8"/>
        <bgColor rgb="FFE8F5E9"/>
      </patternFill>
    </fill>
    <fill>
      <patternFill patternType="solid">
        <fgColor rgb="FFF2F3F4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2C3E50"/>
        <bgColor rgb="FF333399"/>
      </patternFill>
    </fill>
    <fill>
      <patternFill patternType="solid">
        <fgColor rgb="FFFFF176"/>
        <bgColor rgb="FFFFF9C4"/>
      </patternFill>
    </fill>
    <fill>
      <patternFill patternType="solid">
        <fgColor rgb="FFE8F5E9"/>
        <bgColor rgb="FFF2F3F4"/>
      </patternFill>
    </fill>
    <fill>
      <patternFill patternType="solid">
        <fgColor rgb="FFFFF9C4"/>
        <bgColor rgb="FFFFF3E0"/>
      </patternFill>
    </fill>
    <fill>
      <patternFill patternType="solid">
        <fgColor rgb="FFFFFDE7"/>
        <bgColor rgb="FFFFF3E0"/>
      </patternFill>
    </fill>
    <fill>
      <patternFill patternType="solid">
        <fgColor rgb="FFFFF3E0"/>
        <bgColor rgb="FFFFF0F0"/>
      </patternFill>
    </fill>
    <fill>
      <patternFill patternType="solid">
        <fgColor rgb="FFFCE4EC"/>
        <bgColor rgb="FFFFF0F0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0D1F3C"/>
      </left>
      <right style="medium">
        <color rgb="FF0D1F3C"/>
      </right>
      <top style="medium">
        <color rgb="FF0D1F3C"/>
      </top>
      <bottom style="medium">
        <color rgb="FF0D1F3C"/>
      </bottom>
      <diagonal/>
    </border>
    <border>
      <left style="medium">
        <color rgb="FF0D1F3C"/>
      </left>
      <right/>
      <top style="medium">
        <color rgb="FF0D1F3C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0" fillId="7" borderId="4" xfId="0" applyNumberFormat="1" applyFill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 wrapText="1"/>
    </xf>
    <xf numFmtId="165" fontId="0" fillId="7" borderId="4" xfId="0" applyNumberFormat="1" applyFill="1" applyBorder="1" applyAlignment="1">
      <alignment horizontal="right" vertical="center"/>
    </xf>
    <xf numFmtId="166" fontId="13" fillId="0" borderId="2" xfId="0" applyNumberFormat="1" applyFont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 vertical="center"/>
    </xf>
    <xf numFmtId="10" fontId="13" fillId="0" borderId="2" xfId="0" applyNumberFormat="1" applyFont="1" applyBorder="1" applyAlignment="1">
      <alignment horizontal="right" vertical="center"/>
    </xf>
    <xf numFmtId="1" fontId="13" fillId="0" borderId="2" xfId="0" applyNumberFormat="1" applyFont="1" applyBorder="1" applyAlignment="1">
      <alignment horizontal="right" vertical="center"/>
    </xf>
    <xf numFmtId="167" fontId="0" fillId="7" borderId="4" xfId="0" applyNumberFormat="1" applyFill="1" applyBorder="1" applyAlignment="1">
      <alignment horizontal="right" vertical="center"/>
    </xf>
    <xf numFmtId="168" fontId="0" fillId="7" borderId="4" xfId="0" applyNumberFormat="1" applyFill="1" applyBorder="1" applyAlignment="1">
      <alignment horizontal="right" vertical="center"/>
    </xf>
    <xf numFmtId="1" fontId="0" fillId="7" borderId="4" xfId="0" applyNumberFormat="1" applyFill="1" applyBorder="1" applyAlignment="1">
      <alignment horizontal="right" vertical="center"/>
    </xf>
    <xf numFmtId="166" fontId="0" fillId="7" borderId="4" xfId="0" applyNumberFormat="1" applyFill="1" applyBorder="1" applyAlignment="1">
      <alignment horizontal="right" vertical="center"/>
    </xf>
    <xf numFmtId="168" fontId="13" fillId="0" borderId="2" xfId="0" applyNumberFormat="1" applyFont="1" applyBorder="1" applyAlignment="1">
      <alignment horizontal="right" vertical="center"/>
    </xf>
    <xf numFmtId="0" fontId="11" fillId="9" borderId="2" xfId="0" applyFont="1" applyFill="1" applyBorder="1" applyAlignment="1">
      <alignment horizontal="left" vertical="center" wrapText="1"/>
    </xf>
    <xf numFmtId="168" fontId="13" fillId="9" borderId="2" xfId="0" applyNumberFormat="1" applyFont="1" applyFill="1" applyBorder="1" applyAlignment="1">
      <alignment horizontal="right" vertical="center"/>
    </xf>
    <xf numFmtId="167" fontId="0" fillId="9" borderId="4" xfId="0" applyNumberFormat="1" applyFill="1" applyBorder="1" applyAlignment="1">
      <alignment horizontal="right" vertical="center"/>
    </xf>
    <xf numFmtId="166" fontId="0" fillId="9" borderId="4" xfId="0" applyNumberForma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164" fontId="18" fillId="0" borderId="2" xfId="0" applyNumberFormat="1" applyFont="1" applyBorder="1" applyAlignment="1">
      <alignment horizontal="right" vertical="center"/>
    </xf>
    <xf numFmtId="169" fontId="0" fillId="7" borderId="4" xfId="0" applyNumberForma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14" fillId="8" borderId="3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top" wrapText="1"/>
    </xf>
    <xf numFmtId="0" fontId="0" fillId="0" borderId="0" xfId="0"/>
    <xf numFmtId="0" fontId="6" fillId="6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16" fillId="7" borderId="5" xfId="0" applyFont="1" applyFill="1" applyBorder="1" applyAlignment="1">
      <alignment horizontal="left" vertical="top" wrapText="1"/>
    </xf>
    <xf numFmtId="0" fontId="11" fillId="10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7" fillId="12" borderId="3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17" fillId="8" borderId="3" xfId="0" applyFont="1" applyFill="1" applyBorder="1" applyAlignment="1">
      <alignment horizontal="left" vertical="top" wrapText="1"/>
    </xf>
    <xf numFmtId="0" fontId="17" fillId="11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center" wrapText="1"/>
    </xf>
    <xf numFmtId="3" fontId="0" fillId="7" borderId="4" xfId="0" applyNumberFormat="1" applyFill="1" applyBorder="1" applyAlignment="1">
      <alignment horizontal="right" vertical="center"/>
    </xf>
    <xf numFmtId="169" fontId="0" fillId="7" borderId="4" xfId="0" applyNumberFormat="1" applyFill="1" applyBorder="1" applyAlignment="1">
      <alignment horizontal="right" vertical="center"/>
    </xf>
    <xf numFmtId="0" fontId="19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B5E20"/>
      <rgbColor rgb="FFFFF0F0"/>
      <rgbColor rgb="FF757575"/>
      <rgbColor rgb="FF9999FF"/>
      <rgbColor rgb="FF993366"/>
      <rgbColor rgb="FFFFF9C4"/>
      <rgbColor rgb="FFD6EAF8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3F4"/>
      <rgbColor rgb="FFFFF176"/>
      <rgbColor rgb="FFFFFDE7"/>
      <rgbColor rgb="FFFF99CC"/>
      <rgbColor rgb="FFCC99FF"/>
      <rgbColor rgb="FFFFF3E0"/>
      <rgbColor rgb="FF3366FF"/>
      <rgbColor rgb="FF33CCCC"/>
      <rgbColor rgb="FF99CC00"/>
      <rgbColor rgb="FFFFCC00"/>
      <rgbColor rgb="FFC9A84C"/>
      <rgbColor rgb="FFFF6600"/>
      <rgbColor rgb="FF666699"/>
      <rgbColor rgb="FFAAAAAA"/>
      <rgbColor rgb="FF0D1F3C"/>
      <rgbColor rgb="FF339966"/>
      <rgbColor rgb="FF006400"/>
      <rgbColor rgb="FF5D4037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0"/>
  <sheetViews>
    <sheetView zoomScaleNormal="100" workbookViewId="0">
      <selection activeCell="B35" sqref="B35"/>
    </sheetView>
  </sheetViews>
  <sheetFormatPr defaultColWidth="8.7109375" defaultRowHeight="15" x14ac:dyDescent="0.25"/>
  <cols>
    <col min="1" max="1" width="26" customWidth="1"/>
    <col min="2" max="2" width="70" customWidth="1"/>
    <col min="10" max="10" width="10" customWidth="1"/>
  </cols>
  <sheetData>
    <row r="2" spans="1:10" ht="60" customHeight="1" x14ac:dyDescent="0.25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15" customHeight="1" x14ac:dyDescent="0.25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48"/>
    </row>
    <row r="6" spans="1:10" ht="15" customHeight="1" x14ac:dyDescent="0.25">
      <c r="A6" s="41" t="s">
        <v>2</v>
      </c>
      <c r="B6" s="41"/>
      <c r="C6" s="41"/>
      <c r="D6" s="41"/>
      <c r="E6" s="41"/>
      <c r="F6" s="41"/>
      <c r="G6" s="41"/>
      <c r="H6" s="41"/>
      <c r="I6" s="41"/>
      <c r="J6" s="41"/>
    </row>
    <row r="7" spans="1:10" ht="63.75" customHeight="1" x14ac:dyDescent="0.25">
      <c r="A7" s="49" t="s">
        <v>3</v>
      </c>
      <c r="B7" s="49"/>
      <c r="C7" s="49"/>
      <c r="D7" s="49"/>
      <c r="E7" s="49"/>
      <c r="F7" s="49"/>
      <c r="G7" s="49"/>
      <c r="H7" s="49"/>
      <c r="I7" s="49"/>
      <c r="J7" s="49"/>
    </row>
    <row r="8" spans="1:10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</row>
    <row r="9" spans="1:10" ht="1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</row>
    <row r="11" spans="1:10" ht="15" customHeight="1" x14ac:dyDescent="0.25">
      <c r="A11" s="41" t="s">
        <v>4</v>
      </c>
      <c r="B11" s="41"/>
      <c r="C11" s="41"/>
      <c r="D11" s="41"/>
      <c r="E11" s="41"/>
      <c r="F11" s="41"/>
      <c r="G11" s="41"/>
      <c r="H11" s="41"/>
      <c r="I11" s="41"/>
      <c r="J11" s="41"/>
    </row>
    <row r="12" spans="1:10" ht="37.5" customHeight="1" x14ac:dyDescent="0.25">
      <c r="A12" s="2" t="s">
        <v>5</v>
      </c>
      <c r="B12" s="46" t="s">
        <v>6</v>
      </c>
      <c r="C12" s="46"/>
      <c r="D12" s="46"/>
      <c r="E12" s="46"/>
      <c r="F12" s="46"/>
      <c r="G12" s="46"/>
      <c r="H12" s="46"/>
      <c r="I12" s="46"/>
      <c r="J12" s="46"/>
    </row>
    <row r="13" spans="1:10" ht="37.5" customHeight="1" x14ac:dyDescent="0.25">
      <c r="A13" s="3" t="s">
        <v>7</v>
      </c>
      <c r="B13" s="40" t="s">
        <v>8</v>
      </c>
      <c r="C13" s="40"/>
      <c r="D13" s="40"/>
      <c r="E13" s="40"/>
      <c r="F13" s="40"/>
      <c r="G13" s="40"/>
      <c r="H13" s="40"/>
      <c r="I13" s="40"/>
      <c r="J13" s="40"/>
    </row>
    <row r="14" spans="1:10" ht="37.5" customHeight="1" x14ac:dyDescent="0.25">
      <c r="A14" s="2" t="s">
        <v>9</v>
      </c>
      <c r="B14" s="46" t="s">
        <v>10</v>
      </c>
      <c r="C14" s="46"/>
      <c r="D14" s="46"/>
      <c r="E14" s="46"/>
      <c r="F14" s="46"/>
      <c r="G14" s="46"/>
      <c r="H14" s="46"/>
      <c r="I14" s="46"/>
      <c r="J14" s="46"/>
    </row>
    <row r="15" spans="1:10" ht="37.5" customHeight="1" x14ac:dyDescent="0.25">
      <c r="A15" s="3" t="s">
        <v>11</v>
      </c>
      <c r="B15" s="40" t="s">
        <v>12</v>
      </c>
      <c r="C15" s="40"/>
      <c r="D15" s="40"/>
      <c r="E15" s="40"/>
      <c r="F15" s="40"/>
      <c r="G15" s="40"/>
      <c r="H15" s="40"/>
      <c r="I15" s="40"/>
      <c r="J15" s="40"/>
    </row>
    <row r="16" spans="1:10" ht="37.5" customHeight="1" x14ac:dyDescent="0.25">
      <c r="A16" s="2"/>
      <c r="B16" s="46"/>
      <c r="C16" s="46"/>
      <c r="D16" s="46"/>
      <c r="E16" s="46"/>
      <c r="F16" s="46"/>
      <c r="G16" s="46"/>
      <c r="H16" s="46"/>
      <c r="I16" s="46"/>
      <c r="J16" s="46"/>
    </row>
    <row r="18" spans="1:10" ht="15" customHeight="1" x14ac:dyDescent="0.25">
      <c r="A18" s="43" t="s">
        <v>13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" customHeight="1" x14ac:dyDescent="0.25">
      <c r="A19" s="4" t="s">
        <v>14</v>
      </c>
      <c r="B19" s="44" t="s">
        <v>15</v>
      </c>
      <c r="C19" s="44"/>
      <c r="D19" s="44"/>
      <c r="E19" s="44"/>
      <c r="F19" s="44"/>
      <c r="G19" s="44"/>
      <c r="H19" s="44"/>
      <c r="I19" s="44"/>
      <c r="J19" s="44"/>
    </row>
    <row r="20" spans="1:10" ht="15" customHeight="1" x14ac:dyDescent="0.25">
      <c r="A20" s="5" t="s">
        <v>16</v>
      </c>
      <c r="B20" s="45" t="s">
        <v>17</v>
      </c>
      <c r="C20" s="45"/>
      <c r="D20" s="45"/>
      <c r="E20" s="45"/>
      <c r="F20" s="45"/>
      <c r="G20" s="45"/>
      <c r="H20" s="45"/>
      <c r="I20" s="45"/>
      <c r="J20" s="45"/>
    </row>
    <row r="21" spans="1:10" ht="15" customHeight="1" x14ac:dyDescent="0.25">
      <c r="A21" s="6" t="s">
        <v>18</v>
      </c>
      <c r="B21" s="40" t="s">
        <v>19</v>
      </c>
      <c r="C21" s="40"/>
      <c r="D21" s="40"/>
      <c r="E21" s="40"/>
      <c r="F21" s="40"/>
      <c r="G21" s="40"/>
      <c r="H21" s="40"/>
      <c r="I21" s="40"/>
      <c r="J21" s="40"/>
    </row>
    <row r="22" spans="1:10" ht="15" customHeight="1" x14ac:dyDescent="0.25">
      <c r="A22" s="7" t="s">
        <v>20</v>
      </c>
      <c r="B22" s="40" t="s">
        <v>21</v>
      </c>
      <c r="C22" s="40"/>
      <c r="D22" s="40"/>
      <c r="E22" s="40"/>
      <c r="F22" s="40"/>
      <c r="G22" s="40"/>
      <c r="H22" s="40"/>
      <c r="I22" s="40"/>
      <c r="J22" s="40"/>
    </row>
    <row r="23" spans="1:10" ht="15" customHeight="1" x14ac:dyDescent="0.25">
      <c r="A23" s="8" t="s">
        <v>22</v>
      </c>
      <c r="B23" s="40" t="s">
        <v>23</v>
      </c>
      <c r="C23" s="40"/>
      <c r="D23" s="40"/>
      <c r="E23" s="40"/>
      <c r="F23" s="40"/>
      <c r="G23" s="40"/>
      <c r="H23" s="40"/>
      <c r="I23" s="40"/>
      <c r="J23" s="40"/>
    </row>
    <row r="25" spans="1:10" ht="15" customHeight="1" x14ac:dyDescent="0.25">
      <c r="A25" s="41" t="s">
        <v>24</v>
      </c>
      <c r="B25" s="41"/>
      <c r="C25" s="41"/>
      <c r="D25" s="41"/>
      <c r="E25" s="41"/>
      <c r="F25" s="41"/>
      <c r="G25" s="41"/>
      <c r="H25" s="41"/>
      <c r="I25" s="41"/>
      <c r="J25" s="41"/>
    </row>
    <row r="26" spans="1:10" ht="15" customHeight="1" x14ac:dyDescent="0.25">
      <c r="A26" s="1" t="s">
        <v>25</v>
      </c>
      <c r="B26" s="42" t="s">
        <v>26</v>
      </c>
      <c r="C26" s="42"/>
      <c r="D26" s="42"/>
      <c r="E26" s="42"/>
      <c r="F26" s="42"/>
      <c r="G26" s="42"/>
      <c r="H26" s="42"/>
      <c r="I26" s="42"/>
      <c r="J26" s="1" t="s">
        <v>27</v>
      </c>
    </row>
    <row r="27" spans="1:10" ht="15" customHeight="1" x14ac:dyDescent="0.25">
      <c r="A27" s="9" t="s">
        <v>28</v>
      </c>
      <c r="B27" s="38" t="s">
        <v>29</v>
      </c>
      <c r="C27" s="38"/>
      <c r="D27" s="38"/>
      <c r="E27" s="38"/>
      <c r="F27" s="38"/>
      <c r="G27" s="38"/>
      <c r="H27" s="38"/>
      <c r="I27" s="38"/>
      <c r="J27" s="10" t="s">
        <v>30</v>
      </c>
    </row>
    <row r="28" spans="1:10" ht="15" customHeight="1" x14ac:dyDescent="0.25">
      <c r="A28" s="7" t="s">
        <v>31</v>
      </c>
      <c r="B28" s="39" t="s">
        <v>32</v>
      </c>
      <c r="C28" s="39"/>
      <c r="D28" s="39"/>
      <c r="E28" s="39"/>
      <c r="F28" s="39"/>
      <c r="G28" s="39"/>
      <c r="H28" s="39"/>
      <c r="I28" s="39"/>
      <c r="J28" s="11" t="s">
        <v>33</v>
      </c>
    </row>
    <row r="29" spans="1:10" ht="15" customHeight="1" x14ac:dyDescent="0.25">
      <c r="A29" s="9" t="s">
        <v>34</v>
      </c>
      <c r="B29" s="38" t="s">
        <v>35</v>
      </c>
      <c r="C29" s="38"/>
      <c r="D29" s="38"/>
      <c r="E29" s="38"/>
      <c r="F29" s="38"/>
      <c r="G29" s="38"/>
      <c r="H29" s="38"/>
      <c r="I29" s="38"/>
      <c r="J29" s="10" t="s">
        <v>36</v>
      </c>
    </row>
    <row r="30" spans="1:10" ht="15" customHeight="1" x14ac:dyDescent="0.25">
      <c r="A30" s="7" t="s">
        <v>37</v>
      </c>
      <c r="B30" s="39" t="s">
        <v>38</v>
      </c>
      <c r="C30" s="39"/>
      <c r="D30" s="39"/>
      <c r="E30" s="39"/>
      <c r="F30" s="39"/>
      <c r="G30" s="39"/>
      <c r="H30" s="39"/>
      <c r="I30" s="39"/>
      <c r="J30" s="11" t="s">
        <v>36</v>
      </c>
    </row>
  </sheetData>
  <mergeCells count="22">
    <mergeCell ref="A2:J2"/>
    <mergeCell ref="A4:J4"/>
    <mergeCell ref="A6:J6"/>
    <mergeCell ref="A7:J9"/>
    <mergeCell ref="A11:J11"/>
    <mergeCell ref="B12:J12"/>
    <mergeCell ref="B13:J13"/>
    <mergeCell ref="B14:J14"/>
    <mergeCell ref="B15:J15"/>
    <mergeCell ref="B16:J16"/>
    <mergeCell ref="A18:J18"/>
    <mergeCell ref="B19:J19"/>
    <mergeCell ref="B20:J20"/>
    <mergeCell ref="B21:J21"/>
    <mergeCell ref="B22:J22"/>
    <mergeCell ref="B29:I29"/>
    <mergeCell ref="B30:I30"/>
    <mergeCell ref="B23:J23"/>
    <mergeCell ref="A25:J25"/>
    <mergeCell ref="B26:I26"/>
    <mergeCell ref="B27:I27"/>
    <mergeCell ref="B28:I28"/>
  </mergeCells>
  <pageMargins left="0.25" right="0.25" top="0.75" bottom="0.75" header="0.3" footer="0.3"/>
  <pageSetup paperSize="9" scale="6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zoomScaleNormal="100" workbookViewId="0">
      <selection activeCell="H46" sqref="H46"/>
    </sheetView>
  </sheetViews>
  <sheetFormatPr defaultColWidth="8.7109375" defaultRowHeight="15" x14ac:dyDescent="0.25"/>
  <cols>
    <col min="1" max="1" width="32" customWidth="1"/>
    <col min="2" max="2" width="12" customWidth="1"/>
    <col min="3" max="3" width="16" customWidth="1"/>
    <col min="4" max="5" width="14" customWidth="1"/>
    <col min="6" max="6" width="20" customWidth="1"/>
    <col min="7" max="7" width="18" customWidth="1"/>
    <col min="8" max="8" width="22" customWidth="1"/>
  </cols>
  <sheetData>
    <row r="1" spans="1:8" ht="15.75" customHeight="1" x14ac:dyDescent="0.25">
      <c r="A1" s="55" t="s">
        <v>225</v>
      </c>
      <c r="B1" s="55"/>
      <c r="C1" s="55"/>
      <c r="D1" s="55"/>
      <c r="E1" s="55"/>
      <c r="F1" s="55"/>
      <c r="G1" s="55"/>
      <c r="H1" s="55"/>
    </row>
    <row r="3" spans="1:8" ht="15" customHeight="1" x14ac:dyDescent="0.25">
      <c r="A3" s="41" t="s">
        <v>39</v>
      </c>
      <c r="B3" s="41"/>
      <c r="C3" s="41"/>
      <c r="D3" s="41"/>
      <c r="E3" s="41"/>
      <c r="F3" s="12" t="s">
        <v>226</v>
      </c>
      <c r="G3" s="1" t="s">
        <v>40</v>
      </c>
    </row>
    <row r="4" spans="1:8" ht="18" customHeight="1" x14ac:dyDescent="0.25">
      <c r="A4" s="13" t="s">
        <v>41</v>
      </c>
      <c r="B4" s="52"/>
      <c r="C4" s="52"/>
      <c r="D4" s="52"/>
      <c r="E4" s="52"/>
      <c r="F4" s="14">
        <v>425000</v>
      </c>
      <c r="G4" s="54" t="s">
        <v>42</v>
      </c>
      <c r="H4" s="54"/>
    </row>
    <row r="5" spans="1:8" ht="18" customHeight="1" x14ac:dyDescent="0.25">
      <c r="A5" s="13" t="s">
        <v>43</v>
      </c>
      <c r="B5" s="52"/>
      <c r="C5" s="52"/>
      <c r="D5" s="52"/>
      <c r="E5" s="52"/>
      <c r="F5" s="14">
        <v>272000</v>
      </c>
      <c r="G5" s="54" t="s">
        <v>42</v>
      </c>
      <c r="H5" s="54"/>
    </row>
    <row r="6" spans="1:8" ht="18" customHeight="1" x14ac:dyDescent="0.25">
      <c r="A6" s="15" t="s">
        <v>44</v>
      </c>
      <c r="B6" s="52"/>
      <c r="C6" s="52"/>
      <c r="D6" s="52"/>
      <c r="E6" s="52"/>
      <c r="F6" s="16"/>
      <c r="G6" s="50" t="s">
        <v>213</v>
      </c>
      <c r="H6" s="50"/>
    </row>
    <row r="7" spans="1:8" ht="18" customHeight="1" x14ac:dyDescent="0.25">
      <c r="A7" s="13"/>
      <c r="B7" s="52"/>
      <c r="C7" s="52"/>
      <c r="D7" s="52"/>
      <c r="E7" s="52"/>
    </row>
    <row r="8" spans="1:8" ht="18" customHeight="1" x14ac:dyDescent="0.25">
      <c r="A8" s="13" t="s">
        <v>45</v>
      </c>
      <c r="B8" s="52"/>
      <c r="C8" s="52"/>
      <c r="D8" s="52"/>
      <c r="E8" s="52"/>
      <c r="F8" s="14">
        <v>61000</v>
      </c>
      <c r="G8" s="54" t="s">
        <v>46</v>
      </c>
      <c r="H8" s="54"/>
    </row>
    <row r="9" spans="1:8" ht="18" customHeight="1" x14ac:dyDescent="0.25">
      <c r="A9" s="13" t="s">
        <v>47</v>
      </c>
      <c r="B9" s="52"/>
      <c r="C9" s="52"/>
      <c r="D9" s="52"/>
      <c r="E9" s="52"/>
      <c r="F9" s="14">
        <v>18500</v>
      </c>
      <c r="G9" s="54" t="s">
        <v>46</v>
      </c>
      <c r="H9" s="54"/>
    </row>
    <row r="10" spans="1:8" ht="18" customHeight="1" x14ac:dyDescent="0.25">
      <c r="A10" s="15" t="s">
        <v>48</v>
      </c>
      <c r="B10" s="52"/>
      <c r="C10" s="52"/>
      <c r="D10" s="52"/>
      <c r="E10" s="52"/>
      <c r="F10" s="16"/>
      <c r="G10" s="50" t="s">
        <v>212</v>
      </c>
      <c r="H10" s="50"/>
    </row>
    <row r="11" spans="1:8" ht="18" customHeight="1" x14ac:dyDescent="0.25">
      <c r="A11" s="13"/>
      <c r="B11" s="52"/>
      <c r="C11" s="52"/>
      <c r="D11" s="52"/>
      <c r="E11" s="52"/>
    </row>
    <row r="12" spans="1:8" ht="30.75" customHeight="1" x14ac:dyDescent="0.25">
      <c r="A12" s="13" t="s">
        <v>49</v>
      </c>
      <c r="B12" s="52"/>
      <c r="C12" s="52"/>
      <c r="D12" s="52"/>
      <c r="E12" s="52"/>
      <c r="F12" s="14">
        <v>9800</v>
      </c>
      <c r="G12" s="54" t="s">
        <v>50</v>
      </c>
      <c r="H12" s="54"/>
    </row>
    <row r="13" spans="1:8" ht="35.25" customHeight="1" x14ac:dyDescent="0.25">
      <c r="A13" s="15" t="s">
        <v>51</v>
      </c>
      <c r="B13" s="52"/>
      <c r="C13" s="52"/>
      <c r="D13" s="52"/>
      <c r="E13" s="52"/>
      <c r="F13" s="16"/>
      <c r="G13" s="50" t="s">
        <v>214</v>
      </c>
      <c r="H13" s="50"/>
    </row>
    <row r="14" spans="1:8" ht="30.75" customHeight="1" x14ac:dyDescent="0.25">
      <c r="A14" s="13" t="s">
        <v>52</v>
      </c>
      <c r="B14" s="52"/>
      <c r="C14" s="52"/>
      <c r="D14" s="52"/>
      <c r="E14" s="52"/>
      <c r="F14" s="16"/>
      <c r="G14" s="50" t="s">
        <v>215</v>
      </c>
      <c r="H14" s="50"/>
    </row>
    <row r="15" spans="1:8" ht="33.75" customHeight="1" x14ac:dyDescent="0.25">
      <c r="A15" s="15" t="s">
        <v>53</v>
      </c>
      <c r="B15" s="52"/>
      <c r="C15" s="52"/>
      <c r="D15" s="52"/>
      <c r="E15" s="52"/>
      <c r="F15" s="16"/>
      <c r="G15" s="50" t="s">
        <v>216</v>
      </c>
      <c r="H15" s="50"/>
    </row>
    <row r="22" spans="1:6" ht="15" customHeight="1" x14ac:dyDescent="0.25">
      <c r="A22" s="41" t="s">
        <v>54</v>
      </c>
      <c r="B22" s="41"/>
      <c r="C22" s="41"/>
      <c r="D22" s="41"/>
      <c r="E22" s="41"/>
      <c r="F22" s="12" t="s">
        <v>226</v>
      </c>
    </row>
    <row r="23" spans="1:6" ht="15" customHeight="1" x14ac:dyDescent="0.25">
      <c r="A23" s="43" t="s">
        <v>55</v>
      </c>
      <c r="B23" s="43"/>
      <c r="C23" s="43"/>
      <c r="D23" s="43"/>
      <c r="E23" s="43"/>
      <c r="F23" s="43"/>
    </row>
    <row r="24" spans="1:6" ht="15" customHeight="1" x14ac:dyDescent="0.25">
      <c r="A24" s="13" t="s">
        <v>56</v>
      </c>
      <c r="B24" s="52"/>
      <c r="C24" s="52"/>
      <c r="D24" s="52"/>
      <c r="E24" s="52"/>
      <c r="F24" s="14">
        <v>32500</v>
      </c>
    </row>
    <row r="25" spans="1:6" ht="15" customHeight="1" x14ac:dyDescent="0.25">
      <c r="A25" s="13" t="s">
        <v>57</v>
      </c>
      <c r="B25" s="52"/>
      <c r="C25" s="52"/>
      <c r="D25" s="52"/>
      <c r="E25" s="52"/>
      <c r="F25" s="14">
        <v>58000</v>
      </c>
    </row>
    <row r="26" spans="1:6" ht="15" customHeight="1" x14ac:dyDescent="0.25">
      <c r="A26" s="13" t="s">
        <v>58</v>
      </c>
      <c r="B26" s="52"/>
      <c r="C26" s="52"/>
      <c r="D26" s="52"/>
      <c r="E26" s="52"/>
      <c r="F26" s="14">
        <v>44200</v>
      </c>
    </row>
    <row r="27" spans="1:6" ht="15" customHeight="1" x14ac:dyDescent="0.25">
      <c r="A27" s="13" t="s">
        <v>59</v>
      </c>
      <c r="B27" s="52"/>
      <c r="C27" s="52"/>
      <c r="D27" s="52"/>
      <c r="E27" s="52"/>
      <c r="F27" s="14">
        <v>8300</v>
      </c>
    </row>
    <row r="28" spans="1:6" ht="15" customHeight="1" x14ac:dyDescent="0.25">
      <c r="A28" s="15" t="s">
        <v>60</v>
      </c>
      <c r="B28" s="52"/>
      <c r="C28" s="52"/>
      <c r="D28" s="52"/>
      <c r="E28" s="52"/>
      <c r="F28" s="17">
        <f>SUM(F24:F27)</f>
        <v>143000</v>
      </c>
    </row>
    <row r="29" spans="1:6" ht="15" customHeight="1" x14ac:dyDescent="0.25">
      <c r="A29" s="13"/>
      <c r="B29" s="52"/>
      <c r="C29" s="52"/>
      <c r="D29" s="52"/>
      <c r="E29" s="52"/>
    </row>
    <row r="30" spans="1:6" ht="15" customHeight="1" x14ac:dyDescent="0.25">
      <c r="A30" s="13" t="s">
        <v>61</v>
      </c>
      <c r="B30" s="52"/>
      <c r="C30" s="52"/>
      <c r="D30" s="52"/>
      <c r="E30" s="52"/>
      <c r="F30" s="14">
        <v>312000</v>
      </c>
    </row>
    <row r="31" spans="1:6" ht="15" customHeight="1" x14ac:dyDescent="0.25">
      <c r="A31" s="13" t="s">
        <v>62</v>
      </c>
      <c r="B31" s="52"/>
      <c r="C31" s="52"/>
      <c r="D31" s="52"/>
      <c r="E31" s="52"/>
      <c r="F31" s="14">
        <v>22000</v>
      </c>
    </row>
    <row r="32" spans="1:6" ht="15" customHeight="1" x14ac:dyDescent="0.25">
      <c r="A32" s="13" t="s">
        <v>63</v>
      </c>
      <c r="B32" s="52"/>
      <c r="C32" s="52"/>
      <c r="D32" s="52"/>
      <c r="E32" s="52"/>
      <c r="F32" s="14">
        <v>9500</v>
      </c>
    </row>
    <row r="33" spans="1:6" ht="15" customHeight="1" x14ac:dyDescent="0.25">
      <c r="A33" s="15" t="s">
        <v>64</v>
      </c>
      <c r="B33" s="52"/>
      <c r="C33" s="52"/>
      <c r="D33" s="52"/>
      <c r="E33" s="52"/>
      <c r="F33" s="17">
        <f>F28+F30+F31+F32</f>
        <v>486500</v>
      </c>
    </row>
    <row r="36" spans="1:6" ht="15" customHeight="1" x14ac:dyDescent="0.25">
      <c r="A36" s="43" t="s">
        <v>65</v>
      </c>
      <c r="B36" s="43"/>
      <c r="C36" s="43"/>
      <c r="D36" s="43"/>
      <c r="E36" s="43"/>
      <c r="F36" s="43"/>
    </row>
    <row r="37" spans="1:6" ht="15" customHeight="1" x14ac:dyDescent="0.25">
      <c r="A37" s="13" t="s">
        <v>66</v>
      </c>
      <c r="B37" s="52"/>
      <c r="C37" s="52"/>
      <c r="D37" s="52"/>
      <c r="E37" s="52"/>
      <c r="F37" s="14">
        <v>29400</v>
      </c>
    </row>
    <row r="38" spans="1:6" ht="15" customHeight="1" x14ac:dyDescent="0.25">
      <c r="A38" s="13" t="s">
        <v>67</v>
      </c>
      <c r="B38" s="52"/>
      <c r="C38" s="52"/>
      <c r="D38" s="52"/>
      <c r="E38" s="52"/>
      <c r="F38" s="14">
        <v>45000</v>
      </c>
    </row>
    <row r="39" spans="1:6" ht="15" customHeight="1" x14ac:dyDescent="0.25">
      <c r="A39" s="13" t="s">
        <v>68</v>
      </c>
      <c r="B39" s="52"/>
      <c r="C39" s="52"/>
      <c r="D39" s="52"/>
      <c r="E39" s="52"/>
      <c r="F39" s="14">
        <v>13100</v>
      </c>
    </row>
    <row r="40" spans="1:6" ht="15" customHeight="1" x14ac:dyDescent="0.25">
      <c r="A40" s="15" t="s">
        <v>69</v>
      </c>
      <c r="B40" s="52"/>
      <c r="C40" s="52"/>
      <c r="D40" s="52"/>
      <c r="E40" s="52"/>
      <c r="F40" s="17">
        <f>SUM(F37:F39)</f>
        <v>87500</v>
      </c>
    </row>
    <row r="41" spans="1:6" ht="15" customHeight="1" x14ac:dyDescent="0.25">
      <c r="A41" s="13"/>
    </row>
    <row r="42" spans="1:6" ht="15" customHeight="1" x14ac:dyDescent="0.25">
      <c r="A42" s="13" t="s">
        <v>70</v>
      </c>
      <c r="B42" s="52"/>
      <c r="C42" s="52"/>
      <c r="D42" s="52"/>
      <c r="E42" s="52"/>
      <c r="F42" s="14">
        <v>110000</v>
      </c>
    </row>
    <row r="43" spans="1:6" ht="15" customHeight="1" x14ac:dyDescent="0.25">
      <c r="A43" s="13" t="s">
        <v>71</v>
      </c>
      <c r="B43" s="52"/>
      <c r="C43" s="52"/>
      <c r="D43" s="52"/>
      <c r="E43" s="52"/>
      <c r="F43" s="14">
        <v>7200</v>
      </c>
    </row>
    <row r="44" spans="1:6" ht="15" customHeight="1" x14ac:dyDescent="0.25">
      <c r="A44" s="15" t="s">
        <v>72</v>
      </c>
      <c r="B44" s="52"/>
      <c r="C44" s="52"/>
      <c r="D44" s="52"/>
      <c r="E44" s="52"/>
      <c r="F44" s="17">
        <f>F40+F42+F43</f>
        <v>204700</v>
      </c>
    </row>
    <row r="45" spans="1:6" ht="15" customHeight="1" x14ac:dyDescent="0.25">
      <c r="A45" s="13"/>
    </row>
    <row r="46" spans="1:6" ht="15" customHeight="1" x14ac:dyDescent="0.25">
      <c r="A46" s="13" t="s">
        <v>73</v>
      </c>
      <c r="B46" s="52"/>
      <c r="C46" s="52"/>
      <c r="D46" s="52"/>
      <c r="E46" s="52"/>
      <c r="F46" s="14">
        <v>85000</v>
      </c>
    </row>
    <row r="47" spans="1:6" ht="15" customHeight="1" x14ac:dyDescent="0.25">
      <c r="A47" s="13" t="s">
        <v>74</v>
      </c>
      <c r="B47" s="52"/>
      <c r="C47" s="52"/>
      <c r="D47" s="52"/>
      <c r="E47" s="52"/>
      <c r="F47" s="14">
        <v>135800</v>
      </c>
    </row>
    <row r="48" spans="1:6" ht="15" customHeight="1" x14ac:dyDescent="0.25">
      <c r="A48" s="15" t="s">
        <v>75</v>
      </c>
      <c r="B48" s="52"/>
      <c r="C48" s="52"/>
      <c r="D48" s="52"/>
      <c r="E48" s="52"/>
      <c r="F48" s="17">
        <f>SUM(F46:F47)</f>
        <v>220800</v>
      </c>
    </row>
    <row r="49" spans="1:8" ht="15" customHeight="1" x14ac:dyDescent="0.25">
      <c r="A49" s="15" t="s">
        <v>76</v>
      </c>
      <c r="B49" s="52"/>
      <c r="C49" s="52"/>
      <c r="D49" s="52"/>
      <c r="E49" s="52"/>
      <c r="F49" s="17">
        <f>F44+F48</f>
        <v>425500</v>
      </c>
    </row>
    <row r="53" spans="1:8" ht="15" customHeight="1" x14ac:dyDescent="0.25">
      <c r="A53" s="41" t="s">
        <v>77</v>
      </c>
      <c r="B53" s="41"/>
      <c r="C53" s="41"/>
      <c r="D53" s="41"/>
      <c r="E53" s="41"/>
      <c r="F53" s="41"/>
      <c r="G53" s="41"/>
      <c r="H53" s="41"/>
    </row>
    <row r="54" spans="1:8" ht="15" customHeight="1" x14ac:dyDescent="0.25">
      <c r="A54" s="1" t="s">
        <v>78</v>
      </c>
      <c r="B54" s="1" t="s">
        <v>79</v>
      </c>
      <c r="C54" s="1" t="s">
        <v>80</v>
      </c>
      <c r="D54" s="53" t="s">
        <v>81</v>
      </c>
      <c r="E54" s="53"/>
      <c r="F54" s="53"/>
    </row>
    <row r="55" spans="1:8" ht="38.25" customHeight="1" x14ac:dyDescent="0.25">
      <c r="A55" s="15" t="s">
        <v>82</v>
      </c>
      <c r="B55" s="18" t="s">
        <v>83</v>
      </c>
      <c r="C55" s="19"/>
      <c r="D55" s="50" t="s">
        <v>227</v>
      </c>
      <c r="E55" s="50"/>
      <c r="F55" s="50"/>
    </row>
    <row r="56" spans="1:8" ht="34.5" customHeight="1" x14ac:dyDescent="0.25">
      <c r="A56" s="15" t="s">
        <v>84</v>
      </c>
      <c r="B56" s="18" t="s">
        <v>85</v>
      </c>
      <c r="C56" s="19"/>
      <c r="D56" s="50" t="s">
        <v>228</v>
      </c>
      <c r="E56" s="50"/>
      <c r="F56" s="50"/>
    </row>
    <row r="57" spans="1:8" ht="32.25" customHeight="1" x14ac:dyDescent="0.25">
      <c r="A57" s="15" t="s">
        <v>86</v>
      </c>
      <c r="B57" s="18" t="s">
        <v>87</v>
      </c>
      <c r="C57" s="19"/>
      <c r="D57" s="50" t="s">
        <v>229</v>
      </c>
      <c r="E57" s="50"/>
      <c r="F57" s="50"/>
    </row>
    <row r="58" spans="1:8" ht="35.25" customHeight="1" x14ac:dyDescent="0.25">
      <c r="A58" s="15" t="s">
        <v>88</v>
      </c>
      <c r="B58" s="18" t="s">
        <v>89</v>
      </c>
      <c r="C58" s="19"/>
      <c r="D58" s="50" t="s">
        <v>230</v>
      </c>
      <c r="E58" s="50"/>
      <c r="F58" s="50"/>
    </row>
    <row r="59" spans="1:8" ht="33.75" customHeight="1" x14ac:dyDescent="0.25">
      <c r="A59" s="15" t="s">
        <v>90</v>
      </c>
      <c r="B59" s="18" t="s">
        <v>91</v>
      </c>
      <c r="C59" s="19"/>
      <c r="D59" s="50" t="s">
        <v>231</v>
      </c>
      <c r="E59" s="50"/>
      <c r="F59" s="50"/>
    </row>
    <row r="61" spans="1:8" ht="15" customHeight="1" x14ac:dyDescent="0.25">
      <c r="A61" s="51" t="s">
        <v>238</v>
      </c>
      <c r="B61" s="51"/>
      <c r="C61" s="51"/>
      <c r="D61" s="51"/>
      <c r="E61" s="51"/>
      <c r="F61" s="51"/>
      <c r="G61" s="51"/>
      <c r="H61" s="51"/>
    </row>
    <row r="62" spans="1:8" ht="15" customHeight="1" x14ac:dyDescent="0.25">
      <c r="A62" s="51"/>
      <c r="B62" s="51"/>
      <c r="C62" s="51"/>
      <c r="D62" s="51"/>
      <c r="E62" s="51"/>
      <c r="F62" s="51"/>
      <c r="G62" s="51"/>
      <c r="H62" s="51"/>
    </row>
  </sheetData>
  <mergeCells count="56">
    <mergeCell ref="A1:H1"/>
    <mergeCell ref="A3:E3"/>
    <mergeCell ref="B4:E4"/>
    <mergeCell ref="G4:H4"/>
    <mergeCell ref="B5:E5"/>
    <mergeCell ref="G5:H5"/>
    <mergeCell ref="B6:E6"/>
    <mergeCell ref="G6:H6"/>
    <mergeCell ref="B7:E7"/>
    <mergeCell ref="B8:E8"/>
    <mergeCell ref="G8:H8"/>
    <mergeCell ref="B9:E9"/>
    <mergeCell ref="G9:H9"/>
    <mergeCell ref="B10:E10"/>
    <mergeCell ref="G10:H10"/>
    <mergeCell ref="B11:E11"/>
    <mergeCell ref="B12:E12"/>
    <mergeCell ref="G12:H12"/>
    <mergeCell ref="B13:E13"/>
    <mergeCell ref="G13:H13"/>
    <mergeCell ref="B14:E14"/>
    <mergeCell ref="G14:H14"/>
    <mergeCell ref="B15:E15"/>
    <mergeCell ref="G15:H15"/>
    <mergeCell ref="A22:E22"/>
    <mergeCell ref="A23:F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A36:F36"/>
    <mergeCell ref="B37:E37"/>
    <mergeCell ref="B38:E38"/>
    <mergeCell ref="B39:E39"/>
    <mergeCell ref="B40:E40"/>
    <mergeCell ref="B42:E42"/>
    <mergeCell ref="B43:E43"/>
    <mergeCell ref="B44:E44"/>
    <mergeCell ref="B46:E46"/>
    <mergeCell ref="B47:E47"/>
    <mergeCell ref="B48:E48"/>
    <mergeCell ref="D57:F57"/>
    <mergeCell ref="D58:F58"/>
    <mergeCell ref="D59:F59"/>
    <mergeCell ref="A61:H62"/>
    <mergeCell ref="B49:E49"/>
    <mergeCell ref="A53:H53"/>
    <mergeCell ref="D54:F54"/>
    <mergeCell ref="D55:F55"/>
    <mergeCell ref="D56:F5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opLeftCell="A18" zoomScaleNormal="100" workbookViewId="0">
      <selection activeCell="C26" sqref="C26:E30"/>
    </sheetView>
  </sheetViews>
  <sheetFormatPr defaultColWidth="8.7109375" defaultRowHeight="15" x14ac:dyDescent="0.25"/>
  <cols>
    <col min="1" max="1" width="30" customWidth="1"/>
    <col min="2" max="2" width="19.42578125" customWidth="1"/>
    <col min="3" max="3" width="16" customWidth="1"/>
    <col min="4" max="4" width="18" customWidth="1"/>
    <col min="5" max="5" width="20" customWidth="1"/>
    <col min="6" max="7" width="14" customWidth="1"/>
    <col min="8" max="8" width="20" customWidth="1"/>
  </cols>
  <sheetData>
    <row r="1" spans="1:8" ht="15.75" customHeight="1" x14ac:dyDescent="0.25">
      <c r="A1" s="55" t="s">
        <v>92</v>
      </c>
      <c r="B1" s="55"/>
      <c r="C1" s="55"/>
      <c r="D1" s="55"/>
      <c r="E1" s="55"/>
      <c r="F1" s="55"/>
      <c r="G1" s="55"/>
      <c r="H1" s="55"/>
    </row>
    <row r="3" spans="1:8" ht="15" customHeight="1" x14ac:dyDescent="0.25">
      <c r="A3" s="41" t="s">
        <v>93</v>
      </c>
      <c r="B3" s="41"/>
      <c r="C3" s="41"/>
      <c r="D3" s="41"/>
      <c r="E3" s="41"/>
      <c r="F3" s="41"/>
      <c r="G3" s="41"/>
      <c r="H3" s="41"/>
    </row>
    <row r="4" spans="1:8" ht="15" customHeight="1" x14ac:dyDescent="0.25">
      <c r="A4" s="1" t="s">
        <v>94</v>
      </c>
      <c r="B4" s="1" t="s">
        <v>95</v>
      </c>
      <c r="C4" s="53" t="s">
        <v>96</v>
      </c>
      <c r="D4" s="53"/>
      <c r="E4" s="53"/>
      <c r="F4" s="53"/>
      <c r="G4" s="53"/>
      <c r="H4" s="53"/>
    </row>
    <row r="5" spans="1:8" ht="15" customHeight="1" x14ac:dyDescent="0.25">
      <c r="A5" s="13" t="s">
        <v>97</v>
      </c>
      <c r="B5" s="20">
        <v>1000</v>
      </c>
      <c r="C5" s="54" t="s">
        <v>98</v>
      </c>
      <c r="D5" s="54"/>
      <c r="E5" s="54"/>
      <c r="F5" s="54"/>
      <c r="G5" s="54"/>
      <c r="H5" s="54"/>
    </row>
    <row r="6" spans="1:8" ht="15" customHeight="1" x14ac:dyDescent="0.25">
      <c r="A6" s="13" t="s">
        <v>99</v>
      </c>
      <c r="B6" s="21">
        <v>200000</v>
      </c>
      <c r="C6" s="54" t="s">
        <v>100</v>
      </c>
      <c r="D6" s="54"/>
      <c r="E6" s="54"/>
      <c r="F6" s="54"/>
      <c r="G6" s="54"/>
      <c r="H6" s="54"/>
    </row>
    <row r="7" spans="1:8" ht="15" customHeight="1" x14ac:dyDescent="0.25">
      <c r="A7" s="13" t="s">
        <v>101</v>
      </c>
      <c r="B7" s="22">
        <v>5.5E-2</v>
      </c>
      <c r="C7" s="54" t="s">
        <v>102</v>
      </c>
      <c r="D7" s="54"/>
      <c r="E7" s="54"/>
      <c r="F7" s="54"/>
      <c r="G7" s="54"/>
      <c r="H7" s="54"/>
    </row>
    <row r="8" spans="1:8" ht="15" customHeight="1" x14ac:dyDescent="0.25">
      <c r="A8" s="13" t="s">
        <v>103</v>
      </c>
      <c r="B8" s="22">
        <v>5.8000000000000003E-2</v>
      </c>
      <c r="C8" s="54" t="s">
        <v>104</v>
      </c>
      <c r="D8" s="54"/>
      <c r="E8" s="54"/>
      <c r="F8" s="54"/>
      <c r="G8" s="54"/>
      <c r="H8" s="54"/>
    </row>
    <row r="9" spans="1:8" ht="15" customHeight="1" x14ac:dyDescent="0.25">
      <c r="A9" s="13" t="s">
        <v>105</v>
      </c>
      <c r="B9" s="23">
        <v>10</v>
      </c>
      <c r="C9" s="54" t="s">
        <v>106</v>
      </c>
      <c r="D9" s="54"/>
      <c r="E9" s="54"/>
      <c r="F9" s="54"/>
      <c r="G9" s="54"/>
      <c r="H9" s="54"/>
    </row>
    <row r="10" spans="1:8" ht="23.25" customHeight="1" x14ac:dyDescent="0.25">
      <c r="A10" s="13" t="s">
        <v>107</v>
      </c>
      <c r="B10" s="23">
        <v>2</v>
      </c>
      <c r="C10" s="54" t="s">
        <v>108</v>
      </c>
      <c r="D10" s="54"/>
      <c r="E10" s="54"/>
      <c r="F10" s="54"/>
      <c r="G10" s="54"/>
      <c r="H10" s="54"/>
    </row>
    <row r="12" spans="1:8" ht="15" customHeight="1" x14ac:dyDescent="0.25">
      <c r="A12" s="41" t="s">
        <v>109</v>
      </c>
      <c r="B12" s="41"/>
      <c r="C12" s="41"/>
      <c r="D12" s="41"/>
      <c r="E12" s="41"/>
      <c r="F12" s="41"/>
      <c r="G12" s="41"/>
      <c r="H12" s="41"/>
    </row>
    <row r="13" spans="1:8" ht="27" customHeight="1" x14ac:dyDescent="0.25">
      <c r="A13" s="1" t="s">
        <v>110</v>
      </c>
      <c r="B13" s="1" t="s">
        <v>111</v>
      </c>
      <c r="C13" s="53" t="s">
        <v>112</v>
      </c>
      <c r="D13" s="53"/>
      <c r="E13" s="53"/>
      <c r="F13" s="53"/>
      <c r="G13" s="53"/>
      <c r="H13" s="53"/>
    </row>
    <row r="14" spans="1:8" ht="21.75" customHeight="1" x14ac:dyDescent="0.25">
      <c r="A14" s="13" t="s">
        <v>113</v>
      </c>
      <c r="B14" s="24"/>
      <c r="C14" s="50" t="s">
        <v>217</v>
      </c>
      <c r="D14" s="50"/>
      <c r="E14" s="50"/>
      <c r="F14" s="50"/>
      <c r="G14" s="50"/>
      <c r="H14" s="50"/>
    </row>
    <row r="15" spans="1:8" ht="21.75" customHeight="1" x14ac:dyDescent="0.25">
      <c r="A15" s="13" t="s">
        <v>114</v>
      </c>
      <c r="B15" s="25"/>
      <c r="C15" s="50" t="s">
        <v>218</v>
      </c>
      <c r="D15" s="50"/>
      <c r="E15" s="50"/>
      <c r="F15" s="50"/>
      <c r="G15" s="50"/>
      <c r="H15" s="50"/>
    </row>
    <row r="16" spans="1:8" ht="21.75" customHeight="1" x14ac:dyDescent="0.25">
      <c r="A16" s="13" t="s">
        <v>115</v>
      </c>
      <c r="B16" s="26"/>
      <c r="C16" s="50" t="s">
        <v>219</v>
      </c>
      <c r="D16" s="50"/>
      <c r="E16" s="50"/>
      <c r="F16" s="50"/>
      <c r="G16" s="50"/>
      <c r="H16" s="50"/>
    </row>
    <row r="17" spans="1:8" ht="21.75" customHeight="1" x14ac:dyDescent="0.25">
      <c r="A17" s="15" t="s">
        <v>116</v>
      </c>
      <c r="B17" s="24"/>
      <c r="C17" s="50" t="s">
        <v>117</v>
      </c>
      <c r="D17" s="50"/>
      <c r="E17" s="50"/>
      <c r="F17" s="50"/>
      <c r="G17" s="50"/>
      <c r="H17" s="50"/>
    </row>
    <row r="18" spans="1:8" ht="21.75" customHeight="1" x14ac:dyDescent="0.25">
      <c r="A18" s="13" t="s">
        <v>118</v>
      </c>
      <c r="B18" s="24"/>
      <c r="C18" s="50" t="s">
        <v>220</v>
      </c>
      <c r="D18" s="50"/>
      <c r="E18" s="50"/>
      <c r="F18" s="50"/>
      <c r="G18" s="50"/>
      <c r="H18" s="50"/>
    </row>
    <row r="19" spans="1:8" ht="21.75" customHeight="1" x14ac:dyDescent="0.25">
      <c r="A19" s="15" t="s">
        <v>119</v>
      </c>
      <c r="B19" s="27"/>
      <c r="C19" s="50" t="s">
        <v>221</v>
      </c>
      <c r="D19" s="50"/>
      <c r="E19" s="50"/>
      <c r="F19" s="50"/>
      <c r="G19" s="50"/>
      <c r="H19" s="50"/>
    </row>
    <row r="20" spans="1:8" ht="21.75" customHeight="1" x14ac:dyDescent="0.25">
      <c r="A20" s="15" t="s">
        <v>120</v>
      </c>
      <c r="B20" s="27"/>
      <c r="C20" s="50" t="s">
        <v>222</v>
      </c>
      <c r="D20" s="50"/>
      <c r="E20" s="50"/>
      <c r="F20" s="50"/>
      <c r="G20" s="50"/>
      <c r="H20" s="50"/>
    </row>
    <row r="21" spans="1:8" ht="21.75" customHeight="1" x14ac:dyDescent="0.25">
      <c r="A21" s="13" t="s">
        <v>121</v>
      </c>
      <c r="B21" s="25"/>
      <c r="C21" s="50" t="s">
        <v>223</v>
      </c>
      <c r="D21" s="50"/>
      <c r="E21" s="50"/>
      <c r="F21" s="50"/>
      <c r="G21" s="50"/>
      <c r="H21" s="50"/>
    </row>
    <row r="24" spans="1:8" ht="15" customHeight="1" x14ac:dyDescent="0.25">
      <c r="A24" s="41" t="s">
        <v>122</v>
      </c>
      <c r="B24" s="41"/>
      <c r="C24" s="41"/>
      <c r="D24" s="41"/>
      <c r="E24" s="41"/>
      <c r="F24" s="41"/>
      <c r="G24" s="41"/>
      <c r="H24" s="41"/>
    </row>
    <row r="25" spans="1:8" ht="23.25" customHeight="1" x14ac:dyDescent="0.25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53" t="s">
        <v>128</v>
      </c>
      <c r="G25" s="53"/>
      <c r="H25" s="53"/>
    </row>
    <row r="26" spans="1:8" ht="23.25" customHeight="1" x14ac:dyDescent="0.25">
      <c r="A26" s="13" t="s">
        <v>129</v>
      </c>
      <c r="B26" s="28">
        <v>4.4999999999999998E-2</v>
      </c>
      <c r="C26" s="31"/>
      <c r="D26" s="31"/>
      <c r="E26" s="32"/>
      <c r="F26" s="58" t="s">
        <v>130</v>
      </c>
      <c r="G26" s="58"/>
      <c r="H26" s="58"/>
    </row>
    <row r="27" spans="1:8" ht="21" customHeight="1" x14ac:dyDescent="0.25">
      <c r="A27" s="13" t="s">
        <v>131</v>
      </c>
      <c r="B27" s="28">
        <v>5.5E-2</v>
      </c>
      <c r="C27" s="31"/>
      <c r="D27" s="31"/>
      <c r="E27" s="32"/>
      <c r="F27" s="58" t="s">
        <v>132</v>
      </c>
      <c r="G27" s="58"/>
      <c r="H27" s="58"/>
    </row>
    <row r="28" spans="1:8" ht="21.75" customHeight="1" x14ac:dyDescent="0.25">
      <c r="A28" s="29" t="s">
        <v>133</v>
      </c>
      <c r="B28" s="30">
        <v>5.8000000000000003E-2</v>
      </c>
      <c r="C28" s="31"/>
      <c r="D28" s="31"/>
      <c r="E28" s="32"/>
      <c r="F28" s="59" t="s">
        <v>134</v>
      </c>
      <c r="G28" s="59"/>
      <c r="H28" s="59"/>
    </row>
    <row r="29" spans="1:8" ht="23.25" customHeight="1" x14ac:dyDescent="0.25">
      <c r="A29" s="13" t="s">
        <v>135</v>
      </c>
      <c r="B29" s="28">
        <v>6.5000000000000002E-2</v>
      </c>
      <c r="C29" s="31"/>
      <c r="D29" s="31"/>
      <c r="E29" s="32"/>
      <c r="F29" s="58" t="s">
        <v>136</v>
      </c>
      <c r="G29" s="58"/>
      <c r="H29" s="58"/>
    </row>
    <row r="30" spans="1:8" ht="24.75" customHeight="1" x14ac:dyDescent="0.25">
      <c r="A30" s="13" t="s">
        <v>137</v>
      </c>
      <c r="B30" s="28">
        <v>7.4999999999999997E-2</v>
      </c>
      <c r="C30" s="31"/>
      <c r="D30" s="31"/>
      <c r="E30" s="32"/>
      <c r="F30" s="58" t="s">
        <v>138</v>
      </c>
      <c r="G30" s="58"/>
      <c r="H30" s="58"/>
    </row>
    <row r="32" spans="1:8" ht="49.5" customHeight="1" x14ac:dyDescent="0.25">
      <c r="A32" s="51" t="s">
        <v>224</v>
      </c>
      <c r="B32" s="51"/>
      <c r="C32" s="51"/>
      <c r="D32" s="51"/>
      <c r="E32" s="51"/>
      <c r="F32" s="51"/>
      <c r="G32" s="51"/>
      <c r="H32" s="51"/>
    </row>
    <row r="33" spans="1:8" ht="15" customHeight="1" x14ac:dyDescent="0.25">
      <c r="A33" s="51"/>
      <c r="B33" s="51"/>
      <c r="C33" s="51"/>
      <c r="D33" s="51"/>
      <c r="E33" s="51"/>
      <c r="F33" s="51"/>
      <c r="G33" s="51"/>
      <c r="H33" s="51"/>
    </row>
    <row r="35" spans="1:8" ht="15" customHeight="1" x14ac:dyDescent="0.25">
      <c r="A35" s="43" t="s">
        <v>139</v>
      </c>
      <c r="B35" s="43"/>
      <c r="C35" s="43"/>
      <c r="D35" s="43"/>
      <c r="E35" s="43"/>
      <c r="F35" s="43"/>
      <c r="G35" s="43"/>
      <c r="H35" s="43"/>
    </row>
    <row r="36" spans="1:8" ht="21.75" customHeight="1" x14ac:dyDescent="0.25">
      <c r="A36" s="56" t="s">
        <v>140</v>
      </c>
      <c r="B36" s="56"/>
      <c r="C36" s="56"/>
      <c r="D36" s="56"/>
      <c r="E36" s="56"/>
      <c r="F36" s="56"/>
      <c r="G36" s="56"/>
      <c r="H36" s="56"/>
    </row>
    <row r="37" spans="1:8" ht="39.75" customHeight="1" x14ac:dyDescent="0.25">
      <c r="A37" s="57" t="s">
        <v>141</v>
      </c>
      <c r="B37" s="57"/>
      <c r="C37" s="57"/>
      <c r="D37" s="57"/>
      <c r="E37" s="57"/>
      <c r="F37" s="57"/>
      <c r="G37" s="57"/>
      <c r="H37" s="57"/>
    </row>
    <row r="38" spans="1:8" ht="19.5" customHeight="1" x14ac:dyDescent="0.25">
      <c r="A38" s="57"/>
      <c r="B38" s="57"/>
      <c r="C38" s="57"/>
      <c r="D38" s="57"/>
      <c r="E38" s="57"/>
      <c r="F38" s="57"/>
      <c r="G38" s="57"/>
      <c r="H38" s="57"/>
    </row>
    <row r="39" spans="1:8" ht="21.75" customHeight="1" x14ac:dyDescent="0.25">
      <c r="A39" s="56" t="s">
        <v>142</v>
      </c>
      <c r="B39" s="56"/>
      <c r="C39" s="56"/>
      <c r="D39" s="56"/>
      <c r="E39" s="56"/>
      <c r="F39" s="56"/>
      <c r="G39" s="56"/>
      <c r="H39" s="56"/>
    </row>
    <row r="40" spans="1:8" ht="39.75" customHeight="1" x14ac:dyDescent="0.25">
      <c r="A40" s="57" t="s">
        <v>141</v>
      </c>
      <c r="B40" s="57"/>
      <c r="C40" s="57"/>
      <c r="D40" s="57"/>
      <c r="E40" s="57"/>
      <c r="F40" s="57"/>
      <c r="G40" s="57"/>
      <c r="H40" s="57"/>
    </row>
    <row r="41" spans="1:8" ht="19.5" customHeight="1" x14ac:dyDescent="0.25">
      <c r="A41" s="57"/>
      <c r="B41" s="57"/>
      <c r="C41" s="57"/>
      <c r="D41" s="57"/>
      <c r="E41" s="57"/>
      <c r="F41" s="57"/>
      <c r="G41" s="57"/>
      <c r="H41" s="57"/>
    </row>
    <row r="42" spans="1:8" ht="21.75" customHeight="1" x14ac:dyDescent="0.25">
      <c r="A42" s="56" t="s">
        <v>143</v>
      </c>
      <c r="B42" s="56"/>
      <c r="C42" s="56"/>
      <c r="D42" s="56"/>
      <c r="E42" s="56"/>
      <c r="F42" s="56"/>
      <c r="G42" s="56"/>
      <c r="H42" s="56"/>
    </row>
    <row r="43" spans="1:8" ht="39.75" customHeight="1" x14ac:dyDescent="0.25">
      <c r="A43" s="57" t="s">
        <v>141</v>
      </c>
      <c r="B43" s="57"/>
      <c r="C43" s="57"/>
      <c r="D43" s="57"/>
      <c r="E43" s="57"/>
      <c r="F43" s="57"/>
      <c r="G43" s="57"/>
      <c r="H43" s="57"/>
    </row>
    <row r="44" spans="1:8" ht="19.5" customHeight="1" x14ac:dyDescent="0.25">
      <c r="A44" s="57"/>
      <c r="B44" s="57"/>
      <c r="C44" s="57"/>
      <c r="D44" s="57"/>
      <c r="E44" s="57"/>
      <c r="F44" s="57"/>
      <c r="G44" s="57"/>
      <c r="H44" s="57"/>
    </row>
  </sheetData>
  <mergeCells count="34">
    <mergeCell ref="A1:H1"/>
    <mergeCell ref="A3:H3"/>
    <mergeCell ref="C4:H4"/>
    <mergeCell ref="C5:H5"/>
    <mergeCell ref="C6:H6"/>
    <mergeCell ref="C7:H7"/>
    <mergeCell ref="C8:H8"/>
    <mergeCell ref="C9:H9"/>
    <mergeCell ref="C10:H10"/>
    <mergeCell ref="A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A24:H24"/>
    <mergeCell ref="F25:H25"/>
    <mergeCell ref="F26:H26"/>
    <mergeCell ref="F27:H27"/>
    <mergeCell ref="F28:H28"/>
    <mergeCell ref="F29:H29"/>
    <mergeCell ref="A39:H39"/>
    <mergeCell ref="A40:H41"/>
    <mergeCell ref="A42:H42"/>
    <mergeCell ref="A43:H44"/>
    <mergeCell ref="F30:H30"/>
    <mergeCell ref="A32:H33"/>
    <mergeCell ref="A35:H35"/>
    <mergeCell ref="A36:H36"/>
    <mergeCell ref="A37:H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tabSelected="1" topLeftCell="A6" zoomScaleNormal="100" workbookViewId="0">
      <selection activeCell="E18" sqref="E18"/>
    </sheetView>
  </sheetViews>
  <sheetFormatPr defaultColWidth="8.7109375" defaultRowHeight="15" x14ac:dyDescent="0.25"/>
  <cols>
    <col min="1" max="1" width="26" customWidth="1"/>
    <col min="2" max="2" width="13" customWidth="1"/>
    <col min="3" max="6" width="15" customWidth="1"/>
    <col min="7" max="7" width="10" customWidth="1"/>
    <col min="8" max="9" width="14" customWidth="1"/>
    <col min="10" max="10" width="24.28515625" customWidth="1"/>
  </cols>
  <sheetData>
    <row r="1" spans="1:10" ht="15.75" customHeight="1" x14ac:dyDescent="0.25">
      <c r="A1" s="55" t="s">
        <v>144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customHeight="1" x14ac:dyDescent="0.25">
      <c r="A2" s="61" t="s">
        <v>145</v>
      </c>
      <c r="B2" s="61"/>
      <c r="C2" s="61"/>
      <c r="D2" s="61"/>
      <c r="E2" s="61"/>
      <c r="F2" s="61"/>
      <c r="G2" s="61"/>
      <c r="H2" s="61"/>
      <c r="I2" s="61"/>
      <c r="J2" s="61"/>
    </row>
    <row r="4" spans="1:10" ht="15" customHeight="1" x14ac:dyDescent="0.25">
      <c r="A4" s="41" t="s">
        <v>146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ht="49.5" customHeight="1" x14ac:dyDescent="0.25">
      <c r="A5" s="33" t="s">
        <v>147</v>
      </c>
      <c r="B5" s="62" t="s">
        <v>148</v>
      </c>
      <c r="C5" s="62"/>
      <c r="D5" s="62"/>
      <c r="E5" s="62"/>
      <c r="F5" s="62"/>
      <c r="G5" s="62"/>
      <c r="H5" s="62"/>
      <c r="I5" s="62"/>
      <c r="J5" s="62"/>
    </row>
    <row r="6" spans="1:10" ht="49.5" customHeight="1" x14ac:dyDescent="0.25">
      <c r="A6" s="34" t="s">
        <v>149</v>
      </c>
      <c r="B6" s="63" t="s">
        <v>150</v>
      </c>
      <c r="C6" s="63"/>
      <c r="D6" s="63"/>
      <c r="E6" s="63"/>
      <c r="F6" s="63"/>
      <c r="G6" s="63"/>
      <c r="H6" s="63"/>
      <c r="I6" s="63"/>
      <c r="J6" s="63"/>
    </row>
    <row r="7" spans="1:10" ht="49.5" customHeight="1" x14ac:dyDescent="0.25">
      <c r="A7" s="35" t="s">
        <v>151</v>
      </c>
      <c r="B7" s="60" t="s">
        <v>232</v>
      </c>
      <c r="C7" s="60"/>
      <c r="D7" s="60"/>
      <c r="E7" s="60"/>
      <c r="F7" s="60"/>
      <c r="G7" s="60"/>
      <c r="H7" s="60"/>
      <c r="I7" s="60"/>
      <c r="J7" s="60"/>
    </row>
    <row r="10" spans="1:10" ht="15" customHeight="1" x14ac:dyDescent="0.25">
      <c r="A10" s="41" t="s">
        <v>152</v>
      </c>
      <c r="B10" s="41"/>
      <c r="C10" s="41"/>
      <c r="D10" s="41"/>
      <c r="E10" s="41"/>
      <c r="F10" s="41"/>
      <c r="G10" s="41"/>
      <c r="H10" s="41"/>
      <c r="I10" s="41"/>
      <c r="J10" s="41"/>
    </row>
    <row r="11" spans="1:10" ht="23.25" customHeight="1" x14ac:dyDescent="0.25">
      <c r="A11" s="1" t="s">
        <v>153</v>
      </c>
      <c r="B11" s="1" t="s">
        <v>154</v>
      </c>
      <c r="C11" s="1" t="s">
        <v>155</v>
      </c>
      <c r="D11" s="1" t="s">
        <v>156</v>
      </c>
      <c r="E11" s="1" t="s">
        <v>157</v>
      </c>
      <c r="F11" s="53" t="s">
        <v>158</v>
      </c>
      <c r="G11" s="53"/>
      <c r="H11" s="53"/>
      <c r="I11" s="53"/>
      <c r="J11" s="53"/>
    </row>
    <row r="12" spans="1:10" ht="22.5" customHeight="1" x14ac:dyDescent="0.25">
      <c r="A12" s="13" t="s">
        <v>159</v>
      </c>
      <c r="B12" s="36">
        <f>'📊 Company Baseline'!F24</f>
        <v>32500</v>
      </c>
      <c r="C12" s="36">
        <f>$B$12</f>
        <v>32500</v>
      </c>
      <c r="D12" s="36">
        <f>$B$12</f>
        <v>32500</v>
      </c>
      <c r="E12" s="36">
        <f>$B$12</f>
        <v>32500</v>
      </c>
      <c r="F12" s="50" t="s">
        <v>160</v>
      </c>
      <c r="G12" s="50"/>
      <c r="H12" s="50"/>
      <c r="I12" s="50"/>
      <c r="J12" s="50"/>
    </row>
    <row r="13" spans="1:10" ht="27.75" customHeight="1" x14ac:dyDescent="0.25">
      <c r="A13" s="13" t="s">
        <v>161</v>
      </c>
      <c r="B13" s="36">
        <f>'📊 Company Baseline'!F38</f>
        <v>45000</v>
      </c>
      <c r="C13" s="16"/>
      <c r="D13" s="36">
        <f>'📊 Company Baseline'!F38</f>
        <v>45000</v>
      </c>
      <c r="E13" s="16"/>
      <c r="F13" s="50" t="s">
        <v>162</v>
      </c>
      <c r="G13" s="50"/>
      <c r="H13" s="50"/>
      <c r="I13" s="50"/>
      <c r="J13" s="50"/>
    </row>
    <row r="14" spans="1:10" ht="21.75" customHeight="1" x14ac:dyDescent="0.25">
      <c r="A14" s="13" t="s">
        <v>70</v>
      </c>
      <c r="B14" s="36">
        <f>'📊 Company Baseline'!F42</f>
        <v>110000</v>
      </c>
      <c r="C14" s="16"/>
      <c r="D14" s="16"/>
      <c r="E14" s="16"/>
      <c r="F14" s="50" t="s">
        <v>163</v>
      </c>
      <c r="G14" s="50"/>
      <c r="H14" s="50"/>
      <c r="I14" s="50"/>
      <c r="J14" s="50"/>
    </row>
    <row r="15" spans="1:10" ht="24" customHeight="1" x14ac:dyDescent="0.25">
      <c r="A15" s="13" t="s">
        <v>164</v>
      </c>
      <c r="B15" s="36">
        <f>'📊 Company Baseline'!$F$30</f>
        <v>312000</v>
      </c>
      <c r="C15" s="36">
        <f>B15</f>
        <v>312000</v>
      </c>
      <c r="D15" s="16"/>
      <c r="E15" s="16"/>
      <c r="F15" s="50" t="s">
        <v>165</v>
      </c>
      <c r="G15" s="50"/>
      <c r="H15" s="50"/>
      <c r="I15" s="50"/>
      <c r="J15" s="50"/>
    </row>
    <row r="16" spans="1:10" ht="20.25" customHeight="1" x14ac:dyDescent="0.25">
      <c r="A16" s="15" t="s">
        <v>75</v>
      </c>
      <c r="B16" s="36">
        <f>'📊 Company Baseline'!$F$48</f>
        <v>220800</v>
      </c>
      <c r="C16" s="36">
        <f>'📊 Company Baseline'!$F$48</f>
        <v>220800</v>
      </c>
      <c r="D16" s="36">
        <f>'📊 Company Baseline'!$F$48</f>
        <v>220800</v>
      </c>
      <c r="E16" s="36">
        <f>'📊 Company Baseline'!$F$48</f>
        <v>220800</v>
      </c>
      <c r="F16" s="50" t="s">
        <v>166</v>
      </c>
      <c r="G16" s="50"/>
      <c r="H16" s="50"/>
      <c r="I16" s="50"/>
      <c r="J16" s="50"/>
    </row>
    <row r="17" spans="1:10" ht="21.75" customHeight="1" x14ac:dyDescent="0.25">
      <c r="A17" s="15" t="s">
        <v>167</v>
      </c>
      <c r="B17" s="36">
        <f>B13+B14</f>
        <v>155000</v>
      </c>
      <c r="C17" s="16"/>
      <c r="D17" s="16"/>
      <c r="E17" s="16"/>
      <c r="F17" s="50" t="s">
        <v>168</v>
      </c>
      <c r="G17" s="50"/>
      <c r="H17" s="50"/>
      <c r="I17" s="50"/>
      <c r="J17" s="50"/>
    </row>
    <row r="20" spans="1:10" ht="15" customHeight="1" x14ac:dyDescent="0.25">
      <c r="A20" s="41" t="s">
        <v>169</v>
      </c>
      <c r="B20" s="41"/>
      <c r="C20" s="41"/>
      <c r="D20" s="41"/>
      <c r="E20" s="41"/>
      <c r="F20" s="41"/>
      <c r="G20" s="41"/>
      <c r="H20" s="41"/>
      <c r="I20" s="41"/>
      <c r="J20" s="41"/>
    </row>
    <row r="21" spans="1:10" ht="15" customHeight="1" x14ac:dyDescent="0.25">
      <c r="A21" s="1" t="s">
        <v>170</v>
      </c>
      <c r="B21" s="1" t="s">
        <v>171</v>
      </c>
      <c r="C21" s="1" t="s">
        <v>155</v>
      </c>
      <c r="D21" s="1" t="s">
        <v>156</v>
      </c>
      <c r="E21" s="1" t="s">
        <v>157</v>
      </c>
      <c r="F21" s="53" t="s">
        <v>172</v>
      </c>
      <c r="G21" s="53"/>
      <c r="H21" s="53"/>
      <c r="I21" s="53"/>
      <c r="J21" s="53"/>
    </row>
    <row r="22" spans="1:10" ht="21" customHeight="1" x14ac:dyDescent="0.25">
      <c r="A22" s="13" t="s">
        <v>41</v>
      </c>
      <c r="B22" s="36">
        <f>'📊 Company Baseline'!F4</f>
        <v>425000</v>
      </c>
      <c r="C22" s="16"/>
      <c r="D22" s="16"/>
      <c r="E22" s="16"/>
      <c r="F22" s="50" t="s">
        <v>233</v>
      </c>
      <c r="G22" s="50"/>
      <c r="H22" s="50"/>
      <c r="I22" s="50"/>
      <c r="J22" s="50"/>
    </row>
    <row r="23" spans="1:10" ht="23.25" customHeight="1" x14ac:dyDescent="0.25">
      <c r="A23" s="13" t="s">
        <v>173</v>
      </c>
      <c r="B23" s="36">
        <f>'📊 Company Baseline'!F10</f>
        <v>0</v>
      </c>
      <c r="C23" s="36"/>
      <c r="D23" s="16"/>
      <c r="E23" s="16"/>
      <c r="F23" s="50" t="s">
        <v>174</v>
      </c>
      <c r="G23" s="50"/>
      <c r="H23" s="50"/>
      <c r="I23" s="50"/>
      <c r="J23" s="50"/>
    </row>
    <row r="24" spans="1:10" ht="26.25" customHeight="1" x14ac:dyDescent="0.25">
      <c r="A24" s="13" t="s">
        <v>175</v>
      </c>
      <c r="B24" s="36">
        <f>'📊 Company Baseline'!F9</f>
        <v>18500</v>
      </c>
      <c r="C24" s="36"/>
      <c r="D24" s="16"/>
      <c r="E24" s="16"/>
      <c r="F24" s="50" t="s">
        <v>176</v>
      </c>
      <c r="G24" s="50"/>
      <c r="H24" s="50"/>
      <c r="I24" s="50"/>
      <c r="J24" s="50"/>
    </row>
    <row r="25" spans="1:10" ht="25.5" customHeight="1" x14ac:dyDescent="0.25">
      <c r="A25" s="15" t="s">
        <v>177</v>
      </c>
      <c r="B25" s="36">
        <f>'📊 Company Baseline'!F10+'📊 Company Baseline'!F9</f>
        <v>18500</v>
      </c>
      <c r="C25" s="16"/>
      <c r="D25" s="16"/>
      <c r="E25" s="16"/>
      <c r="F25" s="50" t="s">
        <v>234</v>
      </c>
      <c r="G25" s="50"/>
      <c r="H25" s="50"/>
      <c r="I25" s="50"/>
      <c r="J25" s="50"/>
    </row>
    <row r="26" spans="1:10" ht="39.75" customHeight="1" x14ac:dyDescent="0.25">
      <c r="A26" s="13" t="s">
        <v>178</v>
      </c>
      <c r="B26" s="36">
        <f>'📊 Company Baseline'!F12</f>
        <v>9800</v>
      </c>
      <c r="C26" s="16"/>
      <c r="D26" s="16"/>
      <c r="E26" s="16"/>
      <c r="F26" s="50" t="s">
        <v>236</v>
      </c>
      <c r="G26" s="50"/>
      <c r="H26" s="50"/>
      <c r="I26" s="50"/>
      <c r="J26" s="50"/>
    </row>
    <row r="27" spans="1:10" ht="33.75" customHeight="1" x14ac:dyDescent="0.25">
      <c r="A27" s="15" t="s">
        <v>179</v>
      </c>
      <c r="B27" s="36">
        <f>'📊 Company Baseline'!F15</f>
        <v>0</v>
      </c>
      <c r="C27" s="16"/>
      <c r="D27" s="16"/>
      <c r="E27" s="16"/>
      <c r="F27" s="50" t="s">
        <v>235</v>
      </c>
      <c r="G27" s="50"/>
      <c r="H27" s="50"/>
      <c r="I27" s="50"/>
      <c r="J27" s="50"/>
    </row>
    <row r="30" spans="1:10" ht="15" customHeight="1" x14ac:dyDescent="0.25">
      <c r="A30" s="41" t="s">
        <v>180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ht="15" customHeight="1" thickBot="1" x14ac:dyDescent="0.3">
      <c r="A31" s="1" t="s">
        <v>181</v>
      </c>
      <c r="B31" s="1" t="s">
        <v>171</v>
      </c>
      <c r="C31" s="1" t="s">
        <v>155</v>
      </c>
      <c r="D31" s="1" t="s">
        <v>156</v>
      </c>
      <c r="E31" s="1" t="s">
        <v>157</v>
      </c>
      <c r="F31" s="1" t="s">
        <v>79</v>
      </c>
      <c r="G31" s="1" t="s">
        <v>182</v>
      </c>
      <c r="H31" s="53" t="s">
        <v>183</v>
      </c>
      <c r="I31" s="53"/>
      <c r="J31" s="53"/>
    </row>
    <row r="32" spans="1:10" ht="25.5" customHeight="1" thickBot="1" x14ac:dyDescent="0.3">
      <c r="A32" s="15" t="s">
        <v>184</v>
      </c>
      <c r="B32" s="19"/>
      <c r="C32" s="19"/>
      <c r="D32" s="19"/>
      <c r="E32" s="19"/>
      <c r="F32" s="18" t="s">
        <v>83</v>
      </c>
      <c r="G32" s="37"/>
      <c r="H32" s="50" t="s">
        <v>227</v>
      </c>
      <c r="I32" s="50"/>
      <c r="J32" s="50"/>
    </row>
    <row r="33" spans="1:10" ht="21.75" customHeight="1" thickBot="1" x14ac:dyDescent="0.3">
      <c r="A33" s="15" t="s">
        <v>84</v>
      </c>
      <c r="B33" s="19"/>
      <c r="C33" s="19"/>
      <c r="D33" s="19"/>
      <c r="E33" s="19"/>
      <c r="F33" s="18" t="s">
        <v>85</v>
      </c>
      <c r="G33" s="37"/>
      <c r="H33" s="50" t="s">
        <v>228</v>
      </c>
      <c r="I33" s="50"/>
      <c r="J33" s="50"/>
    </row>
    <row r="34" spans="1:10" ht="21.75" customHeight="1" thickBot="1" x14ac:dyDescent="0.3">
      <c r="A34" s="15" t="s">
        <v>86</v>
      </c>
      <c r="B34" s="19"/>
      <c r="C34" s="19"/>
      <c r="D34" s="19"/>
      <c r="E34" s="19"/>
      <c r="F34" s="18" t="s">
        <v>87</v>
      </c>
      <c r="G34" s="37"/>
      <c r="H34" s="50" t="s">
        <v>229</v>
      </c>
      <c r="I34" s="50"/>
      <c r="J34" s="50"/>
    </row>
    <row r="35" spans="1:10" ht="21.75" customHeight="1" thickBot="1" x14ac:dyDescent="0.3">
      <c r="A35" s="15" t="s">
        <v>90</v>
      </c>
      <c r="B35" s="19"/>
      <c r="C35" s="19"/>
      <c r="D35" s="19"/>
      <c r="E35" s="19"/>
      <c r="F35" s="18" t="s">
        <v>91</v>
      </c>
      <c r="G35" s="37"/>
      <c r="H35" s="50" t="s">
        <v>231</v>
      </c>
      <c r="I35" s="50"/>
      <c r="J35" s="50"/>
    </row>
    <row r="36" spans="1:10" ht="21.75" customHeight="1" thickBot="1" x14ac:dyDescent="0.3">
      <c r="A36" s="15" t="s">
        <v>88</v>
      </c>
      <c r="B36" s="19"/>
      <c r="C36" s="19"/>
      <c r="D36" s="19"/>
      <c r="E36" s="19"/>
      <c r="F36" s="18" t="s">
        <v>89</v>
      </c>
      <c r="G36" s="37"/>
      <c r="H36" s="50" t="s">
        <v>230</v>
      </c>
      <c r="I36" s="50"/>
      <c r="J36" s="50"/>
    </row>
    <row r="38" spans="1:10" ht="15" customHeight="1" x14ac:dyDescent="0.25">
      <c r="A38" s="43" t="s">
        <v>185</v>
      </c>
      <c r="B38" s="43"/>
      <c r="C38" s="43"/>
      <c r="D38" s="43"/>
      <c r="E38" s="43"/>
      <c r="F38" s="43"/>
      <c r="G38" s="43"/>
      <c r="H38" s="43"/>
      <c r="I38" s="43"/>
      <c r="J38" s="43"/>
    </row>
    <row r="39" spans="1:10" ht="19.5" customHeight="1" x14ac:dyDescent="0.25">
      <c r="A39" s="56" t="s">
        <v>186</v>
      </c>
      <c r="B39" s="56"/>
      <c r="C39" s="56"/>
      <c r="D39" s="56"/>
      <c r="E39" s="56"/>
      <c r="F39" s="56"/>
      <c r="G39" s="56"/>
      <c r="H39" s="56"/>
      <c r="I39" s="56"/>
      <c r="J39" s="56"/>
    </row>
    <row r="40" spans="1:10" ht="39.75" customHeight="1" x14ac:dyDescent="0.25">
      <c r="A40" s="57" t="s">
        <v>141</v>
      </c>
      <c r="B40" s="57"/>
      <c r="C40" s="57"/>
      <c r="D40" s="57"/>
      <c r="E40" s="57"/>
      <c r="F40" s="57"/>
      <c r="G40" s="57"/>
      <c r="H40" s="57"/>
      <c r="I40" s="57"/>
      <c r="J40" s="57"/>
    </row>
    <row r="41" spans="1:10" ht="15" customHeight="1" x14ac:dyDescent="0.25">
      <c r="A41" s="57"/>
      <c r="B41" s="57"/>
      <c r="C41" s="57"/>
      <c r="D41" s="57"/>
      <c r="E41" s="57"/>
      <c r="F41" s="57"/>
      <c r="G41" s="57"/>
      <c r="H41" s="57"/>
      <c r="I41" s="57"/>
      <c r="J41" s="57"/>
    </row>
    <row r="42" spans="1:10" ht="19.5" customHeight="1" x14ac:dyDescent="0.25">
      <c r="A42" s="56" t="s">
        <v>187</v>
      </c>
      <c r="B42" s="56"/>
      <c r="C42" s="56"/>
      <c r="D42" s="56"/>
      <c r="E42" s="56"/>
      <c r="F42" s="56"/>
      <c r="G42" s="56"/>
      <c r="H42" s="56"/>
      <c r="I42" s="56"/>
      <c r="J42" s="56"/>
    </row>
    <row r="43" spans="1:10" ht="39.75" customHeight="1" x14ac:dyDescent="0.25">
      <c r="A43" s="57" t="s">
        <v>141</v>
      </c>
      <c r="B43" s="57"/>
      <c r="C43" s="57"/>
      <c r="D43" s="57"/>
      <c r="E43" s="57"/>
      <c r="F43" s="57"/>
      <c r="G43" s="57"/>
      <c r="H43" s="57"/>
      <c r="I43" s="57"/>
      <c r="J43" s="57"/>
    </row>
    <row r="44" spans="1:10" ht="15" customHeight="1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</row>
    <row r="45" spans="1:10" ht="19.5" customHeight="1" x14ac:dyDescent="0.25">
      <c r="A45" s="56" t="s">
        <v>188</v>
      </c>
      <c r="B45" s="56"/>
      <c r="C45" s="56"/>
      <c r="D45" s="56"/>
      <c r="E45" s="56"/>
      <c r="F45" s="56"/>
      <c r="G45" s="56"/>
      <c r="H45" s="56"/>
      <c r="I45" s="56"/>
      <c r="J45" s="56"/>
    </row>
    <row r="46" spans="1:10" ht="39.75" customHeight="1" x14ac:dyDescent="0.25">
      <c r="A46" s="57" t="s">
        <v>141</v>
      </c>
      <c r="B46" s="57"/>
      <c r="C46" s="57"/>
      <c r="D46" s="57"/>
      <c r="E46" s="57"/>
      <c r="F46" s="57"/>
      <c r="G46" s="57"/>
      <c r="H46" s="57"/>
      <c r="I46" s="57"/>
      <c r="J46" s="57"/>
    </row>
    <row r="47" spans="1:10" ht="15" customHeight="1" x14ac:dyDescent="0.25">
      <c r="A47" s="57"/>
      <c r="B47" s="57"/>
      <c r="C47" s="57"/>
      <c r="D47" s="57"/>
      <c r="E47" s="57"/>
      <c r="F47" s="57"/>
      <c r="G47" s="57"/>
      <c r="H47" s="57"/>
      <c r="I47" s="57"/>
      <c r="J47" s="57"/>
    </row>
  </sheetData>
  <mergeCells count="36">
    <mergeCell ref="A1:J1"/>
    <mergeCell ref="A2:J2"/>
    <mergeCell ref="A4:J4"/>
    <mergeCell ref="B5:J5"/>
    <mergeCell ref="B6:J6"/>
    <mergeCell ref="B7:J7"/>
    <mergeCell ref="A10:J10"/>
    <mergeCell ref="F11:J11"/>
    <mergeCell ref="F12:J12"/>
    <mergeCell ref="F13:J13"/>
    <mergeCell ref="F14:J14"/>
    <mergeCell ref="F15:J15"/>
    <mergeCell ref="F16:J16"/>
    <mergeCell ref="F17:J17"/>
    <mergeCell ref="A20:J20"/>
    <mergeCell ref="F21:J21"/>
    <mergeCell ref="F22:J22"/>
    <mergeCell ref="F23:J23"/>
    <mergeCell ref="F24:J24"/>
    <mergeCell ref="F25:J25"/>
    <mergeCell ref="F26:J26"/>
    <mergeCell ref="F27:J27"/>
    <mergeCell ref="A30:J30"/>
    <mergeCell ref="H31:J31"/>
    <mergeCell ref="H32:J32"/>
    <mergeCell ref="H33:J33"/>
    <mergeCell ref="H34:J34"/>
    <mergeCell ref="H36:J36"/>
    <mergeCell ref="H35:J35"/>
    <mergeCell ref="A38:J38"/>
    <mergeCell ref="A46:J47"/>
    <mergeCell ref="A39:J39"/>
    <mergeCell ref="A40:J41"/>
    <mergeCell ref="A42:J42"/>
    <mergeCell ref="A43:J44"/>
    <mergeCell ref="A45:J4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zoomScaleNormal="100" workbookViewId="0">
      <selection activeCell="B14" sqref="B14:I17"/>
    </sheetView>
  </sheetViews>
  <sheetFormatPr defaultColWidth="8.7109375" defaultRowHeight="15" x14ac:dyDescent="0.25"/>
  <cols>
    <col min="1" max="1" width="30" customWidth="1"/>
    <col min="2" max="8" width="12" customWidth="1"/>
    <col min="9" max="9" width="51.5703125" customWidth="1"/>
  </cols>
  <sheetData>
    <row r="1" spans="1:9" ht="17.25" customHeight="1" x14ac:dyDescent="0.25">
      <c r="A1" s="67" t="s">
        <v>189</v>
      </c>
      <c r="B1" s="67"/>
      <c r="C1" s="67"/>
      <c r="D1" s="67"/>
      <c r="E1" s="67"/>
      <c r="F1" s="67"/>
      <c r="G1" s="67"/>
      <c r="H1" s="67"/>
      <c r="I1" s="67"/>
    </row>
    <row r="2" spans="1:9" ht="15" customHeight="1" x14ac:dyDescent="0.25">
      <c r="A2" s="68" t="s">
        <v>190</v>
      </c>
      <c r="B2" s="68"/>
      <c r="C2" s="68"/>
      <c r="D2" s="68"/>
      <c r="E2" s="68"/>
      <c r="F2" s="68"/>
      <c r="G2" s="68"/>
      <c r="H2" s="68"/>
      <c r="I2" s="68"/>
    </row>
    <row r="4" spans="1:9" ht="15" customHeight="1" x14ac:dyDescent="0.25">
      <c r="A4" s="41" t="s">
        <v>191</v>
      </c>
      <c r="B4" s="41"/>
      <c r="C4" s="41"/>
      <c r="D4" s="41"/>
      <c r="E4" s="41"/>
      <c r="F4" s="41"/>
      <c r="G4" s="41"/>
      <c r="H4" s="41"/>
      <c r="I4" s="41"/>
    </row>
    <row r="5" spans="1:9" ht="23.25" customHeight="1" x14ac:dyDescent="0.25">
      <c r="A5" s="1" t="s">
        <v>181</v>
      </c>
      <c r="B5" s="1" t="s">
        <v>79</v>
      </c>
      <c r="C5" s="1" t="s">
        <v>171</v>
      </c>
      <c r="D5" s="1" t="s">
        <v>155</v>
      </c>
      <c r="E5" s="1" t="s">
        <v>156</v>
      </c>
      <c r="F5" s="1" t="s">
        <v>157</v>
      </c>
      <c r="G5" s="1" t="s">
        <v>182</v>
      </c>
      <c r="H5" s="53" t="s">
        <v>192</v>
      </c>
      <c r="I5" s="53"/>
    </row>
    <row r="6" spans="1:9" ht="42.75" customHeight="1" x14ac:dyDescent="0.25">
      <c r="A6" s="15" t="s">
        <v>184</v>
      </c>
      <c r="B6" s="18" t="s">
        <v>83</v>
      </c>
      <c r="C6" s="37"/>
      <c r="D6" s="37"/>
      <c r="E6" s="37"/>
      <c r="F6" s="37"/>
      <c r="G6" s="37"/>
      <c r="H6" s="50" t="s">
        <v>193</v>
      </c>
      <c r="I6" s="50"/>
    </row>
    <row r="7" spans="1:9" ht="42.75" customHeight="1" x14ac:dyDescent="0.25">
      <c r="A7" s="15" t="s">
        <v>84</v>
      </c>
      <c r="B7" s="18" t="s">
        <v>85</v>
      </c>
      <c r="C7" s="37"/>
      <c r="D7" s="37"/>
      <c r="E7" s="37"/>
      <c r="F7" s="37"/>
      <c r="G7" s="37"/>
      <c r="H7" s="50" t="s">
        <v>194</v>
      </c>
      <c r="I7" s="50"/>
    </row>
    <row r="8" spans="1:9" ht="42.75" customHeight="1" x14ac:dyDescent="0.25">
      <c r="A8" s="15" t="s">
        <v>195</v>
      </c>
      <c r="B8" s="18" t="s">
        <v>87</v>
      </c>
      <c r="C8" s="37"/>
      <c r="D8" s="37"/>
      <c r="E8" s="37"/>
      <c r="F8" s="37"/>
      <c r="G8" s="37"/>
      <c r="H8" s="50" t="s">
        <v>196</v>
      </c>
      <c r="I8" s="50"/>
    </row>
    <row r="9" spans="1:9" ht="42.75" customHeight="1" x14ac:dyDescent="0.25">
      <c r="A9" s="15" t="s">
        <v>90</v>
      </c>
      <c r="B9" s="18" t="s">
        <v>91</v>
      </c>
      <c r="C9" s="37"/>
      <c r="D9" s="37"/>
      <c r="E9" s="37"/>
      <c r="F9" s="37"/>
      <c r="G9" s="37"/>
      <c r="H9" s="50" t="s">
        <v>197</v>
      </c>
      <c r="I9" s="50"/>
    </row>
    <row r="12" spans="1:9" ht="15" customHeight="1" x14ac:dyDescent="0.25">
      <c r="A12" s="41" t="s">
        <v>198</v>
      </c>
      <c r="B12" s="41"/>
      <c r="C12" s="41"/>
      <c r="D12" s="41"/>
      <c r="E12" s="41"/>
      <c r="F12" s="41"/>
      <c r="G12" s="41"/>
      <c r="H12" s="41"/>
      <c r="I12" s="41"/>
    </row>
    <row r="13" spans="1:9" ht="15" customHeight="1" x14ac:dyDescent="0.25">
      <c r="A13" s="1" t="s">
        <v>170</v>
      </c>
      <c r="B13" s="53" t="s">
        <v>171</v>
      </c>
      <c r="C13" s="53"/>
      <c r="D13" s="53" t="s">
        <v>155</v>
      </c>
      <c r="E13" s="53"/>
      <c r="F13" s="53" t="s">
        <v>156</v>
      </c>
      <c r="G13" s="53"/>
      <c r="H13" s="53" t="s">
        <v>157</v>
      </c>
      <c r="I13" s="53"/>
    </row>
    <row r="14" spans="1:9" ht="15" customHeight="1" x14ac:dyDescent="0.25">
      <c r="A14" s="15" t="s">
        <v>120</v>
      </c>
      <c r="B14" s="65"/>
      <c r="C14" s="65"/>
      <c r="D14" s="65"/>
      <c r="E14" s="65"/>
      <c r="F14" s="65"/>
      <c r="G14" s="65"/>
      <c r="H14" s="65"/>
      <c r="I14" s="65"/>
    </row>
    <row r="15" spans="1:9" ht="15" customHeight="1" x14ac:dyDescent="0.25">
      <c r="A15" s="15" t="s">
        <v>199</v>
      </c>
      <c r="B15" s="65"/>
      <c r="C15" s="65"/>
      <c r="D15" s="65"/>
      <c r="E15" s="65"/>
      <c r="F15" s="65"/>
      <c r="G15" s="65"/>
      <c r="H15" s="65"/>
      <c r="I15" s="65"/>
    </row>
    <row r="16" spans="1:9" ht="15" customHeight="1" x14ac:dyDescent="0.25">
      <c r="A16" s="15" t="s">
        <v>179</v>
      </c>
      <c r="B16" s="65"/>
      <c r="C16" s="65"/>
      <c r="D16" s="65"/>
      <c r="E16" s="65"/>
      <c r="F16" s="65"/>
      <c r="G16" s="65"/>
      <c r="H16" s="65"/>
      <c r="I16" s="65"/>
    </row>
    <row r="17" spans="1:9" ht="15" customHeight="1" x14ac:dyDescent="0.25">
      <c r="A17" s="15" t="s">
        <v>200</v>
      </c>
      <c r="B17" s="66"/>
      <c r="C17" s="66"/>
      <c r="D17" s="66"/>
      <c r="E17" s="66"/>
      <c r="F17" s="66"/>
      <c r="G17" s="66"/>
      <c r="H17" s="66"/>
      <c r="I17" s="66"/>
    </row>
    <row r="18" spans="1:9" ht="31.5" customHeight="1" x14ac:dyDescent="0.25">
      <c r="A18" s="50" t="s">
        <v>237</v>
      </c>
      <c r="B18" s="50"/>
      <c r="C18" s="50"/>
      <c r="D18" s="50"/>
      <c r="E18" s="50"/>
      <c r="F18" s="50"/>
      <c r="G18" s="50"/>
      <c r="H18" s="50"/>
      <c r="I18" s="50"/>
    </row>
    <row r="20" spans="1:9" ht="15" customHeight="1" x14ac:dyDescent="0.25">
      <c r="A20" s="41" t="s">
        <v>201</v>
      </c>
      <c r="B20" s="41"/>
      <c r="C20" s="41"/>
      <c r="D20" s="41"/>
      <c r="E20" s="41"/>
      <c r="F20" s="41"/>
      <c r="G20" s="41"/>
      <c r="H20" s="41"/>
      <c r="I20" s="41"/>
    </row>
    <row r="21" spans="1:9" ht="19.5" customHeight="1" x14ac:dyDescent="0.25">
      <c r="A21" s="64" t="s">
        <v>202</v>
      </c>
      <c r="B21" s="64"/>
      <c r="C21" s="64"/>
      <c r="D21" s="64"/>
      <c r="E21" s="64"/>
      <c r="F21" s="64"/>
      <c r="G21" s="64"/>
      <c r="H21" s="64"/>
      <c r="I21" s="64"/>
    </row>
    <row r="22" spans="1:9" ht="27.75" customHeight="1" x14ac:dyDescent="0.25">
      <c r="A22" s="50" t="s">
        <v>203</v>
      </c>
      <c r="B22" s="50"/>
      <c r="C22" s="50"/>
      <c r="D22" s="50"/>
      <c r="E22" s="50"/>
      <c r="F22" s="50"/>
      <c r="G22" s="50"/>
      <c r="H22" s="50"/>
      <c r="I22" s="50"/>
    </row>
    <row r="23" spans="1:9" ht="45" customHeight="1" x14ac:dyDescent="0.25">
      <c r="A23" s="57" t="s">
        <v>141</v>
      </c>
      <c r="B23" s="57"/>
      <c r="C23" s="57"/>
      <c r="D23" s="57"/>
      <c r="E23" s="57"/>
      <c r="F23" s="57"/>
      <c r="G23" s="57"/>
      <c r="H23" s="57"/>
      <c r="I23" s="57"/>
    </row>
    <row r="24" spans="1:9" ht="9.75" customHeight="1" x14ac:dyDescent="0.25">
      <c r="A24" s="57"/>
      <c r="B24" s="57"/>
      <c r="C24" s="57"/>
      <c r="D24" s="57"/>
      <c r="E24" s="57"/>
      <c r="F24" s="57"/>
      <c r="G24" s="57"/>
      <c r="H24" s="57"/>
      <c r="I24" s="57"/>
    </row>
    <row r="25" spans="1:9" ht="19.5" customHeight="1" x14ac:dyDescent="0.25">
      <c r="A25" s="64" t="s">
        <v>204</v>
      </c>
      <c r="B25" s="64"/>
      <c r="C25" s="64"/>
      <c r="D25" s="64"/>
      <c r="E25" s="64"/>
      <c r="F25" s="64"/>
      <c r="G25" s="64"/>
      <c r="H25" s="64"/>
      <c r="I25" s="64"/>
    </row>
    <row r="26" spans="1:9" ht="27.75" customHeight="1" x14ac:dyDescent="0.25">
      <c r="A26" s="50" t="s">
        <v>205</v>
      </c>
      <c r="B26" s="50"/>
      <c r="C26" s="50"/>
      <c r="D26" s="50"/>
      <c r="E26" s="50"/>
      <c r="F26" s="50"/>
      <c r="G26" s="50"/>
      <c r="H26" s="50"/>
      <c r="I26" s="50"/>
    </row>
    <row r="27" spans="1:9" ht="45" customHeight="1" x14ac:dyDescent="0.25">
      <c r="A27" s="57" t="s">
        <v>141</v>
      </c>
      <c r="B27" s="57"/>
      <c r="C27" s="57"/>
      <c r="D27" s="57"/>
      <c r="E27" s="57"/>
      <c r="F27" s="57"/>
      <c r="G27" s="57"/>
      <c r="H27" s="57"/>
      <c r="I27" s="57"/>
    </row>
    <row r="28" spans="1:9" ht="9.7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</row>
    <row r="29" spans="1:9" ht="19.5" customHeight="1" x14ac:dyDescent="0.25">
      <c r="A29" s="64" t="s">
        <v>206</v>
      </c>
      <c r="B29" s="64"/>
      <c r="C29" s="64"/>
      <c r="D29" s="64"/>
      <c r="E29" s="64"/>
      <c r="F29" s="64"/>
      <c r="G29" s="64"/>
      <c r="H29" s="64"/>
      <c r="I29" s="64"/>
    </row>
    <row r="30" spans="1:9" ht="27.75" customHeight="1" x14ac:dyDescent="0.25">
      <c r="A30" s="50" t="s">
        <v>207</v>
      </c>
      <c r="B30" s="50"/>
      <c r="C30" s="50"/>
      <c r="D30" s="50"/>
      <c r="E30" s="50"/>
      <c r="F30" s="50"/>
      <c r="G30" s="50"/>
      <c r="H30" s="50"/>
      <c r="I30" s="50"/>
    </row>
    <row r="31" spans="1:9" ht="45" customHeight="1" x14ac:dyDescent="0.25">
      <c r="A31" s="57" t="s">
        <v>141</v>
      </c>
      <c r="B31" s="57"/>
      <c r="C31" s="57"/>
      <c r="D31" s="57"/>
      <c r="E31" s="57"/>
      <c r="F31" s="57"/>
      <c r="G31" s="57"/>
      <c r="H31" s="57"/>
      <c r="I31" s="57"/>
    </row>
    <row r="32" spans="1:9" ht="9.75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</row>
    <row r="33" spans="1:9" ht="19.5" customHeight="1" x14ac:dyDescent="0.25">
      <c r="A33" s="64" t="s">
        <v>208</v>
      </c>
      <c r="B33" s="64"/>
      <c r="C33" s="64"/>
      <c r="D33" s="64"/>
      <c r="E33" s="64"/>
      <c r="F33" s="64"/>
      <c r="G33" s="64"/>
      <c r="H33" s="64"/>
      <c r="I33" s="64"/>
    </row>
    <row r="34" spans="1:9" ht="27.75" customHeight="1" x14ac:dyDescent="0.25">
      <c r="A34" s="50" t="s">
        <v>209</v>
      </c>
      <c r="B34" s="50"/>
      <c r="C34" s="50"/>
      <c r="D34" s="50"/>
      <c r="E34" s="50"/>
      <c r="F34" s="50"/>
      <c r="G34" s="50"/>
      <c r="H34" s="50"/>
      <c r="I34" s="50"/>
    </row>
    <row r="35" spans="1:9" ht="45" customHeight="1" x14ac:dyDescent="0.25">
      <c r="A35" s="57" t="s">
        <v>141</v>
      </c>
      <c r="B35" s="57"/>
      <c r="C35" s="57"/>
      <c r="D35" s="57"/>
      <c r="E35" s="57"/>
      <c r="F35" s="57"/>
      <c r="G35" s="57"/>
      <c r="H35" s="57"/>
      <c r="I35" s="57"/>
    </row>
    <row r="36" spans="1:9" ht="9.75" customHeight="1" x14ac:dyDescent="0.25">
      <c r="A36" s="57"/>
      <c r="B36" s="57"/>
      <c r="C36" s="57"/>
      <c r="D36" s="57"/>
      <c r="E36" s="57"/>
      <c r="F36" s="57"/>
      <c r="G36" s="57"/>
      <c r="H36" s="57"/>
      <c r="I36" s="57"/>
    </row>
    <row r="37" spans="1:9" ht="19.5" customHeight="1" x14ac:dyDescent="0.25">
      <c r="A37" s="64" t="s">
        <v>210</v>
      </c>
      <c r="B37" s="64"/>
      <c r="C37" s="64"/>
      <c r="D37" s="64"/>
      <c r="E37" s="64"/>
      <c r="F37" s="64"/>
      <c r="G37" s="64"/>
      <c r="H37" s="64"/>
      <c r="I37" s="64"/>
    </row>
    <row r="38" spans="1:9" ht="27.75" customHeight="1" x14ac:dyDescent="0.25">
      <c r="A38" s="50" t="s">
        <v>211</v>
      </c>
      <c r="B38" s="50"/>
      <c r="C38" s="50"/>
      <c r="D38" s="50"/>
      <c r="E38" s="50"/>
      <c r="F38" s="50"/>
      <c r="G38" s="50"/>
      <c r="H38" s="50"/>
      <c r="I38" s="50"/>
    </row>
    <row r="39" spans="1:9" ht="45" customHeight="1" x14ac:dyDescent="0.25">
      <c r="A39" s="57" t="s">
        <v>141</v>
      </c>
      <c r="B39" s="57"/>
      <c r="C39" s="57"/>
      <c r="D39" s="57"/>
      <c r="E39" s="57"/>
      <c r="F39" s="57"/>
      <c r="G39" s="57"/>
      <c r="H39" s="57"/>
      <c r="I39" s="57"/>
    </row>
    <row r="40" spans="1:9" ht="9.75" customHeight="1" x14ac:dyDescent="0.25">
      <c r="A40" s="57"/>
      <c r="B40" s="57"/>
      <c r="C40" s="57"/>
      <c r="D40" s="57"/>
      <c r="E40" s="57"/>
      <c r="F40" s="57"/>
      <c r="G40" s="57"/>
      <c r="H40" s="57"/>
      <c r="I40" s="57"/>
    </row>
  </sheetData>
  <mergeCells count="46">
    <mergeCell ref="A1:I1"/>
    <mergeCell ref="A2:I2"/>
    <mergeCell ref="A4:I4"/>
    <mergeCell ref="H5:I5"/>
    <mergeCell ref="H6:I6"/>
    <mergeCell ref="H7:I7"/>
    <mergeCell ref="H8:I8"/>
    <mergeCell ref="H9:I9"/>
    <mergeCell ref="A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A18:I18"/>
    <mergeCell ref="A20:I20"/>
    <mergeCell ref="A21:I21"/>
    <mergeCell ref="A22:I22"/>
    <mergeCell ref="A23:I24"/>
    <mergeCell ref="A25:I25"/>
    <mergeCell ref="A26:I26"/>
    <mergeCell ref="A27:I28"/>
    <mergeCell ref="A29:I29"/>
    <mergeCell ref="A30:I30"/>
    <mergeCell ref="A38:I38"/>
    <mergeCell ref="A39:I40"/>
    <mergeCell ref="A31:I32"/>
    <mergeCell ref="A33:I33"/>
    <mergeCell ref="A34:I34"/>
    <mergeCell ref="A35:I36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📊 Company Baseline</vt:lpstr>
      <vt:lpstr>🔢 Bond Pricing</vt:lpstr>
      <vt:lpstr>📈 Ratio Impact</vt:lpstr>
      <vt:lpstr>📋 CFO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cp:lastPrinted>2026-03-03T15:12:09Z</cp:lastPrinted>
  <dcterms:created xsi:type="dcterms:W3CDTF">2026-02-23T17:11:42Z</dcterms:created>
  <dcterms:modified xsi:type="dcterms:W3CDTF">2026-03-03T17:28:45Z</dcterms:modified>
  <dc:language>en-US</dc:language>
</cp:coreProperties>
</file>