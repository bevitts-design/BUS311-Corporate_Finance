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mailendicott-my.sharepoint.com/personal/bevitts_endicott_edu/Documents/BUS311 Corporate Finance/BME - FA25- Teaching Materials - Brealey/Chapter 6 - Valuing Bonds/"/>
    </mc:Choice>
  </mc:AlternateContent>
  <xr:revisionPtr revIDLastSave="112" documentId="8_{655DF3FC-ED2A-4762-A7C4-3D4F537FBBFA}" xr6:coauthVersionLast="47" xr6:coauthVersionMax="47" xr10:uidLastSave="{B32FF31D-4431-4B04-ADA5-DA9E52208CA4}"/>
  <bookViews>
    <workbookView xWindow="-120" yWindow="-120" windowWidth="29040" windowHeight="15840" firstSheet="1" activeTab="5" xr2:uid="{1435D9AC-6043-4EE1-9429-8F681581CEF4}"/>
  </bookViews>
  <sheets>
    <sheet name="Yields#1" sheetId="4" r:id="rId1"/>
    <sheet name="Yield #2" sheetId="7" r:id="rId2"/>
    <sheet name="Coupon" sheetId="8" r:id="rId3"/>
    <sheet name="Years to Maturity" sheetId="5" r:id="rId4"/>
    <sheet name="Capital Gain" sheetId="11" r:id="rId5"/>
    <sheet name="Downgrade Scenario"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7" l="1"/>
  <c r="H21" i="11"/>
  <c r="H20" i="11"/>
  <c r="H18" i="11"/>
  <c r="H17" i="11"/>
  <c r="C10" i="11"/>
  <c r="B10" i="11"/>
  <c r="B11" i="11" s="1"/>
  <c r="C9" i="11"/>
  <c r="B9" i="11"/>
  <c r="C7" i="11"/>
  <c r="B7" i="11"/>
  <c r="C5" i="11"/>
  <c r="B5" i="11"/>
  <c r="G19" i="8"/>
  <c r="G21" i="8"/>
  <c r="F18" i="8"/>
  <c r="F17" i="8"/>
  <c r="D21" i="8"/>
  <c r="D19" i="8"/>
  <c r="C17" i="4"/>
  <c r="D17" i="8"/>
  <c r="D18" i="8" s="1"/>
  <c r="G18" i="5"/>
  <c r="G16" i="5"/>
  <c r="C20" i="10"/>
  <c r="C21" i="10" s="1"/>
  <c r="B20" i="10"/>
  <c r="B21" i="10" s="1"/>
  <c r="C19" i="10"/>
  <c r="B19" i="10"/>
  <c r="C17" i="10"/>
  <c r="B17" i="10"/>
  <c r="C15" i="10"/>
  <c r="B15" i="10"/>
  <c r="F18" i="4"/>
  <c r="F19" i="4"/>
  <c r="F20" i="4"/>
  <c r="F22" i="4"/>
  <c r="F17" i="4"/>
  <c r="G11" i="4"/>
  <c r="G12" i="4" s="1"/>
  <c r="G8" i="4"/>
  <c r="G6" i="4"/>
  <c r="G7" i="4" s="1"/>
  <c r="C18" i="4" s="1"/>
  <c r="G9" i="4"/>
  <c r="F19" i="7"/>
  <c r="G10" i="7"/>
  <c r="G11" i="7" s="1"/>
  <c r="G7" i="7"/>
  <c r="G8" i="7" s="1"/>
  <c r="G5" i="7"/>
  <c r="G6" i="7" s="1"/>
  <c r="C19" i="7" s="1"/>
  <c r="F20" i="7"/>
  <c r="F18" i="7"/>
  <c r="F16" i="7"/>
  <c r="C18" i="7"/>
  <c r="C20" i="7" s="1"/>
  <c r="D16" i="5"/>
  <c r="D18" i="5" s="1"/>
  <c r="C20" i="4"/>
  <c r="C19" i="4"/>
  <c r="C22" i="4" s="1"/>
  <c r="B14" i="11" l="1"/>
  <c r="B15" i="11" s="1"/>
  <c r="F17" i="11"/>
  <c r="C11" i="11"/>
  <c r="C14" i="11" s="1"/>
  <c r="C24" i="10"/>
  <c r="C25" i="10" s="1"/>
  <c r="B24" i="10"/>
  <c r="C15" i="11" l="1"/>
  <c r="F18" i="11"/>
  <c r="F20" i="11"/>
  <c r="F21" i="11" s="1"/>
  <c r="B25" i="10"/>
  <c r="C29" i="10"/>
  <c r="C30" i="10" s="1"/>
</calcChain>
</file>

<file path=xl/sharedStrings.xml><?xml version="1.0" encoding="utf-8"?>
<sst xmlns="http://schemas.openxmlformats.org/spreadsheetml/2006/main" count="116" uniqueCount="85">
  <si>
    <t>Input area:</t>
  </si>
  <si>
    <t>Output area:</t>
  </si>
  <si>
    <t>Par value</t>
  </si>
  <si>
    <t>Coupon rate</t>
  </si>
  <si>
    <t>Redemption value (% of par)</t>
  </si>
  <si>
    <t>Par value ($)</t>
  </si>
  <si>
    <t>Yield to maturity</t>
  </si>
  <si>
    <t>Annual coupon payment</t>
  </si>
  <si>
    <t>Bond dollar price</t>
  </si>
  <si>
    <t>Current yield</t>
  </si>
  <si>
    <t>Annual coupon rate</t>
  </si>
  <si>
    <t xml:space="preserve">Current yield </t>
  </si>
  <si>
    <t xml:space="preserve">Current price </t>
  </si>
  <si>
    <t xml:space="preserve">Years to maturity </t>
  </si>
  <si>
    <t>Settlement date</t>
  </si>
  <si>
    <t>Maturity date</t>
  </si>
  <si>
    <t>Coupons per year</t>
  </si>
  <si>
    <t>Bond price (% of par)</t>
  </si>
  <si>
    <t xml:space="preserve">Yield to maturity </t>
  </si>
  <si>
    <t xml:space="preserve">Effective annual rate </t>
  </si>
  <si>
    <t>Years to maturity</t>
  </si>
  <si>
    <t>Bond price</t>
  </si>
  <si>
    <t xml:space="preserve">Present value of final payment </t>
  </si>
  <si>
    <t xml:space="preserve">Present value of coupon payments </t>
  </si>
  <si>
    <t xml:space="preserve">Coupon payment </t>
  </si>
  <si>
    <t xml:space="preserve">Coupon rate </t>
  </si>
  <si>
    <t>Par Value (FV)</t>
  </si>
  <si>
    <t>Years</t>
  </si>
  <si>
    <t>N periods(nper)</t>
  </si>
  <si>
    <t>Interest Rate/ Yield - Annual</t>
  </si>
  <si>
    <t>Interest Rate/ Yield (w/CF)</t>
  </si>
  <si>
    <t>Cpn Pmt- Annual</t>
  </si>
  <si>
    <t>Cpn Pmt (w/CF)</t>
  </si>
  <si>
    <t>Additional Calc Area</t>
  </si>
  <si>
    <t>NPER</t>
  </si>
  <si>
    <t>Bond Price(%)</t>
  </si>
  <si>
    <t>Current Bond Value</t>
  </si>
  <si>
    <t>Future Bond Value</t>
  </si>
  <si>
    <t>Coupon Pmt - Annual</t>
  </si>
  <si>
    <t>Coupon PMT, Semi Ann</t>
  </si>
  <si>
    <t>Penguin Software has 5.9 percent coupon bonds on the market with 18 years to maturity. The bonds make semiannual payments and currently sell for 106.32 percent of par.</t>
  </si>
  <si>
    <t>Input Area</t>
  </si>
  <si>
    <t>Yield to maturity (Yield Function)</t>
  </si>
  <si>
    <t>Yield to maturity (Rate Function)</t>
  </si>
  <si>
    <t>Additional Calc Area:</t>
  </si>
  <si>
    <t>Calculate the various yield conventions for the bond characteristics below:</t>
  </si>
  <si>
    <t>Redan Corporation has bonds on the market with 14.5 years to maturity, a YTM of 5.3 percent, a par value of $1,000, and a current price of $1,037. The bonds make semiannual payments.</t>
  </si>
  <si>
    <t>What must the coupon rate be on these bonds?</t>
  </si>
  <si>
    <t>Morikawa Corporation has 8 percent coupon bonds making annual payments with a YTM of 7.2 percent. The current yield on these bonds is 7.55 percent.</t>
  </si>
  <si>
    <t>How many years do these bonds have left until they mature?</t>
  </si>
  <si>
    <t>S/A CF</t>
  </si>
  <si>
    <t>Coupon Rate - Annual</t>
  </si>
  <si>
    <t>Cpn Rate- (w/CF)</t>
  </si>
  <si>
    <t>PV</t>
  </si>
  <si>
    <t>Price</t>
  </si>
  <si>
    <t>What will be the change in the bond’s price in dollars?</t>
  </si>
  <si>
    <t>What will be the change in the percentage terms?</t>
  </si>
  <si>
    <t xml:space="preserve">Your corporation's  bond is a 6.75% with 20 years left to maturity. It has had a credit rating of BB and a yield to maturity of 9.1 percent. </t>
  </si>
  <si>
    <t xml:space="preserve">Your firm has recently become more financially stable and the rating agency is upgrading the bonds to BBB.  Congratulations! </t>
  </si>
  <si>
    <t xml:space="preserve">Your bond's credit spread tightens by 100bps. </t>
  </si>
  <si>
    <t>What was your bond value before the upgrade?</t>
  </si>
  <si>
    <t>What was your bond value after the upgrade?</t>
  </si>
  <si>
    <t>Capital Gain</t>
  </si>
  <si>
    <t>Percentage Gain</t>
  </si>
  <si>
    <t>Pmt/Current Yield = Current Price</t>
  </si>
  <si>
    <t>Current Yield =Pmt/Current Price</t>
  </si>
  <si>
    <t>Last price (pr)</t>
  </si>
  <si>
    <r>
      <rPr>
        <b/>
        <sz val="12"/>
        <rFont val="Arial"/>
        <family val="2"/>
      </rPr>
      <t>Redemption</t>
    </r>
    <r>
      <rPr>
        <sz val="12"/>
        <rFont val="Arial"/>
        <family val="2"/>
      </rPr>
      <t xml:space="preserve"> value (% of par)</t>
    </r>
  </si>
  <si>
    <t>Settlement Date</t>
  </si>
  <si>
    <t>Maturity Date</t>
  </si>
  <si>
    <t>Yield (rate)</t>
  </si>
  <si>
    <t>Frequency - Semi Annual</t>
  </si>
  <si>
    <t>What is the PV of the $1,000 par paid in 14.5 years?</t>
  </si>
  <si>
    <t>What is the PV of the Stream of coupn payments paid throughout the life of the bond)</t>
  </si>
  <si>
    <t>Coupon Payment/Par Value</t>
  </si>
  <si>
    <t>Compounding Frequency (CF)</t>
  </si>
  <si>
    <t>$$ Earned</t>
  </si>
  <si>
    <t>Cpn Earned</t>
  </si>
  <si>
    <t>Price Change/Capital Gain</t>
  </si>
  <si>
    <t>Total Return</t>
  </si>
  <si>
    <t>Total Return in $$</t>
  </si>
  <si>
    <t>Total return percentage</t>
  </si>
  <si>
    <t>You purchased a 10-year bond with a 6.5% coupon  at a yield of 6.00%. Interest Rates expected to fall 50bps during the next year, before you sell the bond.  What is the capital gain on the transaction? What is the total return earned on the bond?</t>
  </si>
  <si>
    <t>Buy</t>
  </si>
  <si>
    <t>Sell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</si>
</sst>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00%"/>
    <numFmt numFmtId="167" formatCode="m/d/yyyy;@"/>
    <numFmt numFmtId="168" formatCode="_(* #,##0.000_);_(* \(#,##0.000\);_(* &quot;-&quot;???_);_(@_)"/>
    <numFmt numFmtId="169" formatCode="0.00000"/>
    <numFmt numFmtId="170" formatCode="0.0%"/>
    <numFmt numFmtId="171" formatCode="_(* #,##0.0_);_(* \(#,##0.0\);_(* &quot;-&quot;?_);_(@_)"/>
    <numFmt numFmtId="172" formatCode="_(* #,##0.0_);_(* \(#,##0.0\);_(* &quot;-&quot;???_);_(@_)"/>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b/>
      <sz val="14"/>
      <name val="Arial"/>
      <family val="2"/>
    </font>
    <font>
      <sz val="12"/>
      <name val="Arial"/>
      <family val="2"/>
    </font>
    <font>
      <i/>
      <sz val="12"/>
      <name val="Arial"/>
      <family val="2"/>
    </font>
    <font>
      <sz val="10"/>
      <name val="Arial"/>
      <family val="2"/>
    </font>
    <font>
      <sz val="12"/>
      <color rgb="FF0050C7"/>
      <name val="Arial"/>
      <family val="2"/>
    </font>
    <font>
      <sz val="12"/>
      <color rgb="FFB80000"/>
      <name val="Arial"/>
      <family val="2"/>
    </font>
    <font>
      <sz val="12"/>
      <color indexed="10"/>
      <name val="Arial"/>
      <family val="2"/>
    </font>
    <font>
      <b/>
      <sz val="12"/>
      <color rgb="FF007A37"/>
      <name val="Arial"/>
      <family val="2"/>
    </font>
    <font>
      <sz val="12"/>
      <color indexed="12"/>
      <name val="Arial"/>
      <family val="2"/>
    </font>
    <font>
      <sz val="12"/>
      <color rgb="FF007A37"/>
      <name val="Arial"/>
      <family val="2"/>
    </font>
    <font>
      <sz val="11"/>
      <color rgb="FF333333"/>
      <name val="Arial"/>
      <family val="2"/>
    </font>
    <font>
      <b/>
      <i/>
      <sz val="11"/>
      <color theme="1"/>
      <name val="Aptos Narrow"/>
      <family val="2"/>
      <scheme val="minor"/>
    </font>
    <font>
      <b/>
      <sz val="12"/>
      <name val="Arial"/>
      <family val="2"/>
    </font>
    <font>
      <b/>
      <sz val="12"/>
      <color indexed="12"/>
      <name val="Arial"/>
      <family val="2"/>
    </font>
    <font>
      <sz val="10"/>
      <color rgb="FF002E60"/>
      <name val="Calibri"/>
      <family val="2"/>
    </font>
  </fonts>
  <fills count="8">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1" tint="4.9989318521683403E-2"/>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double">
        <color indexed="64"/>
      </bottom>
      <diagonal/>
    </border>
    <border>
      <left/>
      <right/>
      <top style="thin">
        <color indexed="64"/>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6" fillId="0" borderId="0"/>
  </cellStyleXfs>
  <cellXfs count="118">
    <xf numFmtId="0" fontId="0" fillId="0" borderId="0" xfId="0"/>
    <xf numFmtId="0" fontId="3" fillId="0" borderId="0" xfId="0" applyFont="1"/>
    <xf numFmtId="0" fontId="4" fillId="0" borderId="0" xfId="0" applyFont="1"/>
    <xf numFmtId="0" fontId="5" fillId="0" borderId="0" xfId="0" applyFont="1"/>
    <xf numFmtId="0" fontId="4" fillId="2" borderId="1" xfId="0" applyFont="1" applyFill="1" applyBorder="1"/>
    <xf numFmtId="0" fontId="5" fillId="2" borderId="2" xfId="0" applyFont="1" applyFill="1" applyBorder="1"/>
    <xf numFmtId="0" fontId="4" fillId="2" borderId="4" xfId="0" applyFont="1" applyFill="1" applyBorder="1"/>
    <xf numFmtId="0" fontId="4" fillId="2" borderId="0" xfId="0" applyFont="1" applyFill="1"/>
    <xf numFmtId="10" fontId="7" fillId="2" borderId="0" xfId="3" applyNumberFormat="1" applyFont="1" applyFill="1" applyBorder="1"/>
    <xf numFmtId="0" fontId="4" fillId="2" borderId="6" xfId="0" applyFont="1" applyFill="1" applyBorder="1"/>
    <xf numFmtId="0" fontId="4" fillId="2" borderId="7" xfId="0" applyFont="1" applyFill="1" applyBorder="1"/>
    <xf numFmtId="0" fontId="4" fillId="2" borderId="8" xfId="0" applyFont="1" applyFill="1" applyBorder="1"/>
    <xf numFmtId="0" fontId="4" fillId="3" borderId="1" xfId="0" applyFont="1" applyFill="1" applyBorder="1"/>
    <xf numFmtId="0" fontId="4" fillId="3" borderId="2" xfId="0" applyFont="1" applyFill="1" applyBorder="1"/>
    <xf numFmtId="0" fontId="4" fillId="3" borderId="4" xfId="0" applyFont="1" applyFill="1" applyBorder="1"/>
    <xf numFmtId="0" fontId="4" fillId="3" borderId="0" xfId="0" applyFont="1" applyFill="1"/>
    <xf numFmtId="0" fontId="4" fillId="3" borderId="6" xfId="0" applyFont="1" applyFill="1" applyBorder="1"/>
    <xf numFmtId="0" fontId="4" fillId="3" borderId="7" xfId="0" applyFont="1" applyFill="1" applyBorder="1"/>
    <xf numFmtId="14" fontId="7" fillId="2" borderId="0" xfId="2" applyNumberFormat="1" applyFont="1" applyFill="1" applyBorder="1"/>
    <xf numFmtId="164" fontId="7" fillId="2" borderId="0" xfId="2" applyNumberFormat="1" applyFont="1" applyFill="1" applyBorder="1"/>
    <xf numFmtId="0" fontId="4" fillId="2" borderId="2" xfId="0" applyFont="1" applyFill="1" applyBorder="1"/>
    <xf numFmtId="0" fontId="4" fillId="2" borderId="3" xfId="0" applyFont="1" applyFill="1" applyBorder="1"/>
    <xf numFmtId="0" fontId="4" fillId="2" borderId="5" xfId="0" applyFont="1" applyFill="1" applyBorder="1"/>
    <xf numFmtId="14" fontId="7" fillId="2" borderId="0" xfId="1" applyNumberFormat="1" applyFont="1" applyFill="1" applyBorder="1"/>
    <xf numFmtId="167" fontId="7" fillId="2" borderId="0" xfId="3" applyNumberFormat="1" applyFont="1" applyFill="1" applyBorder="1"/>
    <xf numFmtId="168" fontId="7" fillId="2" borderId="0" xfId="3" applyNumberFormat="1" applyFont="1" applyFill="1" applyBorder="1"/>
    <xf numFmtId="41" fontId="7" fillId="2" borderId="0" xfId="2" applyNumberFormat="1" applyFont="1" applyFill="1" applyBorder="1"/>
    <xf numFmtId="42" fontId="7" fillId="2" borderId="0" xfId="2" applyNumberFormat="1" applyFont="1" applyFill="1" applyBorder="1"/>
    <xf numFmtId="0" fontId="4" fillId="3" borderId="3" xfId="0" applyFont="1" applyFill="1" applyBorder="1"/>
    <xf numFmtId="10" fontId="10" fillId="3" borderId="9" xfId="3" applyNumberFormat="1" applyFont="1" applyFill="1" applyBorder="1" applyAlignment="1">
      <alignment horizontal="right"/>
    </xf>
    <xf numFmtId="164" fontId="11" fillId="3" borderId="5" xfId="2" applyNumberFormat="1" applyFont="1" applyFill="1" applyBorder="1"/>
    <xf numFmtId="43" fontId="12" fillId="3" borderId="0" xfId="1" applyFont="1" applyFill="1" applyBorder="1"/>
    <xf numFmtId="44" fontId="8" fillId="3" borderId="0" xfId="1" applyNumberFormat="1" applyFont="1" applyFill="1" applyBorder="1"/>
    <xf numFmtId="0" fontId="4" fillId="3" borderId="8" xfId="0" applyFont="1" applyFill="1" applyBorder="1"/>
    <xf numFmtId="169" fontId="0" fillId="0" borderId="0" xfId="0" applyNumberFormat="1"/>
    <xf numFmtId="42" fontId="7" fillId="2" borderId="0" xfId="1" applyNumberFormat="1" applyFont="1" applyFill="1" applyBorder="1"/>
    <xf numFmtId="44" fontId="8" fillId="3" borderId="0" xfId="2" applyFont="1" applyFill="1" applyBorder="1"/>
    <xf numFmtId="0" fontId="4" fillId="3" borderId="5" xfId="0" applyFont="1" applyFill="1" applyBorder="1"/>
    <xf numFmtId="43" fontId="10" fillId="3" borderId="9" xfId="1" applyFont="1" applyFill="1" applyBorder="1"/>
    <xf numFmtId="170" fontId="7" fillId="2" borderId="0" xfId="3" applyNumberFormat="1" applyFont="1" applyFill="1" applyBorder="1"/>
    <xf numFmtId="165" fontId="7" fillId="2" borderId="0" xfId="1" applyNumberFormat="1" applyFont="1" applyFill="1" applyBorder="1"/>
    <xf numFmtId="43" fontId="7" fillId="2" borderId="0" xfId="1" applyFont="1" applyFill="1" applyBorder="1"/>
    <xf numFmtId="10" fontId="10" fillId="3" borderId="9" xfId="3" applyNumberFormat="1" applyFont="1" applyFill="1" applyBorder="1"/>
    <xf numFmtId="0" fontId="12" fillId="3" borderId="0" xfId="0" applyFont="1" applyFill="1"/>
    <xf numFmtId="171" fontId="7" fillId="2" borderId="0" xfId="0" applyNumberFormat="1" applyFont="1" applyFill="1"/>
    <xf numFmtId="164" fontId="7" fillId="2" borderId="0" xfId="1" applyNumberFormat="1" applyFont="1" applyFill="1" applyBorder="1"/>
    <xf numFmtId="44" fontId="4" fillId="0" borderId="0" xfId="0" applyNumberFormat="1" applyFont="1"/>
    <xf numFmtId="44" fontId="8" fillId="3" borderId="0" xfId="0" applyNumberFormat="1" applyFont="1" applyFill="1"/>
    <xf numFmtId="43" fontId="9" fillId="3" borderId="0" xfId="1" applyFont="1" applyFill="1" applyBorder="1"/>
    <xf numFmtId="44" fontId="0" fillId="0" borderId="0" xfId="0" applyNumberFormat="1"/>
    <xf numFmtId="0" fontId="0" fillId="0" borderId="10" xfId="0" applyBorder="1"/>
    <xf numFmtId="0" fontId="0" fillId="0" borderId="12" xfId="0" applyBorder="1" applyAlignment="1">
      <alignment wrapText="1"/>
    </xf>
    <xf numFmtId="0" fontId="0" fillId="0" borderId="14" xfId="0" applyBorder="1"/>
    <xf numFmtId="0" fontId="0" fillId="0" borderId="12" xfId="0" applyBorder="1"/>
    <xf numFmtId="0" fontId="0" fillId="0" borderId="16" xfId="0" applyBorder="1"/>
    <xf numFmtId="0" fontId="0" fillId="0" borderId="19" xfId="0" applyBorder="1"/>
    <xf numFmtId="170" fontId="7" fillId="5" borderId="0" xfId="3" applyNumberFormat="1" applyFont="1" applyFill="1" applyBorder="1"/>
    <xf numFmtId="165" fontId="7" fillId="5" borderId="0" xfId="1" applyNumberFormat="1" applyFont="1" applyFill="1" applyBorder="1"/>
    <xf numFmtId="0" fontId="7" fillId="5" borderId="0" xfId="2" applyNumberFormat="1" applyFont="1" applyFill="1" applyBorder="1"/>
    <xf numFmtId="0" fontId="7" fillId="5" borderId="0" xfId="1" applyNumberFormat="1" applyFont="1" applyFill="1" applyBorder="1"/>
    <xf numFmtId="44" fontId="7" fillId="5" borderId="0" xfId="2" applyFont="1" applyFill="1" applyBorder="1"/>
    <xf numFmtId="0" fontId="5" fillId="5" borderId="10" xfId="0" applyFont="1" applyFill="1" applyBorder="1"/>
    <xf numFmtId="0" fontId="4" fillId="5" borderId="19" xfId="0" applyFont="1" applyFill="1" applyBorder="1"/>
    <xf numFmtId="0" fontId="4" fillId="5" borderId="11" xfId="0" applyFont="1" applyFill="1" applyBorder="1"/>
    <xf numFmtId="0" fontId="4" fillId="5" borderId="16" xfId="0" applyFont="1" applyFill="1" applyBorder="1"/>
    <xf numFmtId="0" fontId="4" fillId="5" borderId="17" xfId="0" applyFont="1" applyFill="1" applyBorder="1"/>
    <xf numFmtId="0" fontId="4" fillId="5" borderId="12" xfId="0" applyFont="1" applyFill="1" applyBorder="1"/>
    <xf numFmtId="44" fontId="7" fillId="5" borderId="20" xfId="2" applyFont="1" applyFill="1" applyBorder="1"/>
    <xf numFmtId="0" fontId="4" fillId="5" borderId="13" xfId="0" applyFont="1" applyFill="1" applyBorder="1"/>
    <xf numFmtId="172" fontId="7" fillId="5" borderId="0" xfId="1" applyNumberFormat="1" applyFont="1" applyFill="1" applyBorder="1"/>
    <xf numFmtId="0" fontId="0" fillId="0" borderId="0" xfId="0" applyAlignment="1">
      <alignment wrapText="1"/>
    </xf>
    <xf numFmtId="10" fontId="0" fillId="0" borderId="0" xfId="0" applyNumberFormat="1"/>
    <xf numFmtId="0" fontId="2" fillId="0" borderId="0" xfId="0" applyFont="1" applyAlignment="1">
      <alignment wrapText="1"/>
    </xf>
    <xf numFmtId="0" fontId="14" fillId="0" borderId="0" xfId="0" applyFont="1"/>
    <xf numFmtId="8" fontId="8" fillId="3" borderId="0" xfId="2" applyNumberFormat="1" applyFont="1" applyFill="1" applyBorder="1"/>
    <xf numFmtId="10" fontId="4" fillId="2" borderId="2" xfId="0" applyNumberFormat="1" applyFont="1" applyFill="1" applyBorder="1"/>
    <xf numFmtId="8" fontId="4" fillId="0" borderId="0" xfId="0" applyNumberFormat="1" applyFont="1"/>
    <xf numFmtId="0" fontId="15" fillId="3" borderId="0" xfId="0" applyFont="1" applyFill="1"/>
    <xf numFmtId="164" fontId="16" fillId="3" borderId="5" xfId="2" applyNumberFormat="1" applyFont="1" applyFill="1" applyBorder="1"/>
    <xf numFmtId="0" fontId="15" fillId="0" borderId="0" xfId="0" applyFont="1"/>
    <xf numFmtId="44" fontId="0" fillId="0" borderId="0" xfId="2" applyFont="1" applyAlignment="1"/>
    <xf numFmtId="0" fontId="0" fillId="0" borderId="11" xfId="0" applyBorder="1"/>
    <xf numFmtId="0" fontId="0" fillId="0" borderId="13" xfId="0" applyBorder="1"/>
    <xf numFmtId="0" fontId="0" fillId="4" borderId="15" xfId="0" applyFill="1" applyBorder="1"/>
    <xf numFmtId="10" fontId="0" fillId="0" borderId="11" xfId="0" applyNumberFormat="1" applyBorder="1"/>
    <xf numFmtId="10" fontId="0" fillId="4" borderId="13" xfId="3" applyNumberFormat="1" applyFont="1" applyFill="1" applyBorder="1" applyAlignment="1"/>
    <xf numFmtId="10" fontId="0" fillId="4" borderId="17" xfId="3" applyNumberFormat="1" applyFont="1" applyFill="1" applyBorder="1" applyAlignment="1"/>
    <xf numFmtId="44" fontId="0" fillId="0" borderId="11" xfId="2" applyFont="1" applyBorder="1" applyAlignment="1"/>
    <xf numFmtId="44" fontId="0" fillId="4" borderId="13" xfId="2" applyFont="1" applyFill="1" applyBorder="1" applyAlignment="1"/>
    <xf numFmtId="44" fontId="0" fillId="0" borderId="18" xfId="2" applyFont="1" applyBorder="1" applyAlignment="1"/>
    <xf numFmtId="8" fontId="0" fillId="4" borderId="19" xfId="0" applyNumberFormat="1" applyFill="1" applyBorder="1"/>
    <xf numFmtId="10" fontId="0" fillId="0" borderId="0" xfId="3" applyNumberFormat="1" applyFont="1" applyAlignment="1"/>
    <xf numFmtId="10" fontId="0" fillId="6" borderId="0" xfId="3" applyNumberFormat="1" applyFont="1" applyFill="1" applyAlignment="1"/>
    <xf numFmtId="8" fontId="0" fillId="0" borderId="0" xfId="0" applyNumberFormat="1"/>
    <xf numFmtId="166" fontId="0" fillId="0" borderId="0" xfId="3" applyNumberFormat="1" applyFont="1"/>
    <xf numFmtId="0" fontId="0" fillId="0" borderId="0" xfId="0" applyAlignment="1">
      <alignment horizontal="center"/>
    </xf>
    <xf numFmtId="0" fontId="17" fillId="0" borderId="0" xfId="0" applyFont="1" applyAlignment="1">
      <alignment horizontal="left" vertical="center" wrapText="1" readingOrder="1"/>
    </xf>
    <xf numFmtId="0" fontId="0" fillId="7" borderId="11" xfId="0" applyFill="1" applyBorder="1"/>
    <xf numFmtId="0" fontId="0" fillId="7" borderId="13" xfId="0" applyFill="1" applyBorder="1"/>
    <xf numFmtId="0" fontId="0" fillId="7" borderId="15" xfId="0" applyFill="1" applyBorder="1"/>
    <xf numFmtId="10" fontId="0" fillId="7" borderId="11" xfId="0" applyNumberFormat="1" applyFill="1" applyBorder="1"/>
    <xf numFmtId="10" fontId="0" fillId="7" borderId="13" xfId="3" applyNumberFormat="1" applyFont="1" applyFill="1" applyBorder="1" applyAlignment="1"/>
    <xf numFmtId="170" fontId="0" fillId="7" borderId="11" xfId="3" applyNumberFormat="1" applyFont="1" applyFill="1" applyBorder="1" applyAlignment="1"/>
    <xf numFmtId="10" fontId="0" fillId="7" borderId="11" xfId="3" applyNumberFormat="1" applyFont="1" applyFill="1" applyBorder="1" applyAlignment="1"/>
    <xf numFmtId="10" fontId="0" fillId="7" borderId="17" xfId="3" applyNumberFormat="1" applyFont="1" applyFill="1" applyBorder="1" applyAlignment="1"/>
    <xf numFmtId="44" fontId="0" fillId="7" borderId="11" xfId="2" applyFont="1" applyFill="1" applyBorder="1" applyAlignment="1"/>
    <xf numFmtId="44" fontId="0" fillId="7" borderId="13" xfId="2" applyFont="1" applyFill="1" applyBorder="1" applyAlignment="1"/>
    <xf numFmtId="44" fontId="0" fillId="7" borderId="18" xfId="2" applyFont="1" applyFill="1" applyBorder="1" applyAlignment="1"/>
    <xf numFmtId="0" fontId="0" fillId="7" borderId="0" xfId="0" applyFill="1"/>
    <xf numFmtId="8" fontId="0" fillId="7" borderId="19" xfId="0" applyNumberFormat="1" applyFill="1" applyBorder="1"/>
    <xf numFmtId="10" fontId="0" fillId="7" borderId="0" xfId="3" applyNumberFormat="1" applyFont="1" applyFill="1" applyAlignment="1"/>
    <xf numFmtId="44" fontId="0" fillId="7" borderId="11" xfId="0" applyNumberFormat="1" applyFill="1" applyBorder="1"/>
    <xf numFmtId="8" fontId="0" fillId="7" borderId="13" xfId="0" applyNumberFormat="1" applyFill="1" applyBorder="1"/>
    <xf numFmtId="44" fontId="0" fillId="7" borderId="0" xfId="0" applyNumberFormat="1" applyFill="1"/>
    <xf numFmtId="10" fontId="0" fillId="7" borderId="0" xfId="3" applyNumberFormat="1" applyFont="1" applyFill="1"/>
    <xf numFmtId="0" fontId="13" fillId="0" borderId="0" xfId="0" applyFont="1" applyAlignment="1">
      <alignment horizontal="center" vertical="center" wrapText="1"/>
    </xf>
    <xf numFmtId="10" fontId="0" fillId="6" borderId="11" xfId="3" applyNumberFormat="1" applyFont="1" applyFill="1" applyBorder="1" applyAlignment="1"/>
    <xf numFmtId="166" fontId="0" fillId="6" borderId="11" xfId="3" applyNumberFormat="1" applyFont="1" applyFill="1" applyBorder="1" applyAlignment="1"/>
  </cellXfs>
  <cellStyles count="5">
    <cellStyle name="Comma" xfId="1" builtinId="3"/>
    <cellStyle name="Currency" xfId="2" builtinId="4"/>
    <cellStyle name="Normal" xfId="0" builtinId="0"/>
    <cellStyle name="Normal 2 2" xfId="4" xr:uid="{FC0D5280-B13A-4643-9F24-A9D17AB3BF5E}"/>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9</xdr:col>
      <xdr:colOff>55078</xdr:colOff>
      <xdr:row>56</xdr:row>
      <xdr:rowOff>162798</xdr:rowOff>
    </xdr:to>
    <xdr:pic>
      <xdr:nvPicPr>
        <xdr:cNvPr id="2" name="Picture 1" descr="A screenshot of a math problem&#10;&#10;AI-generated content may be incorrect.">
          <a:extLst>
            <a:ext uri="{FF2B5EF4-FFF2-40B4-BE49-F238E27FC236}">
              <a16:creationId xmlns:a16="http://schemas.microsoft.com/office/drawing/2014/main" id="{0831EC90-BF11-B073-CF9A-6DD5827FFA9B}"/>
            </a:ext>
          </a:extLst>
        </xdr:cNvPr>
        <xdr:cNvPicPr>
          <a:picLocks noChangeAspect="1"/>
        </xdr:cNvPicPr>
      </xdr:nvPicPr>
      <xdr:blipFill>
        <a:blip xmlns:r="http://schemas.openxmlformats.org/officeDocument/2006/relationships" r:embed="rId1"/>
        <a:stretch>
          <a:fillRect/>
        </a:stretch>
      </xdr:blipFill>
      <xdr:spPr>
        <a:xfrm>
          <a:off x="609600" y="4819650"/>
          <a:ext cx="7906853" cy="6258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3</xdr:row>
      <xdr:rowOff>0</xdr:rowOff>
    </xdr:from>
    <xdr:to>
      <xdr:col>82</xdr:col>
      <xdr:colOff>302293</xdr:colOff>
      <xdr:row>7</xdr:row>
      <xdr:rowOff>10751</xdr:rowOff>
    </xdr:to>
    <xdr:pic>
      <xdr:nvPicPr>
        <xdr:cNvPr id="2" name="Picture 1">
          <a:extLst>
            <a:ext uri="{FF2B5EF4-FFF2-40B4-BE49-F238E27FC236}">
              <a16:creationId xmlns:a16="http://schemas.microsoft.com/office/drawing/2014/main" id="{81A4B6D5-1B17-91C7-1E55-F7E225B6C648}"/>
            </a:ext>
          </a:extLst>
        </xdr:cNvPr>
        <xdr:cNvPicPr>
          <a:picLocks noChangeAspect="1"/>
        </xdr:cNvPicPr>
      </xdr:nvPicPr>
      <xdr:blipFill>
        <a:blip xmlns:r="http://schemas.openxmlformats.org/officeDocument/2006/relationships" r:embed="rId1"/>
        <a:stretch>
          <a:fillRect/>
        </a:stretch>
      </xdr:blipFill>
      <xdr:spPr>
        <a:xfrm>
          <a:off x="11801475" y="971550"/>
          <a:ext cx="45803218" cy="9632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200025</xdr:colOff>
      <xdr:row>0</xdr:row>
      <xdr:rowOff>76200</xdr:rowOff>
    </xdr:from>
    <xdr:to>
      <xdr:col>9</xdr:col>
      <xdr:colOff>95250</xdr:colOff>
      <xdr:row>24</xdr:row>
      <xdr:rowOff>123825</xdr:rowOff>
    </xdr:to>
    <xdr:sp macro="" textlink="">
      <xdr:nvSpPr>
        <xdr:cNvPr id="2" name="Freeform 2">
          <a:extLst>
            <a:ext uri="{FF2B5EF4-FFF2-40B4-BE49-F238E27FC236}">
              <a16:creationId xmlns:a16="http://schemas.microsoft.com/office/drawing/2014/main" id="{22A88875-7B06-4A57-A2D5-C98C6FCE01E3}"/>
            </a:ext>
          </a:extLst>
        </xdr:cNvPr>
        <xdr:cNvSpPr/>
      </xdr:nvSpPr>
      <xdr:spPr>
        <a:xfrm>
          <a:off x="8943975" y="76200"/>
          <a:ext cx="3838575" cy="5781675"/>
        </a:xfrm>
        <a:custGeom>
          <a:avLst/>
          <a:gdLst/>
          <a:ahLst/>
          <a:cxnLst/>
          <a:rect l="l" t="t" r="r" b="b"/>
          <a:pathLst>
            <a:path w="8200136" h="9491496">
              <a:moveTo>
                <a:pt x="0" y="0"/>
              </a:moveTo>
              <a:lnTo>
                <a:pt x="8200136" y="0"/>
              </a:lnTo>
              <a:lnTo>
                <a:pt x="8200136" y="9491496"/>
              </a:lnTo>
              <a:lnTo>
                <a:pt x="0" y="9491496"/>
              </a:lnTo>
              <a:lnTo>
                <a:pt x="0" y="0"/>
              </a:lnTo>
              <a:close/>
            </a:path>
          </a:pathLst>
        </a:custGeom>
        <a:blipFill>
          <a:blip xmlns:r="http://schemas.openxmlformats.org/officeDocument/2006/relationships" r:embed="rId1"/>
          <a:stretch>
            <a:fillRect/>
          </a:stretch>
        </a:blipFill>
      </xdr:spPr>
      <xdr:txBody>
        <a:bodyPr wrap="square"/>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609630"/>
          <a:endParaRPr lang="en-US" sz="1200">
            <a:solidFill>
              <a:prstClr val="black"/>
            </a:solidFill>
            <a:latin typeface="Calibri"/>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B5E7F-2487-4705-B9EE-53506D10F10F}">
  <dimension ref="A1:H25"/>
  <sheetViews>
    <sheetView workbookViewId="0">
      <selection activeCell="F11" sqref="F11"/>
    </sheetView>
  </sheetViews>
  <sheetFormatPr defaultRowHeight="15" x14ac:dyDescent="0.25"/>
  <cols>
    <col min="2" max="2" width="36" customWidth="1"/>
    <col min="3" max="3" width="19.85546875" customWidth="1"/>
    <col min="6" max="6" width="25.85546875" bestFit="1" customWidth="1"/>
    <col min="7" max="7" width="14.7109375" customWidth="1"/>
  </cols>
  <sheetData>
    <row r="1" spans="1:8" x14ac:dyDescent="0.25">
      <c r="B1" s="115" t="s">
        <v>45</v>
      </c>
      <c r="C1" s="115"/>
      <c r="D1" s="115"/>
    </row>
    <row r="3" spans="1:8" ht="15.75" x14ac:dyDescent="0.25">
      <c r="B3" s="3" t="s">
        <v>0</v>
      </c>
      <c r="C3" s="2"/>
      <c r="D3" s="2"/>
      <c r="F3" s="3" t="s">
        <v>44</v>
      </c>
    </row>
    <row r="4" spans="1:8" ht="16.5" thickBot="1" x14ac:dyDescent="0.3">
      <c r="A4" s="2"/>
      <c r="B4" s="3"/>
      <c r="C4" s="2"/>
      <c r="D4" s="2"/>
      <c r="E4" s="2"/>
      <c r="F4" s="2"/>
    </row>
    <row r="5" spans="1:8" ht="15.75" x14ac:dyDescent="0.25">
      <c r="A5" s="2"/>
      <c r="B5" s="5" t="s">
        <v>70</v>
      </c>
      <c r="C5" s="75">
        <v>5.7000000000000002E-2</v>
      </c>
      <c r="D5" s="21"/>
      <c r="E5" s="2"/>
      <c r="F5" s="61"/>
      <c r="G5" s="62"/>
      <c r="H5" s="63"/>
    </row>
    <row r="6" spans="1:8" ht="15.75" x14ac:dyDescent="0.25">
      <c r="A6" s="2"/>
      <c r="B6" s="7" t="s">
        <v>3</v>
      </c>
      <c r="C6" s="8">
        <v>5.7000000000000002E-2</v>
      </c>
      <c r="D6" s="22"/>
      <c r="E6" s="2"/>
      <c r="F6" s="64" t="s">
        <v>27</v>
      </c>
      <c r="G6" s="58">
        <f>ROUND((C8-C7)/365,0)</f>
        <v>19</v>
      </c>
      <c r="H6" s="65"/>
    </row>
    <row r="7" spans="1:8" ht="15.75" x14ac:dyDescent="0.25">
      <c r="A7" s="2"/>
      <c r="B7" s="7" t="s">
        <v>68</v>
      </c>
      <c r="C7" s="23">
        <v>45766</v>
      </c>
      <c r="D7" s="22"/>
      <c r="E7" s="2"/>
      <c r="F7" s="64" t="s">
        <v>34</v>
      </c>
      <c r="G7" s="69">
        <f>G6*2</f>
        <v>38</v>
      </c>
      <c r="H7" s="65"/>
    </row>
    <row r="8" spans="1:8" ht="15.75" x14ac:dyDescent="0.25">
      <c r="A8" s="2"/>
      <c r="B8" s="7" t="s">
        <v>69</v>
      </c>
      <c r="C8" s="24">
        <v>52706</v>
      </c>
      <c r="D8" s="22"/>
      <c r="E8" s="2"/>
      <c r="F8" s="64" t="s">
        <v>35</v>
      </c>
      <c r="G8" s="56">
        <f>C9/100</f>
        <v>1.0754000000000001</v>
      </c>
      <c r="H8" s="65"/>
    </row>
    <row r="9" spans="1:8" ht="15.75" x14ac:dyDescent="0.25">
      <c r="A9" s="2"/>
      <c r="B9" s="7" t="s">
        <v>66</v>
      </c>
      <c r="C9" s="25">
        <v>107.54</v>
      </c>
      <c r="D9" s="22"/>
      <c r="E9" s="2"/>
      <c r="F9" s="64" t="s">
        <v>36</v>
      </c>
      <c r="G9" s="60">
        <f>1000*G8</f>
        <v>1075.4000000000001</v>
      </c>
      <c r="H9" s="65"/>
    </row>
    <row r="10" spans="1:8" ht="15.75" x14ac:dyDescent="0.25">
      <c r="A10" s="2"/>
      <c r="B10" s="7" t="s">
        <v>67</v>
      </c>
      <c r="C10" s="26">
        <v>100</v>
      </c>
      <c r="D10" s="22"/>
      <c r="E10" s="2"/>
      <c r="F10" s="64"/>
      <c r="G10" s="60"/>
      <c r="H10" s="65"/>
    </row>
    <row r="11" spans="1:8" ht="15.75" x14ac:dyDescent="0.25">
      <c r="A11" s="2"/>
      <c r="B11" s="7" t="s">
        <v>5</v>
      </c>
      <c r="C11" s="27">
        <v>1000</v>
      </c>
      <c r="D11" s="22"/>
      <c r="E11" s="2"/>
      <c r="F11" s="64" t="s">
        <v>38</v>
      </c>
      <c r="G11" s="60">
        <f>C6*C11</f>
        <v>57</v>
      </c>
      <c r="H11" s="65"/>
    </row>
    <row r="12" spans="1:8" ht="16.5" thickBot="1" x14ac:dyDescent="0.3">
      <c r="A12" s="2"/>
      <c r="B12" s="10" t="s">
        <v>71</v>
      </c>
      <c r="C12" s="10">
        <v>2</v>
      </c>
      <c r="D12" s="11"/>
      <c r="E12" s="2"/>
      <c r="F12" s="66" t="s">
        <v>39</v>
      </c>
      <c r="G12" s="67">
        <f>G11/2</f>
        <v>28.5</v>
      </c>
      <c r="H12" s="68"/>
    </row>
    <row r="13" spans="1:8" ht="15.75" x14ac:dyDescent="0.25">
      <c r="A13" s="2"/>
      <c r="B13" s="2"/>
      <c r="C13" s="2"/>
      <c r="D13" s="2"/>
      <c r="E13" s="2"/>
      <c r="F13" s="2"/>
    </row>
    <row r="14" spans="1:8" ht="15.75" x14ac:dyDescent="0.25">
      <c r="A14" s="2"/>
      <c r="B14" s="3" t="s">
        <v>1</v>
      </c>
      <c r="C14" s="2"/>
      <c r="D14" s="2"/>
      <c r="E14" s="2"/>
      <c r="F14" s="2"/>
    </row>
    <row r="15" spans="1:8" ht="16.5" thickBot="1" x14ac:dyDescent="0.3">
      <c r="A15" s="2"/>
      <c r="B15" s="3"/>
      <c r="C15" s="2"/>
      <c r="D15" s="2"/>
      <c r="E15" s="2"/>
      <c r="F15" s="2"/>
    </row>
    <row r="16" spans="1:8" ht="15.75" x14ac:dyDescent="0.25">
      <c r="A16" s="2"/>
      <c r="B16" s="13"/>
      <c r="C16" s="13"/>
      <c r="D16" s="28"/>
      <c r="E16" s="2"/>
      <c r="F16" s="2"/>
    </row>
    <row r="17" spans="1:6" ht="15.75" x14ac:dyDescent="0.25">
      <c r="A17" s="2"/>
      <c r="B17" s="15" t="s">
        <v>42</v>
      </c>
      <c r="C17" s="29">
        <f>YIELD(C7,C8,C5,C9,C10,2)</f>
        <v>5.076810441595947E-2</v>
      </c>
      <c r="D17" s="30"/>
      <c r="E17" s="2"/>
      <c r="F17" s="2" t="str">
        <f ca="1">_xlfn.FORMULATEXT(C17)</f>
        <v>=YIELD(C7,C8,C5,C9,C10,2)</v>
      </c>
    </row>
    <row r="18" spans="1:6" ht="15.75" x14ac:dyDescent="0.25">
      <c r="A18" s="2"/>
      <c r="B18" s="15" t="s">
        <v>43</v>
      </c>
      <c r="C18" s="29">
        <f>RATE(G7,-G12,G9,-C11)*2</f>
        <v>5.0768104419452162E-2</v>
      </c>
      <c r="D18" s="30"/>
      <c r="E18" s="2"/>
      <c r="F18" s="2" t="str">
        <f t="shared" ref="F18:F22" ca="1" si="0">_xlfn.FORMULATEXT(C18)</f>
        <v>=RATE(G7,-G12,G9,-C11)*2</v>
      </c>
    </row>
    <row r="19" spans="1:6" ht="15.75" x14ac:dyDescent="0.25">
      <c r="A19" s="2"/>
      <c r="B19" s="15" t="s">
        <v>7</v>
      </c>
      <c r="C19" s="32">
        <f>C6*C11</f>
        <v>57</v>
      </c>
      <c r="D19" s="30"/>
      <c r="E19" s="2"/>
      <c r="F19" s="2" t="str">
        <f t="shared" ca="1" si="0"/>
        <v>=C6*C11</v>
      </c>
    </row>
    <row r="20" spans="1:6" ht="15.75" x14ac:dyDescent="0.25">
      <c r="A20" s="2"/>
      <c r="B20" s="15" t="s">
        <v>8</v>
      </c>
      <c r="C20" s="32">
        <f>C9/100*C11</f>
        <v>1075.4000000000001</v>
      </c>
      <c r="D20" s="30"/>
      <c r="E20" s="2"/>
      <c r="F20" s="2" t="str">
        <f t="shared" ca="1" si="0"/>
        <v>=C9/100*C11</v>
      </c>
    </row>
    <row r="21" spans="1:6" ht="15.75" x14ac:dyDescent="0.25">
      <c r="A21" s="2"/>
      <c r="B21" s="15"/>
      <c r="C21" s="31"/>
      <c r="D21" s="30"/>
      <c r="E21" s="2"/>
      <c r="F21" s="2"/>
    </row>
    <row r="22" spans="1:6" ht="15.75" x14ac:dyDescent="0.25">
      <c r="A22" s="2"/>
      <c r="B22" s="15" t="s">
        <v>9</v>
      </c>
      <c r="C22" s="29">
        <f>C19/C20</f>
        <v>5.3003533568904589E-2</v>
      </c>
      <c r="D22" s="30"/>
      <c r="E22" s="2"/>
      <c r="F22" s="2" t="str">
        <f t="shared" ca="1" si="0"/>
        <v>=C19/C20</v>
      </c>
    </row>
    <row r="23" spans="1:6" ht="16.5" thickBot="1" x14ac:dyDescent="0.3">
      <c r="A23" s="2"/>
      <c r="B23" s="17"/>
      <c r="C23" s="17"/>
      <c r="D23" s="33"/>
      <c r="E23" s="2"/>
      <c r="F23" s="2"/>
    </row>
    <row r="24" spans="1:6" ht="15.75" x14ac:dyDescent="0.25">
      <c r="A24" s="2"/>
      <c r="B24" s="2"/>
      <c r="C24" s="2"/>
      <c r="D24" s="2"/>
      <c r="E24" s="2"/>
      <c r="F24" s="2"/>
    </row>
    <row r="25" spans="1:6" x14ac:dyDescent="0.25">
      <c r="C25" s="34"/>
    </row>
  </sheetData>
  <mergeCells count="1">
    <mergeCell ref="B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BA7A-5787-4FC1-A0FA-2191276537DA}">
  <dimension ref="A2:H22"/>
  <sheetViews>
    <sheetView topLeftCell="A2" workbookViewId="0">
      <selection activeCell="C16" sqref="C16"/>
    </sheetView>
  </sheetViews>
  <sheetFormatPr defaultRowHeight="15" x14ac:dyDescent="0.25"/>
  <cols>
    <col min="2" max="2" width="24" customWidth="1"/>
    <col min="3" max="3" width="17.7109375" customWidth="1"/>
    <col min="6" max="6" width="35.85546875" bestFit="1" customWidth="1"/>
    <col min="7" max="7" width="15.5703125" customWidth="1"/>
  </cols>
  <sheetData>
    <row r="2" spans="1:8" ht="128.25" customHeight="1" x14ac:dyDescent="0.25">
      <c r="B2" s="115" t="s">
        <v>40</v>
      </c>
      <c r="C2" s="115"/>
      <c r="D2" s="115"/>
    </row>
    <row r="3" spans="1:8" ht="16.5" thickBot="1" x14ac:dyDescent="0.3">
      <c r="A3" s="2"/>
      <c r="B3" s="3" t="s">
        <v>41</v>
      </c>
      <c r="C3" s="2"/>
      <c r="D3" s="2"/>
      <c r="E3" s="2"/>
      <c r="F3" s="3" t="s">
        <v>33</v>
      </c>
    </row>
    <row r="4" spans="1:8" ht="15.75" x14ac:dyDescent="0.25">
      <c r="A4" s="2"/>
      <c r="B4" s="5"/>
      <c r="C4" s="20"/>
      <c r="D4" s="21"/>
      <c r="E4" s="2"/>
      <c r="F4" s="61"/>
      <c r="G4" s="62"/>
      <c r="H4" s="63"/>
    </row>
    <row r="5" spans="1:8" ht="15.75" x14ac:dyDescent="0.25">
      <c r="A5" s="2"/>
      <c r="B5" s="7" t="s">
        <v>14</v>
      </c>
      <c r="C5" s="18">
        <v>43831</v>
      </c>
      <c r="D5" s="22"/>
      <c r="E5" s="2"/>
      <c r="F5" s="64" t="s">
        <v>27</v>
      </c>
      <c r="G5" s="58">
        <f>ROUND((C6-C5)/365,0)</f>
        <v>18</v>
      </c>
      <c r="H5" s="65"/>
    </row>
    <row r="6" spans="1:8" ht="15.75" x14ac:dyDescent="0.25">
      <c r="A6" s="2"/>
      <c r="B6" s="7" t="s">
        <v>15</v>
      </c>
      <c r="C6" s="23">
        <v>50406</v>
      </c>
      <c r="D6" s="22"/>
      <c r="E6" s="2"/>
      <c r="F6" s="64" t="s">
        <v>34</v>
      </c>
      <c r="G6" s="59">
        <f>G5*C8</f>
        <v>36</v>
      </c>
      <c r="H6" s="65"/>
    </row>
    <row r="7" spans="1:8" ht="15.75" x14ac:dyDescent="0.25">
      <c r="A7" s="2"/>
      <c r="B7" s="7" t="s">
        <v>10</v>
      </c>
      <c r="C7" s="39">
        <v>5.8999999999999997E-2</v>
      </c>
      <c r="D7" s="22"/>
      <c r="E7" s="2"/>
      <c r="F7" s="64" t="s">
        <v>35</v>
      </c>
      <c r="G7" s="56">
        <f>C10/100</f>
        <v>1.0631999999999999</v>
      </c>
      <c r="H7" s="65"/>
    </row>
    <row r="8" spans="1:8" ht="15.75" x14ac:dyDescent="0.25">
      <c r="A8" s="2"/>
      <c r="B8" s="7" t="s">
        <v>16</v>
      </c>
      <c r="C8" s="40">
        <v>2</v>
      </c>
      <c r="D8" s="22"/>
      <c r="E8" s="2"/>
      <c r="F8" s="64" t="s">
        <v>36</v>
      </c>
      <c r="G8" s="57">
        <f>1000*G7</f>
        <v>1063.1999999999998</v>
      </c>
      <c r="H8" s="65"/>
    </row>
    <row r="9" spans="1:8" ht="15.75" x14ac:dyDescent="0.25">
      <c r="A9" s="2"/>
      <c r="B9" s="7" t="s">
        <v>4</v>
      </c>
      <c r="C9" s="40">
        <v>100</v>
      </c>
      <c r="D9" s="22"/>
      <c r="E9" s="2"/>
      <c r="F9" s="64" t="s">
        <v>37</v>
      </c>
      <c r="G9" s="57">
        <v>1000</v>
      </c>
      <c r="H9" s="65"/>
    </row>
    <row r="10" spans="1:8" ht="15.75" x14ac:dyDescent="0.25">
      <c r="A10" s="2"/>
      <c r="B10" s="7" t="s">
        <v>17</v>
      </c>
      <c r="C10" s="41">
        <v>106.32</v>
      </c>
      <c r="D10" s="22"/>
      <c r="E10" s="2"/>
      <c r="F10" s="64" t="s">
        <v>38</v>
      </c>
      <c r="G10" s="60">
        <f>G9*C7</f>
        <v>59</v>
      </c>
      <c r="H10" s="65"/>
    </row>
    <row r="11" spans="1:8" ht="16.5" thickBot="1" x14ac:dyDescent="0.3">
      <c r="A11" s="2"/>
      <c r="B11" s="10"/>
      <c r="C11" s="10"/>
      <c r="D11" s="11"/>
      <c r="E11" s="2"/>
      <c r="F11" s="66" t="s">
        <v>39</v>
      </c>
      <c r="G11" s="67">
        <f>G10/C8</f>
        <v>29.5</v>
      </c>
      <c r="H11" s="68"/>
    </row>
    <row r="12" spans="1:8" ht="15.75" x14ac:dyDescent="0.25">
      <c r="A12" s="2"/>
      <c r="B12" s="2"/>
      <c r="C12" s="2"/>
      <c r="D12" s="2"/>
      <c r="E12" s="2"/>
    </row>
    <row r="13" spans="1:8" ht="15.75" x14ac:dyDescent="0.25">
      <c r="A13" s="2"/>
      <c r="B13" s="3" t="s">
        <v>1</v>
      </c>
      <c r="C13" s="2"/>
      <c r="D13" s="2"/>
      <c r="E13" s="2"/>
      <c r="F13" s="2"/>
    </row>
    <row r="14" spans="1:8" ht="16.5" thickBot="1" x14ac:dyDescent="0.3">
      <c r="A14" s="2"/>
      <c r="B14" s="3"/>
      <c r="C14" s="2"/>
      <c r="D14" s="2"/>
      <c r="E14" s="2"/>
      <c r="F14" s="2"/>
    </row>
    <row r="15" spans="1:8" ht="15.75" x14ac:dyDescent="0.25">
      <c r="A15" s="2"/>
      <c r="B15" s="13"/>
      <c r="C15" s="13"/>
      <c r="D15" s="28"/>
      <c r="E15" s="2"/>
      <c r="F15" s="2"/>
    </row>
    <row r="16" spans="1:8" ht="15.75" x14ac:dyDescent="0.25">
      <c r="A16" s="2"/>
      <c r="B16" s="15" t="s">
        <v>11</v>
      </c>
      <c r="C16" s="42">
        <f>(C7*C9)/C10</f>
        <v>5.5492851768246802E-2</v>
      </c>
      <c r="D16" s="37"/>
      <c r="E16" s="2"/>
      <c r="F16" s="2" t="str">
        <f ca="1">_xlfn.FORMULATEXT(C16)</f>
        <v>=(C7*C9)/C10</v>
      </c>
    </row>
    <row r="17" spans="1:6" ht="15.75" x14ac:dyDescent="0.25">
      <c r="A17" s="2"/>
      <c r="B17" s="15"/>
      <c r="C17" s="43"/>
      <c r="D17" s="37"/>
      <c r="E17" s="2"/>
      <c r="F17" s="2"/>
    </row>
    <row r="18" spans="1:6" ht="15.75" x14ac:dyDescent="0.25">
      <c r="A18" s="2"/>
      <c r="B18" s="15" t="s">
        <v>18</v>
      </c>
      <c r="C18" s="42">
        <f>YIELD(C5,C6,C7,C10,C9,C8)</f>
        <v>5.3488201784472139E-2</v>
      </c>
      <c r="D18" s="30"/>
      <c r="E18" s="2"/>
      <c r="F18" s="2" t="str">
        <f ca="1">_xlfn.FORMULATEXT(C18)</f>
        <v>=YIELD(C5,C6,C7,C10,C9,C8)</v>
      </c>
    </row>
    <row r="19" spans="1:6" ht="15.75" x14ac:dyDescent="0.25">
      <c r="A19" s="2"/>
      <c r="B19" s="77" t="s">
        <v>18</v>
      </c>
      <c r="C19" s="42">
        <f>RATE(G6,-G11,G8,-G9)*C8</f>
        <v>5.3488201786311328E-2</v>
      </c>
      <c r="D19" s="78"/>
      <c r="E19" s="79"/>
      <c r="F19" s="79" t="str">
        <f ca="1">_xlfn.FORMULATEXT(C19)</f>
        <v>=RATE(G6,-G11,G8,-G9)*C8</v>
      </c>
    </row>
    <row r="20" spans="1:6" ht="15.75" x14ac:dyDescent="0.25">
      <c r="A20" s="2"/>
      <c r="B20" s="15" t="s">
        <v>19</v>
      </c>
      <c r="C20" s="42">
        <f>EFFECT(C18,C8)</f>
        <v>5.4203448717005998E-2</v>
      </c>
      <c r="D20" s="30"/>
      <c r="E20" s="2"/>
      <c r="F20" s="2" t="str">
        <f ca="1">_xlfn.FORMULATEXT(C20)</f>
        <v>=EFFECT(C18,C8)</v>
      </c>
    </row>
    <row r="21" spans="1:6" ht="16.5" thickBot="1" x14ac:dyDescent="0.3">
      <c r="A21" s="2"/>
      <c r="B21" s="17"/>
      <c r="C21" s="17"/>
      <c r="D21" s="33"/>
      <c r="E21" s="2"/>
      <c r="F21" s="2"/>
    </row>
    <row r="22" spans="1:6" ht="15.75" x14ac:dyDescent="0.25">
      <c r="A22" s="2"/>
      <c r="B22" s="2"/>
      <c r="C22" s="2"/>
      <c r="D22" s="2"/>
      <c r="E22" s="2"/>
      <c r="F22" s="2"/>
    </row>
  </sheetData>
  <mergeCells count="1">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EEFAF-5EFE-4F54-BC15-69D94EC2ACC4}">
  <dimension ref="A1:I24"/>
  <sheetViews>
    <sheetView workbookViewId="0">
      <selection activeCell="D21" sqref="D21"/>
    </sheetView>
  </sheetViews>
  <sheetFormatPr defaultRowHeight="15" x14ac:dyDescent="0.25"/>
  <cols>
    <col min="3" max="3" width="41" customWidth="1"/>
    <col min="4" max="4" width="21.85546875" customWidth="1"/>
    <col min="6" max="6" width="27.85546875" customWidth="1"/>
  </cols>
  <sheetData>
    <row r="1" spans="1:7" ht="18" x14ac:dyDescent="0.25">
      <c r="A1" t="s">
        <v>46</v>
      </c>
      <c r="C1" s="1"/>
    </row>
    <row r="2" spans="1:7" ht="15.75" x14ac:dyDescent="0.25">
      <c r="A2" t="s">
        <v>47</v>
      </c>
      <c r="C2" s="2"/>
    </row>
    <row r="4" spans="1:7" ht="15.75" x14ac:dyDescent="0.25">
      <c r="C4" s="3" t="s">
        <v>0</v>
      </c>
      <c r="D4" s="2"/>
      <c r="E4" s="2"/>
    </row>
    <row r="5" spans="1:7" ht="16.5" thickBot="1" x14ac:dyDescent="0.3">
      <c r="A5" s="2"/>
      <c r="B5" s="2"/>
      <c r="C5" s="3"/>
      <c r="D5" s="2"/>
      <c r="E5" s="2"/>
      <c r="F5" s="2"/>
      <c r="G5" s="2"/>
    </row>
    <row r="6" spans="1:7" ht="15.75" x14ac:dyDescent="0.25">
      <c r="A6" s="2"/>
      <c r="B6" s="4"/>
      <c r="C6" s="5"/>
      <c r="D6" s="20"/>
      <c r="E6" s="21"/>
      <c r="F6" s="2"/>
      <c r="G6" s="2"/>
    </row>
    <row r="7" spans="1:7" ht="15.75" x14ac:dyDescent="0.25">
      <c r="A7" s="2"/>
      <c r="B7" s="6"/>
      <c r="C7" s="7" t="s">
        <v>20</v>
      </c>
      <c r="D7" s="44">
        <v>14.5</v>
      </c>
      <c r="E7" s="22"/>
      <c r="F7" s="2"/>
      <c r="G7" s="2"/>
    </row>
    <row r="8" spans="1:7" ht="15.75" x14ac:dyDescent="0.25">
      <c r="A8" s="2"/>
      <c r="B8" s="6"/>
      <c r="C8" s="7" t="s">
        <v>16</v>
      </c>
      <c r="D8" s="40">
        <v>2</v>
      </c>
      <c r="E8" s="22"/>
      <c r="F8" s="2"/>
      <c r="G8" s="2"/>
    </row>
    <row r="9" spans="1:7" ht="15.75" x14ac:dyDescent="0.25">
      <c r="A9" s="2"/>
      <c r="B9" s="6"/>
      <c r="C9" s="7" t="s">
        <v>2</v>
      </c>
      <c r="D9" s="19">
        <v>1000</v>
      </c>
      <c r="E9" s="22"/>
      <c r="F9" s="2"/>
      <c r="G9" s="2"/>
    </row>
    <row r="10" spans="1:7" ht="15.75" x14ac:dyDescent="0.25">
      <c r="A10" s="2"/>
      <c r="B10" s="6"/>
      <c r="C10" s="7" t="s">
        <v>6</v>
      </c>
      <c r="D10" s="39">
        <v>5.2999999999999999E-2</v>
      </c>
      <c r="E10" s="22"/>
      <c r="F10" s="2"/>
      <c r="G10" s="2"/>
    </row>
    <row r="11" spans="1:7" ht="15.75" x14ac:dyDescent="0.25">
      <c r="A11" s="2"/>
      <c r="B11" s="6"/>
      <c r="C11" s="7" t="s">
        <v>21</v>
      </c>
      <c r="D11" s="45">
        <v>1037</v>
      </c>
      <c r="E11" s="22"/>
      <c r="F11" s="76"/>
      <c r="G11" s="2"/>
    </row>
    <row r="12" spans="1:7" ht="16.5" thickBot="1" x14ac:dyDescent="0.3">
      <c r="A12" s="2"/>
      <c r="B12" s="9"/>
      <c r="C12" s="10"/>
      <c r="D12" s="10"/>
      <c r="E12" s="11"/>
      <c r="F12" s="2"/>
      <c r="G12" s="2"/>
    </row>
    <row r="13" spans="1:7" ht="15.75" x14ac:dyDescent="0.25">
      <c r="A13" s="2"/>
      <c r="B13" s="2"/>
      <c r="C13" s="2"/>
      <c r="D13" s="2"/>
      <c r="E13" s="2"/>
      <c r="F13" s="2"/>
      <c r="G13" s="2"/>
    </row>
    <row r="14" spans="1:7" ht="15.75" x14ac:dyDescent="0.25">
      <c r="A14" s="2"/>
      <c r="B14" s="2"/>
      <c r="C14" s="3" t="s">
        <v>1</v>
      </c>
      <c r="D14" s="46"/>
      <c r="E14" s="2"/>
      <c r="F14" s="2"/>
      <c r="G14" s="2"/>
    </row>
    <row r="15" spans="1:7" ht="16.5" thickBot="1" x14ac:dyDescent="0.3">
      <c r="A15" s="2"/>
      <c r="B15" s="2"/>
      <c r="C15" s="3"/>
      <c r="D15" s="2"/>
      <c r="E15" s="2"/>
      <c r="F15" s="2"/>
      <c r="G15" s="2"/>
    </row>
    <row r="16" spans="1:7" ht="15.75" x14ac:dyDescent="0.25">
      <c r="A16" s="2"/>
      <c r="B16" s="12"/>
      <c r="C16" s="13"/>
      <c r="D16" s="13"/>
      <c r="E16" s="28"/>
      <c r="F16" s="2"/>
      <c r="G16" s="2"/>
    </row>
    <row r="17" spans="1:9" ht="15.75" x14ac:dyDescent="0.25">
      <c r="A17" s="2"/>
      <c r="B17" s="14"/>
      <c r="C17" s="15" t="s">
        <v>22</v>
      </c>
      <c r="D17" s="74">
        <f>PV(D10/D8,D7*D8,,-D9)</f>
        <v>468.37137246822101</v>
      </c>
      <c r="E17" s="37"/>
      <c r="F17" s="76">
        <f>PV(D10/D8,D7*D8,0,-D9)</f>
        <v>468.37137246822101</v>
      </c>
      <c r="G17" s="2" t="s">
        <v>72</v>
      </c>
    </row>
    <row r="18" spans="1:9" ht="15.75" x14ac:dyDescent="0.25">
      <c r="A18" s="2"/>
      <c r="B18" s="14"/>
      <c r="C18" s="15" t="s">
        <v>23</v>
      </c>
      <c r="D18" s="47">
        <f>D11-D17</f>
        <v>568.62862753177899</v>
      </c>
      <c r="E18" s="37"/>
      <c r="F18" s="76">
        <f>D11-F17</f>
        <v>568.62862753177899</v>
      </c>
      <c r="G18" s="2" t="s">
        <v>73</v>
      </c>
    </row>
    <row r="19" spans="1:9" ht="15.75" x14ac:dyDescent="0.25">
      <c r="A19" s="2"/>
      <c r="B19" s="14"/>
      <c r="C19" s="15" t="s">
        <v>24</v>
      </c>
      <c r="D19" s="32">
        <f>PMT(D10/D8,D7*D8,-D18)*2</f>
        <v>56.688665166705583</v>
      </c>
      <c r="E19" s="37"/>
      <c r="F19" s="2"/>
      <c r="G19" s="2" t="str">
        <f ca="1">_xlfn.FORMULATEXT(D19)</f>
        <v>=PMT(D10/D8,D7*D8,-D18)*2</v>
      </c>
    </row>
    <row r="20" spans="1:9" ht="15.75" x14ac:dyDescent="0.25">
      <c r="A20" s="2"/>
      <c r="B20" s="14"/>
      <c r="C20" s="15"/>
      <c r="D20" s="48"/>
      <c r="E20" s="37"/>
      <c r="F20" s="2"/>
      <c r="G20" s="2"/>
    </row>
    <row r="21" spans="1:9" ht="15.75" x14ac:dyDescent="0.25">
      <c r="A21" s="2"/>
      <c r="B21" s="14"/>
      <c r="C21" s="15" t="s">
        <v>25</v>
      </c>
      <c r="D21" s="42">
        <f>(D19)/D9</f>
        <v>5.6688665166705586E-2</v>
      </c>
      <c r="E21" s="37"/>
      <c r="F21" s="2"/>
      <c r="G21" s="2" t="str">
        <f ca="1">_xlfn.FORMULATEXT(D21)</f>
        <v>=(D19)/D9</v>
      </c>
      <c r="I21" t="s">
        <v>74</v>
      </c>
    </row>
    <row r="22" spans="1:9" ht="16.5" thickBot="1" x14ac:dyDescent="0.3">
      <c r="A22" s="2"/>
      <c r="B22" s="16"/>
      <c r="C22" s="17"/>
      <c r="D22" s="17"/>
      <c r="E22" s="33"/>
      <c r="F22" s="2"/>
      <c r="G22" s="2"/>
    </row>
    <row r="23" spans="1:9" ht="15.75" x14ac:dyDescent="0.25">
      <c r="A23" s="2"/>
      <c r="B23" s="2"/>
      <c r="C23" s="2"/>
      <c r="D23" s="2"/>
      <c r="E23" s="2"/>
      <c r="F23" s="2"/>
      <c r="G23" s="2"/>
    </row>
    <row r="24" spans="1:9" x14ac:dyDescent="0.25">
      <c r="D24" s="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1E8A6-715D-4EC4-9DF6-50B7CF44AA6C}">
  <dimension ref="A1:M20"/>
  <sheetViews>
    <sheetView workbookViewId="0">
      <selection activeCell="D18" sqref="D18"/>
    </sheetView>
  </sheetViews>
  <sheetFormatPr defaultRowHeight="15" x14ac:dyDescent="0.25"/>
  <cols>
    <col min="3" max="3" width="22.5703125" customWidth="1"/>
    <col min="4" max="4" width="24.7109375" customWidth="1"/>
    <col min="5" max="5" width="23.28515625" customWidth="1"/>
  </cols>
  <sheetData>
    <row r="1" spans="1:13" ht="18" x14ac:dyDescent="0.25">
      <c r="A1" t="s">
        <v>48</v>
      </c>
      <c r="C1" s="1"/>
    </row>
    <row r="2" spans="1:13" ht="15.75" x14ac:dyDescent="0.25">
      <c r="A2" t="s">
        <v>49</v>
      </c>
      <c r="C2" s="2"/>
    </row>
    <row r="4" spans="1:13" ht="15.75" x14ac:dyDescent="0.25">
      <c r="C4" s="3" t="s">
        <v>0</v>
      </c>
      <c r="D4" s="2"/>
      <c r="E4" s="2"/>
    </row>
    <row r="5" spans="1:13" ht="16.5" thickBot="1" x14ac:dyDescent="0.3">
      <c r="A5" s="2"/>
      <c r="B5" s="2"/>
      <c r="C5" s="3"/>
      <c r="D5" s="2"/>
      <c r="E5" s="2"/>
      <c r="F5" s="2"/>
      <c r="G5" s="2"/>
    </row>
    <row r="6" spans="1:13" ht="15.75" x14ac:dyDescent="0.25">
      <c r="A6" s="2"/>
      <c r="B6" s="4"/>
      <c r="C6" s="5"/>
      <c r="D6" s="20"/>
      <c r="E6" s="21"/>
      <c r="F6" s="2"/>
      <c r="G6" s="2"/>
    </row>
    <row r="7" spans="1:13" ht="15.75" x14ac:dyDescent="0.25">
      <c r="A7" s="2"/>
      <c r="B7" s="6"/>
      <c r="C7" s="7" t="s">
        <v>10</v>
      </c>
      <c r="D7" s="8">
        <v>0.08</v>
      </c>
      <c r="E7" s="22"/>
      <c r="F7" s="2"/>
      <c r="G7" s="2"/>
    </row>
    <row r="8" spans="1:13" ht="15.75" x14ac:dyDescent="0.25">
      <c r="A8" s="2"/>
      <c r="B8" s="6"/>
      <c r="C8" s="7" t="s">
        <v>6</v>
      </c>
      <c r="D8" s="8">
        <v>7.1999999999999995E-2</v>
      </c>
      <c r="E8" s="22"/>
      <c r="F8" s="2"/>
      <c r="G8" s="2"/>
    </row>
    <row r="9" spans="1:13" ht="15.75" x14ac:dyDescent="0.25">
      <c r="A9" s="2"/>
      <c r="B9" s="6"/>
      <c r="C9" s="7" t="s">
        <v>11</v>
      </c>
      <c r="D9" s="8">
        <v>7.5499999999999998E-2</v>
      </c>
      <c r="E9" s="22"/>
      <c r="F9" s="2"/>
      <c r="G9" s="2"/>
    </row>
    <row r="10" spans="1:13" ht="15.75" x14ac:dyDescent="0.25">
      <c r="A10" s="2"/>
      <c r="B10" s="6"/>
      <c r="C10" s="7" t="s">
        <v>2</v>
      </c>
      <c r="D10" s="35">
        <v>1000</v>
      </c>
      <c r="E10" s="22"/>
      <c r="F10" s="2"/>
      <c r="G10" s="2"/>
    </row>
    <row r="11" spans="1:13" ht="16.5" thickBot="1" x14ac:dyDescent="0.3">
      <c r="A11" s="2"/>
      <c r="B11" s="9"/>
      <c r="C11" s="10"/>
      <c r="D11" s="10"/>
      <c r="E11" s="11"/>
      <c r="F11" s="2"/>
      <c r="G11" s="2"/>
    </row>
    <row r="12" spans="1:13" ht="15.75" x14ac:dyDescent="0.25">
      <c r="A12" s="2"/>
      <c r="B12" s="2"/>
      <c r="C12" s="2"/>
      <c r="D12" s="2"/>
      <c r="E12" s="2"/>
      <c r="F12" s="2"/>
      <c r="G12" s="2"/>
    </row>
    <row r="13" spans="1:13" ht="15.75" x14ac:dyDescent="0.25">
      <c r="A13" s="2"/>
      <c r="B13" s="2"/>
      <c r="C13" s="3" t="s">
        <v>1</v>
      </c>
      <c r="D13" s="2"/>
      <c r="E13" s="2"/>
      <c r="F13" s="2"/>
      <c r="G13" s="2"/>
    </row>
    <row r="14" spans="1:13" ht="16.5" thickBot="1" x14ac:dyDescent="0.3">
      <c r="A14" s="2"/>
      <c r="B14" s="2"/>
      <c r="C14" s="3"/>
      <c r="D14" s="2"/>
      <c r="E14" s="2"/>
      <c r="F14" s="2"/>
      <c r="G14" s="2"/>
    </row>
    <row r="15" spans="1:13" ht="15.75" x14ac:dyDescent="0.25">
      <c r="A15" s="2"/>
      <c r="B15" s="12"/>
      <c r="C15" s="13"/>
      <c r="D15" s="13"/>
      <c r="E15" s="28"/>
      <c r="F15" s="2"/>
      <c r="G15" s="2"/>
    </row>
    <row r="16" spans="1:13" ht="15.75" x14ac:dyDescent="0.25">
      <c r="A16" s="2"/>
      <c r="B16" s="14"/>
      <c r="C16" s="15" t="s">
        <v>12</v>
      </c>
      <c r="D16" s="36">
        <f>(D10*D7)/D9</f>
        <v>1059.6026490066226</v>
      </c>
      <c r="E16" s="37"/>
      <c r="F16" s="2"/>
      <c r="G16" s="2" t="str">
        <f ca="1">_xlfn.FORMULATEXT(D16)</f>
        <v>=(D10*D7)/D9</v>
      </c>
      <c r="I16" t="s">
        <v>64</v>
      </c>
      <c r="M16" t="s">
        <v>65</v>
      </c>
    </row>
    <row r="17" spans="1:7" ht="15.75" x14ac:dyDescent="0.25">
      <c r="A17" s="2"/>
      <c r="B17" s="14"/>
      <c r="C17" s="15"/>
      <c r="D17" s="15"/>
      <c r="E17" s="37"/>
      <c r="F17" s="2"/>
      <c r="G17" s="2"/>
    </row>
    <row r="18" spans="1:7" ht="15.75" x14ac:dyDescent="0.25">
      <c r="A18" s="2"/>
      <c r="B18" s="14"/>
      <c r="C18" s="15" t="s">
        <v>13</v>
      </c>
      <c r="D18" s="38">
        <f>NPER(D8,D7*D10,-D16,D10)</f>
        <v>11.057502258556756</v>
      </c>
      <c r="E18" s="30"/>
      <c r="F18" s="2"/>
      <c r="G18" s="2" t="str">
        <f ca="1">_xlfn.FORMULATEXT(D18)</f>
        <v>=NPER(D8,D7*D10,-D16,D10)</v>
      </c>
    </row>
    <row r="19" spans="1:7" ht="16.5" thickBot="1" x14ac:dyDescent="0.3">
      <c r="A19" s="2"/>
      <c r="B19" s="16"/>
      <c r="C19" s="17"/>
      <c r="D19" s="17"/>
      <c r="E19" s="33"/>
      <c r="F19" s="2"/>
      <c r="G19" s="2"/>
    </row>
    <row r="20" spans="1:7" ht="15.75" x14ac:dyDescent="0.25">
      <c r="A20" s="2"/>
      <c r="B20" s="2"/>
      <c r="C20" s="2"/>
      <c r="D20" s="2"/>
      <c r="E20" s="2"/>
      <c r="F20" s="2"/>
      <c r="G20" s="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E78A-42A4-484C-8DDF-DD2D743277DE}">
  <dimension ref="A1:M22"/>
  <sheetViews>
    <sheetView workbookViewId="0">
      <selection activeCell="C4" sqref="C4"/>
    </sheetView>
  </sheetViews>
  <sheetFormatPr defaultRowHeight="15" x14ac:dyDescent="0.25"/>
  <cols>
    <col min="1" max="1" width="24.85546875" customWidth="1"/>
    <col min="2" max="2" width="15.140625" customWidth="1"/>
    <col min="3" max="3" width="17.7109375" customWidth="1"/>
    <col min="4" max="4" width="28.42578125" customWidth="1"/>
    <col min="5" max="5" width="25.42578125" customWidth="1"/>
    <col min="6" max="6" width="15.5703125" customWidth="1"/>
    <col min="7" max="7" width="4.140625" customWidth="1"/>
    <col min="13" max="13" width="51.5703125" customWidth="1"/>
  </cols>
  <sheetData>
    <row r="1" spans="1:13" x14ac:dyDescent="0.25">
      <c r="B1" t="s">
        <v>83</v>
      </c>
      <c r="C1" t="s">
        <v>84</v>
      </c>
    </row>
    <row r="2" spans="1:13" ht="51" x14ac:dyDescent="0.25">
      <c r="A2" t="s">
        <v>26</v>
      </c>
      <c r="B2" s="80">
        <v>1000</v>
      </c>
      <c r="C2" s="80">
        <v>1000</v>
      </c>
      <c r="M2" s="96" t="s">
        <v>82</v>
      </c>
    </row>
    <row r="3" spans="1:13" x14ac:dyDescent="0.25">
      <c r="A3" s="50" t="s">
        <v>27</v>
      </c>
      <c r="B3" s="97">
        <v>10</v>
      </c>
      <c r="C3" s="97">
        <v>9</v>
      </c>
    </row>
    <row r="4" spans="1:13" ht="30" x14ac:dyDescent="0.25">
      <c r="A4" s="51" t="s">
        <v>75</v>
      </c>
      <c r="B4" s="98">
        <v>2</v>
      </c>
      <c r="C4" s="98">
        <v>2</v>
      </c>
    </row>
    <row r="5" spans="1:13" x14ac:dyDescent="0.25">
      <c r="A5" s="52" t="s">
        <v>28</v>
      </c>
      <c r="B5" s="99">
        <f>B3*B4</f>
        <v>20</v>
      </c>
      <c r="C5" s="99">
        <f>C3*C4</f>
        <v>18</v>
      </c>
    </row>
    <row r="6" spans="1:13" x14ac:dyDescent="0.25">
      <c r="A6" s="50" t="s">
        <v>51</v>
      </c>
      <c r="B6" s="100">
        <v>6.5000000000000002E-2</v>
      </c>
      <c r="C6" s="100">
        <v>6.5000000000000002E-2</v>
      </c>
    </row>
    <row r="7" spans="1:13" x14ac:dyDescent="0.25">
      <c r="A7" s="53" t="s">
        <v>52</v>
      </c>
      <c r="B7" s="101">
        <f>B6/B4</f>
        <v>3.2500000000000001E-2</v>
      </c>
      <c r="C7" s="101">
        <f>C6/C4</f>
        <v>3.2500000000000001E-2</v>
      </c>
    </row>
    <row r="8" spans="1:13" x14ac:dyDescent="0.25">
      <c r="A8" s="50" t="s">
        <v>29</v>
      </c>
      <c r="B8" s="102">
        <v>0.06</v>
      </c>
      <c r="C8" s="103">
        <v>5.5E-2</v>
      </c>
    </row>
    <row r="9" spans="1:13" x14ac:dyDescent="0.25">
      <c r="A9" s="54" t="s">
        <v>30</v>
      </c>
      <c r="B9" s="104">
        <f>B8/B4</f>
        <v>0.03</v>
      </c>
      <c r="C9" s="104">
        <f>C8/C4</f>
        <v>2.75E-2</v>
      </c>
    </row>
    <row r="10" spans="1:13" x14ac:dyDescent="0.25">
      <c r="A10" s="50" t="s">
        <v>31</v>
      </c>
      <c r="B10" s="105">
        <f>B6*B12</f>
        <v>65</v>
      </c>
      <c r="C10" s="105">
        <f>C6*C12</f>
        <v>65</v>
      </c>
      <c r="E10" s="49"/>
    </row>
    <row r="11" spans="1:13" x14ac:dyDescent="0.25">
      <c r="A11" s="53" t="s">
        <v>32</v>
      </c>
      <c r="B11" s="106">
        <f>B10/B4</f>
        <v>32.5</v>
      </c>
      <c r="C11" s="106">
        <f>C10/C4</f>
        <v>32.5</v>
      </c>
      <c r="E11" s="49"/>
    </row>
    <row r="12" spans="1:13" ht="15.75" thickBot="1" x14ac:dyDescent="0.3">
      <c r="A12" t="s">
        <v>26</v>
      </c>
      <c r="B12" s="107">
        <v>1000</v>
      </c>
      <c r="C12" s="107">
        <v>1000</v>
      </c>
    </row>
    <row r="13" spans="1:13" ht="15.75" thickTop="1" x14ac:dyDescent="0.25">
      <c r="B13" s="108"/>
      <c r="C13" s="108"/>
    </row>
    <row r="14" spans="1:13" x14ac:dyDescent="0.25">
      <c r="A14" s="55" t="s">
        <v>53</v>
      </c>
      <c r="B14" s="109">
        <f>PV(B9,B5,-B11,-B12)</f>
        <v>1037.1936871511386</v>
      </c>
      <c r="C14" s="109">
        <f>PV(C9,C5,-C11,-C12)</f>
        <v>1070.2438330527971</v>
      </c>
      <c r="E14" s="93"/>
    </row>
    <row r="15" spans="1:13" x14ac:dyDescent="0.25">
      <c r="A15" t="s">
        <v>54</v>
      </c>
      <c r="B15" s="110">
        <f>B14/1000</f>
        <v>1.0371936871511387</v>
      </c>
      <c r="C15" s="110">
        <f>C14/1000</f>
        <v>1.070243833052797</v>
      </c>
      <c r="E15" s="94"/>
    </row>
    <row r="17" spans="4:8" x14ac:dyDescent="0.25">
      <c r="D17" s="95" t="s">
        <v>76</v>
      </c>
      <c r="E17" s="50" t="s">
        <v>77</v>
      </c>
      <c r="F17" s="111">
        <f>C10</f>
        <v>65</v>
      </c>
      <c r="G17" s="108"/>
      <c r="H17" s="108" t="str">
        <f ca="1">_xlfn.FORMULATEXT(F17)</f>
        <v>=C10</v>
      </c>
    </row>
    <row r="18" spans="4:8" x14ac:dyDescent="0.25">
      <c r="E18" s="53" t="s">
        <v>78</v>
      </c>
      <c r="F18" s="112">
        <f>C14-B14</f>
        <v>33.050145901658425</v>
      </c>
      <c r="G18" s="108"/>
      <c r="H18" s="108" t="str">
        <f ca="1">_xlfn.FORMULATEXT(F18)</f>
        <v>=C14-B14</v>
      </c>
    </row>
    <row r="19" spans="4:8" x14ac:dyDescent="0.25">
      <c r="F19" s="108"/>
      <c r="G19" s="108"/>
      <c r="H19" s="108"/>
    </row>
    <row r="20" spans="4:8" x14ac:dyDescent="0.25">
      <c r="D20" s="95" t="s">
        <v>79</v>
      </c>
      <c r="E20" t="s">
        <v>80</v>
      </c>
      <c r="F20" s="113">
        <f>F17+F18</f>
        <v>98.050145901658425</v>
      </c>
      <c r="G20" s="108"/>
      <c r="H20" s="108" t="str">
        <f ca="1">_xlfn.FORMULATEXT(F20)</f>
        <v>=F17+F18</v>
      </c>
    </row>
    <row r="21" spans="4:8" x14ac:dyDescent="0.25">
      <c r="E21" t="s">
        <v>81</v>
      </c>
      <c r="F21" s="114">
        <f>F20/B14</f>
        <v>9.4534075087723393E-2</v>
      </c>
      <c r="G21" s="108"/>
      <c r="H21" s="108" t="str">
        <f ca="1">_xlfn.FORMULATEXT(F21)</f>
        <v>=F20/B14</v>
      </c>
    </row>
    <row r="22" spans="4:8" x14ac:dyDescent="0.25">
      <c r="F22" s="108"/>
      <c r="G22" s="108"/>
      <c r="H22" s="10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C25C-4D42-43C9-91E2-895C5EC26A0E}">
  <dimension ref="A1:E30"/>
  <sheetViews>
    <sheetView tabSelected="1" workbookViewId="0">
      <selection activeCell="C18" sqref="C18"/>
    </sheetView>
  </sheetViews>
  <sheetFormatPr defaultRowHeight="15" x14ac:dyDescent="0.25"/>
  <cols>
    <col min="1" max="1" width="58.42578125" customWidth="1"/>
    <col min="2" max="2" width="21.7109375" customWidth="1"/>
    <col min="3" max="3" width="18.7109375" customWidth="1"/>
    <col min="4" max="4" width="17.5703125" customWidth="1"/>
    <col min="5" max="5" width="22.28515625" customWidth="1"/>
    <col min="6" max="6" width="27.42578125" customWidth="1"/>
    <col min="7" max="7" width="13.42578125" customWidth="1"/>
  </cols>
  <sheetData>
    <row r="1" spans="1:5" ht="45" x14ac:dyDescent="0.25">
      <c r="A1" s="72" t="s">
        <v>57</v>
      </c>
    </row>
    <row r="2" spans="1:5" ht="30" x14ac:dyDescent="0.25">
      <c r="A2" s="72" t="s">
        <v>58</v>
      </c>
    </row>
    <row r="3" spans="1:5" x14ac:dyDescent="0.25">
      <c r="A3" s="73" t="s">
        <v>59</v>
      </c>
    </row>
    <row r="5" spans="1:5" x14ac:dyDescent="0.25">
      <c r="A5" t="s">
        <v>60</v>
      </c>
      <c r="B5" s="70"/>
      <c r="C5" s="70"/>
      <c r="D5" s="70"/>
      <c r="E5" s="70"/>
    </row>
    <row r="6" spans="1:5" x14ac:dyDescent="0.25">
      <c r="A6" t="s">
        <v>61</v>
      </c>
      <c r="B6" s="70"/>
      <c r="C6" s="70"/>
      <c r="D6" s="70"/>
      <c r="E6" s="70"/>
    </row>
    <row r="7" spans="1:5" x14ac:dyDescent="0.25">
      <c r="A7" s="70" t="s">
        <v>55</v>
      </c>
    </row>
    <row r="8" spans="1:5" x14ac:dyDescent="0.25">
      <c r="A8" s="70" t="s">
        <v>56</v>
      </c>
    </row>
    <row r="12" spans="1:5" x14ac:dyDescent="0.25">
      <c r="A12" t="s">
        <v>26</v>
      </c>
      <c r="B12" s="80">
        <v>1000</v>
      </c>
      <c r="C12" s="80">
        <v>1000</v>
      </c>
    </row>
    <row r="13" spans="1:5" x14ac:dyDescent="0.25">
      <c r="A13" s="50" t="s">
        <v>27</v>
      </c>
      <c r="B13" s="81">
        <v>10</v>
      </c>
      <c r="C13" s="81">
        <v>10</v>
      </c>
    </row>
    <row r="14" spans="1:5" x14ac:dyDescent="0.25">
      <c r="A14" s="51" t="s">
        <v>50</v>
      </c>
      <c r="B14" s="82">
        <v>2</v>
      </c>
      <c r="C14" s="82">
        <v>2</v>
      </c>
    </row>
    <row r="15" spans="1:5" x14ac:dyDescent="0.25">
      <c r="A15" s="52" t="s">
        <v>28</v>
      </c>
      <c r="B15" s="83">
        <f>B13*B14</f>
        <v>20</v>
      </c>
      <c r="C15" s="83">
        <f>C13*C14</f>
        <v>20</v>
      </c>
    </row>
    <row r="16" spans="1:5" x14ac:dyDescent="0.25">
      <c r="A16" s="50" t="s">
        <v>51</v>
      </c>
      <c r="B16" s="84">
        <v>6.7500000000000004E-2</v>
      </c>
      <c r="C16" s="84">
        <v>6.7500000000000004E-2</v>
      </c>
    </row>
    <row r="17" spans="1:4" x14ac:dyDescent="0.25">
      <c r="A17" s="53" t="s">
        <v>52</v>
      </c>
      <c r="B17" s="85">
        <f>B16/B14</f>
        <v>3.3750000000000002E-2</v>
      </c>
      <c r="C17" s="85">
        <f>C16/C14</f>
        <v>3.3750000000000002E-2</v>
      </c>
    </row>
    <row r="18" spans="1:4" x14ac:dyDescent="0.25">
      <c r="A18" s="50" t="s">
        <v>29</v>
      </c>
      <c r="B18" s="116">
        <v>7.5600000000000001E-2</v>
      </c>
      <c r="C18" s="117">
        <v>6.5600000000000006E-2</v>
      </c>
    </row>
    <row r="19" spans="1:4" x14ac:dyDescent="0.25">
      <c r="A19" s="54" t="s">
        <v>30</v>
      </c>
      <c r="B19" s="86">
        <f>B18/B14</f>
        <v>3.78E-2</v>
      </c>
      <c r="C19" s="86">
        <f>C18/C14</f>
        <v>3.2800000000000003E-2</v>
      </c>
    </row>
    <row r="20" spans="1:4" x14ac:dyDescent="0.25">
      <c r="A20" s="50" t="s">
        <v>31</v>
      </c>
      <c r="B20" s="87">
        <f>B16*B22</f>
        <v>67.5</v>
      </c>
      <c r="C20" s="87">
        <f>C16*C22</f>
        <v>67.5</v>
      </c>
    </row>
    <row r="21" spans="1:4" x14ac:dyDescent="0.25">
      <c r="A21" s="53" t="s">
        <v>32</v>
      </c>
      <c r="B21" s="88">
        <f>B20/B14</f>
        <v>33.75</v>
      </c>
      <c r="C21" s="88">
        <f>C20/C14</f>
        <v>33.75</v>
      </c>
    </row>
    <row r="22" spans="1:4" ht="15.75" thickBot="1" x14ac:dyDescent="0.3">
      <c r="A22" t="s">
        <v>26</v>
      </c>
      <c r="B22" s="89">
        <v>1000</v>
      </c>
      <c r="C22" s="89">
        <v>1000</v>
      </c>
    </row>
    <row r="23" spans="1:4" ht="15.75" thickTop="1" x14ac:dyDescent="0.25"/>
    <row r="24" spans="1:4" x14ac:dyDescent="0.25">
      <c r="A24" s="55" t="s">
        <v>53</v>
      </c>
      <c r="B24" s="90">
        <f>PV(B19,B15,-B21,-B22)</f>
        <v>943.87120374686083</v>
      </c>
      <c r="C24" s="90">
        <f>PV(C19,C15,-C21,-C22)</f>
        <v>1013.7745547285932</v>
      </c>
    </row>
    <row r="25" spans="1:4" x14ac:dyDescent="0.25">
      <c r="A25" t="s">
        <v>54</v>
      </c>
      <c r="B25" s="91">
        <f>B24/1000</f>
        <v>0.94387120374686084</v>
      </c>
      <c r="C25" s="92">
        <f>C24/1000</f>
        <v>1.0137745547285932</v>
      </c>
      <c r="D25" s="71"/>
    </row>
    <row r="26" spans="1:4" x14ac:dyDescent="0.25">
      <c r="B26" s="91"/>
    </row>
    <row r="29" spans="1:4" x14ac:dyDescent="0.25">
      <c r="C29" s="93">
        <f>C24-B24</f>
        <v>69.903350981732387</v>
      </c>
      <c r="D29" t="s">
        <v>62</v>
      </c>
    </row>
    <row r="30" spans="1:4" x14ac:dyDescent="0.25">
      <c r="C30" s="91">
        <f>C29/B24</f>
        <v>7.4060264477016441E-2</v>
      </c>
      <c r="D30" t="s">
        <v>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Yields#1</vt:lpstr>
      <vt:lpstr>Yield #2</vt:lpstr>
      <vt:lpstr>Coupon</vt:lpstr>
      <vt:lpstr>Years to Maturity</vt:lpstr>
      <vt:lpstr>Capital Gain</vt:lpstr>
      <vt:lpstr>Downgrade 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Bethany Evitts</dc:creator>
  <cp:lastModifiedBy>Bethany Evitts</cp:lastModifiedBy>
  <dcterms:created xsi:type="dcterms:W3CDTF">2025-03-02T18:49:56Z</dcterms:created>
  <dcterms:modified xsi:type="dcterms:W3CDTF">2025-10-08T15:41:05Z</dcterms:modified>
</cp:coreProperties>
</file>