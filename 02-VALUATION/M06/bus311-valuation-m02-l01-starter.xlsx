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5c329d48b644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📋 Instructions" sheetId="1" r:id="R76eabb69986e4ebf"/>
    <x:sheet xmlns:r="http://schemas.openxmlformats.org/officeDocument/2006/relationships" name="📊 Company Baseline" sheetId="2" r:id="Rb60b478b2fa64a76"/>
    <x:sheet xmlns:r="http://schemas.openxmlformats.org/officeDocument/2006/relationships" name="🔢 Bond Pricing" sheetId="3" r:id="R178690f90ef4491d"/>
    <x:sheet xmlns:r="http://schemas.openxmlformats.org/officeDocument/2006/relationships" name="📈 Ratio Impact" sheetId="4" r:id="Rf85e4787d2644a57"/>
    <x:sheet xmlns:r="http://schemas.openxmlformats.org/officeDocument/2006/relationships" name="📋 CFO Dashboard" sheetId="5" r:id="R85fe7ea1ce104fe3"/>
    <x:sheet xmlns:r="http://schemas.openxmlformats.org/officeDocument/2006/relationships" name="BUS311 Guide" sheetId="6" r:id="Rdd2574ecd54d4d0f"/>
  </x:sheets>
</x:workbook>
</file>

<file path=xl/sharedStrings.xml><?xml version="1.0" encoding="utf-8"?>
<x:sst xmlns:x="http://schemas.openxmlformats.org/spreadsheetml/2006/main">
  <x:si>
    <x:t xml:space="preserve">BUS 311 — Corporate Finance  |  Chapter 6: Bond Issuance &amp; Financial Ratio Analysis  [STUDENT VERSION]</x:t>
  </x:si>
  <x:si>
    <x:t xml:space="preserve">Assignment: Strategic Debt Offering — How Bond Issuance Shapes a Corporation's Financial Profile</x:t>
  </x:si>
  <x:si>
    <x:t xml:space="preserve">  SCENARIO OVERVIEW</x:t>
  </x:si>
  <x:si>
    <x:t xml:space="preserve">You are a junior financial analyst at Meridian Industrial Corp (MRID), a regional manufacturing firm. The CFO is evaluating a $200 million senior unsecured bond offering to refinance short-term debt and fund capital expenditures. Your job is to: (1) price the bond issue, (2) model the financial impact under three deployment scenarios, and (3) deliver a data-driven recommendation to the CFO.
Work through each tab in order — yellow cells are yours to complete. Read the formula hints carefully.</x:t>
  </x:si>
  <x:si>
    <x:t xml:space="preserve">  YOUR TASKS BY TAB</x:t>
  </x:si>
  <x:si>
    <x:t xml:space="preserve">📊 Company Baseline</x:t>
  </x:si>
  <x:si>
    <x:t xml:space="preserve">Given: Full income statement &amp; balance sheet data. Your job: Build the IS subtotals (Gross Profit, EBIT, EBT, Net Income) and calculate 5 key financial ratios.</x:t>
  </x:si>
  <x:si>
    <x:t xml:space="preserve">🔢 Bond Pricing</x:t>
  </x:si>
  <x:si>
    <x:t xml:space="preserve">Given: Bond assumptions (par, coupon, YTM, maturity). Your job: Build every pricing formula — semiannual coupon, PV of bond, YTM sensitivity table.</x:t>
  </x:si>
  <x:si>
    <x:t xml:space="preserve">📈 Ratio Impact</x:t>
  </x:si>
  <x:si>
    <x:t xml:space="preserve">Given: Pre-offering financials. Your job: Model how the $200M offering changes the balance sheet under 3 scenarios, then compute post-offering ratios.</x:t>
  </x:si>
  <x:si>
    <x:t xml:space="preserve">📋 CFO Dashboard</x:t>
  </x:si>
  <x:si>
    <x:t xml:space="preserve">Given: Blank scorecard. Your job: Link in your ratio results and write a 5-part CFO recommendation memo.</x:t>
  </x:si>
  <x:si>
    <x:t xml:space="preserve">  COLOR CODING — READ THIS FIRST</x:t>
  </x:si>
  <x:si>
    <x:t xml:space="preserve">🟡 YELLOW CELL</x:t>
  </x:si>
  <x:si>
    <x:t xml:space="preserve">You must enter a formula or value here. These are graded.</x:t>
  </x:si>
  <x:si>
    <x:t xml:space="preserve">🟢 GREEN CELL</x:t>
  </x:si>
  <x:si>
    <x:t xml:space="preserve">Formula hint — read this for guidance on what to enter in the yellow cell above/beside it.</x:t>
  </x:si>
  <x:si>
    <x:t xml:space="preserve">Blue text</x:t>
  </x:si>
  <x:si>
    <x:t xml:space="preserve">Hard-coded INPUT provided for you — do not change these.</x:t>
  </x:si>
  <x:si>
    <x:t xml:space="preserve">Black text</x:t>
  </x:si>
  <x:si>
    <x:t xml:space="preserve">Formula already entered — do not edit.</x:t>
  </x:si>
  <x:si>
    <x:t xml:space="preserve">Green text</x:t>
  </x:si>
  <x:si>
    <x:t xml:space="preserve">Cross-sheet link pulling from another tab.</x:t>
  </x:si>
  <x:si>
    <x:t xml:space="preserve">  GRADING RUBRIC</x:t>
  </x:si>
  <x:si>
    <x:t xml:space="preserve">Section</x:t>
  </x:si>
  <x:si>
    <x:t xml:space="preserve">What's Graded</x:t>
  </x:si>
  <x:si>
    <x:t xml:space="preserve">Points</x:t>
  </x:si>
  <x:si>
    <x:t xml:space="preserve">Tab 2 — Company Baseline</x:t>
  </x:si>
  <x:si>
    <x:t xml:space="preserve">IS formulas (4 cells) + 5 ratio formulas</x:t>
  </x:si>
  <x:si>
    <x:t xml:space="preserve">20 pts</x:t>
  </x:si>
  <x:si>
    <x:t xml:space="preserve">Tab 3 — Bond Pricing</x:t>
  </x:si>
  <x:si>
    <x:t xml:space="preserve">8 bond calculation formulas + sensitivity table (5 rows)</x:t>
  </x:si>
  <x:si>
    <x:t xml:space="preserve">30 pts</x:t>
  </x:si>
  <x:si>
    <x:t xml:space="preserve">Tab 4 — Ratio Impact</x:t>
  </x:si>
  <x:si>
    <x:t xml:space="preserve">BS scenario adjustments (12 cells) + 5 ratio comparisons</x:t>
  </x:si>
  <x:si>
    <x:t xml:space="preserve">25 pts</x:t>
  </x:si>
  <x:si>
    <x:t xml:space="preserve">Tab 5 — CFO Dashboard</x:t>
  </x:si>
  <x:si>
    <x:t xml:space="preserve">Cross-sheet links (8 cells) + written recommendation (5 prompts)</x:t>
  </x:si>
  <x:si>
    <x:t xml:space="preserve">Meridian Industrial Corp (MRID) — Pre-Offering Financial Statements  (FY 2025)</x:t>
  </x:si>
  <x:si>
    <x:t xml:space="preserve">  INCOME STATEMENT  ($ thousands)</x:t>
  </x:si>
  <x:si>
    <x:t xml:space="preserve">FY 2025 ($000s)</x:t>
  </x:si>
  <x:si>
    <x:t xml:space="preserve">Formula Hint</x:t>
  </x:si>
  <x:si>
    <x:t xml:space="preserve">Revenue</x:t>
  </x:si>
  <x:si>
    <x:t xml:space="preserve">Given — hard-coded input</x:t>
  </x:si>
  <x:si>
    <x:t xml:space="preserve">Cost of Goods Sold</x:t>
  </x:si>
  <x:si>
    <x:t xml:space="preserve">Gross Profit</x:t>
  </x:si>
  <x:si>
    <x:t xml:space="preserve">✎ = Revenue − Cost of Goods Sold    </x:t>
  </x:si>
  <x:si>
    <x:t xml:space="preserve">Selling, General &amp; Admin</x:t>
  </x:si>
  <x:si>
    <x:t xml:space="preserve">Given</x:t>
  </x:si>
  <x:si>
    <x:t xml:space="preserve">Depreciation &amp; Amortization</x:t>
  </x:si>
  <x:si>
    <x:t xml:space="preserve">EBIT (Operating Income)</x:t>
  </x:si>
  <x:si>
    <x:t xml:space="preserve">✎ = Gross Profit − SG&amp;A − D&amp;A    </x:t>
  </x:si>
  <x:si>
    <x:t xml:space="preserve">Interest Expense</x:t>
  </x:si>
  <x:si>
    <x:t xml:space="preserve">Given (stored as positive; represents $9.8M annual cost)</x:t>
  </x:si>
  <x:si>
    <x:t xml:space="preserve">EBT (Earnings Before Tax)</x:t>
  </x:si>
  <x:si>
    <x:t xml:space="preserve">✎ = EBIT − Interest Expense   </x:t>
  </x:si>
  <x:si>
    <x:t xml:space="preserve">Income Tax Expense (25%)</x:t>
  </x:si>
  <x:si>
    <x:t xml:space="preserve">✎ = EBT × 25% tax rate     (negative because it's a cost)</x:t>
  </x:si>
  <x:si>
    <x:t xml:space="preserve">Net Income</x:t>
  </x:si>
  <x:si>
    <x:t xml:space="preserve">✎ = EBT + Tax (both already signed)  </x:t>
  </x:si>
  <x:si>
    <x:t xml:space="preserve">  BALANCE SHEET  ($ thousands) — data provided; review before proceeding</x:t>
  </x:si>
  <x:si>
    <x:t xml:space="preserve">  ASSETS</x:t>
  </x:si>
  <x:si>
    <x:t xml:space="preserve">Cash &amp; Cash Equivalents</x:t>
  </x:si>
  <x:si>
    <x:t xml:space="preserve">Accounts Receivable</x:t>
  </x:si>
  <x:si>
    <x:t xml:space="preserve">Inventory</x:t>
  </x:si>
  <x:si>
    <x:t xml:space="preserve">Other Current Assets</x:t>
  </x:si>
  <x:si>
    <x:t xml:space="preserve">Total Current Assets</x:t>
  </x:si>
  <x:si>
    <x:t xml:space="preserve">Property, Plant &amp; Equipment (net)</x:t>
  </x:si>
  <x:si>
    <x:t xml:space="preserve">Intangible Assets</x:t>
  </x:si>
  <x:si>
    <x:t xml:space="preserve">Other Long-Term Assets</x:t>
  </x:si>
  <x:si>
    <x:t xml:space="preserve">Total Assets</x:t>
  </x:si>
  <x:si>
    <x:t xml:space="preserve">  LIABILITIES &amp; EQUITY</x:t>
  </x:si>
  <x:si>
    <x:t xml:space="preserve">Accounts Payable</x:t>
  </x:si>
  <x:si>
    <x:t xml:space="preserve">Short-Term Debt (Current)</x:t>
  </x:si>
  <x:si>
    <x:t xml:space="preserve">Other Current Liabilities</x:t>
  </x:si>
  <x:si>
    <x:t xml:space="preserve">Total Current Liabilities</x:t>
  </x:si>
  <x:si>
    <x:t xml:space="preserve">Long-Term Debt</x:t>
  </x:si>
  <x:si>
    <x:t xml:space="preserve">Deferred Tax Liability</x:t>
  </x:si>
  <x:si>
    <x:t xml:space="preserve">Total Liabilities</x:t>
  </x:si>
  <x:si>
    <x:t xml:space="preserve">Common Stock &amp; APIC</x:t>
  </x:si>
  <x:si>
    <x:t xml:space="preserve">Retained Earnings</x:t>
  </x:si>
  <x:si>
    <x:t xml:space="preserve">Total Equity</x:t>
  </x:si>
  <x:si>
    <x:t xml:space="preserve">Total Liabilities &amp; Equity</x:t>
  </x:si>
  <x:si>
    <x:t xml:space="preserve">  ★ PART 2 — YOUR TASK: Calculate Pre-Offering Financial Ratios  (yellow cells = your formulas)</x:t>
  </x:si>
  <x:si>
    <x:t xml:space="preserve">Ratio Name</x:t>
  </x:si>
  <x:si>
    <x:t xml:space="preserve">Benchmark</x:t>
  </x:si>
  <x:si>
    <x:t xml:space="preserve">Result</x:t>
  </x:si>
  <x:si>
    <x:t xml:space="preserve">Formula Guidance</x:t>
  </x:si>
  <x:si>
    <x:t xml:space="preserve">Debt / Equity Ratio</x:t>
  </x:si>
  <x:si>
    <x:t xml:space="preserve">&lt; 1.5x</x:t>
  </x:si>
  <x:si>
    <x:t xml:space="preserve">✎ = (Short-Term Debt + Long-Term Debt) / Total Equity
</x:t>
  </x:si>
  <x:si>
    <x:t xml:space="preserve">Debt / EBITDA</x:t>
  </x:si>
  <x:si>
    <x:t xml:space="preserve">&lt; 3.0x</x:t>
  </x:si>
  <x:si>
    <x:t xml:space="preserve">✎ = (ST Debt + LT Debt) / EBITDA;  EBITDA = EBIT + D&amp;A
</x:t>
  </x:si>
  <x:si>
    <x:t xml:space="preserve">Interest Coverage (TIE)</x:t>
  </x:si>
  <x:si>
    <x:t xml:space="preserve">&gt; 3.0x</x:t>
  </x:si>
  <x:si>
    <x:t xml:space="preserve">✎ = EBIT / Interest Expense
</x:t>
  </x:si>
  <x:si>
    <x:t xml:space="preserve">Current Ratio</x:t>
  </x:si>
  <x:si>
    <x:t xml:space="preserve">&gt; 1.5x</x:t>
  </x:si>
  <x:si>
    <x:t xml:space="preserve">✎ = Total Current Assets / Total Current Liabilities
</x:t>
  </x:si>
  <x:si>
    <x:t xml:space="preserve">Net Debt / EBITDA</x:t>
  </x:si>
  <x:si>
    <x:t xml:space="preserve">&lt; 2.5x</x:t>
  </x:si>
  <x:si>
    <x:t xml:space="preserve">✎ = (Total Debt - Cash) / EBITDA
</x:t>
  </x:si>
  <x:si>
    <x:t xml:space="preserve">💡 IMPORTANT NOTE ON SIGNS:  Interest Expense (F12) is stored as a POSITIVE number ($9,800). EBIT (F10) and D&amp;A (F9) are also positive. Net Income will be positive. When building ratio formulas, use the cell references directly — do not negate them unless the formula guidance says to.</x:t>
  </x:si>
  <x:si>
    <x:t xml:space="preserve">MRID — Proposed Bond Offering: Pricing Model  |  ★ Build Every Formula</x:t>
  </x:si>
  <x:si>
    <x:t xml:space="preserve">  STEP 1 — Bond Assumptions  (given — blue = inputs, do NOT change)</x:t>
  </x:si>
  <x:si>
    <x:t xml:space="preserve">Assumption</x:t>
  </x:si>
  <x:si>
    <x:t xml:space="preserve">Value</x:t>
  </x:si>
  <x:si>
    <x:t xml:space="preserve">Context / Notes</x:t>
  </x:si>
  <x:si>
    <x:t xml:space="preserve">Face Value (Par) per Bond ($)</x:t>
  </x:si>
  <x:si>
    <x:t xml:space="preserve">Standard U.S. corporate bond par value</x:t>
  </x:si>
  <x:si>
    <x:t xml:space="preserve">Number of Bonds Issued</x:t>
  </x:si>
  <x:si>
    <x:t xml:space="preserve">Total offering size = Par × # Bonds = $200,000,000</x:t>
  </x:si>
  <x:si>
    <x:t xml:space="preserve">Annual Coupon Rate</x:t>
  </x:si>
  <x:si>
    <x:t xml:space="preserve">MRID's stated coupon rate on the bond</x:t>
  </x:si>
  <x:si>
    <x:t xml:space="preserve">Market Yield to Maturity (YTM)</x:t>
  </x:si>
  <x:si>
    <x:t xml:space="preserve">Current market rate investors demand for MRID's credit rating (BBB+)</x:t>
  </x:si>
  <x:si>
    <x:t xml:space="preserve">Years to Maturity</x:t>
  </x:si>
  <x:si>
    <x:t xml:space="preserve">Bond matures in 10 years</x:t>
  </x:si>
  <x:si>
    <x:t xml:space="preserve">Payment Frequency (periods per year)</x:t>
  </x:si>
  <x:si>
    <x:t xml:space="preserve">Standard: semiannual (2 payments per year)</x:t>
  </x:si>
  <x:si>
    <x:t xml:space="preserve">  ★ STEP 2 — YOUR TASK: Build Each Bond Calculation Formula  (yellow = your formula, green = hint)</x:t>
  </x:si>
  <x:si>
    <x:t xml:space="preserve">Metric</x:t>
  </x:si>
  <x:si>
    <x:t xml:space="preserve">Your Formula Cell</x:t>
  </x:si>
  <x:si>
    <x:t xml:space="preserve">Formula Structure Hint</x:t>
  </x:si>
  <x:si>
    <x:t xml:space="preserve">Semiannual Coupon Payment ($)</x:t>
  </x:si>
  <x:si>
    <x:t xml:space="preserve">✎  = Par Value × Annual Coupon Rate ÷ Payment Frequency
   This is the cash payment MRID makes every 6 months per bond</x:t>
  </x:si>
  <x:si>
    <x:t xml:space="preserve">Semiannual Discount Rate</x:t>
  </x:si>
  <x:si>
    <x:t xml:space="preserve">✎  = Annual YTM ÷ Payment Frequency
   You need this because coupons are paid every 6 months</x:t>
  </x:si>
  <x:si>
    <x:t xml:space="preserve">Total Number of Periods  (n)</x:t>
  </x:si>
  <x:si>
    <x:t xml:space="preserve">✎  = Years to Maturity × Payment Frequency
   Total semiannual periods over bond life</x:t>
  </x:si>
  <x:si>
    <x:t xml:space="preserve">Price per Bond  [PV function]</x:t>
  </x:si>
  <x:si>
    <x:t xml:space="preserve">✎  = PV(semiannual_rate, total_periods, −coupon_payment, −face_value)
   Excel syntax: =PV(C15, C16, -C14, -B5)
   The negatives on pmt and fv are because they are cash outflows to the issuer
   ⭐ This is the KEY formula — will it be at premium or discount?</x:t>
  </x:si>
  <x:si>
    <x:t xml:space="preserve">Premium / (Discount) per Bond</x:t>
  </x:si>
  <x:si>
    <x:t xml:space="preserve">✎  = Price per Bond − Face Value
   Positive = premium (investors pay more); Negative = discount</x:t>
  </x:si>
  <x:si>
    <x:t xml:space="preserve">Total Offering Proceeds  ($000s)</x:t>
  </x:si>
  <x:si>
    <x:t xml:space="preserve">✎  = Price per Bond × Number of Bonds ÷ 1,000
   Divide by 1,000 to express in $thousands like the financials</x:t>
  </x:si>
  <x:si>
    <x:t xml:space="preserve">Annual Interest Expense  ($000s)</x:t>
  </x:si>
  <x:si>
    <x:t xml:space="preserve">✎  = Par Value × Coupon Rate × Number of Bonds ÷ 1,000
   This is what MRID pays in coupon interest each year</x:t>
  </x:si>
  <x:si>
    <x:t xml:space="preserve">Effective Annual Rate (EAR)</x:t>
  </x:si>
  <x:si>
    <x:t xml:space="preserve">✎  = (1 + Semiannual Rate)² − 1
   EAR &gt; stated YTM because of semiannual compounding</x:t>
  </x:si>
  <x:si>
    <x:t xml:space="preserve">  ★ STEP 3 — YOUR TASK: Yield Sensitivity Table  (use PV formula with each YTM scenario)</x:t>
  </x:si>
  <x:si>
    <x:t xml:space="preserve">Scenario</x:t>
  </x:si>
  <x:si>
    <x:t xml:space="preserve">Market YTM</x:t>
  </x:si>
  <x:si>
    <x:t xml:space="preserve">Price per Bond</x:t>
  </x:si>
  <x:si>
    <x:t xml:space="preserve">Premium / (Discount)</x:t>
  </x:si>
  <x:si>
    <x:t xml:space="preserve">Total Proceeds  ($000s)</x:t>
  </x:si>
  <x:si>
    <x:t xml:space="preserve">Interpretation</x:t>
  </x:si>
  <x:si>
    <x:t xml:space="preserve">Rates Fall     (YTM = 4.5%)</x:t>
  </x:si>
  <x:si>
    <x:t xml:space="preserve">Bond issued at PREMIUM — investors accept lower yield than coupon</x:t>
  </x:si>
  <x:si>
    <x:t xml:space="preserve">Par / Flat     (YTM = 5.5%)</x:t>
  </x:si>
  <x:si>
    <x:t xml:space="preserve">Bond priced at par — coupon rate equals market rate</x:t>
  </x:si>
  <x:si>
    <x:t xml:space="preserve">Base Case      (YTM = 5.8%)</x:t>
  </x:si>
  <x:si>
    <x:t xml:space="preserve">Student base case — slight DISCOUNT</x:t>
  </x:si>
  <x:si>
    <x:t xml:space="preserve">Rates Rise     (YTM = 6.5%)</x:t>
  </x:si>
  <x:si>
    <x:t xml:space="preserve">Discount widens — MRID raises less than $200M face value</x:t>
  </x:si>
  <x:si>
    <x:t xml:space="preserve">Stress Case    (YTM = 7.5%)</x:t>
  </x:si>
  <x:si>
    <x:t xml:space="preserve">Deep discount — borrowing cost rises significantly</x:t>
  </x:si>
  <x:si>
    <x:t xml:space="preserve">💡 SENSITIVITY TABLE HINT — For each row, adapt your PV formula from Step 2 to use the YTM in column B of that row.
   Premium/(Discount):  = [Price per Bond cell] - B5
   Total Proceeds ($000s):  = [Price per Bond cell] * B6 / 1000
   Tip: Use absolute references ($B$5, $B$6, etc.) so you can copy the formula down!</x:t>
  </x:si>
  <x:si>
    <x:t xml:space="preserve">  DISCUSSION QUESTIONS — type your answers in the yellow cells</x:t>
  </x:si>
  <x:si>
    <x:t xml:space="preserve">Q1:  Why is MRID's bond priced BELOW par in the base case scenario? What does that mean for the company's total cost of borrowing?</x:t>
  </x:si>
  <x:si>
    <x:t xml:space="preserve">[ Type your answer here ]</x:t>
  </x:si>
  <x:si>
    <x:t xml:space="preserve">Q2:  If interest rates spike to 7.5% after MRID issues the bond, who bears the financial risk? Explain your reasoning.</x:t>
  </x:si>
  <x:si>
    <x:t xml:space="preserve">Q3:  Why does corporate America use semiannual coupons rather than annual payments? What's the investor's benefit?</x:t>
  </x:si>
  <x:si>
    <x:t xml:space="preserve">MRID — Post-Offering Financial Ratio Impact  |  ★ Model 3 Scenarios</x:t>
  </x:si>
  <x:si>
    <x:t xml:space="preserve">How does the $200M bond offering change MRID's financial ratios? You will model three different uses of the proceeds.</x:t>
  </x:si>
  <x:si>
    <x:t xml:space="preserve">  SCENARIO DESCRIPTIONS — read carefully before building your formulas</x:t>
  </x:si>
  <x:si>
    <x:t xml:space="preserve">Scenario A — Refinance Short-Term Debt</x:t>
  </x:si>
  <x:si>
    <x:t xml:space="preserve">MRID uses ALL $200M to retire its revolving credit line (Short-Term Debt, currently $45M at 8.5% interest). Since $45M &lt; $200M, assume the remaining $155M retires other ST obligations / reduces cash needs. Net effect: ST Debt → $0; LT Debt → +$200M; Total assets unchanged (debt-for-debt swap). Interest savings: lose 8.5% on $45M; pay 5.5% on $200M new bonds.</x:t>
  </x:si>
  <x:si>
    <x:t xml:space="preserve">Scenario B — Fund Capital Expenditure</x:t>
  </x:si>
  <x:si>
    <x:t xml:space="preserve">MRID uses ALL $200M to purchase new manufacturing equipment (PP&amp;E). Net effect: LT Debt → +$200M; PP&amp;E (net) → +$200M; Total assets increase by $200M. New D&amp;A of ~$10M/yr assumed. Revenue and EBIT modestly improve (+2.5%). Interest expense increases by full $11M/yr (existing ST debt remains).</x:t>
  </x:si>
  <x:si>
    <x:t xml:space="preserve">Scenario C — Mixed Use ($100M each)</x:t>
  </x:si>
  <x:si>
    <x:t xml:space="preserve">MRID splits the proceeds: $100M retires all Short-Term Debt ($45M); $100M funds CapEx (PP&amp;E). Net effect: ST Debt → $0; LT Debt → +$200M; PP&amp;E → +$100M; Total assets increase by $100M. D&amp;A increases ~$5M/yr. Blended interest savings/cost scenario. Revenue (1.5%) and EBIT (+1.2) modest improvements.</x:t>
  </x:si>
  <x:si>
    <x:t xml:space="preserve">  ★ PART A — Post-Offering Balance Sheet  (yellow = your formulas; pre-offering values are linked from Baseline tab)</x:t>
  </x:si>
  <x:si>
    <x:t xml:space="preserve">Line Item</x:t>
  </x:si>
  <x:si>
    <x:t xml:space="preserve">Pre-Offering ($000s)</x:t>
  </x:si>
  <x:si>
    <x:t xml:space="preserve">Scenario A</x:t>
  </x:si>
  <x:si>
    <x:t xml:space="preserve">Scenario B</x:t>
  </x:si>
  <x:si>
    <x:t xml:space="preserve">Scenario C</x:t>
  </x:si>
  <x:si>
    <x:t xml:space="preserve">What Should Change?  (guide for your formula)</x:t>
  </x:si>
  <x:si>
    <x:t xml:space="preserve">Cash &amp; Equivalents</x:t>
  </x:si>
  <x:si>
    <x:t xml:space="preserve">✎  No change in any scenario — proceeds go to debt/PPE, not cash</x:t>
  </x:si>
  <x:si>
    <x:t xml:space="preserve">Short-Term Debt</x:t>
  </x:si>
  <x:si>
    <x:t xml:space="preserve">✎  Scenario A: Retire ALL ST debt → $0.  Scenario B: Unchanged → same as pre.  Scenario C: Retire ALL ST debt → $0</x:t>
  </x:si>
  <x:si>
    <x:t xml:space="preserve">✎  ALL scenarios: Add $200M new bond → LT Debt increases by $200,000</x:t>
  </x:si>
  <x:si>
    <x:t xml:space="preserve">PP&amp;E  (net)</x:t>
  </x:si>
  <x:si>
    <x:t xml:space="preserve">✎  Scenario A: No change.  Scenario B: +$200M CapEx.  Scenario C: +$100M CapEx</x:t>
  </x:si>
  <x:si>
    <x:t xml:space="preserve">✎  No change — bond is DEBT, not equity. Equity = $220,800</x:t>
  </x:si>
  <x:si>
    <x:t xml:space="preserve">Total Debt  (ST + LT)</x:t>
  </x:si>
  <x:si>
    <x:t xml:space="preserve">✎  = Short-Term Debt + Long-Term Debt for each scenario</x:t>
  </x:si>
  <x:si>
    <x:t xml:space="preserve">  ★ PART B — Post-Offering Income Statement  (yellow = your formulas)</x:t>
  </x:si>
  <x:si>
    <x:t xml:space="preserve">Item</x:t>
  </x:si>
  <x:si>
    <x:t xml:space="preserve">Pre-Offering</x:t>
  </x:si>
  <x:si>
    <x:t xml:space="preserve">Key Assumption &amp; Formula Hint</x:t>
  </x:si>
  <x:si>
    <x:t xml:space="preserve">✎  Hint:  Pre=B22,  ScA=B22,  ScB=B22*1.025,  ScC=B22*1.015</x:t>
  </x:si>
  <x:si>
    <x:t xml:space="preserve">EBIT</x:t>
  </x:si>
  <x:si>
    <x:t xml:space="preserve">✎  Hint: ScA = same as pre;  ScB = B23*1.025;  ScC = B23*1.012</x:t>
  </x:si>
  <x:si>
    <x:t xml:space="preserve">D&amp;A</x:t>
  </x:si>
  <x:si>
    <x:t xml:space="preserve">✎  Hint: ScA = same;  ScB = B24+10000;  ScC = B24+5000</x:t>
  </x:si>
  <x:si>
    <x:t xml:space="preserve">EBITDA  (EBIT + D&amp;A)</x:t>
  </x:si>
  <x:si>
    <x:t xml:space="preserve">✎  Hint: =EBIT + D&amp;A for each scenario.</x:t>
  </x:si>
  <x:si>
    <x:t xml:space="preserve">Interest Expense  ($000s)</x:t>
  </x:si>
  <x:si>
    <x:t xml:space="preserve">✎  Scen A: (110000*0.055+200000*0.055)  [retired all ST]
  Scen B: (45000*0.085+110000*0.055+200000*0.055)  [ST stays]
  Scen C: same as Scen A (all ST retired)</x:t>
  </x:si>
  <x:si>
    <x:t xml:space="preserve">Net Income  ($000s)</x:t>
  </x:si>
  <x:si>
    <x:t xml:space="preserve">✎  =(EBIT + Interest Expense) × (1 − 0.25 tax rate)
</x:t>
  </x:si>
  <x:si>
    <x:t xml:space="preserve">  ★ PART C — Financial Ratio Comparison  (all 20 ratio cells are yours)</x:t>
  </x:si>
  <x:si>
    <x:t xml:space="preserve">Ratio</x:t>
  </x:si>
  <x:si>
    <x:t xml:space="preserve">Best?</x:t>
  </x:si>
  <x:si>
    <x:t xml:space="preserve">Formula Structure for Each Column</x:t>
  </x:si>
  <x:si>
    <x:t xml:space="preserve">Debt / Equity</x:t>
  </x:si>
  <x:si>
    <x:t xml:space="preserve">  ANALYSIS QUESTIONS — answer after completing your ratio table</x:t>
  </x:si>
  <x:si>
    <x:t xml:space="preserve">Q1:  Which scenario results in the lowest Debt/EBITDA ratio? Why does that matter to a credit analyst?</x:t>
  </x:si>
  <x:si>
    <x:t xml:space="preserve">Q2:  Under which scenario does Interest Coverage (TIE) improve vs. the pre-offering baseline? Explain why.</x:t>
  </x:si>
  <x:si>
    <x:t xml:space="preserve">Q3:  How does each scenario affect the Current Ratio differently? Which scenario is best for short-term liquidity?</x:t>
  </x:si>
  <x:si>
    <x:t xml:space="preserve">Meridian Industrial Corp — CFO Bond Offering Decision Dashboard</x:t>
  </x:si>
  <x:si>
    <x:t xml:space="preserve">Prepared by: [ Your Name ]  |  Date: [ Date ]  |  BUS 311 Corporate Finance</x:t>
  </x:si>
  <x:si>
    <x:t xml:space="preserve">  ★ PART 1 — Ratio Scorecard  (link each cell to your completed Ratio Impact tab — yellow = your cross-sheet links)</x:t>
  </x:si>
  <x:si>
    <x:t xml:space="preserve">Formula Hint  (link from Ratio Impact tab)</x:t>
  </x:si>
  <x:si>
    <x:t xml:space="preserve">✎  Link cols C–G from '📈 Ratio Impact'!C32 through G32
   Example col C: ='📈 Ratio Impact'!C32</x:t>
  </x:si>
  <x:si>
    <x:t xml:space="preserve">✎  Link cols C–G from '📈 Ratio Impact'!C33 through G33
   Example col C: ='📈 Ratio Impact'!C33</x:t>
  </x:si>
  <x:si>
    <x:t xml:space="preserve">Interest Coverage</x:t>
  </x:si>
  <x:si>
    <x:t xml:space="preserve">✎  Link cols C–G from '📈 Ratio Impact'!C34 through G34
   Example col C: ='📈 Ratio Impact'!C34</x:t>
  </x:si>
  <x:si>
    <x:t xml:space="preserve">✎  Link cols C–G from '📈 Ratio Impact'!C35 through G35
   Example col C: ='📈 Ratio Impact'!C35</x:t>
  </x:si>
  <x:si>
    <x:t xml:space="preserve">  ★ PART 2 — Annual Debt Service Summary  (link from your Ratio Impact IS section)</x:t>
  </x:si>
  <x:si>
    <x:t xml:space="preserve">EBIT  ($000s)</x:t>
  </x:si>
  <x:si>
    <x:t xml:space="preserve">Interest Coverage Ratio</x:t>
  </x:si>
  <x:si>
    <x:t xml:space="preserve">✎ LINK  -📈 Ratio Impact Tab</x:t>
  </x:si>
  <x:si>
    <x:t xml:space="preserve">  ★ PART 3 — CFO Recommendation Memo  (your written analysis — replace all placeholder text)</x:t>
  </x:si>
  <x:si>
    <x:t xml:space="preserve">1.  Recommended Scenario</x:t>
  </x:si>
  <x:si>
    <x:t xml:space="preserve">  Guidance: State which scenario you recommend (A, B, or C) and write 2–3 sentences explaining your financial reasoning. Reference at least TWO specific ratios that support your choice.</x:t>
  </x:si>
  <x:si>
    <x:t xml:space="preserve">2.  Primary Financial Risk</x:t>
  </x:si>
  <x:si>
    <x:t xml:space="preserve">  Guidance: Identify the biggest financial risk created by this bond offering. Which ratio is most affected? What threshold are you most concerned about breaching?</x:t>
  </x:si>
  <x:si>
    <x:t xml:space="preserve">3.  Bond Pricing Analysis</x:t>
  </x:si>
  <x:si>
    <x:t xml:space="preserve">  Guidance: Explain in plain English why MRID's bond was priced at a discount. What does that mean for the total cost of borrowing? How does this differ from a bond at par?</x:t>
  </x:si>
  <x:si>
    <x:t xml:space="preserve">4.  Credit Rating Impact</x:t>
  </x:si>
  <x:si>
    <x:t xml:space="preserve">  Guidance: Based on the Debt/EBITDA and Interest Coverage ratios, how do you expect Moody's or S&amp;P to react to this offering? What level of Debt/EBITDA typically triggers a downgrade review for investment-grade firms?</x:t>
  </x:si>
  <x:si>
    <x:t xml:space="preserve">5.  Alternative Financing</x:t>
  </x:si>
  <x:si>
    <x:t xml:space="preserve">  Guidance: Name ONE alternative to a bond offering MRID could have considered. Describe the key trade-off vs. issuing bonds (think: cost, dilution, flexibility, balance sheet impact).</x:t>
  </x:si>
</x:sst>
</file>

<file path=xl/styles.xml><?xml version="1.0" encoding="utf-8"?>
<x:styleSheet xmlns:x="http://schemas.openxmlformats.org/spreadsheetml/2006/main">
  <x:numFmts count="6">
    <x:numFmt numFmtId="164" formatCode="#,##0;\(#,##0\);\-"/>
    <x:numFmt numFmtId="165" formatCode="0.00\x"/>
    <x:numFmt numFmtId="166" formatCode="\$#,##0"/>
    <x:numFmt numFmtId="167" formatCode="\$#,##0.00"/>
    <x:numFmt numFmtId="168" formatCode="0.000%"/>
    <x:numFmt numFmtId="169" formatCode="0.0\x"/>
  </x:numFmts>
  <x:fonts count="25">
    <x:font>
      <x:sz val="11"/>
      <x:color theme="1"/>
      <x:name val="Calibri"/>
    </x:font>
    <x:font>
      <x:b/>
      <x:sz val="15"/>
      <x:color rgb="FFC9A84C"/>
      <x:name val="Arial"/>
    </x:font>
    <x:font>
      <x:b/>
      <x:sz val="12"/>
      <x:color rgb="FF0D1F3C"/>
      <x:name val="Arial"/>
    </x:font>
    <x:font>
      <x:b/>
      <x:sz val="10"/>
      <x:color rgb="FFC9A84C"/>
      <x:name val="Arial"/>
    </x:font>
    <x:font>
      <x:sz val="10"/>
      <x:name val="Arial"/>
    </x:font>
    <x:font>
      <x:b/>
      <x:sz val="10"/>
      <x:color rgb="FF0D1F3C"/>
      <x:name val="Arial"/>
    </x:font>
    <x:font>
      <x:b/>
      <x:sz val="10"/>
      <x:color rgb="FFFFFFFF"/>
      <x:name val="Arial"/>
    </x:font>
    <x:font>
      <x:b/>
      <x:sz val="10"/>
      <x:color rgb="FF000000"/>
      <x:name val="Arial"/>
    </x:font>
    <x:font>
      <x:b/>
      <x:sz val="10"/>
      <x:color rgb="FF1B5E20"/>
      <x:name val="Arial"/>
    </x:font>
    <x:font>
      <x:b/>
      <x:sz val="10"/>
      <x:color rgb="FF0000FF"/>
      <x:name val="Arial"/>
    </x:font>
    <x:font>
      <x:b/>
      <x:sz val="10"/>
      <x:color rgb="FF008000"/>
      <x:name val="Arial"/>
    </x:font>
    <x:font>
      <x:sz val="10"/>
      <x:color rgb="FF000000"/>
      <x:name val="Arial"/>
    </x:font>
    <x:font>
      <x:b/>
      <x:sz val="13"/>
      <x:color rgb="FFC9A84C"/>
      <x:name val="Arial"/>
    </x:font>
    <x:font>
      <x:sz val="10"/>
      <x:color rgb="FF0000FF"/>
      <x:name val="Arial"/>
    </x:font>
    <x:font>
      <x:i/>
      <x:sz val="9"/>
      <x:color rgb="FF1B5E20"/>
      <x:name val="Arial"/>
    </x:font>
    <x:font>
      <x:i/>
      <x:sz val="9"/>
      <x:color rgb="FF5D4037"/>
      <x:name val="Arial"/>
    </x:font>
    <x:font>
      <x:i/>
      <x:sz val="10"/>
      <x:color rgb="FF757575"/>
      <x:name val="Arial"/>
    </x:font>
    <x:font>
      <x:sz val="9"/>
      <x:name val="Arial"/>
    </x:font>
    <x:font>
      <x:sz val="10"/>
      <x:color rgb="FF008000"/>
      <x:name val="Arial"/>
    </x:font>
    <x:font>
      <x:b/>
      <x:sz val="14"/>
      <x:color rgb="FFC9A84C"/>
      <x:name val="Arial"/>
    </x:font>
    <x:font>
      <x:i/>
      <x:sz val="10"/>
      <x:color rgb="FF0000FF"/>
      <x:name val="Arial"/>
    </x:font>
    <x:font>
      <x:b/>
      <x:sz val="18"/>
      <x:color rgb="FFFFFFFF"/>
      <x:name val="Calibri"/>
    </x:font>
    <x:font>
      <x:b/>
      <x:sz val="11"/>
      <x:color rgb="FFFFFFFF"/>
      <x:name val="Calibri"/>
    </x:font>
    <x:font>
      <x:b/>
      <x:sz val="11"/>
      <x:color theme="1"/>
      <x:name val="Calibri"/>
    </x:font>
    <x:font>
      <x:sz val="11"/>
      <x:color rgb="FF0000FF"/>
      <x:name val="Calibri"/>
    </x:font>
  </x:fonts>
  <x:fills count="17">
    <x:fill>
      <x:patternFill patternType="none"/>
    </x:fill>
    <x:fill>
      <x:patternFill patternType="gray125"/>
    </x:fill>
    <x:fill>
      <x:patternFill patternType="solid">
        <x:fgColor rgb="FF0D1F3C"/>
      </x:patternFill>
    </x:fill>
    <x:fill>
      <x:patternFill patternType="solid">
        <x:fgColor rgb="FFD6EAF8"/>
      </x:patternFill>
    </x:fill>
    <x:fill>
      <x:patternFill patternType="solid">
        <x:fgColor rgb="FFF2F3F4"/>
      </x:patternFill>
    </x:fill>
    <x:fill>
      <x:patternFill patternType="solid">
        <x:fgColor rgb="FFFFFFFF"/>
      </x:patternFill>
    </x:fill>
    <x:fill>
      <x:patternFill patternType="solid">
        <x:fgColor rgb="FF2C3E50"/>
      </x:patternFill>
    </x:fill>
    <x:fill>
      <x:patternFill patternType="solid">
        <x:fgColor rgb="FFFFF176"/>
      </x:patternFill>
    </x:fill>
    <x:fill>
      <x:patternFill patternType="solid">
        <x:fgColor rgb="FFE8F5E9"/>
      </x:patternFill>
    </x:fill>
    <x:fill>
      <x:patternFill patternType="solid">
        <x:fgColor rgb="FFFFF9C4"/>
      </x:patternFill>
    </x:fill>
    <x:fill>
      <x:patternFill patternType="solid">
        <x:fgColor rgb="FFFFFDE7"/>
      </x:patternFill>
    </x:fill>
    <x:fill>
      <x:patternFill patternType="solid">
        <x:fgColor rgb="FFFFF3E0"/>
      </x:patternFill>
    </x:fill>
    <x:fill>
      <x:patternFill patternType="solid">
        <x:fgColor rgb="FFFCE4EC"/>
      </x:patternFill>
    </x:fill>
    <x:fill>
      <x:patternFill patternType="solid">
        <x:fgColor rgb="FF0E1116"/>
      </x:patternFill>
    </x:fill>
    <x:fill>
      <x:patternFill patternType="solid">
        <x:fgColor rgb="FF9C4A2B"/>
      </x:patternFill>
    </x:fill>
    <x:fill>
      <x:patternFill patternType="solid">
        <x:fgColor rgb="FFF2EEE5"/>
      </x:patternFill>
    </x:fill>
    <x:fill>
      <x:patternFill patternType="solid">
        <x:fgColor rgb="FFFFF2CC"/>
      </x:patternFill>
    </x:fill>
  </x:fills>
  <x:borders count="14">
    <x:border/>
    <x:border>
      <x:left style="thin">
        <x:color rgb="FFAAAAAA"/>
      </x:left>
      <x:top style="thin">
        <x:color rgb="FFAAAAAA"/>
      </x:top>
    </x:border>
    <x:border>
      <x:left style="thin">
        <x:color rgb="FFAAAAAA"/>
      </x:left>
      <x:right style="thin">
        <x:color rgb="FFAAAAAA"/>
      </x:right>
      <x:top style="thin">
        <x:color rgb="FFAAAAAA"/>
      </x:top>
      <x:bottom style="thin">
        <x:color rgb="FFAAAAAA"/>
      </x:bottom>
    </x:border>
    <x:border>
      <x:left style="thin">
        <x:color rgb="FFAAAAAA"/>
      </x:left>
      <x:top style="thin">
        <x:color rgb="FFAAAAAA"/>
      </x:top>
      <x:bottom style="thin">
        <x:color rgb="FFAAAAAA"/>
      </x:bottom>
    </x:border>
    <x:border>
      <x:left style="medium">
        <x:color rgb="FF0D1F3C"/>
      </x:left>
      <x:right style="medium">
        <x:color rgb="FF0D1F3C"/>
      </x:right>
      <x:top style="medium">
        <x:color rgb="FF0D1F3C"/>
      </x:top>
      <x:bottom style="medium">
        <x:color rgb="FF0D1F3C"/>
      </x:bottom>
    </x:border>
    <x:border>
      <x:left style="medium">
        <x:color rgb="FF0D1F3C"/>
      </x:left>
      <x:top style="medium">
        <x:color rgb="FF0D1F3C"/>
      </x:top>
    </x:border>
    <x:border>
      <x:left style="thin">
        <x:color rgb="FFD9D5CB"/>
      </x:left>
      <x:top style="thin">
        <x:color rgb="FFD9D5CB"/>
      </x:top>
    </x:border>
    <x:border>
      <x:right style="thin">
        <x:color rgb="FFD9D5CB"/>
      </x:right>
      <x:top style="thin">
        <x:color rgb="FFD9D5CB"/>
      </x:top>
    </x:border>
    <x:border>
      <x:left style="thin">
        <x:color rgb="FFD9D5CB"/>
      </x:left>
    </x:border>
    <x:border>
      <x:right style="thin">
        <x:color rgb="FFD9D5CB"/>
      </x:right>
    </x:border>
    <x:border>
      <x:left style="thin">
        <x:color rgb="FFD9D5CB"/>
      </x:left>
      <x:bottom style="thin">
        <x:color rgb="FFD9D5CB"/>
      </x:bottom>
    </x:border>
    <x:border>
      <x:right style="thin">
        <x:color rgb="FFD9D5CB"/>
      </x:right>
      <x:bottom style="thin">
        <x:color rgb="FFD9D5CB"/>
      </x:bottom>
    </x:border>
    <x:border>
      <x:top style="thin">
        <x:color rgb="FFD9D5CB"/>
      </x:top>
    </x:border>
    <x:border>
      <x:bottom style="thin">
        <x:color rgb="FFD9D5CB"/>
      </x:bottom>
    </x:border>
  </x:borders>
  <x:cellStyleXfs count="1">
    <x:xf numFmtId="0" fontId="0" fillId="0" borderId="0"/>
  </x:cellStyleXfs>
  <x:cellXfs count="93">
    <x:xf numFmtId="0" fontId="0" fillId="0" borderId="0" xfId="0"/>
    <x:xf numFmtId="0" fontId="6" fillId="6" borderId="2" xfId="0" applyFont="1" applyFill="1" applyBorder="1" applyAlignment="1">
      <x:alignment horizontal="center" vertical="center" wrapText="1"/>
    </x:xf>
    <x:xf numFmtId="0" fontId="5" fillId="3" borderId="2" xfId="0" applyFont="1" applyFill="1" applyBorder="1" applyAlignment="1">
      <x:alignment horizontal="left" vertical="center" wrapText="1"/>
    </x:xf>
    <x:xf numFmtId="0" fontId="5" fillId="5" borderId="2" xfId="0" applyFont="1" applyFill="1" applyBorder="1" applyAlignment="1">
      <x:alignment horizontal="left" vertical="center" wrapText="1"/>
    </x:xf>
    <x:xf numFmtId="0" fontId="7" fillId="7" borderId="2" xfId="0" applyFont="1" applyFill="1" applyBorder="1" applyAlignment="1">
      <x:alignment horizontal="left" vertical="center" wrapText="1"/>
    </x:xf>
    <x:xf numFmtId="0" fontId="8" fillId="8" borderId="2" xfId="0" applyFont="1" applyFill="1" applyBorder="1" applyAlignment="1">
      <x:alignment horizontal="left" vertical="center" wrapText="1"/>
    </x:xf>
    <x:xf numFmtId="0" fontId="9" fillId="5" borderId="2" xfId="0" applyFont="1" applyFill="1" applyBorder="1" applyAlignment="1">
      <x:alignment horizontal="left" vertical="center" wrapText="1"/>
    </x:xf>
    <x:xf numFmtId="0" fontId="7" fillId="5" borderId="2" xfId="0" applyFont="1" applyFill="1" applyBorder="1" applyAlignment="1">
      <x:alignment horizontal="left" vertical="center" wrapText="1"/>
    </x:xf>
    <x:xf numFmtId="0" fontId="10" fillId="5" borderId="2" xfId="0" applyFont="1" applyFill="1" applyBorder="1" applyAlignment="1">
      <x:alignment horizontal="left" vertical="center" wrapText="1"/>
    </x:xf>
    <x:xf numFmtId="0" fontId="7" fillId="3" borderId="2" xfId="0" applyFont="1" applyFill="1" applyBorder="1" applyAlignment="1">
      <x:alignment horizontal="left" vertical="center" wrapText="1"/>
    </x:xf>
    <x:xf numFmtId="0" fontId="5" fillId="3" borderId="2" xfId="0" applyFont="1" applyFill="1" applyBorder="1" applyAlignment="1">
      <x:alignment horizontal="center" vertical="center" wrapText="1"/>
    </x:xf>
    <x:xf numFmtId="0" fontId="5" fillId="5" borderId="2" xfId="0" applyFont="1" applyFill="1" applyBorder="1" applyAlignment="1">
      <x:alignment horizontal="center" vertical="center" wrapText="1"/>
    </x:xf>
    <x:xf numFmtId="0" fontId="6" fillId="2" borderId="2" xfId="0" applyFont="1" applyFill="1" applyBorder="1" applyAlignment="1">
      <x:alignment horizontal="center" vertical="center" wrapText="1"/>
    </x:xf>
    <x:xf numFmtId="0" fontId="11" fillId="0" borderId="2" xfId="0" applyFont="1" applyBorder="1" applyAlignment="1">
      <x:alignment horizontal="left" vertical="center" wrapText="1"/>
    </x:xf>
    <x:xf numFmtId="164" fontId="13" fillId="0" borderId="2" xfId="0" applyNumberFormat="1" applyFont="1" applyBorder="1" applyAlignment="1">
      <x:alignment horizontal="right" vertical="center"/>
    </x:xf>
    <x:xf numFmtId="0" fontId="7" fillId="0" borderId="2" xfId="0" applyFont="1" applyBorder="1" applyAlignment="1">
      <x:alignment horizontal="left" vertical="center" wrapText="1"/>
    </x:xf>
    <x:xf numFmtId="164" fontId="0" fillId="7" borderId="4" xfId="0" applyNumberFormat="1" applyFill="1" applyBorder="1" applyAlignment="1">
      <x:alignment horizontal="right" vertical="center"/>
    </x:xf>
    <x:xf numFmtId="164" fontId="11" fillId="0" borderId="2" xfId="0" applyNumberFormat="1" applyFont="1" applyBorder="1" applyAlignment="1">
      <x:alignment horizontal="right" vertical="center"/>
    </x:xf>
    <x:xf numFmtId="0" fontId="11" fillId="4" borderId="2" xfId="0" applyFont="1" applyFill="1" applyBorder="1" applyAlignment="1">
      <x:alignment horizontal="left" vertical="center" wrapText="1"/>
    </x:xf>
    <x:xf numFmtId="165" fontId="0" fillId="7" borderId="4" xfId="0" applyNumberFormat="1" applyFill="1" applyBorder="1" applyAlignment="1">
      <x:alignment horizontal="right" vertical="center"/>
    </x:xf>
    <x:xf numFmtId="166" fontId="13" fillId="0" borderId="2" xfId="0" applyNumberFormat="1" applyFont="1" applyBorder="1" applyAlignment="1">
      <x:alignment horizontal="right" vertical="center"/>
    </x:xf>
    <x:xf numFmtId="3" fontId="13" fillId="0" borderId="2" xfId="0" applyNumberFormat="1" applyFont="1" applyBorder="1" applyAlignment="1">
      <x:alignment horizontal="right" vertical="center"/>
    </x:xf>
    <x:xf numFmtId="10" fontId="13" fillId="0" borderId="2" xfId="0" applyNumberFormat="1" applyFont="1" applyBorder="1" applyAlignment="1">
      <x:alignment horizontal="right" vertical="center"/>
    </x:xf>
    <x:xf numFmtId="1" fontId="13" fillId="0" borderId="2" xfId="0" applyNumberFormat="1" applyFont="1" applyBorder="1" applyAlignment="1">
      <x:alignment horizontal="right" vertical="center"/>
    </x:xf>
    <x:xf numFmtId="167" fontId="0" fillId="7" borderId="4" xfId="0" applyNumberFormat="1" applyFill="1" applyBorder="1" applyAlignment="1">
      <x:alignment horizontal="right" vertical="center"/>
    </x:xf>
    <x:xf numFmtId="168" fontId="0" fillId="7" borderId="4" xfId="0" applyNumberFormat="1" applyFill="1" applyBorder="1" applyAlignment="1">
      <x:alignment horizontal="right" vertical="center"/>
    </x:xf>
    <x:xf numFmtId="1" fontId="0" fillId="7" borderId="4" xfId="0" applyNumberFormat="1" applyFill="1" applyBorder="1" applyAlignment="1">
      <x:alignment horizontal="right" vertical="center"/>
    </x:xf>
    <x:xf numFmtId="166" fontId="0" fillId="7" borderId="4" xfId="0" applyNumberFormat="1" applyFill="1" applyBorder="1" applyAlignment="1">
      <x:alignment horizontal="right" vertical="center"/>
    </x:xf>
    <x:xf numFmtId="168" fontId="13" fillId="0" borderId="2" xfId="0" applyNumberFormat="1" applyFont="1" applyBorder="1" applyAlignment="1">
      <x:alignment horizontal="right" vertical="center"/>
    </x:xf>
    <x:xf numFmtId="0" fontId="11" fillId="9" borderId="2" xfId="0" applyFont="1" applyFill="1" applyBorder="1" applyAlignment="1">
      <x:alignment horizontal="left" vertical="center" wrapText="1"/>
    </x:xf>
    <x:xf numFmtId="168" fontId="13" fillId="9" borderId="2" xfId="0" applyNumberFormat="1" applyFont="1" applyFill="1" applyBorder="1" applyAlignment="1">
      <x:alignment horizontal="right" vertical="center"/>
    </x:xf>
    <x:xf numFmtId="167" fontId="0" fillId="9" borderId="4" xfId="0" applyNumberFormat="1" applyFill="1" applyBorder="1" applyAlignment="1">
      <x:alignment horizontal="right" vertical="center"/>
    </x:xf>
    <x:xf numFmtId="166" fontId="0" fillId="9" borderId="4" xfId="0" applyNumberFormat="1" applyFill="1" applyBorder="1" applyAlignment="1">
      <x:alignment horizontal="right" vertical="center"/>
    </x:xf>
    <x:xf numFmtId="0" fontId="5" fillId="8" borderId="2" xfId="0" applyFont="1" applyFill="1" applyBorder="1" applyAlignment="1">
      <x:alignment horizontal="left" vertical="center" wrapText="1"/>
    </x:xf>
    <x:xf numFmtId="0" fontId="5" fillId="11" borderId="2" xfId="0" applyFont="1" applyFill="1" applyBorder="1" applyAlignment="1">
      <x:alignment horizontal="left" vertical="center" wrapText="1"/>
    </x:xf>
    <x:xf numFmtId="0" fontId="5" fillId="12" borderId="2" xfId="0" applyFont="1" applyFill="1" applyBorder="1" applyAlignment="1">
      <x:alignment horizontal="left" vertical="center" wrapText="1"/>
    </x:xf>
    <x:xf numFmtId="164" fontId="18" fillId="0" borderId="2" xfId="0" applyNumberFormat="1" applyFont="1" applyBorder="1" applyAlignment="1">
      <x:alignment horizontal="right" vertical="center"/>
    </x:xf>
    <x:xf numFmtId="169" fontId="0" fillId="7" borderId="4" xfId="0" applyNumberFormat="1" applyFill="1" applyBorder="1" applyAlignment="1">
      <x:alignment horizontal="right" vertical="center"/>
    </x:xf>
    <x:xf numFmtId="0" fontId="11" fillId="3" borderId="3" xfId="0" applyFont="1" applyFill="1" applyBorder="1" applyAlignment="1">
      <x:alignment horizontal="left" vertical="center" wrapText="1"/>
    </x:xf>
    <x:xf numFmtId="0" fontId="11" fillId="5" borderId="3" xfId="0" applyFont="1" applyFill="1" applyBorder="1" applyAlignment="1">
      <x:alignment horizontal="left" vertical="center" wrapText="1"/>
    </x:xf>
    <x:xf numFmtId="0" fontId="4" fillId="5" borderId="3" xfId="0" applyFont="1" applyFill="1" applyBorder="1" applyAlignment="1">
      <x:alignment horizontal="left" vertical="center" wrapText="1"/>
    </x:xf>
    <x:xf numFmtId="0" fontId="3" fillId="2" borderId="0" xfId="0" applyFont="1" applyFill="1" applyAlignment="1">
      <x:alignment horizontal="left" vertical="center" wrapText="1"/>
    </x:xf>
    <x:xf numFmtId="0" fontId="6" fillId="6" borderId="2" xfId="0" applyFont="1" applyFill="1" applyBorder="1" applyAlignment="1">
      <x:alignment horizontal="center" vertical="center" wrapText="1"/>
    </x:xf>
    <x:xf numFmtId="0" fontId="6" fillId="6" borderId="0" xfId="0" applyFont="1" applyFill="1" applyAlignment="1">
      <x:alignment horizontal="left" vertical="center" wrapText="1"/>
    </x:xf>
    <x:xf numFmtId="0" fontId="4" fillId="7" borderId="3" xfId="0" applyFont="1" applyFill="1" applyBorder="1" applyAlignment="1">
      <x:alignment horizontal="left" vertical="center" wrapText="1"/>
    </x:xf>
    <x:xf numFmtId="0" fontId="4" fillId="8" borderId="3" xfId="0" applyFont="1" applyFill="1" applyBorder="1" applyAlignment="1">
      <x:alignment horizontal="left" vertical="center" wrapText="1"/>
    </x:xf>
    <x:xf numFmtId="0" fontId="4" fillId="3" borderId="3" xfId="0" applyFont="1" applyFill="1" applyBorder="1" applyAlignment="1">
      <x:alignment horizontal="left" vertical="center" wrapText="1"/>
    </x:xf>
    <x:xf numFmtId="0" fontId="1" fillId="2" borderId="0" xfId="0" applyFont="1" applyFill="1" applyAlignment="1">
      <x:alignment horizontal="center" vertical="center" wrapText="1"/>
    </x:xf>
    <x:xf numFmtId="0" fontId="2" fillId="3" borderId="0" xfId="0" applyFont="1" applyFill="1" applyAlignment="1">
      <x:alignment horizontal="center" vertical="center" wrapText="1"/>
    </x:xf>
    <x:xf numFmtId="0" fontId="4" fillId="4" borderId="1" xfId="0" applyFont="1" applyFill="1" applyBorder="1" applyAlignment="1">
      <x:alignment horizontal="left" vertical="top" wrapText="1"/>
    </x:xf>
    <x:xf numFmtId="0" fontId="14" fillId="8" borderId="3" xfId="0" applyFont="1" applyFill="1" applyBorder="1" applyAlignment="1">
      <x:alignment horizontal="left" vertical="center" wrapText="1"/>
    </x:xf>
    <x:xf numFmtId="0" fontId="15" fillId="9" borderId="1" xfId="0" applyFont="1" applyFill="1" applyBorder="1" applyAlignment="1">
      <x:alignment horizontal="left" vertical="top" wrapText="1"/>
    </x:xf>
    <x:xf numFmtId="0" fontId="0" fillId="0" borderId="0" xfId="0"/>
    <x:xf numFmtId="0" fontId="6" fillId="6" borderId="3" xfId="0" applyFont="1" applyFill="1" applyBorder="1" applyAlignment="1">
      <x:alignment horizontal="center" vertical="center" wrapText="1"/>
    </x:xf>
    <x:xf numFmtId="0" fontId="11" fillId="4" borderId="3" xfId="0" applyFont="1" applyFill="1" applyBorder="1" applyAlignment="1">
      <x:alignment horizontal="left" vertical="center" wrapText="1"/>
    </x:xf>
    <x:xf numFmtId="0" fontId="12" fillId="2" borderId="0" xfId="0" applyFont="1" applyFill="1" applyAlignment="1">
      <x:alignment horizontal="center" vertical="center" wrapText="1"/>
    </x:xf>
    <x:xf numFmtId="0" fontId="7" fillId="3" borderId="3" xfId="0" applyFont="1" applyFill="1" applyBorder="1" applyAlignment="1">
      <x:alignment horizontal="left" vertical="center" wrapText="1"/>
    </x:xf>
    <x:xf numFmtId="0" fontId="16" fillId="7" borderId="5" xfId="0" applyFont="1" applyFill="1" applyBorder="1" applyAlignment="1">
      <x:alignment horizontal="left" vertical="top" wrapText="1"/>
    </x:xf>
    <x:xf numFmtId="0" fontId="11" fillId="10" borderId="3" xfId="0" applyFont="1" applyFill="1" applyBorder="1" applyAlignment="1">
      <x:alignment horizontal="left" vertical="center" wrapText="1"/>
    </x:xf>
    <x:xf numFmtId="0" fontId="11" fillId="9" borderId="3" xfId="0" applyFont="1" applyFill="1" applyBorder="1" applyAlignment="1">
      <x:alignment horizontal="left" vertical="center" wrapText="1"/>
    </x:xf>
    <x:xf numFmtId="0" fontId="17" fillId="12" borderId="3" xfId="0" applyFont="1" applyFill="1" applyBorder="1" applyAlignment="1">
      <x:alignment horizontal="left" vertical="top" wrapText="1"/>
    </x:xf>
    <x:xf numFmtId="0" fontId="4" fillId="3" borderId="0" xfId="0" applyFont="1" applyFill="1" applyAlignment="1">
      <x:alignment horizontal="center" vertical="center" wrapText="1"/>
    </x:xf>
    <x:xf numFmtId="0" fontId="17" fillId="8" borderId="3" xfId="0" applyFont="1" applyFill="1" applyBorder="1" applyAlignment="1">
      <x:alignment horizontal="left" vertical="top" wrapText="1"/>
    </x:xf>
    <x:xf numFmtId="0" fontId="17" fillId="11" borderId="3" xfId="0" applyFont="1" applyFill="1" applyBorder="1" applyAlignment="1">
      <x:alignment horizontal="left" vertical="top" wrapText="1"/>
    </x:xf>
    <x:xf numFmtId="0" fontId="5" fillId="3" borderId="3" xfId="0" applyFont="1" applyFill="1" applyBorder="1" applyAlignment="1">
      <x:alignment horizontal="left" vertical="center" wrapText="1"/>
    </x:xf>
    <x:xf numFmtId="3" fontId="0" fillId="7" borderId="4" xfId="0" applyNumberFormat="1" applyFill="1" applyBorder="1" applyAlignment="1">
      <x:alignment horizontal="right" vertical="center"/>
    </x:xf>
    <x:xf numFmtId="169" fontId="0" fillId="7" borderId="4" xfId="0" applyNumberFormat="1" applyFill="1" applyBorder="1" applyAlignment="1">
      <x:alignment horizontal="right" vertical="center"/>
    </x:xf>
    <x:xf numFmtId="0" fontId="19" fillId="2" borderId="0" xfId="0" applyFont="1" applyFill="1" applyAlignment="1">
      <x:alignment horizontal="center" vertical="center" wrapText="1"/>
    </x:xf>
    <x:xf numFmtId="0" fontId="20" fillId="3" borderId="0" xfId="0" applyFont="1" applyFill="1" applyAlignment="1">
      <x:alignment horizontal="center" vertical="center" wrapText="1"/>
    </x:xf>
    <x:xf numFmtId="0" fontId="0" fillId="13" borderId="0" xfId="0" applyNumberFormat="1" applyFont="1" applyFill="1" applyBorder="1"/>
    <x:xf numFmtId="0" fontId="21" fillId="13" borderId="0" xfId="0" applyNumberFormat="1" applyFont="1" applyFill="1" applyBorder="1"/>
    <x:xf numFmtId="0" fontId="0" fillId="14" borderId="0" xfId="0" applyNumberFormat="1" applyFont="1" applyFill="1" applyBorder="1"/>
    <x:xf numFmtId="0" fontId="22" fillId="14" borderId="0" xfId="0" applyNumberFormat="1" applyFont="1" applyFill="1" applyBorder="1"/>
    <x:xf numFmtId="0" fontId="0" fillId="15" borderId="0" xfId="0" applyNumberFormat="1" applyFont="1" applyFill="1" applyBorder="1"/>
    <x:xf numFmtId="0" fontId="23" fillId="15" borderId="0" xfId="0" applyNumberFormat="1" applyFont="1" applyFill="1" applyBorder="1"/>
    <x:xf numFmtId="0" fontId="23" fillId="15" borderId="6" xfId="0" applyNumberFormat="1" applyFont="1" applyFill="1" applyBorder="1"/>
    <x:xf numFmtId="0" fontId="23" fillId="15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16" borderId="0" xfId="0" applyNumberFormat="1" applyFont="1" applyFill="1" applyBorder="1"/>
    <x:xf numFmtId="0" fontId="24" fillId="16" borderId="0" xfId="0" applyNumberFormat="1" applyFont="1" applyFill="1" applyBorder="1"/>
    <x:xf numFmtId="0" fontId="22" fillId="14" borderId="6" xfId="0" applyNumberFormat="1" applyFont="1" applyFill="1" applyBorder="1"/>
    <x:xf numFmtId="0" fontId="22" fillId="14" borderId="12" xfId="0" applyNumberFormat="1" applyFont="1" applyFill="1" applyBorder="1"/>
    <x:xf numFmtId="0" fontId="22" fillId="14" borderId="7" xfId="0" applyNumberFormat="1" applyFont="1" applyFill="1" applyBorder="1"/>
    <x:xf numFmtId="0" fontId="24" fillId="16" borderId="9" xfId="0" applyNumberFormat="1" applyFont="1" applyFill="1" applyBorder="1"/>
    <x:xf numFmtId="0" fontId="24" fillId="16" borderId="13" xfId="0" applyNumberFormat="1" applyFont="1" applyFill="1" applyBorder="1"/>
    <x:xf numFmtId="0" fontId="24" fillId="16" borderId="11" xfId="0" applyNumberFormat="1" applyFont="1" applyFill="1" applyBorder="1"/>
    <x:xf numFmtId="0" fontId="0" fillId="16" borderId="0" xfId="0" applyNumberFormat="1" applyFont="1" applyFill="1" applyBorder="1" applyAlignment="1">
      <x:alignment wrapText="1"/>
    </x:xf>
    <x:xf numFmtId="0" fontId="0" fillId="16" borderId="9" xfId="0" applyNumberFormat="1" applyFont="1" applyFill="1" applyBorder="1" applyAlignment="1">
      <x:alignment wrapText="1"/>
    </x:xf>
    <x:xf numFmtId="0" fontId="0" fillId="16" borderId="13" xfId="0" applyNumberFormat="1" applyFont="1" applyFill="1" applyBorder="1" applyAlignment="1">
      <x:alignment wrapText="1"/>
    </x:xf>
    <x:xf numFmtId="0" fontId="0" fillId="16" borderId="11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B0000"/>
      <x:rgbColor rgb="FF008000"/>
      <x:rgbColor rgb="FF000080"/>
      <x:rgbColor rgb="FF808000"/>
      <x:rgbColor rgb="FF800080"/>
      <x:rgbColor rgb="FF1B5E20"/>
      <x:rgbColor rgb="FFFFF0F0"/>
      <x:rgbColor rgb="FF757575"/>
      <x:rgbColor rgb="FF9999FF"/>
      <x:rgbColor rgb="FF993366"/>
      <x:rgbColor rgb="FFFFF9C4"/>
      <x:rgbColor rgb="FFD6EAF8"/>
      <x:rgbColor rgb="FF660066"/>
      <x:rgbColor rgb="FFFF8080"/>
      <x:rgbColor rgb="FF0066CC"/>
      <x:rgbColor rgb="FFFCE4EC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E8F5E9"/>
      <x:rgbColor rgb="FFF2F3F4"/>
      <x:rgbColor rgb="FFFFF176"/>
      <x:rgbColor rgb="FFFFFDE7"/>
      <x:rgbColor rgb="FFFF99CC"/>
      <x:rgbColor rgb="FFCC99FF"/>
      <x:rgbColor rgb="FFFFF3E0"/>
      <x:rgbColor rgb="FF3366FF"/>
      <x:rgbColor rgb="FF33CCCC"/>
      <x:rgbColor rgb="FF99CC00"/>
      <x:rgbColor rgb="FFFFCC00"/>
      <x:rgbColor rgb="FFC9A84C"/>
      <x:rgbColor rgb="FFFF6600"/>
      <x:rgbColor rgb="FF666699"/>
      <x:rgbColor rgb="FFAAAAAA"/>
      <x:rgbColor rgb="FF0D1F3C"/>
      <x:rgbColor rgb="FF339966"/>
      <x:rgbColor rgb="FF006400"/>
      <x:rgbColor rgb="FF5D4037"/>
      <x:rgbColor rgb="FF993300"/>
      <x:rgbColor rgb="FF993366"/>
      <x:rgbColor rgb="FF333399"/>
      <x:rgbColor rgb="FF2C3E50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5c686fb98b497c" /><Relationship Type="http://schemas.openxmlformats.org/officeDocument/2006/relationships/theme" Target="/xl/theme/theme1.xml" Id="R61596920c8e34c55" /><Relationship Type="http://schemas.openxmlformats.org/officeDocument/2006/relationships/sharedStrings" Target="/xl/sharedStrings.xml" Id="R78301af9288b44e7" /><Relationship Type="http://schemas.openxmlformats.org/officeDocument/2006/relationships/worksheet" Target="/xl/worksheets/sheet1.xml" Id="R76eabb69986e4ebf" /><Relationship Type="http://schemas.openxmlformats.org/officeDocument/2006/relationships/worksheet" Target="/xl/worksheets/sheet2.xml" Id="Rb60b478b2fa64a76" /><Relationship Type="http://schemas.openxmlformats.org/officeDocument/2006/relationships/worksheet" Target="/xl/worksheets/sheet3.xml" Id="R178690f90ef4491d" /><Relationship Type="http://schemas.openxmlformats.org/officeDocument/2006/relationships/worksheet" Target="/xl/worksheets/sheet4.xml" Id="Rf85e4787d2644a57" /><Relationship Type="http://schemas.openxmlformats.org/officeDocument/2006/relationships/worksheet" Target="/xl/worksheets/sheet5.xml" Id="R85fe7ea1ce104fe3" /><Relationship Type="http://schemas.openxmlformats.org/officeDocument/2006/relationships/worksheet" Target="/xl/worksheets/sheet6.xml" Id="Rdd2574ecd54d4d0f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109375" defaultRowHeight="15"/>
  <x:cols>
    <x:col min="1" max="1" width="26" customWidth="1"/>
    <x:col min="2" max="2" width="70" customWidth="1"/>
    <x:col min="10" max="10" width="10" customWidth="1"/>
  </x:cols>
  <x:sheetData>
    <x:row r="2" ht="60" customHeight="1">
      <x:c r="A2" s="47" t="s">
        <x:v>0</x:v>
      </x:c>
      <x:c r="B2" s="47"/>
      <x:c r="C2" s="47"/>
      <x:c r="D2" s="47"/>
      <x:c r="E2" s="47"/>
      <x:c r="F2" s="47"/>
      <x:c r="G2" s="47"/>
      <x:c r="H2" s="47"/>
      <x:c r="I2" s="47"/>
      <x:c r="J2" s="47"/>
    </x:row>
    <x:row r="4" ht="15" customHeight="1">
      <x:c r="A4" s="48" t="s">
        <x:v>1</x:v>
      </x:c>
      <x:c r="B4" s="48"/>
      <x:c r="C4" s="48"/>
      <x:c r="D4" s="48"/>
      <x:c r="E4" s="48"/>
      <x:c r="F4" s="48"/>
      <x:c r="G4" s="48"/>
      <x:c r="H4" s="48"/>
      <x:c r="I4" s="48"/>
      <x:c r="J4" s="48"/>
    </x:row>
    <x:row r="6" ht="15" customHeight="1">
      <x:c r="A6" s="41" t="s">
        <x:v>2</x:v>
      </x:c>
      <x:c r="B6" s="41"/>
      <x:c r="C6" s="41"/>
      <x:c r="D6" s="41"/>
      <x:c r="E6" s="41"/>
      <x:c r="F6" s="41"/>
      <x:c r="G6" s="41"/>
      <x:c r="H6" s="41"/>
      <x:c r="I6" s="41"/>
      <x:c r="J6" s="41"/>
    </x:row>
    <x:row r="7" ht="63.75" customHeight="1">
      <x:c r="A7" s="49" t="s">
        <x:v>3</x:v>
      </x:c>
      <x:c r="B7" s="49"/>
      <x:c r="C7" s="49"/>
      <x:c r="D7" s="49"/>
      <x:c r="E7" s="49"/>
      <x:c r="F7" s="49"/>
      <x:c r="G7" s="49"/>
      <x:c r="H7" s="49"/>
      <x:c r="I7" s="49"/>
      <x:c r="J7" s="49"/>
    </x:row>
    <x:row r="8" ht="15" customHeight="1">
      <x:c r="A8" s="49"/>
      <x:c r="B8" s="49"/>
      <x:c r="C8" s="49"/>
      <x:c r="D8" s="49"/>
      <x:c r="E8" s="49"/>
      <x:c r="F8" s="49"/>
      <x:c r="G8" s="49"/>
      <x:c r="H8" s="49"/>
      <x:c r="I8" s="49"/>
      <x:c r="J8" s="49"/>
    </x:row>
    <x:row r="9" ht="15" customHeight="1">
      <x:c r="A9" s="49"/>
      <x:c r="B9" s="49"/>
      <x:c r="C9" s="49"/>
      <x:c r="D9" s="49"/>
      <x:c r="E9" s="49"/>
      <x:c r="F9" s="49"/>
      <x:c r="G9" s="49"/>
      <x:c r="H9" s="49"/>
      <x:c r="I9" s="49"/>
      <x:c r="J9" s="49"/>
    </x:row>
    <x:row r="11" ht="15" customHeight="1">
      <x:c r="A11" s="41" t="s">
        <x:v>4</x:v>
      </x:c>
      <x:c r="B11" s="41"/>
      <x:c r="C11" s="41"/>
      <x:c r="D11" s="41"/>
      <x:c r="E11" s="41"/>
      <x:c r="F11" s="41"/>
      <x:c r="G11" s="41"/>
      <x:c r="H11" s="41"/>
      <x:c r="I11" s="41"/>
      <x:c r="J11" s="41"/>
    </x:row>
    <x:row r="12" ht="37.5" customHeight="1">
      <x:c r="A12" s="2" t="s">
        <x:v>5</x:v>
      </x:c>
      <x:c r="B12" s="46" t="s">
        <x:v>6</x:v>
      </x:c>
      <x:c r="C12" s="46"/>
      <x:c r="D12" s="46"/>
      <x:c r="E12" s="46"/>
      <x:c r="F12" s="46"/>
      <x:c r="G12" s="46"/>
      <x:c r="H12" s="46"/>
      <x:c r="I12" s="46"/>
      <x:c r="J12" s="46"/>
    </x:row>
    <x:row r="13" ht="37.5" customHeight="1">
      <x:c r="A13" s="3" t="s">
        <x:v>7</x:v>
      </x:c>
      <x:c r="B13" s="40" t="s">
        <x:v>8</x:v>
      </x:c>
      <x:c r="C13" s="40"/>
      <x:c r="D13" s="40"/>
      <x:c r="E13" s="40"/>
      <x:c r="F13" s="40"/>
      <x:c r="G13" s="40"/>
      <x:c r="H13" s="40"/>
      <x:c r="I13" s="40"/>
      <x:c r="J13" s="40"/>
    </x:row>
    <x:row r="14" ht="37.5" customHeight="1">
      <x:c r="A14" s="2" t="s">
        <x:v>9</x:v>
      </x:c>
      <x:c r="B14" s="46" t="s">
        <x:v>10</x:v>
      </x:c>
      <x:c r="C14" s="46"/>
      <x:c r="D14" s="46"/>
      <x:c r="E14" s="46"/>
      <x:c r="F14" s="46"/>
      <x:c r="G14" s="46"/>
      <x:c r="H14" s="46"/>
      <x:c r="I14" s="46"/>
      <x:c r="J14" s="46"/>
    </x:row>
    <x:row r="15" ht="37.5" customHeight="1">
      <x:c r="A15" s="3" t="s">
        <x:v>11</x:v>
      </x:c>
      <x:c r="B15" s="40" t="s">
        <x:v>12</x:v>
      </x:c>
      <x:c r="C15" s="40"/>
      <x:c r="D15" s="40"/>
      <x:c r="E15" s="40"/>
      <x:c r="F15" s="40"/>
      <x:c r="G15" s="40"/>
      <x:c r="H15" s="40"/>
      <x:c r="I15" s="40"/>
      <x:c r="J15" s="40"/>
    </x:row>
    <x:row r="16" ht="37.5" customHeight="1">
      <x:c r="A16" s="2"/>
      <x:c r="B16" s="46"/>
      <x:c r="C16" s="46"/>
      <x:c r="D16" s="46"/>
      <x:c r="E16" s="46"/>
      <x:c r="F16" s="46"/>
      <x:c r="G16" s="46"/>
      <x:c r="H16" s="46"/>
      <x:c r="I16" s="46"/>
      <x:c r="J16" s="46"/>
    </x:row>
    <x:row r="18" ht="15" customHeight="1">
      <x:c r="A18" s="43" t="s">
        <x:v>13</x:v>
      </x:c>
      <x:c r="B18" s="43"/>
      <x:c r="C18" s="43"/>
      <x:c r="D18" s="43"/>
      <x:c r="E18" s="43"/>
      <x:c r="F18" s="43"/>
      <x:c r="G18" s="43"/>
      <x:c r="H18" s="43"/>
      <x:c r="I18" s="43"/>
      <x:c r="J18" s="43"/>
    </x:row>
    <x:row r="19" ht="15" customHeight="1">
      <x:c r="A19" s="4" t="s">
        <x:v>14</x:v>
      </x:c>
      <x:c r="B19" s="44" t="s">
        <x:v>15</x:v>
      </x:c>
      <x:c r="C19" s="44"/>
      <x:c r="D19" s="44"/>
      <x:c r="E19" s="44"/>
      <x:c r="F19" s="44"/>
      <x:c r="G19" s="44"/>
      <x:c r="H19" s="44"/>
      <x:c r="I19" s="44"/>
      <x:c r="J19" s="44"/>
    </x:row>
    <x:row r="20" ht="15" customHeight="1">
      <x:c r="A20" s="5" t="s">
        <x:v>16</x:v>
      </x:c>
      <x:c r="B20" s="45" t="s">
        <x:v>17</x:v>
      </x:c>
      <x:c r="C20" s="45"/>
      <x:c r="D20" s="45"/>
      <x:c r="E20" s="45"/>
      <x:c r="F20" s="45"/>
      <x:c r="G20" s="45"/>
      <x:c r="H20" s="45"/>
      <x:c r="I20" s="45"/>
      <x:c r="J20" s="45"/>
    </x:row>
    <x:row r="21" ht="15" customHeight="1">
      <x:c r="A21" s="6" t="s">
        <x:v>18</x:v>
      </x:c>
      <x:c r="B21" s="40" t="s">
        <x:v>19</x:v>
      </x:c>
      <x:c r="C21" s="40"/>
      <x:c r="D21" s="40"/>
      <x:c r="E21" s="40"/>
      <x:c r="F21" s="40"/>
      <x:c r="G21" s="40"/>
      <x:c r="H21" s="40"/>
      <x:c r="I21" s="40"/>
      <x:c r="J21" s="40"/>
    </x:row>
    <x:row r="22" ht="15" customHeight="1">
      <x:c r="A22" s="7" t="s">
        <x:v>20</x:v>
      </x:c>
      <x:c r="B22" s="40" t="s">
        <x:v>21</x:v>
      </x:c>
      <x:c r="C22" s="40"/>
      <x:c r="D22" s="40"/>
      <x:c r="E22" s="40"/>
      <x:c r="F22" s="40"/>
      <x:c r="G22" s="40"/>
      <x:c r="H22" s="40"/>
      <x:c r="I22" s="40"/>
      <x:c r="J22" s="40"/>
    </x:row>
    <x:row r="23" ht="15" customHeight="1">
      <x:c r="A23" s="8" t="s">
        <x:v>22</x:v>
      </x:c>
      <x:c r="B23" s="40" t="s">
        <x:v>23</x:v>
      </x:c>
      <x:c r="C23" s="40"/>
      <x:c r="D23" s="40"/>
      <x:c r="E23" s="40"/>
      <x:c r="F23" s="40"/>
      <x:c r="G23" s="40"/>
      <x:c r="H23" s="40"/>
      <x:c r="I23" s="40"/>
      <x:c r="J23" s="40"/>
    </x:row>
    <x:row r="25" ht="15" customHeight="1">
      <x:c r="A25" s="41" t="s">
        <x:v>24</x:v>
      </x:c>
      <x:c r="B25" s="41"/>
      <x:c r="C25" s="41"/>
      <x:c r="D25" s="41"/>
      <x:c r="E25" s="41"/>
      <x:c r="F25" s="41"/>
      <x:c r="G25" s="41"/>
      <x:c r="H25" s="41"/>
      <x:c r="I25" s="41"/>
      <x:c r="J25" s="41"/>
    </x:row>
    <x:row r="26" ht="15" customHeight="1">
      <x:c r="A26" s="1" t="s">
        <x:v>25</x:v>
      </x:c>
      <x:c r="B26" s="42" t="s">
        <x:v>26</x:v>
      </x:c>
      <x:c r="C26" s="42"/>
      <x:c r="D26" s="42"/>
      <x:c r="E26" s="42"/>
      <x:c r="F26" s="42"/>
      <x:c r="G26" s="42"/>
      <x:c r="H26" s="42"/>
      <x:c r="I26" s="42"/>
      <x:c r="J26" s="1" t="s">
        <x:v>27</x:v>
      </x:c>
    </x:row>
    <x:row r="27" ht="15" customHeight="1">
      <x:c r="A27" s="9" t="s">
        <x:v>28</x:v>
      </x:c>
      <x:c r="B27" s="38" t="s">
        <x:v>29</x:v>
      </x:c>
      <x:c r="C27" s="38"/>
      <x:c r="D27" s="38"/>
      <x:c r="E27" s="38"/>
      <x:c r="F27" s="38"/>
      <x:c r="G27" s="38"/>
      <x:c r="H27" s="38"/>
      <x:c r="I27" s="38"/>
      <x:c r="J27" s="10" t="s">
        <x:v>30</x:v>
      </x:c>
    </x:row>
    <x:row r="28" ht="15" customHeight="1">
      <x:c r="A28" s="7" t="s">
        <x:v>31</x:v>
      </x:c>
      <x:c r="B28" s="39" t="s">
        <x:v>32</x:v>
      </x:c>
      <x:c r="C28" s="39"/>
      <x:c r="D28" s="39"/>
      <x:c r="E28" s="39"/>
      <x:c r="F28" s="39"/>
      <x:c r="G28" s="39"/>
      <x:c r="H28" s="39"/>
      <x:c r="I28" s="39"/>
      <x:c r="J28" s="11" t="s">
        <x:v>33</x:v>
      </x:c>
    </x:row>
    <x:row r="29" ht="15" customHeight="1">
      <x:c r="A29" s="9" t="s">
        <x:v>34</x:v>
      </x:c>
      <x:c r="B29" s="38" t="s">
        <x:v>35</x:v>
      </x:c>
      <x:c r="C29" s="38"/>
      <x:c r="D29" s="38"/>
      <x:c r="E29" s="38"/>
      <x:c r="F29" s="38"/>
      <x:c r="G29" s="38"/>
      <x:c r="H29" s="38"/>
      <x:c r="I29" s="38"/>
      <x:c r="J29" s="10" t="s">
        <x:v>36</x:v>
      </x:c>
    </x:row>
    <x:row r="30" ht="15" customHeight="1">
      <x:c r="A30" s="7" t="s">
        <x:v>37</x:v>
      </x:c>
      <x:c r="B30" s="39" t="s">
        <x:v>38</x:v>
      </x:c>
      <x:c r="C30" s="39"/>
      <x:c r="D30" s="39"/>
      <x:c r="E30" s="39"/>
      <x:c r="F30" s="39"/>
      <x:c r="G30" s="39"/>
      <x:c r="H30" s="39"/>
      <x:c r="I30" s="39"/>
      <x:c r="J30" s="11" t="s">
        <x:v>36</x:v>
      </x:c>
    </x:row>
  </x:sheetData>
  <x:mergeCells>
    <x:mergeCell ref="A2:J2"/>
    <x:mergeCell ref="A4:J4"/>
    <x:mergeCell ref="A6:J6"/>
    <x:mergeCell ref="A7:J9"/>
    <x:mergeCell ref="A11:J11"/>
    <x:mergeCell ref="B12:J12"/>
    <x:mergeCell ref="B13:J13"/>
    <x:mergeCell ref="B14:J14"/>
    <x:mergeCell ref="B15:J15"/>
    <x:mergeCell ref="B16:J16"/>
    <x:mergeCell ref="A18:J18"/>
    <x:mergeCell ref="B19:J19"/>
    <x:mergeCell ref="B20:J20"/>
    <x:mergeCell ref="B21:J21"/>
    <x:mergeCell ref="B22:J22"/>
    <x:mergeCell ref="B29:I29"/>
    <x:mergeCell ref="B30:I30"/>
    <x:mergeCell ref="B23:J23"/>
    <x:mergeCell ref="A25:J25"/>
    <x:mergeCell ref="B26:I26"/>
    <x:mergeCell ref="B27:I27"/>
    <x:mergeCell ref="B28:I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7109375" defaultRowHeight="15"/>
  <x:cols>
    <x:col min="1" max="1" width="32" customWidth="1"/>
    <x:col min="2" max="2" width="12" customWidth="1"/>
    <x:col min="3" max="3" width="16" customWidth="1"/>
    <x:col min="4" max="5" width="14" customWidth="1"/>
    <x:col min="6" max="6" width="20" customWidth="1"/>
    <x:col min="7" max="7" width="18" customWidth="1"/>
    <x:col min="8" max="8" width="22" customWidth="1"/>
  </x:cols>
  <x:sheetData>
    <x:row r="1" ht="15.75" customHeight="1">
      <x:c r="A1" s="55" t="s">
        <x:v>39</x:v>
      </x:c>
      <x:c r="B1" s="55"/>
      <x:c r="C1" s="55"/>
      <x:c r="D1" s="55"/>
      <x:c r="E1" s="55"/>
      <x:c r="F1" s="55"/>
      <x:c r="G1" s="55"/>
      <x:c r="H1" s="55"/>
    </x:row>
    <x:row r="3" ht="15" customHeight="1">
      <x:c r="A3" s="41" t="s">
        <x:v>40</x:v>
      </x:c>
      <x:c r="B3" s="41"/>
      <x:c r="C3" s="41"/>
      <x:c r="D3" s="41"/>
      <x:c r="E3" s="41"/>
      <x:c r="F3" s="12" t="s">
        <x:v>41</x:v>
      </x:c>
      <x:c r="G3" s="1" t="s">
        <x:v>42</x:v>
      </x:c>
    </x:row>
    <x:row r="4" ht="18" customHeight="1">
      <x:c r="A4" s="13" t="s">
        <x:v>43</x:v>
      </x:c>
      <x:c r="B4" s="52"/>
      <x:c r="C4" s="52"/>
      <x:c r="D4" s="52"/>
      <x:c r="E4" s="52"/>
      <x:c r="F4" s="14">
        <x:v>425000</x:v>
      </x:c>
      <x:c r="G4" s="54" t="s">
        <x:v>44</x:v>
      </x:c>
      <x:c r="H4" s="54"/>
    </x:row>
    <x:row r="5" ht="18" customHeight="1">
      <x:c r="A5" s="13" t="s">
        <x:v>45</x:v>
      </x:c>
      <x:c r="B5" s="52"/>
      <x:c r="C5" s="52"/>
      <x:c r="D5" s="52"/>
      <x:c r="E5" s="52"/>
      <x:c r="F5" s="14">
        <x:v>272000</x:v>
      </x:c>
      <x:c r="G5" s="54" t="s">
        <x:v>44</x:v>
      </x:c>
      <x:c r="H5" s="54"/>
    </x:row>
    <x:row r="6" ht="18" customHeight="1">
      <x:c r="A6" s="15" t="s">
        <x:v>46</x:v>
      </x:c>
      <x:c r="B6" s="52"/>
      <x:c r="C6" s="52"/>
      <x:c r="D6" s="52"/>
      <x:c r="E6" s="52"/>
      <x:c r="F6" s="16"/>
      <x:c r="G6" s="50" t="s">
        <x:v>47</x:v>
      </x:c>
      <x:c r="H6" s="50"/>
    </x:row>
    <x:row r="7" ht="18" customHeight="1">
      <x:c r="A7" s="13"/>
      <x:c r="B7" s="52"/>
      <x:c r="C7" s="52"/>
      <x:c r="D7" s="52"/>
      <x:c r="E7" s="52"/>
    </x:row>
    <x:row r="8" ht="18" customHeight="1">
      <x:c r="A8" s="13" t="s">
        <x:v>48</x:v>
      </x:c>
      <x:c r="B8" s="52"/>
      <x:c r="C8" s="52"/>
      <x:c r="D8" s="52"/>
      <x:c r="E8" s="52"/>
      <x:c r="F8" s="14">
        <x:v>61000</x:v>
      </x:c>
      <x:c r="G8" s="54" t="s">
        <x:v>49</x:v>
      </x:c>
      <x:c r="H8" s="54"/>
    </x:row>
    <x:row r="9" ht="18" customHeight="1">
      <x:c r="A9" s="13" t="s">
        <x:v>50</x:v>
      </x:c>
      <x:c r="B9" s="52"/>
      <x:c r="C9" s="52"/>
      <x:c r="D9" s="52"/>
      <x:c r="E9" s="52"/>
      <x:c r="F9" s="14">
        <x:v>18500</x:v>
      </x:c>
      <x:c r="G9" s="54" t="s">
        <x:v>49</x:v>
      </x:c>
      <x:c r="H9" s="54"/>
    </x:row>
    <x:row r="10" ht="18" customHeight="1">
      <x:c r="A10" s="15" t="s">
        <x:v>51</x:v>
      </x:c>
      <x:c r="B10" s="52"/>
      <x:c r="C10" s="52"/>
      <x:c r="D10" s="52"/>
      <x:c r="E10" s="52"/>
      <x:c r="F10" s="16"/>
      <x:c r="G10" s="50" t="s">
        <x:v>52</x:v>
      </x:c>
      <x:c r="H10" s="50"/>
    </x:row>
    <x:row r="11" ht="18" customHeight="1">
      <x:c r="A11" s="13"/>
      <x:c r="B11" s="52"/>
      <x:c r="C11" s="52"/>
      <x:c r="D11" s="52"/>
      <x:c r="E11" s="52"/>
    </x:row>
    <x:row r="12" ht="30.75" customHeight="1">
      <x:c r="A12" s="13" t="s">
        <x:v>53</x:v>
      </x:c>
      <x:c r="B12" s="52"/>
      <x:c r="C12" s="52"/>
      <x:c r="D12" s="52"/>
      <x:c r="E12" s="52"/>
      <x:c r="F12" s="14">
        <x:v>9800</x:v>
      </x:c>
      <x:c r="G12" s="54" t="s">
        <x:v>54</x:v>
      </x:c>
      <x:c r="H12" s="54"/>
    </x:row>
    <x:row r="13" ht="35.25" customHeight="1">
      <x:c r="A13" s="15" t="s">
        <x:v>55</x:v>
      </x:c>
      <x:c r="B13" s="52"/>
      <x:c r="C13" s="52"/>
      <x:c r="D13" s="52"/>
      <x:c r="E13" s="52"/>
      <x:c r="F13" s="16"/>
      <x:c r="G13" s="50" t="s">
        <x:v>56</x:v>
      </x:c>
      <x:c r="H13" s="50"/>
    </x:row>
    <x:row r="14" ht="30.75" customHeight="1">
      <x:c r="A14" s="13" t="s">
        <x:v>57</x:v>
      </x:c>
      <x:c r="B14" s="52"/>
      <x:c r="C14" s="52"/>
      <x:c r="D14" s="52"/>
      <x:c r="E14" s="52"/>
      <x:c r="F14" s="16"/>
      <x:c r="G14" s="50" t="s">
        <x:v>58</x:v>
      </x:c>
      <x:c r="H14" s="50"/>
    </x:row>
    <x:row r="15" ht="33.75" customHeight="1">
      <x:c r="A15" s="15" t="s">
        <x:v>59</x:v>
      </x:c>
      <x:c r="B15" s="52"/>
      <x:c r="C15" s="52"/>
      <x:c r="D15" s="52"/>
      <x:c r="E15" s="52"/>
      <x:c r="F15" s="16"/>
      <x:c r="G15" s="50" t="s">
        <x:v>60</x:v>
      </x:c>
      <x:c r="H15" s="50"/>
    </x:row>
    <x:row r="22" ht="15" customHeight="1">
      <x:c r="A22" s="41" t="s">
        <x:v>61</x:v>
      </x:c>
      <x:c r="B22" s="41"/>
      <x:c r="C22" s="41"/>
      <x:c r="D22" s="41"/>
      <x:c r="E22" s="41"/>
      <x:c r="F22" s="12" t="s">
        <x:v>41</x:v>
      </x:c>
    </x:row>
    <x:row r="23" ht="15" customHeight="1">
      <x:c r="A23" s="43" t="s">
        <x:v>62</x:v>
      </x:c>
      <x:c r="B23" s="43"/>
      <x:c r="C23" s="43"/>
      <x:c r="D23" s="43"/>
      <x:c r="E23" s="43"/>
      <x:c r="F23" s="43"/>
    </x:row>
    <x:row r="24" ht="15" customHeight="1">
      <x:c r="A24" s="13" t="s">
        <x:v>63</x:v>
      </x:c>
      <x:c r="B24" s="52"/>
      <x:c r="C24" s="52"/>
      <x:c r="D24" s="52"/>
      <x:c r="E24" s="52"/>
      <x:c r="F24" s="14">
        <x:v>32500</x:v>
      </x:c>
    </x:row>
    <x:row r="25" ht="15" customHeight="1">
      <x:c r="A25" s="13" t="s">
        <x:v>64</x:v>
      </x:c>
      <x:c r="B25" s="52"/>
      <x:c r="C25" s="52"/>
      <x:c r="D25" s="52"/>
      <x:c r="E25" s="52"/>
      <x:c r="F25" s="14">
        <x:v>58000</x:v>
      </x:c>
    </x:row>
    <x:row r="26" ht="15" customHeight="1">
      <x:c r="A26" s="13" t="s">
        <x:v>65</x:v>
      </x:c>
      <x:c r="B26" s="52"/>
      <x:c r="C26" s="52"/>
      <x:c r="D26" s="52"/>
      <x:c r="E26" s="52"/>
      <x:c r="F26" s="14">
        <x:v>44200</x:v>
      </x:c>
    </x:row>
    <x:row r="27" ht="15" customHeight="1">
      <x:c r="A27" s="13" t="s">
        <x:v>66</x:v>
      </x:c>
      <x:c r="B27" s="52"/>
      <x:c r="C27" s="52"/>
      <x:c r="D27" s="52"/>
      <x:c r="E27" s="52"/>
      <x:c r="F27" s="14">
        <x:v>8300</x:v>
      </x:c>
    </x:row>
    <x:row r="28" ht="15" customHeight="1">
      <x:c r="A28" s="15" t="s">
        <x:v>67</x:v>
      </x:c>
      <x:c r="B28" s="52"/>
      <x:c r="C28" s="52"/>
      <x:c r="D28" s="52"/>
      <x:c r="E28" s="52"/>
      <x:c r="F28" s="17" t="n">
        <x:f>SUM(F24:F27)</x:f>
        <x:v>143000</x:v>
      </x:c>
    </x:row>
    <x:row r="29" ht="15" customHeight="1">
      <x:c r="A29" s="13"/>
      <x:c r="B29" s="52"/>
      <x:c r="C29" s="52"/>
      <x:c r="D29" s="52"/>
      <x:c r="E29" s="52"/>
    </x:row>
    <x:row r="30" ht="15" customHeight="1">
      <x:c r="A30" s="13" t="s">
        <x:v>68</x:v>
      </x:c>
      <x:c r="B30" s="52"/>
      <x:c r="C30" s="52"/>
      <x:c r="D30" s="52"/>
      <x:c r="E30" s="52"/>
      <x:c r="F30" s="14">
        <x:v>312000</x:v>
      </x:c>
    </x:row>
    <x:row r="31" ht="15" customHeight="1">
      <x:c r="A31" s="13" t="s">
        <x:v>69</x:v>
      </x:c>
      <x:c r="B31" s="52"/>
      <x:c r="C31" s="52"/>
      <x:c r="D31" s="52"/>
      <x:c r="E31" s="52"/>
      <x:c r="F31" s="14">
        <x:v>22000</x:v>
      </x:c>
    </x:row>
    <x:row r="32" ht="15" customHeight="1">
      <x:c r="A32" s="13" t="s">
        <x:v>70</x:v>
      </x:c>
      <x:c r="B32" s="52"/>
      <x:c r="C32" s="52"/>
      <x:c r="D32" s="52"/>
      <x:c r="E32" s="52"/>
      <x:c r="F32" s="14">
        <x:v>9500</x:v>
      </x:c>
    </x:row>
    <x:row r="33" ht="15" customHeight="1">
      <x:c r="A33" s="15" t="s">
        <x:v>71</x:v>
      </x:c>
      <x:c r="B33" s="52"/>
      <x:c r="C33" s="52"/>
      <x:c r="D33" s="52"/>
      <x:c r="E33" s="52"/>
      <x:c r="F33" s="17" t="n">
        <x:f>F28+F30+F31+F32</x:f>
        <x:v>486500</x:v>
      </x:c>
    </x:row>
    <x:row r="36" ht="15" customHeight="1">
      <x:c r="A36" s="43" t="s">
        <x:v>72</x:v>
      </x:c>
      <x:c r="B36" s="43"/>
      <x:c r="C36" s="43"/>
      <x:c r="D36" s="43"/>
      <x:c r="E36" s="43"/>
      <x:c r="F36" s="43"/>
    </x:row>
    <x:row r="37" ht="15" customHeight="1">
      <x:c r="A37" s="13" t="s">
        <x:v>73</x:v>
      </x:c>
      <x:c r="B37" s="52"/>
      <x:c r="C37" s="52"/>
      <x:c r="D37" s="52"/>
      <x:c r="E37" s="52"/>
      <x:c r="F37" s="14">
        <x:v>29400</x:v>
      </x:c>
    </x:row>
    <x:row r="38" ht="15" customHeight="1">
      <x:c r="A38" s="13" t="s">
        <x:v>74</x:v>
      </x:c>
      <x:c r="B38" s="52"/>
      <x:c r="C38" s="52"/>
      <x:c r="D38" s="52"/>
      <x:c r="E38" s="52"/>
      <x:c r="F38" s="14">
        <x:v>45000</x:v>
      </x:c>
    </x:row>
    <x:row r="39" ht="15" customHeight="1">
      <x:c r="A39" s="13" t="s">
        <x:v>75</x:v>
      </x:c>
      <x:c r="B39" s="52"/>
      <x:c r="C39" s="52"/>
      <x:c r="D39" s="52"/>
      <x:c r="E39" s="52"/>
      <x:c r="F39" s="14">
        <x:v>13100</x:v>
      </x:c>
    </x:row>
    <x:row r="40" ht="15" customHeight="1">
      <x:c r="A40" s="15" t="s">
        <x:v>76</x:v>
      </x:c>
      <x:c r="B40" s="52"/>
      <x:c r="C40" s="52"/>
      <x:c r="D40" s="52"/>
      <x:c r="E40" s="52"/>
      <x:c r="F40" s="17" t="n">
        <x:f>SUM(F37:F39)</x:f>
        <x:v>87500</x:v>
      </x:c>
    </x:row>
    <x:row r="41" ht="15" customHeight="1">
      <x:c r="A41" s="13"/>
    </x:row>
    <x:row r="42" ht="15" customHeight="1">
      <x:c r="A42" s="13" t="s">
        <x:v>77</x:v>
      </x:c>
      <x:c r="B42" s="52"/>
      <x:c r="C42" s="52"/>
      <x:c r="D42" s="52"/>
      <x:c r="E42" s="52"/>
      <x:c r="F42" s="14">
        <x:v>110000</x:v>
      </x:c>
    </x:row>
    <x:row r="43" ht="15" customHeight="1">
      <x:c r="A43" s="13" t="s">
        <x:v>78</x:v>
      </x:c>
      <x:c r="B43" s="52"/>
      <x:c r="C43" s="52"/>
      <x:c r="D43" s="52"/>
      <x:c r="E43" s="52"/>
      <x:c r="F43" s="14">
        <x:v>7200</x:v>
      </x:c>
    </x:row>
    <x:row r="44" ht="15" customHeight="1">
      <x:c r="A44" s="15" t="s">
        <x:v>79</x:v>
      </x:c>
      <x:c r="B44" s="52"/>
      <x:c r="C44" s="52"/>
      <x:c r="D44" s="52"/>
      <x:c r="E44" s="52"/>
      <x:c r="F44" s="17" t="n">
        <x:f>F40+F42+F43</x:f>
        <x:v>204700</x:v>
      </x:c>
    </x:row>
    <x:row r="45" ht="15" customHeight="1">
      <x:c r="A45" s="13"/>
    </x:row>
    <x:row r="46" ht="15" customHeight="1">
      <x:c r="A46" s="13" t="s">
        <x:v>80</x:v>
      </x:c>
      <x:c r="B46" s="52"/>
      <x:c r="C46" s="52"/>
      <x:c r="D46" s="52"/>
      <x:c r="E46" s="52"/>
      <x:c r="F46" s="14">
        <x:v>85000</x:v>
      </x:c>
    </x:row>
    <x:row r="47" ht="15" customHeight="1">
      <x:c r="A47" s="13" t="s">
        <x:v>81</x:v>
      </x:c>
      <x:c r="B47" s="52"/>
      <x:c r="C47" s="52"/>
      <x:c r="D47" s="52"/>
      <x:c r="E47" s="52"/>
      <x:c r="F47" s="14">
        <x:v>135800</x:v>
      </x:c>
    </x:row>
    <x:row r="48" ht="15" customHeight="1">
      <x:c r="A48" s="15" t="s">
        <x:v>82</x:v>
      </x:c>
      <x:c r="B48" s="52"/>
      <x:c r="C48" s="52"/>
      <x:c r="D48" s="52"/>
      <x:c r="E48" s="52"/>
      <x:c r="F48" s="17" t="n">
        <x:f>SUM(F46:F47)</x:f>
        <x:v>220800</x:v>
      </x:c>
    </x:row>
    <x:row r="49" ht="15" customHeight="1">
      <x:c r="A49" s="15" t="s">
        <x:v>83</x:v>
      </x:c>
      <x:c r="B49" s="52"/>
      <x:c r="C49" s="52"/>
      <x:c r="D49" s="52"/>
      <x:c r="E49" s="52"/>
      <x:c r="F49" s="17" t="n">
        <x:f>F44+F48</x:f>
        <x:v>425500</x:v>
      </x:c>
    </x:row>
    <x:row r="53" ht="15" customHeight="1">
      <x:c r="A53" s="41" t="s">
        <x:v>84</x:v>
      </x:c>
      <x:c r="B53" s="41"/>
      <x:c r="C53" s="41"/>
      <x:c r="D53" s="41"/>
      <x:c r="E53" s="41"/>
      <x:c r="F53" s="41"/>
      <x:c r="G53" s="41"/>
      <x:c r="H53" s="41"/>
    </x:row>
    <x:row r="54" ht="15" customHeight="1">
      <x:c r="A54" s="1" t="s">
        <x:v>85</x:v>
      </x:c>
      <x:c r="B54" s="1" t="s">
        <x:v>86</x:v>
      </x:c>
      <x:c r="C54" s="1" t="s">
        <x:v>87</x:v>
      </x:c>
      <x:c r="D54" s="53" t="s">
        <x:v>88</x:v>
      </x:c>
      <x:c r="E54" s="53"/>
      <x:c r="F54" s="53"/>
    </x:row>
    <x:row r="55" ht="38.25" customHeight="1">
      <x:c r="A55" s="15" t="s">
        <x:v>89</x:v>
      </x:c>
      <x:c r="B55" s="18" t="s">
        <x:v>90</x:v>
      </x:c>
      <x:c r="C55" s="19"/>
      <x:c r="D55" s="50" t="s">
        <x:v>91</x:v>
      </x:c>
      <x:c r="E55" s="50"/>
      <x:c r="F55" s="50"/>
    </x:row>
    <x:row r="56" ht="34.5" customHeight="1">
      <x:c r="A56" s="15" t="s">
        <x:v>92</x:v>
      </x:c>
      <x:c r="B56" s="18" t="s">
        <x:v>93</x:v>
      </x:c>
      <x:c r="C56" s="19"/>
      <x:c r="D56" s="50" t="s">
        <x:v>94</x:v>
      </x:c>
      <x:c r="E56" s="50"/>
      <x:c r="F56" s="50"/>
    </x:row>
    <x:row r="57" ht="32.25" customHeight="1">
      <x:c r="A57" s="15" t="s">
        <x:v>95</x:v>
      </x:c>
      <x:c r="B57" s="18" t="s">
        <x:v>96</x:v>
      </x:c>
      <x:c r="C57" s="19"/>
      <x:c r="D57" s="50" t="s">
        <x:v>97</x:v>
      </x:c>
      <x:c r="E57" s="50"/>
      <x:c r="F57" s="50"/>
    </x:row>
    <x:row r="58" ht="35.25" customHeight="1">
      <x:c r="A58" s="15" t="s">
        <x:v>98</x:v>
      </x:c>
      <x:c r="B58" s="18" t="s">
        <x:v>99</x:v>
      </x:c>
      <x:c r="C58" s="19"/>
      <x:c r="D58" s="50" t="s">
        <x:v>100</x:v>
      </x:c>
      <x:c r="E58" s="50"/>
      <x:c r="F58" s="50"/>
    </x:row>
    <x:row r="59" ht="33.75" customHeight="1">
      <x:c r="A59" s="15" t="s">
        <x:v>101</x:v>
      </x:c>
      <x:c r="B59" s="18" t="s">
        <x:v>102</x:v>
      </x:c>
      <x:c r="C59" s="19"/>
      <x:c r="D59" s="50" t="s">
        <x:v>103</x:v>
      </x:c>
      <x:c r="E59" s="50"/>
      <x:c r="F59" s="50"/>
    </x:row>
    <x:row r="61" ht="15" customHeight="1">
      <x:c r="A61" s="51" t="s">
        <x:v>104</x:v>
      </x:c>
      <x:c r="B61" s="51"/>
      <x:c r="C61" s="51"/>
      <x:c r="D61" s="51"/>
      <x:c r="E61" s="51"/>
      <x:c r="F61" s="51"/>
      <x:c r="G61" s="51"/>
      <x:c r="H61" s="51"/>
    </x:row>
    <x:row r="62" ht="15" customHeight="1">
      <x:c r="A62" s="51"/>
      <x:c r="B62" s="51"/>
      <x:c r="C62" s="51"/>
      <x:c r="D62" s="51"/>
      <x:c r="E62" s="51"/>
      <x:c r="F62" s="51"/>
      <x:c r="G62" s="51"/>
      <x:c r="H62" s="51"/>
    </x:row>
  </x:sheetData>
  <x:mergeCells>
    <x:mergeCell ref="A1:H1"/>
    <x:mergeCell ref="A3:E3"/>
    <x:mergeCell ref="B4:E4"/>
    <x:mergeCell ref="G4:H4"/>
    <x:mergeCell ref="B5:E5"/>
    <x:mergeCell ref="G5:H5"/>
    <x:mergeCell ref="B6:E6"/>
    <x:mergeCell ref="G6:H6"/>
    <x:mergeCell ref="B7:E7"/>
    <x:mergeCell ref="B8:E8"/>
    <x:mergeCell ref="G8:H8"/>
    <x:mergeCell ref="B9:E9"/>
    <x:mergeCell ref="G9:H9"/>
    <x:mergeCell ref="B10:E10"/>
    <x:mergeCell ref="G10:H10"/>
    <x:mergeCell ref="B11:E11"/>
    <x:mergeCell ref="B12:E12"/>
    <x:mergeCell ref="G12:H12"/>
    <x:mergeCell ref="B13:E13"/>
    <x:mergeCell ref="G13:H13"/>
    <x:mergeCell ref="B14:E14"/>
    <x:mergeCell ref="G14:H14"/>
    <x:mergeCell ref="B15:E15"/>
    <x:mergeCell ref="G15:H15"/>
    <x:mergeCell ref="A22:E22"/>
    <x:mergeCell ref="A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  <x:mergeCell ref="A36:F36"/>
    <x:mergeCell ref="B37:E37"/>
    <x:mergeCell ref="B38:E38"/>
    <x:mergeCell ref="B39:E39"/>
    <x:mergeCell ref="B40:E40"/>
    <x:mergeCell ref="B42:E42"/>
    <x:mergeCell ref="B43:E43"/>
    <x:mergeCell ref="B44:E44"/>
    <x:mergeCell ref="B46:E46"/>
    <x:mergeCell ref="B47:E47"/>
    <x:mergeCell ref="B48:E48"/>
    <x:mergeCell ref="D57:F57"/>
    <x:mergeCell ref="D58:F58"/>
    <x:mergeCell ref="D59:F59"/>
    <x:mergeCell ref="A61:H62"/>
    <x:mergeCell ref="B49:E49"/>
    <x:mergeCell ref="A53:H53"/>
    <x:mergeCell ref="D54:F54"/>
    <x:mergeCell ref="D55:F55"/>
    <x:mergeCell ref="D56:F5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7109375" defaultRowHeight="15"/>
  <x:cols>
    <x:col min="1" max="1" width="30" customWidth="1"/>
    <x:col min="2" max="2" width="19.42578125" customWidth="1"/>
    <x:col min="3" max="3" width="16" customWidth="1"/>
    <x:col min="4" max="4" width="18" customWidth="1"/>
    <x:col min="5" max="5" width="20" customWidth="1"/>
    <x:col min="6" max="7" width="14" customWidth="1"/>
    <x:col min="8" max="8" width="20" customWidth="1"/>
  </x:cols>
  <x:sheetData>
    <x:row r="1" ht="15.75" customHeight="1">
      <x:c r="A1" s="55" t="s">
        <x:v>105</x:v>
      </x:c>
      <x:c r="B1" s="55"/>
      <x:c r="C1" s="55"/>
      <x:c r="D1" s="55"/>
      <x:c r="E1" s="55"/>
      <x:c r="F1" s="55"/>
      <x:c r="G1" s="55"/>
      <x:c r="H1" s="55"/>
    </x:row>
    <x:row r="3" ht="15" customHeight="1">
      <x:c r="A3" s="41" t="s">
        <x:v>106</x:v>
      </x:c>
      <x:c r="B3" s="41"/>
      <x:c r="C3" s="41"/>
      <x:c r="D3" s="41"/>
      <x:c r="E3" s="41"/>
      <x:c r="F3" s="41"/>
      <x:c r="G3" s="41"/>
      <x:c r="H3" s="41"/>
    </x:row>
    <x:row r="4" ht="15" customHeight="1">
      <x:c r="A4" s="1" t="s">
        <x:v>107</x:v>
      </x:c>
      <x:c r="B4" s="1" t="s">
        <x:v>108</x:v>
      </x:c>
      <x:c r="C4" s="53" t="s">
        <x:v>109</x:v>
      </x:c>
      <x:c r="D4" s="53"/>
      <x:c r="E4" s="53"/>
      <x:c r="F4" s="53"/>
      <x:c r="G4" s="53"/>
      <x:c r="H4" s="53"/>
    </x:row>
    <x:row r="5" ht="15" customHeight="1">
      <x:c r="A5" s="13" t="s">
        <x:v>110</x:v>
      </x:c>
      <x:c r="B5" s="20">
        <x:v>1000</x:v>
      </x:c>
      <x:c r="C5" s="54" t="s">
        <x:v>111</x:v>
      </x:c>
      <x:c r="D5" s="54"/>
      <x:c r="E5" s="54"/>
      <x:c r="F5" s="54"/>
      <x:c r="G5" s="54"/>
      <x:c r="H5" s="54"/>
    </x:row>
    <x:row r="6" ht="15" customHeight="1">
      <x:c r="A6" s="13" t="s">
        <x:v>112</x:v>
      </x:c>
      <x:c r="B6" s="21">
        <x:v>200000</x:v>
      </x:c>
      <x:c r="C6" s="54" t="s">
        <x:v>113</x:v>
      </x:c>
      <x:c r="D6" s="54"/>
      <x:c r="E6" s="54"/>
      <x:c r="F6" s="54"/>
      <x:c r="G6" s="54"/>
      <x:c r="H6" s="54"/>
    </x:row>
    <x:row r="7" ht="15" customHeight="1">
      <x:c r="A7" s="13" t="s">
        <x:v>114</x:v>
      </x:c>
      <x:c r="B7" s="22">
        <x:v>5.5E-2</x:v>
      </x:c>
      <x:c r="C7" s="54" t="s">
        <x:v>115</x:v>
      </x:c>
      <x:c r="D7" s="54"/>
      <x:c r="E7" s="54"/>
      <x:c r="F7" s="54"/>
      <x:c r="G7" s="54"/>
      <x:c r="H7" s="54"/>
    </x:row>
    <x:row r="8" ht="15" customHeight="1">
      <x:c r="A8" s="13" t="s">
        <x:v>116</x:v>
      </x:c>
      <x:c r="B8" s="22">
        <x:v>5.8000000000000003E-2</x:v>
      </x:c>
      <x:c r="C8" s="54" t="s">
        <x:v>117</x:v>
      </x:c>
      <x:c r="D8" s="54"/>
      <x:c r="E8" s="54"/>
      <x:c r="F8" s="54"/>
      <x:c r="G8" s="54"/>
      <x:c r="H8" s="54"/>
    </x:row>
    <x:row r="9" ht="15" customHeight="1">
      <x:c r="A9" s="13" t="s">
        <x:v>118</x:v>
      </x:c>
      <x:c r="B9" s="23">
        <x:v>10</x:v>
      </x:c>
      <x:c r="C9" s="54" t="s">
        <x:v>119</x:v>
      </x:c>
      <x:c r="D9" s="54"/>
      <x:c r="E9" s="54"/>
      <x:c r="F9" s="54"/>
      <x:c r="G9" s="54"/>
      <x:c r="H9" s="54"/>
    </x:row>
    <x:row r="10" ht="23.25" customHeight="1">
      <x:c r="A10" s="13" t="s">
        <x:v>120</x:v>
      </x:c>
      <x:c r="B10" s="23">
        <x:v>2</x:v>
      </x:c>
      <x:c r="C10" s="54" t="s">
        <x:v>121</x:v>
      </x:c>
      <x:c r="D10" s="54"/>
      <x:c r="E10" s="54"/>
      <x:c r="F10" s="54"/>
      <x:c r="G10" s="54"/>
      <x:c r="H10" s="54"/>
    </x:row>
    <x:row r="12" ht="15" customHeight="1">
      <x:c r="A12" s="41" t="s">
        <x:v>122</x:v>
      </x:c>
      <x:c r="B12" s="41"/>
      <x:c r="C12" s="41"/>
      <x:c r="D12" s="41"/>
      <x:c r="E12" s="41"/>
      <x:c r="F12" s="41"/>
      <x:c r="G12" s="41"/>
      <x:c r="H12" s="41"/>
    </x:row>
    <x:row r="13" ht="27" customHeight="1">
      <x:c r="A13" s="1" t="s">
        <x:v>123</x:v>
      </x:c>
      <x:c r="B13" s="1" t="s">
        <x:v>124</x:v>
      </x:c>
      <x:c r="C13" s="53" t="s">
        <x:v>125</x:v>
      </x:c>
      <x:c r="D13" s="53"/>
      <x:c r="E13" s="53"/>
      <x:c r="F13" s="53"/>
      <x:c r="G13" s="53"/>
      <x:c r="H13" s="53"/>
    </x:row>
    <x:row r="14" ht="21.75" customHeight="1">
      <x:c r="A14" s="13" t="s">
        <x:v>126</x:v>
      </x:c>
      <x:c r="B14" s="24"/>
      <x:c r="C14" s="50" t="s">
        <x:v>127</x:v>
      </x:c>
      <x:c r="D14" s="50"/>
      <x:c r="E14" s="50"/>
      <x:c r="F14" s="50"/>
      <x:c r="G14" s="50"/>
      <x:c r="H14" s="50"/>
    </x:row>
    <x:row r="15" ht="21.75" customHeight="1">
      <x:c r="A15" s="13" t="s">
        <x:v>128</x:v>
      </x:c>
      <x:c r="B15" s="25"/>
      <x:c r="C15" s="50" t="s">
        <x:v>129</x:v>
      </x:c>
      <x:c r="D15" s="50"/>
      <x:c r="E15" s="50"/>
      <x:c r="F15" s="50"/>
      <x:c r="G15" s="50"/>
      <x:c r="H15" s="50"/>
    </x:row>
    <x:row r="16" ht="21.75" customHeight="1">
      <x:c r="A16" s="13" t="s">
        <x:v>130</x:v>
      </x:c>
      <x:c r="B16" s="26"/>
      <x:c r="C16" s="50" t="s">
        <x:v>131</x:v>
      </x:c>
      <x:c r="D16" s="50"/>
      <x:c r="E16" s="50"/>
      <x:c r="F16" s="50"/>
      <x:c r="G16" s="50"/>
      <x:c r="H16" s="50"/>
    </x:row>
    <x:row r="17" ht="21.75" customHeight="1">
      <x:c r="A17" s="15" t="s">
        <x:v>132</x:v>
      </x:c>
      <x:c r="B17" s="24"/>
      <x:c r="C17" s="50" t="s">
        <x:v>133</x:v>
      </x:c>
      <x:c r="D17" s="50"/>
      <x:c r="E17" s="50"/>
      <x:c r="F17" s="50"/>
      <x:c r="G17" s="50"/>
      <x:c r="H17" s="50"/>
    </x:row>
    <x:row r="18" ht="21.75" customHeight="1">
      <x:c r="A18" s="13" t="s">
        <x:v>134</x:v>
      </x:c>
      <x:c r="B18" s="24"/>
      <x:c r="C18" s="50" t="s">
        <x:v>135</x:v>
      </x:c>
      <x:c r="D18" s="50"/>
      <x:c r="E18" s="50"/>
      <x:c r="F18" s="50"/>
      <x:c r="G18" s="50"/>
      <x:c r="H18" s="50"/>
    </x:row>
    <x:row r="19" ht="21.75" customHeight="1">
      <x:c r="A19" s="15" t="s">
        <x:v>136</x:v>
      </x:c>
      <x:c r="B19" s="27"/>
      <x:c r="C19" s="50" t="s">
        <x:v>137</x:v>
      </x:c>
      <x:c r="D19" s="50"/>
      <x:c r="E19" s="50"/>
      <x:c r="F19" s="50"/>
      <x:c r="G19" s="50"/>
      <x:c r="H19" s="50"/>
    </x:row>
    <x:row r="20" ht="21.75" customHeight="1">
      <x:c r="A20" s="15" t="s">
        <x:v>138</x:v>
      </x:c>
      <x:c r="B20" s="27"/>
      <x:c r="C20" s="50" t="s">
        <x:v>139</x:v>
      </x:c>
      <x:c r="D20" s="50"/>
      <x:c r="E20" s="50"/>
      <x:c r="F20" s="50"/>
      <x:c r="G20" s="50"/>
      <x:c r="H20" s="50"/>
    </x:row>
    <x:row r="21" ht="21.75" customHeight="1">
      <x:c r="A21" s="13" t="s">
        <x:v>140</x:v>
      </x:c>
      <x:c r="B21" s="25"/>
      <x:c r="C21" s="50" t="s">
        <x:v>141</x:v>
      </x:c>
      <x:c r="D21" s="50"/>
      <x:c r="E21" s="50"/>
      <x:c r="F21" s="50"/>
      <x:c r="G21" s="50"/>
      <x:c r="H21" s="50"/>
    </x:row>
    <x:row r="24" ht="15" customHeight="1">
      <x:c r="A24" s="41" t="s">
        <x:v>142</x:v>
      </x:c>
      <x:c r="B24" s="41"/>
      <x:c r="C24" s="41"/>
      <x:c r="D24" s="41"/>
      <x:c r="E24" s="41"/>
      <x:c r="F24" s="41"/>
      <x:c r="G24" s="41"/>
      <x:c r="H24" s="41"/>
    </x:row>
    <x:row r="25" ht="23.25" customHeight="1">
      <x:c r="A25" s="1" t="s">
        <x:v>143</x:v>
      </x:c>
      <x:c r="B25" s="1" t="s">
        <x:v>144</x:v>
      </x:c>
      <x:c r="C25" s="1" t="s">
        <x:v>145</x:v>
      </x:c>
      <x:c r="D25" s="1" t="s">
        <x:v>146</x:v>
      </x:c>
      <x:c r="E25" s="1" t="s">
        <x:v>147</x:v>
      </x:c>
      <x:c r="F25" s="53" t="s">
        <x:v>148</x:v>
      </x:c>
      <x:c r="G25" s="53"/>
      <x:c r="H25" s="53"/>
    </x:row>
    <x:row r="26" ht="23.25" customHeight="1">
      <x:c r="A26" s="13" t="s">
        <x:v>149</x:v>
      </x:c>
      <x:c r="B26" s="28">
        <x:v>4.4999999999999998E-2</x:v>
      </x:c>
      <x:c r="C26" s="31"/>
      <x:c r="D26" s="31"/>
      <x:c r="E26" s="32"/>
      <x:c r="F26" s="58" t="s">
        <x:v>150</x:v>
      </x:c>
      <x:c r="G26" s="58"/>
      <x:c r="H26" s="58"/>
    </x:row>
    <x:row r="27" ht="21" customHeight="1">
      <x:c r="A27" s="13" t="s">
        <x:v>151</x:v>
      </x:c>
      <x:c r="B27" s="28">
        <x:v>5.5E-2</x:v>
      </x:c>
      <x:c r="C27" s="31"/>
      <x:c r="D27" s="31"/>
      <x:c r="E27" s="32"/>
      <x:c r="F27" s="58" t="s">
        <x:v>152</x:v>
      </x:c>
      <x:c r="G27" s="58"/>
      <x:c r="H27" s="58"/>
    </x:row>
    <x:row r="28" ht="21.75" customHeight="1">
      <x:c r="A28" s="29" t="s">
        <x:v>153</x:v>
      </x:c>
      <x:c r="B28" s="30">
        <x:v>5.8000000000000003E-2</x:v>
      </x:c>
      <x:c r="C28" s="31"/>
      <x:c r="D28" s="31"/>
      <x:c r="E28" s="32"/>
      <x:c r="F28" s="59" t="s">
        <x:v>154</x:v>
      </x:c>
      <x:c r="G28" s="59"/>
      <x:c r="H28" s="59"/>
    </x:row>
    <x:row r="29" ht="23.25" customHeight="1">
      <x:c r="A29" s="13" t="s">
        <x:v>155</x:v>
      </x:c>
      <x:c r="B29" s="28">
        <x:v>6.5000000000000002E-2</x:v>
      </x:c>
      <x:c r="C29" s="31"/>
      <x:c r="D29" s="31"/>
      <x:c r="E29" s="32"/>
      <x:c r="F29" s="58" t="s">
        <x:v>156</x:v>
      </x:c>
      <x:c r="G29" s="58"/>
      <x:c r="H29" s="58"/>
    </x:row>
    <x:row r="30" ht="24.75" customHeight="1">
      <x:c r="A30" s="13" t="s">
        <x:v>157</x:v>
      </x:c>
      <x:c r="B30" s="28">
        <x:v>7.4999999999999997E-2</x:v>
      </x:c>
      <x:c r="C30" s="31"/>
      <x:c r="D30" s="31"/>
      <x:c r="E30" s="32"/>
      <x:c r="F30" s="58" t="s">
        <x:v>158</x:v>
      </x:c>
      <x:c r="G30" s="58"/>
      <x:c r="H30" s="58"/>
    </x:row>
    <x:row r="32" ht="49.5" customHeight="1">
      <x:c r="A32" s="51" t="s">
        <x:v>159</x:v>
      </x:c>
      <x:c r="B32" s="51"/>
      <x:c r="C32" s="51"/>
      <x:c r="D32" s="51"/>
      <x:c r="E32" s="51"/>
      <x:c r="F32" s="51"/>
      <x:c r="G32" s="51"/>
      <x:c r="H32" s="51"/>
    </x:row>
    <x:row r="33" ht="15" customHeight="1">
      <x:c r="A33" s="51"/>
      <x:c r="B33" s="51"/>
      <x:c r="C33" s="51"/>
      <x:c r="D33" s="51"/>
      <x:c r="E33" s="51"/>
      <x:c r="F33" s="51"/>
      <x:c r="G33" s="51"/>
      <x:c r="H33" s="51"/>
    </x:row>
    <x:row r="35" ht="15" customHeight="1">
      <x:c r="A35" s="43" t="s">
        <x:v>160</x:v>
      </x:c>
      <x:c r="B35" s="43"/>
      <x:c r="C35" s="43"/>
      <x:c r="D35" s="43"/>
      <x:c r="E35" s="43"/>
      <x:c r="F35" s="43"/>
      <x:c r="G35" s="43"/>
      <x:c r="H35" s="43"/>
    </x:row>
    <x:row r="36" ht="21.75" customHeight="1">
      <x:c r="A36" s="56" t="s">
        <x:v>161</x:v>
      </x:c>
      <x:c r="B36" s="56"/>
      <x:c r="C36" s="56"/>
      <x:c r="D36" s="56"/>
      <x:c r="E36" s="56"/>
      <x:c r="F36" s="56"/>
      <x:c r="G36" s="56"/>
      <x:c r="H36" s="56"/>
    </x:row>
    <x:row r="37" ht="39.75" customHeight="1">
      <x:c r="A37" s="57" t="s">
        <x:v>162</x:v>
      </x:c>
      <x:c r="B37" s="57"/>
      <x:c r="C37" s="57"/>
      <x:c r="D37" s="57"/>
      <x:c r="E37" s="57"/>
      <x:c r="F37" s="57"/>
      <x:c r="G37" s="57"/>
      <x:c r="H37" s="57"/>
    </x:row>
    <x:row r="38" ht="19.5" customHeight="1">
      <x:c r="A38" s="57"/>
      <x:c r="B38" s="57"/>
      <x:c r="C38" s="57"/>
      <x:c r="D38" s="57"/>
      <x:c r="E38" s="57"/>
      <x:c r="F38" s="57"/>
      <x:c r="G38" s="57"/>
      <x:c r="H38" s="57"/>
    </x:row>
    <x:row r="39" ht="21.75" customHeight="1">
      <x:c r="A39" s="56" t="s">
        <x:v>163</x:v>
      </x:c>
      <x:c r="B39" s="56"/>
      <x:c r="C39" s="56"/>
      <x:c r="D39" s="56"/>
      <x:c r="E39" s="56"/>
      <x:c r="F39" s="56"/>
      <x:c r="G39" s="56"/>
      <x:c r="H39" s="56"/>
    </x:row>
    <x:row r="40" ht="39.75" customHeight="1">
      <x:c r="A40" s="57" t="s">
        <x:v>162</x:v>
      </x:c>
      <x:c r="B40" s="57"/>
      <x:c r="C40" s="57"/>
      <x:c r="D40" s="57"/>
      <x:c r="E40" s="57"/>
      <x:c r="F40" s="57"/>
      <x:c r="G40" s="57"/>
      <x:c r="H40" s="57"/>
    </x:row>
    <x:row r="41" ht="19.5" customHeight="1">
      <x:c r="A41" s="57"/>
      <x:c r="B41" s="57"/>
      <x:c r="C41" s="57"/>
      <x:c r="D41" s="57"/>
      <x:c r="E41" s="57"/>
      <x:c r="F41" s="57"/>
      <x:c r="G41" s="57"/>
      <x:c r="H41" s="57"/>
    </x:row>
    <x:row r="42" ht="21.75" customHeight="1">
      <x:c r="A42" s="56" t="s">
        <x:v>164</x:v>
      </x:c>
      <x:c r="B42" s="56"/>
      <x:c r="C42" s="56"/>
      <x:c r="D42" s="56"/>
      <x:c r="E42" s="56"/>
      <x:c r="F42" s="56"/>
      <x:c r="G42" s="56"/>
      <x:c r="H42" s="56"/>
    </x:row>
    <x:row r="43" ht="39.75" customHeight="1">
      <x:c r="A43" s="57" t="s">
        <x:v>162</x:v>
      </x:c>
      <x:c r="B43" s="57"/>
      <x:c r="C43" s="57"/>
      <x:c r="D43" s="57"/>
      <x:c r="E43" s="57"/>
      <x:c r="F43" s="57"/>
      <x:c r="G43" s="57"/>
      <x:c r="H43" s="57"/>
    </x:row>
    <x:row r="44" ht="19.5" customHeight="1">
      <x:c r="A44" s="57"/>
      <x:c r="B44" s="57"/>
      <x:c r="C44" s="57"/>
      <x:c r="D44" s="57"/>
      <x:c r="E44" s="57"/>
      <x:c r="F44" s="57"/>
      <x:c r="G44" s="57"/>
      <x:c r="H44" s="57"/>
    </x:row>
  </x:sheetData>
  <x:mergeCells>
    <x:mergeCell ref="A1:H1"/>
    <x:mergeCell ref="A3:H3"/>
    <x:mergeCell ref="C4:H4"/>
    <x:mergeCell ref="C5:H5"/>
    <x:mergeCell ref="C6:H6"/>
    <x:mergeCell ref="C7:H7"/>
    <x:mergeCell ref="C8:H8"/>
    <x:mergeCell ref="C9:H9"/>
    <x:mergeCell ref="C10:H10"/>
    <x:mergeCell ref="A12:H12"/>
    <x:mergeCell ref="C13:H13"/>
    <x:mergeCell ref="C14:H14"/>
    <x:mergeCell ref="C15:H15"/>
    <x:mergeCell ref="C16:H16"/>
    <x:mergeCell ref="C17:H17"/>
    <x:mergeCell ref="C18:H18"/>
    <x:mergeCell ref="C19:H19"/>
    <x:mergeCell ref="C20:H20"/>
    <x:mergeCell ref="C21:H21"/>
    <x:mergeCell ref="A24:H24"/>
    <x:mergeCell ref="F25:H25"/>
    <x:mergeCell ref="F26:H26"/>
    <x:mergeCell ref="F27:H27"/>
    <x:mergeCell ref="F28:H28"/>
    <x:mergeCell ref="F29:H29"/>
    <x:mergeCell ref="A39:H39"/>
    <x:mergeCell ref="A40:H41"/>
    <x:mergeCell ref="A42:H42"/>
    <x:mergeCell ref="A43:H44"/>
    <x:mergeCell ref="F30:H30"/>
    <x:mergeCell ref="A32:H33"/>
    <x:mergeCell ref="A35:H35"/>
    <x:mergeCell ref="A36:H36"/>
    <x:mergeCell ref="A37:H3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7109375" defaultRowHeight="15"/>
  <x:cols>
    <x:col min="1" max="1" width="26" customWidth="1"/>
    <x:col min="2" max="2" width="13" customWidth="1"/>
    <x:col min="3" max="6" width="15" customWidth="1"/>
    <x:col min="7" max="7" width="10" customWidth="1"/>
    <x:col min="8" max="9" width="14" customWidth="1"/>
    <x:col min="10" max="10" width="24.28515625" customWidth="1"/>
  </x:cols>
  <x:sheetData>
    <x:row r="1" ht="15.75" customHeight="1">
      <x:c r="A1" s="55" t="s">
        <x:v>165</x:v>
      </x:c>
      <x:c r="B1" s="55"/>
      <x:c r="C1" s="55"/>
      <x:c r="D1" s="55"/>
      <x:c r="E1" s="55"/>
      <x:c r="F1" s="55"/>
      <x:c r="G1" s="55"/>
      <x:c r="H1" s="55"/>
      <x:c r="I1" s="55"/>
      <x:c r="J1" s="55"/>
    </x:row>
    <x:row r="2" ht="15" customHeight="1">
      <x:c r="A2" s="61" t="s">
        <x:v>166</x:v>
      </x:c>
      <x:c r="B2" s="61"/>
      <x:c r="C2" s="61"/>
      <x:c r="D2" s="61"/>
      <x:c r="E2" s="61"/>
      <x:c r="F2" s="61"/>
      <x:c r="G2" s="61"/>
      <x:c r="H2" s="61"/>
      <x:c r="I2" s="61"/>
      <x:c r="J2" s="61"/>
    </x:row>
    <x:row r="4" ht="15" customHeight="1">
      <x:c r="A4" s="41" t="s">
        <x:v>167</x:v>
      </x:c>
      <x:c r="B4" s="41"/>
      <x:c r="C4" s="41"/>
      <x:c r="D4" s="41"/>
      <x:c r="E4" s="41"/>
      <x:c r="F4" s="41"/>
      <x:c r="G4" s="41"/>
      <x:c r="H4" s="41"/>
      <x:c r="I4" s="41"/>
      <x:c r="J4" s="41"/>
    </x:row>
    <x:row r="5" ht="49.5" customHeight="1">
      <x:c r="A5" s="33" t="s">
        <x:v>168</x:v>
      </x:c>
      <x:c r="B5" s="62" t="s">
        <x:v>169</x:v>
      </x:c>
      <x:c r="C5" s="62"/>
      <x:c r="D5" s="62"/>
      <x:c r="E5" s="62"/>
      <x:c r="F5" s="62"/>
      <x:c r="G5" s="62"/>
      <x:c r="H5" s="62"/>
      <x:c r="I5" s="62"/>
      <x:c r="J5" s="62"/>
    </x:row>
    <x:row r="6" ht="49.5" customHeight="1">
      <x:c r="A6" s="34" t="s">
        <x:v>170</x:v>
      </x:c>
      <x:c r="B6" s="63" t="s">
        <x:v>171</x:v>
      </x:c>
      <x:c r="C6" s="63"/>
      <x:c r="D6" s="63"/>
      <x:c r="E6" s="63"/>
      <x:c r="F6" s="63"/>
      <x:c r="G6" s="63"/>
      <x:c r="H6" s="63"/>
      <x:c r="I6" s="63"/>
      <x:c r="J6" s="63"/>
    </x:row>
    <x:row r="7" ht="49.5" customHeight="1">
      <x:c r="A7" s="35" t="s">
        <x:v>172</x:v>
      </x:c>
      <x:c r="B7" s="60" t="s">
        <x:v>173</x:v>
      </x:c>
      <x:c r="C7" s="60"/>
      <x:c r="D7" s="60"/>
      <x:c r="E7" s="60"/>
      <x:c r="F7" s="60"/>
      <x:c r="G7" s="60"/>
      <x:c r="H7" s="60"/>
      <x:c r="I7" s="60"/>
      <x:c r="J7" s="60"/>
    </x:row>
    <x:row r="10" ht="15" customHeight="1">
      <x:c r="A10" s="41" t="s">
        <x:v>174</x:v>
      </x:c>
      <x:c r="B10" s="41"/>
      <x:c r="C10" s="41"/>
      <x:c r="D10" s="41"/>
      <x:c r="E10" s="41"/>
      <x:c r="F10" s="41"/>
      <x:c r="G10" s="41"/>
      <x:c r="H10" s="41"/>
      <x:c r="I10" s="41"/>
      <x:c r="J10" s="41"/>
    </x:row>
    <x:row r="11" ht="23.25" customHeight="1">
      <x:c r="A11" s="1" t="s">
        <x:v>175</x:v>
      </x:c>
      <x:c r="B11" s="1" t="s">
        <x:v>176</x:v>
      </x:c>
      <x:c r="C11" s="1" t="s">
        <x:v>177</x:v>
      </x:c>
      <x:c r="D11" s="1" t="s">
        <x:v>178</x:v>
      </x:c>
      <x:c r="E11" s="1" t="s">
        <x:v>179</x:v>
      </x:c>
      <x:c r="F11" s="53" t="s">
        <x:v>180</x:v>
      </x:c>
      <x:c r="G11" s="53"/>
      <x:c r="H11" s="53"/>
      <x:c r="I11" s="53"/>
      <x:c r="J11" s="53"/>
    </x:row>
    <x:row r="12" ht="22.5" customHeight="1">
      <x:c r="A12" s="13" t="s">
        <x:v>181</x:v>
      </x:c>
      <x:c r="B12" s="36" t="n">
        <x:f>'📊 Company Baseline'!F24</x:f>
        <x:v>32500</x:v>
      </x:c>
      <x:c r="C12" s="36" t="n">
        <x:f>$B$12</x:f>
        <x:v>32500</x:v>
      </x:c>
      <x:c r="D12" s="36" t="n">
        <x:f>$B$12</x:f>
        <x:v>32500</x:v>
      </x:c>
      <x:c r="E12" s="36" t="n">
        <x:f>$B$12</x:f>
        <x:v>32500</x:v>
      </x:c>
      <x:c r="F12" s="50" t="s">
        <x:v>182</x:v>
      </x:c>
      <x:c r="G12" s="50"/>
      <x:c r="H12" s="50"/>
      <x:c r="I12" s="50"/>
      <x:c r="J12" s="50"/>
    </x:row>
    <x:row r="13" ht="27.75" customHeight="1">
      <x:c r="A13" s="13" t="s">
        <x:v>183</x:v>
      </x:c>
      <x:c r="B13" s="36" t="n">
        <x:f>'📊 Company Baseline'!F38</x:f>
        <x:v>45000</x:v>
      </x:c>
      <x:c r="C13" s="16"/>
      <x:c r="D13" s="36" t="n">
        <x:f>'📊 Company Baseline'!F38</x:f>
        <x:v>45000</x:v>
      </x:c>
      <x:c r="E13" s="16"/>
      <x:c r="F13" s="50" t="s">
        <x:v>184</x:v>
      </x:c>
      <x:c r="G13" s="50"/>
      <x:c r="H13" s="50"/>
      <x:c r="I13" s="50"/>
      <x:c r="J13" s="50"/>
    </x:row>
    <x:row r="14" ht="21.75" customHeight="1">
      <x:c r="A14" s="13" t="s">
        <x:v>77</x:v>
      </x:c>
      <x:c r="B14" s="36" t="n">
        <x:f>'📊 Company Baseline'!F42</x:f>
        <x:v>110000</x:v>
      </x:c>
      <x:c r="C14" s="16"/>
      <x:c r="D14" s="16"/>
      <x:c r="E14" s="16"/>
      <x:c r="F14" s="50" t="s">
        <x:v>185</x:v>
      </x:c>
      <x:c r="G14" s="50"/>
      <x:c r="H14" s="50"/>
      <x:c r="I14" s="50"/>
      <x:c r="J14" s="50"/>
    </x:row>
    <x:row r="15" ht="24" customHeight="1">
      <x:c r="A15" s="13" t="s">
        <x:v>186</x:v>
      </x:c>
      <x:c r="B15" s="36" t="n">
        <x:f>'📊 Company Baseline'!$F$30</x:f>
        <x:v>312000</x:v>
      </x:c>
      <x:c r="C15" s="36" t="n">
        <x:f>B15</x:f>
        <x:v>312000</x:v>
      </x:c>
      <x:c r="D15" s="16"/>
      <x:c r="E15" s="16"/>
      <x:c r="F15" s="50" t="s">
        <x:v>187</x:v>
      </x:c>
      <x:c r="G15" s="50"/>
      <x:c r="H15" s="50"/>
      <x:c r="I15" s="50"/>
      <x:c r="J15" s="50"/>
    </x:row>
    <x:row r="16" ht="20.25" customHeight="1">
      <x:c r="A16" s="15" t="s">
        <x:v>82</x:v>
      </x:c>
      <x:c r="B16" s="36" t="n">
        <x:f>'📊 Company Baseline'!$F$48</x:f>
        <x:v>220800</x:v>
      </x:c>
      <x:c r="C16" s="36" t="n">
        <x:f>'📊 Company Baseline'!$F$48</x:f>
        <x:v>220800</x:v>
      </x:c>
      <x:c r="D16" s="36" t="n">
        <x:f>'📊 Company Baseline'!$F$48</x:f>
        <x:v>220800</x:v>
      </x:c>
      <x:c r="E16" s="36" t="n">
        <x:f>'📊 Company Baseline'!$F$48</x:f>
        <x:v>220800</x:v>
      </x:c>
      <x:c r="F16" s="50" t="s">
        <x:v>188</x:v>
      </x:c>
      <x:c r="G16" s="50"/>
      <x:c r="H16" s="50"/>
      <x:c r="I16" s="50"/>
      <x:c r="J16" s="50"/>
    </x:row>
    <x:row r="17" ht="21.75" customHeight="1">
      <x:c r="A17" s="15" t="s">
        <x:v>189</x:v>
      </x:c>
      <x:c r="B17" s="36" t="n">
        <x:f>B13+B14</x:f>
        <x:v>155000</x:v>
      </x:c>
      <x:c r="C17" s="16"/>
      <x:c r="D17" s="16"/>
      <x:c r="E17" s="16"/>
      <x:c r="F17" s="50" t="s">
        <x:v>190</x:v>
      </x:c>
      <x:c r="G17" s="50"/>
      <x:c r="H17" s="50"/>
      <x:c r="I17" s="50"/>
      <x:c r="J17" s="50"/>
    </x:row>
    <x:row r="20" ht="15" customHeight="1">
      <x:c r="A20" s="41" t="s">
        <x:v>191</x:v>
      </x:c>
      <x:c r="B20" s="41"/>
      <x:c r="C20" s="41"/>
      <x:c r="D20" s="41"/>
      <x:c r="E20" s="41"/>
      <x:c r="F20" s="41"/>
      <x:c r="G20" s="41"/>
      <x:c r="H20" s="41"/>
      <x:c r="I20" s="41"/>
      <x:c r="J20" s="41"/>
    </x:row>
    <x:row r="21" ht="15" customHeight="1">
      <x:c r="A21" s="1" t="s">
        <x:v>192</x:v>
      </x:c>
      <x:c r="B21" s="1" t="s">
        <x:v>193</x:v>
      </x:c>
      <x:c r="C21" s="1" t="s">
        <x:v>177</x:v>
      </x:c>
      <x:c r="D21" s="1" t="s">
        <x:v>178</x:v>
      </x:c>
      <x:c r="E21" s="1" t="s">
        <x:v>179</x:v>
      </x:c>
      <x:c r="F21" s="53" t="s">
        <x:v>194</x:v>
      </x:c>
      <x:c r="G21" s="53"/>
      <x:c r="H21" s="53"/>
      <x:c r="I21" s="53"/>
      <x:c r="J21" s="53"/>
    </x:row>
    <x:row r="22" ht="21" customHeight="1">
      <x:c r="A22" s="13" t="s">
        <x:v>43</x:v>
      </x:c>
      <x:c r="B22" s="36" t="n">
        <x:f>'📊 Company Baseline'!F4</x:f>
        <x:v>425000</x:v>
      </x:c>
      <x:c r="C22" s="16"/>
      <x:c r="D22" s="16"/>
      <x:c r="E22" s="16"/>
      <x:c r="F22" s="50" t="s">
        <x:v>195</x:v>
      </x:c>
      <x:c r="G22" s="50"/>
      <x:c r="H22" s="50"/>
      <x:c r="I22" s="50"/>
      <x:c r="J22" s="50"/>
    </x:row>
    <x:row r="23" ht="23.25" customHeight="1">
      <x:c r="A23" s="13" t="s">
        <x:v>196</x:v>
      </x:c>
      <x:c r="B23" s="36" t="n">
        <x:f>'📊 Company Baseline'!F10</x:f>
        <x:v>0</x:v>
      </x:c>
      <x:c r="C23" s="36"/>
      <x:c r="D23" s="16"/>
      <x:c r="E23" s="16"/>
      <x:c r="F23" s="50" t="s">
        <x:v>197</x:v>
      </x:c>
      <x:c r="G23" s="50"/>
      <x:c r="H23" s="50"/>
      <x:c r="I23" s="50"/>
      <x:c r="J23" s="50"/>
    </x:row>
    <x:row r="24" ht="26.25" customHeight="1">
      <x:c r="A24" s="13" t="s">
        <x:v>198</x:v>
      </x:c>
      <x:c r="B24" s="36" t="n">
        <x:f>'📊 Company Baseline'!F9</x:f>
        <x:v>18500</x:v>
      </x:c>
      <x:c r="C24" s="36"/>
      <x:c r="D24" s="16"/>
      <x:c r="E24" s="16"/>
      <x:c r="F24" s="50" t="s">
        <x:v>199</x:v>
      </x:c>
      <x:c r="G24" s="50"/>
      <x:c r="H24" s="50"/>
      <x:c r="I24" s="50"/>
      <x:c r="J24" s="50"/>
    </x:row>
    <x:row r="25" ht="25.5" customHeight="1">
      <x:c r="A25" s="15" t="s">
        <x:v>200</x:v>
      </x:c>
      <x:c r="B25" s="36" t="n">
        <x:f>'📊 Company Baseline'!F10+'📊 Company Baseline'!F9</x:f>
        <x:v>18500</x:v>
      </x:c>
      <x:c r="C25" s="16"/>
      <x:c r="D25" s="16"/>
      <x:c r="E25" s="16"/>
      <x:c r="F25" s="50" t="s">
        <x:v>201</x:v>
      </x:c>
      <x:c r="G25" s="50"/>
      <x:c r="H25" s="50"/>
      <x:c r="I25" s="50"/>
      <x:c r="J25" s="50"/>
    </x:row>
    <x:row r="26" ht="39.75" customHeight="1">
      <x:c r="A26" s="13" t="s">
        <x:v>202</x:v>
      </x:c>
      <x:c r="B26" s="36" t="n">
        <x:f>'📊 Company Baseline'!F12</x:f>
        <x:v>9800</x:v>
      </x:c>
      <x:c r="C26" s="16"/>
      <x:c r="D26" s="16"/>
      <x:c r="E26" s="16"/>
      <x:c r="F26" s="50" t="s">
        <x:v>203</x:v>
      </x:c>
      <x:c r="G26" s="50"/>
      <x:c r="H26" s="50"/>
      <x:c r="I26" s="50"/>
      <x:c r="J26" s="50"/>
    </x:row>
    <x:row r="27" ht="33.75" customHeight="1">
      <x:c r="A27" s="15" t="s">
        <x:v>204</x:v>
      </x:c>
      <x:c r="B27" s="36" t="n">
        <x:f>'📊 Company Baseline'!F15</x:f>
        <x:v>0</x:v>
      </x:c>
      <x:c r="C27" s="16"/>
      <x:c r="D27" s="16"/>
      <x:c r="E27" s="16"/>
      <x:c r="F27" s="50" t="s">
        <x:v>205</x:v>
      </x:c>
      <x:c r="G27" s="50"/>
      <x:c r="H27" s="50"/>
      <x:c r="I27" s="50"/>
      <x:c r="J27" s="50"/>
    </x:row>
    <x:row r="30" ht="15" customHeight="1">
      <x:c r="A30" s="41" t="s">
        <x:v>206</x:v>
      </x:c>
      <x:c r="B30" s="41"/>
      <x:c r="C30" s="41"/>
      <x:c r="D30" s="41"/>
      <x:c r="E30" s="41"/>
      <x:c r="F30" s="41"/>
      <x:c r="G30" s="41"/>
      <x:c r="H30" s="41"/>
      <x:c r="I30" s="41"/>
      <x:c r="J30" s="41"/>
    </x:row>
    <x:row r="31" ht="15" customHeight="1">
      <x:c r="A31" s="1" t="s">
        <x:v>207</x:v>
      </x:c>
      <x:c r="B31" s="1" t="s">
        <x:v>193</x:v>
      </x:c>
      <x:c r="C31" s="1" t="s">
        <x:v>177</x:v>
      </x:c>
      <x:c r="D31" s="1" t="s">
        <x:v>178</x:v>
      </x:c>
      <x:c r="E31" s="1" t="s">
        <x:v>179</x:v>
      </x:c>
      <x:c r="F31" s="1" t="s">
        <x:v>86</x:v>
      </x:c>
      <x:c r="G31" s="1" t="s">
        <x:v>208</x:v>
      </x:c>
      <x:c r="H31" s="53" t="s">
        <x:v>209</x:v>
      </x:c>
      <x:c r="I31" s="53"/>
      <x:c r="J31" s="53"/>
    </x:row>
    <x:row r="32" ht="25.5" customHeight="1">
      <x:c r="A32" s="15" t="s">
        <x:v>210</x:v>
      </x:c>
      <x:c r="B32" s="19"/>
      <x:c r="C32" s="19"/>
      <x:c r="D32" s="19"/>
      <x:c r="E32" s="19"/>
      <x:c r="F32" s="18" t="s">
        <x:v>90</x:v>
      </x:c>
      <x:c r="G32" s="37"/>
      <x:c r="H32" s="50" t="s">
        <x:v>91</x:v>
      </x:c>
      <x:c r="I32" s="50"/>
      <x:c r="J32" s="50"/>
    </x:row>
    <x:row r="33" ht="21.75" customHeight="1">
      <x:c r="A33" s="15" t="s">
        <x:v>92</x:v>
      </x:c>
      <x:c r="B33" s="19"/>
      <x:c r="C33" s="19"/>
      <x:c r="D33" s="19"/>
      <x:c r="E33" s="19"/>
      <x:c r="F33" s="18" t="s">
        <x:v>93</x:v>
      </x:c>
      <x:c r="G33" s="37"/>
      <x:c r="H33" s="50" t="s">
        <x:v>94</x:v>
      </x:c>
      <x:c r="I33" s="50"/>
      <x:c r="J33" s="50"/>
    </x:row>
    <x:row r="34" ht="21.75" customHeight="1">
      <x:c r="A34" s="15" t="s">
        <x:v>95</x:v>
      </x:c>
      <x:c r="B34" s="19"/>
      <x:c r="C34" s="19"/>
      <x:c r="D34" s="19"/>
      <x:c r="E34" s="19"/>
      <x:c r="F34" s="18" t="s">
        <x:v>96</x:v>
      </x:c>
      <x:c r="G34" s="37"/>
      <x:c r="H34" s="50" t="s">
        <x:v>97</x:v>
      </x:c>
      <x:c r="I34" s="50"/>
      <x:c r="J34" s="50"/>
    </x:row>
    <x:row r="35" ht="21.75" customHeight="1">
      <x:c r="A35" s="15" t="s">
        <x:v>101</x:v>
      </x:c>
      <x:c r="B35" s="19"/>
      <x:c r="C35" s="19"/>
      <x:c r="D35" s="19"/>
      <x:c r="E35" s="19"/>
      <x:c r="F35" s="18" t="s">
        <x:v>102</x:v>
      </x:c>
      <x:c r="G35" s="37"/>
      <x:c r="H35" s="50" t="s">
        <x:v>103</x:v>
      </x:c>
      <x:c r="I35" s="50"/>
      <x:c r="J35" s="50"/>
    </x:row>
    <x:row r="36" ht="21.75" customHeight="1">
      <x:c r="A36" s="15" t="s">
        <x:v>98</x:v>
      </x:c>
      <x:c r="B36" s="19"/>
      <x:c r="C36" s="19"/>
      <x:c r="D36" s="19"/>
      <x:c r="E36" s="19"/>
      <x:c r="F36" s="18" t="s">
        <x:v>99</x:v>
      </x:c>
      <x:c r="G36" s="37"/>
      <x:c r="H36" s="50" t="s">
        <x:v>100</x:v>
      </x:c>
      <x:c r="I36" s="50"/>
      <x:c r="J36" s="50"/>
    </x:row>
    <x:row r="38" ht="15" customHeight="1">
      <x:c r="A38" s="43" t="s">
        <x:v>211</x:v>
      </x:c>
      <x:c r="B38" s="43"/>
      <x:c r="C38" s="43"/>
      <x:c r="D38" s="43"/>
      <x:c r="E38" s="43"/>
      <x:c r="F38" s="43"/>
      <x:c r="G38" s="43"/>
      <x:c r="H38" s="43"/>
      <x:c r="I38" s="43"/>
      <x:c r="J38" s="43"/>
    </x:row>
    <x:row r="39" ht="19.5" customHeight="1">
      <x:c r="A39" s="56" t="s">
        <x:v>212</x:v>
      </x:c>
      <x:c r="B39" s="56"/>
      <x:c r="C39" s="56"/>
      <x:c r="D39" s="56"/>
      <x:c r="E39" s="56"/>
      <x:c r="F39" s="56"/>
      <x:c r="G39" s="56"/>
      <x:c r="H39" s="56"/>
      <x:c r="I39" s="56"/>
      <x:c r="J39" s="56"/>
    </x:row>
    <x:row r="40" ht="39.75" customHeight="1">
      <x:c r="A40" s="57" t="s">
        <x:v>162</x:v>
      </x:c>
      <x:c r="B40" s="57"/>
      <x:c r="C40" s="57"/>
      <x:c r="D40" s="57"/>
      <x:c r="E40" s="57"/>
      <x:c r="F40" s="57"/>
      <x:c r="G40" s="57"/>
      <x:c r="H40" s="57"/>
      <x:c r="I40" s="57"/>
      <x:c r="J40" s="57"/>
    </x:row>
    <x:row r="41" ht="15" customHeight="1">
      <x:c r="A41" s="57"/>
      <x:c r="B41" s="57"/>
      <x:c r="C41" s="57"/>
      <x:c r="D41" s="57"/>
      <x:c r="E41" s="57"/>
      <x:c r="F41" s="57"/>
      <x:c r="G41" s="57"/>
      <x:c r="H41" s="57"/>
      <x:c r="I41" s="57"/>
      <x:c r="J41" s="57"/>
    </x:row>
    <x:row r="42" ht="19.5" customHeight="1">
      <x:c r="A42" s="56" t="s">
        <x:v>213</x:v>
      </x:c>
      <x:c r="B42" s="56"/>
      <x:c r="C42" s="56"/>
      <x:c r="D42" s="56"/>
      <x:c r="E42" s="56"/>
      <x:c r="F42" s="56"/>
      <x:c r="G42" s="56"/>
      <x:c r="H42" s="56"/>
      <x:c r="I42" s="56"/>
      <x:c r="J42" s="56"/>
    </x:row>
    <x:row r="43" ht="39.75" customHeight="1">
      <x:c r="A43" s="57" t="s">
        <x:v>162</x:v>
      </x:c>
      <x:c r="B43" s="57"/>
      <x:c r="C43" s="57"/>
      <x:c r="D43" s="57"/>
      <x:c r="E43" s="57"/>
      <x:c r="F43" s="57"/>
      <x:c r="G43" s="57"/>
      <x:c r="H43" s="57"/>
      <x:c r="I43" s="57"/>
      <x:c r="J43" s="57"/>
    </x:row>
    <x:row r="44" ht="15" customHeight="1">
      <x:c r="A44" s="57"/>
      <x:c r="B44" s="57"/>
      <x:c r="C44" s="57"/>
      <x:c r="D44" s="57"/>
      <x:c r="E44" s="57"/>
      <x:c r="F44" s="57"/>
      <x:c r="G44" s="57"/>
      <x:c r="H44" s="57"/>
      <x:c r="I44" s="57"/>
      <x:c r="J44" s="57"/>
    </x:row>
    <x:row r="45" ht="19.5" customHeight="1">
      <x:c r="A45" s="56" t="s">
        <x:v>214</x:v>
      </x:c>
      <x:c r="B45" s="56"/>
      <x:c r="C45" s="56"/>
      <x:c r="D45" s="56"/>
      <x:c r="E45" s="56"/>
      <x:c r="F45" s="56"/>
      <x:c r="G45" s="56"/>
      <x:c r="H45" s="56"/>
      <x:c r="I45" s="56"/>
      <x:c r="J45" s="56"/>
    </x:row>
    <x:row r="46" ht="39.75" customHeight="1">
      <x:c r="A46" s="57" t="s">
        <x:v>162</x:v>
      </x:c>
      <x:c r="B46" s="57"/>
      <x:c r="C46" s="57"/>
      <x:c r="D46" s="57"/>
      <x:c r="E46" s="57"/>
      <x:c r="F46" s="57"/>
      <x:c r="G46" s="57"/>
      <x:c r="H46" s="57"/>
      <x:c r="I46" s="57"/>
      <x:c r="J46" s="57"/>
    </x:row>
    <x:row r="47" ht="15" customHeight="1">
      <x:c r="A47" s="57"/>
      <x:c r="B47" s="57"/>
      <x:c r="C47" s="57"/>
      <x:c r="D47" s="57"/>
      <x:c r="E47" s="57"/>
      <x:c r="F47" s="57"/>
      <x:c r="G47" s="57"/>
      <x:c r="H47" s="57"/>
      <x:c r="I47" s="57"/>
      <x:c r="J47" s="57"/>
    </x:row>
  </x:sheetData>
  <x:mergeCells>
    <x:mergeCell ref="A1:J1"/>
    <x:mergeCell ref="A2:J2"/>
    <x:mergeCell ref="A4:J4"/>
    <x:mergeCell ref="B5:J5"/>
    <x:mergeCell ref="B6:J6"/>
    <x:mergeCell ref="B7:J7"/>
    <x:mergeCell ref="A10:J10"/>
    <x:mergeCell ref="F11:J11"/>
    <x:mergeCell ref="F12:J12"/>
    <x:mergeCell ref="F13:J13"/>
    <x:mergeCell ref="F14:J14"/>
    <x:mergeCell ref="F15:J15"/>
    <x:mergeCell ref="F16:J16"/>
    <x:mergeCell ref="F17:J17"/>
    <x:mergeCell ref="A20:J20"/>
    <x:mergeCell ref="F21:J21"/>
    <x:mergeCell ref="F22:J22"/>
    <x:mergeCell ref="F23:J23"/>
    <x:mergeCell ref="F24:J24"/>
    <x:mergeCell ref="F25:J25"/>
    <x:mergeCell ref="F26:J26"/>
    <x:mergeCell ref="F27:J27"/>
    <x:mergeCell ref="A30:J30"/>
    <x:mergeCell ref="H31:J31"/>
    <x:mergeCell ref="H32:J32"/>
    <x:mergeCell ref="H33:J33"/>
    <x:mergeCell ref="H34:J34"/>
    <x:mergeCell ref="H36:J36"/>
    <x:mergeCell ref="H35:J35"/>
    <x:mergeCell ref="A38:J38"/>
    <x:mergeCell ref="A46:J47"/>
    <x:mergeCell ref="A39:J39"/>
    <x:mergeCell ref="A40:J41"/>
    <x:mergeCell ref="A42:J42"/>
    <x:mergeCell ref="A43:J44"/>
    <x:mergeCell ref="A45:J4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8.7109375" defaultRowHeight="15"/>
  <x:cols>
    <x:col min="1" max="1" width="30" customWidth="1"/>
    <x:col min="2" max="8" width="12" customWidth="1"/>
    <x:col min="9" max="9" width="51.5703125" customWidth="1"/>
  </x:cols>
  <x:sheetData>
    <x:row r="1" ht="17.25" customHeight="1">
      <x:c r="A1" s="67" t="s">
        <x:v>215</x:v>
      </x:c>
      <x:c r="B1" s="67"/>
      <x:c r="C1" s="67"/>
      <x:c r="D1" s="67"/>
      <x:c r="E1" s="67"/>
      <x:c r="F1" s="67"/>
      <x:c r="G1" s="67"/>
      <x:c r="H1" s="67"/>
      <x:c r="I1" s="67"/>
    </x:row>
    <x:row r="2" ht="15" customHeight="1">
      <x:c r="A2" s="68" t="s">
        <x:v>216</x:v>
      </x:c>
      <x:c r="B2" s="68"/>
      <x:c r="C2" s="68"/>
      <x:c r="D2" s="68"/>
      <x:c r="E2" s="68"/>
      <x:c r="F2" s="68"/>
      <x:c r="G2" s="68"/>
      <x:c r="H2" s="68"/>
      <x:c r="I2" s="68"/>
    </x:row>
    <x:row r="4" ht="15" customHeight="1">
      <x:c r="A4" s="41" t="s">
        <x:v>217</x:v>
      </x:c>
      <x:c r="B4" s="41"/>
      <x:c r="C4" s="41"/>
      <x:c r="D4" s="41"/>
      <x:c r="E4" s="41"/>
      <x:c r="F4" s="41"/>
      <x:c r="G4" s="41"/>
      <x:c r="H4" s="41"/>
      <x:c r="I4" s="41"/>
    </x:row>
    <x:row r="5" ht="23.25" customHeight="1">
      <x:c r="A5" s="1" t="s">
        <x:v>207</x:v>
      </x:c>
      <x:c r="B5" s="1" t="s">
        <x:v>86</x:v>
      </x:c>
      <x:c r="C5" s="1" t="s">
        <x:v>193</x:v>
      </x:c>
      <x:c r="D5" s="1" t="s">
        <x:v>177</x:v>
      </x:c>
      <x:c r="E5" s="1" t="s">
        <x:v>178</x:v>
      </x:c>
      <x:c r="F5" s="1" t="s">
        <x:v>179</x:v>
      </x:c>
      <x:c r="G5" s="1" t="s">
        <x:v>208</x:v>
      </x:c>
      <x:c r="H5" s="53" t="s">
        <x:v>218</x:v>
      </x:c>
      <x:c r="I5" s="53"/>
    </x:row>
    <x:row r="6" ht="42.75" customHeight="1">
      <x:c r="A6" s="15" t="s">
        <x:v>210</x:v>
      </x:c>
      <x:c r="B6" s="18" t="s">
        <x:v>90</x:v>
      </x:c>
      <x:c r="C6" s="37"/>
      <x:c r="D6" s="37"/>
      <x:c r="E6" s="37"/>
      <x:c r="F6" s="37"/>
      <x:c r="G6" s="37"/>
      <x:c r="H6" s="50" t="s">
        <x:v>219</x:v>
      </x:c>
      <x:c r="I6" s="50"/>
    </x:row>
    <x:row r="7" ht="42.75" customHeight="1">
      <x:c r="A7" s="15" t="s">
        <x:v>92</x:v>
      </x:c>
      <x:c r="B7" s="18" t="s">
        <x:v>93</x:v>
      </x:c>
      <x:c r="C7" s="37"/>
      <x:c r="D7" s="37"/>
      <x:c r="E7" s="37"/>
      <x:c r="F7" s="37"/>
      <x:c r="G7" s="37"/>
      <x:c r="H7" s="50" t="s">
        <x:v>220</x:v>
      </x:c>
      <x:c r="I7" s="50"/>
    </x:row>
    <x:row r="8" ht="42.75" customHeight="1">
      <x:c r="A8" s="15" t="s">
        <x:v>221</x:v>
      </x:c>
      <x:c r="B8" s="18" t="s">
        <x:v>96</x:v>
      </x:c>
      <x:c r="C8" s="37"/>
      <x:c r="D8" s="37"/>
      <x:c r="E8" s="37"/>
      <x:c r="F8" s="37"/>
      <x:c r="G8" s="37"/>
      <x:c r="H8" s="50" t="s">
        <x:v>222</x:v>
      </x:c>
      <x:c r="I8" s="50"/>
    </x:row>
    <x:row r="9" ht="42.75" customHeight="1">
      <x:c r="A9" s="15" t="s">
        <x:v>101</x:v>
      </x:c>
      <x:c r="B9" s="18" t="s">
        <x:v>102</x:v>
      </x:c>
      <x:c r="C9" s="37"/>
      <x:c r="D9" s="37"/>
      <x:c r="E9" s="37"/>
      <x:c r="F9" s="37"/>
      <x:c r="G9" s="37"/>
      <x:c r="H9" s="50" t="s">
        <x:v>223</x:v>
      </x:c>
      <x:c r="I9" s="50"/>
    </x:row>
    <x:row r="12" ht="15" customHeight="1">
      <x:c r="A12" s="41" t="s">
        <x:v>224</x:v>
      </x:c>
      <x:c r="B12" s="41"/>
      <x:c r="C12" s="41"/>
      <x:c r="D12" s="41"/>
      <x:c r="E12" s="41"/>
      <x:c r="F12" s="41"/>
      <x:c r="G12" s="41"/>
      <x:c r="H12" s="41"/>
      <x:c r="I12" s="41"/>
    </x:row>
    <x:row r="13" ht="15" customHeight="1">
      <x:c r="A13" s="1" t="s">
        <x:v>192</x:v>
      </x:c>
      <x:c r="B13" s="53" t="s">
        <x:v>193</x:v>
      </x:c>
      <x:c r="C13" s="53"/>
      <x:c r="D13" s="53" t="s">
        <x:v>177</x:v>
      </x:c>
      <x:c r="E13" s="53"/>
      <x:c r="F13" s="53" t="s">
        <x:v>178</x:v>
      </x:c>
      <x:c r="G13" s="53"/>
      <x:c r="H13" s="53" t="s">
        <x:v>179</x:v>
      </x:c>
      <x:c r="I13" s="53"/>
    </x:row>
    <x:row r="14" ht="15" customHeight="1">
      <x:c r="A14" s="15" t="s">
        <x:v>138</x:v>
      </x:c>
      <x:c r="B14" s="65"/>
      <x:c r="C14" s="65"/>
      <x:c r="D14" s="65"/>
      <x:c r="E14" s="65"/>
      <x:c r="F14" s="65"/>
      <x:c r="G14" s="65"/>
      <x:c r="H14" s="65"/>
      <x:c r="I14" s="65"/>
    </x:row>
    <x:row r="15" ht="15" customHeight="1">
      <x:c r="A15" s="15" t="s">
        <x:v>225</x:v>
      </x:c>
      <x:c r="B15" s="65"/>
      <x:c r="C15" s="65"/>
      <x:c r="D15" s="65"/>
      <x:c r="E15" s="65"/>
      <x:c r="F15" s="65"/>
      <x:c r="G15" s="65"/>
      <x:c r="H15" s="65"/>
      <x:c r="I15" s="65"/>
    </x:row>
    <x:row r="16" ht="15" customHeight="1">
      <x:c r="A16" s="15" t="s">
        <x:v>204</x:v>
      </x:c>
      <x:c r="B16" s="65"/>
      <x:c r="C16" s="65"/>
      <x:c r="D16" s="65"/>
      <x:c r="E16" s="65"/>
      <x:c r="F16" s="65"/>
      <x:c r="G16" s="65"/>
      <x:c r="H16" s="65"/>
      <x:c r="I16" s="65"/>
    </x:row>
    <x:row r="17" ht="15" customHeight="1">
      <x:c r="A17" s="15" t="s">
        <x:v>226</x:v>
      </x:c>
      <x:c r="B17" s="66"/>
      <x:c r="C17" s="66"/>
      <x:c r="D17" s="66"/>
      <x:c r="E17" s="66"/>
      <x:c r="F17" s="66"/>
      <x:c r="G17" s="66"/>
      <x:c r="H17" s="66"/>
      <x:c r="I17" s="66"/>
    </x:row>
    <x:row r="18" ht="31.5" customHeight="1">
      <x:c r="A18" s="50" t="s">
        <x:v>227</x:v>
      </x:c>
      <x:c r="B18" s="50"/>
      <x:c r="C18" s="50"/>
      <x:c r="D18" s="50"/>
      <x:c r="E18" s="50"/>
      <x:c r="F18" s="50"/>
      <x:c r="G18" s="50"/>
      <x:c r="H18" s="50"/>
      <x:c r="I18" s="50"/>
    </x:row>
    <x:row r="20" ht="15" customHeight="1">
      <x:c r="A20" s="41" t="s">
        <x:v>228</x:v>
      </x:c>
      <x:c r="B20" s="41"/>
      <x:c r="C20" s="41"/>
      <x:c r="D20" s="41"/>
      <x:c r="E20" s="41"/>
      <x:c r="F20" s="41"/>
      <x:c r="G20" s="41"/>
      <x:c r="H20" s="41"/>
      <x:c r="I20" s="41"/>
    </x:row>
    <x:row r="21" ht="19.5" customHeight="1">
      <x:c r="A21" s="64" t="s">
        <x:v>229</x:v>
      </x:c>
      <x:c r="B21" s="64"/>
      <x:c r="C21" s="64"/>
      <x:c r="D21" s="64"/>
      <x:c r="E21" s="64"/>
      <x:c r="F21" s="64"/>
      <x:c r="G21" s="64"/>
      <x:c r="H21" s="64"/>
      <x:c r="I21" s="64"/>
    </x:row>
    <x:row r="22" ht="27.75" customHeight="1">
      <x:c r="A22" s="50" t="s">
        <x:v>230</x:v>
      </x:c>
      <x:c r="B22" s="50"/>
      <x:c r="C22" s="50"/>
      <x:c r="D22" s="50"/>
      <x:c r="E22" s="50"/>
      <x:c r="F22" s="50"/>
      <x:c r="G22" s="50"/>
      <x:c r="H22" s="50"/>
      <x:c r="I22" s="50"/>
    </x:row>
    <x:row r="23" ht="45" customHeight="1">
      <x:c r="A23" s="57" t="s">
        <x:v>162</x:v>
      </x:c>
      <x:c r="B23" s="57"/>
      <x:c r="C23" s="57"/>
      <x:c r="D23" s="57"/>
      <x:c r="E23" s="57"/>
      <x:c r="F23" s="57"/>
      <x:c r="G23" s="57"/>
      <x:c r="H23" s="57"/>
      <x:c r="I23" s="57"/>
    </x:row>
    <x:row r="24" ht="9.75" customHeight="1">
      <x:c r="A24" s="57"/>
      <x:c r="B24" s="57"/>
      <x:c r="C24" s="57"/>
      <x:c r="D24" s="57"/>
      <x:c r="E24" s="57"/>
      <x:c r="F24" s="57"/>
      <x:c r="G24" s="57"/>
      <x:c r="H24" s="57"/>
      <x:c r="I24" s="57"/>
    </x:row>
    <x:row r="25" ht="19.5" customHeight="1">
      <x:c r="A25" s="64" t="s">
        <x:v>231</x:v>
      </x:c>
      <x:c r="B25" s="64"/>
      <x:c r="C25" s="64"/>
      <x:c r="D25" s="64"/>
      <x:c r="E25" s="64"/>
      <x:c r="F25" s="64"/>
      <x:c r="G25" s="64"/>
      <x:c r="H25" s="64"/>
      <x:c r="I25" s="64"/>
    </x:row>
    <x:row r="26" ht="27.75" customHeight="1">
      <x:c r="A26" s="50" t="s">
        <x:v>232</x:v>
      </x:c>
      <x:c r="B26" s="50"/>
      <x:c r="C26" s="50"/>
      <x:c r="D26" s="50"/>
      <x:c r="E26" s="50"/>
      <x:c r="F26" s="50"/>
      <x:c r="G26" s="50"/>
      <x:c r="H26" s="50"/>
      <x:c r="I26" s="50"/>
    </x:row>
    <x:row r="27" ht="45" customHeight="1">
      <x:c r="A27" s="57" t="s">
        <x:v>162</x:v>
      </x:c>
      <x:c r="B27" s="57"/>
      <x:c r="C27" s="57"/>
      <x:c r="D27" s="57"/>
      <x:c r="E27" s="57"/>
      <x:c r="F27" s="57"/>
      <x:c r="G27" s="57"/>
      <x:c r="H27" s="57"/>
      <x:c r="I27" s="57"/>
    </x:row>
    <x:row r="28" ht="9.75" customHeight="1">
      <x:c r="A28" s="57"/>
      <x:c r="B28" s="57"/>
      <x:c r="C28" s="57"/>
      <x:c r="D28" s="57"/>
      <x:c r="E28" s="57"/>
      <x:c r="F28" s="57"/>
      <x:c r="G28" s="57"/>
      <x:c r="H28" s="57"/>
      <x:c r="I28" s="57"/>
    </x:row>
    <x:row r="29" ht="19.5" customHeight="1">
      <x:c r="A29" s="64" t="s">
        <x:v>233</x:v>
      </x:c>
      <x:c r="B29" s="64"/>
      <x:c r="C29" s="64"/>
      <x:c r="D29" s="64"/>
      <x:c r="E29" s="64"/>
      <x:c r="F29" s="64"/>
      <x:c r="G29" s="64"/>
      <x:c r="H29" s="64"/>
      <x:c r="I29" s="64"/>
    </x:row>
    <x:row r="30" ht="27.75" customHeight="1">
      <x:c r="A30" s="50" t="s">
        <x:v>234</x:v>
      </x:c>
      <x:c r="B30" s="50"/>
      <x:c r="C30" s="50"/>
      <x:c r="D30" s="50"/>
      <x:c r="E30" s="50"/>
      <x:c r="F30" s="50"/>
      <x:c r="G30" s="50"/>
      <x:c r="H30" s="50"/>
      <x:c r="I30" s="50"/>
    </x:row>
    <x:row r="31" ht="45" customHeight="1">
      <x:c r="A31" s="57" t="s">
        <x:v>162</x:v>
      </x:c>
      <x:c r="B31" s="57"/>
      <x:c r="C31" s="57"/>
      <x:c r="D31" s="57"/>
      <x:c r="E31" s="57"/>
      <x:c r="F31" s="57"/>
      <x:c r="G31" s="57"/>
      <x:c r="H31" s="57"/>
      <x:c r="I31" s="57"/>
    </x:row>
    <x:row r="32" ht="9.75" customHeight="1">
      <x:c r="A32" s="57"/>
      <x:c r="B32" s="57"/>
      <x:c r="C32" s="57"/>
      <x:c r="D32" s="57"/>
      <x:c r="E32" s="57"/>
      <x:c r="F32" s="57"/>
      <x:c r="G32" s="57"/>
      <x:c r="H32" s="57"/>
      <x:c r="I32" s="57"/>
    </x:row>
    <x:row r="33" ht="19.5" customHeight="1">
      <x:c r="A33" s="64" t="s">
        <x:v>235</x:v>
      </x:c>
      <x:c r="B33" s="64"/>
      <x:c r="C33" s="64"/>
      <x:c r="D33" s="64"/>
      <x:c r="E33" s="64"/>
      <x:c r="F33" s="64"/>
      <x:c r="G33" s="64"/>
      <x:c r="H33" s="64"/>
      <x:c r="I33" s="64"/>
    </x:row>
    <x:row r="34" ht="27.75" customHeight="1">
      <x:c r="A34" s="50" t="s">
        <x:v>236</x:v>
      </x:c>
      <x:c r="B34" s="50"/>
      <x:c r="C34" s="50"/>
      <x:c r="D34" s="50"/>
      <x:c r="E34" s="50"/>
      <x:c r="F34" s="50"/>
      <x:c r="G34" s="50"/>
      <x:c r="H34" s="50"/>
      <x:c r="I34" s="50"/>
    </x:row>
    <x:row r="35" ht="45" customHeight="1">
      <x:c r="A35" s="57" t="s">
        <x:v>162</x:v>
      </x:c>
      <x:c r="B35" s="57"/>
      <x:c r="C35" s="57"/>
      <x:c r="D35" s="57"/>
      <x:c r="E35" s="57"/>
      <x:c r="F35" s="57"/>
      <x:c r="G35" s="57"/>
      <x:c r="H35" s="57"/>
      <x:c r="I35" s="57"/>
    </x:row>
    <x:row r="36" ht="9.75" customHeight="1">
      <x:c r="A36" s="57"/>
      <x:c r="B36" s="57"/>
      <x:c r="C36" s="57"/>
      <x:c r="D36" s="57"/>
      <x:c r="E36" s="57"/>
      <x:c r="F36" s="57"/>
      <x:c r="G36" s="57"/>
      <x:c r="H36" s="57"/>
      <x:c r="I36" s="57"/>
    </x:row>
    <x:row r="37" ht="19.5" customHeight="1">
      <x:c r="A37" s="64" t="s">
        <x:v>237</x:v>
      </x:c>
      <x:c r="B37" s="64"/>
      <x:c r="C37" s="64"/>
      <x:c r="D37" s="64"/>
      <x:c r="E37" s="64"/>
      <x:c r="F37" s="64"/>
      <x:c r="G37" s="64"/>
      <x:c r="H37" s="64"/>
      <x:c r="I37" s="64"/>
    </x:row>
    <x:row r="38" ht="27.75" customHeight="1">
      <x:c r="A38" s="50" t="s">
        <x:v>238</x:v>
      </x:c>
      <x:c r="B38" s="50"/>
      <x:c r="C38" s="50"/>
      <x:c r="D38" s="50"/>
      <x:c r="E38" s="50"/>
      <x:c r="F38" s="50"/>
      <x:c r="G38" s="50"/>
      <x:c r="H38" s="50"/>
      <x:c r="I38" s="50"/>
    </x:row>
    <x:row r="39" ht="45" customHeight="1">
      <x:c r="A39" s="57" t="s">
        <x:v>162</x:v>
      </x:c>
      <x:c r="B39" s="57"/>
      <x:c r="C39" s="57"/>
      <x:c r="D39" s="57"/>
      <x:c r="E39" s="57"/>
      <x:c r="F39" s="57"/>
      <x:c r="G39" s="57"/>
      <x:c r="H39" s="57"/>
      <x:c r="I39" s="57"/>
    </x:row>
    <x:row r="40" ht="9.75" customHeight="1">
      <x:c r="A40" s="57"/>
      <x:c r="B40" s="57"/>
      <x:c r="C40" s="57"/>
      <x:c r="D40" s="57"/>
      <x:c r="E40" s="57"/>
      <x:c r="F40" s="57"/>
      <x:c r="G40" s="57"/>
      <x:c r="H40" s="57"/>
      <x:c r="I40" s="57"/>
    </x:row>
  </x:sheetData>
  <x:mergeCells>
    <x:mergeCell ref="A1:I1"/>
    <x:mergeCell ref="A2:I2"/>
    <x:mergeCell ref="A4:I4"/>
    <x:mergeCell ref="H5:I5"/>
    <x:mergeCell ref="H6:I6"/>
    <x:mergeCell ref="H7:I7"/>
    <x:mergeCell ref="H8:I8"/>
    <x:mergeCell ref="H9:I9"/>
    <x:mergeCell ref="A12:I12"/>
    <x:mergeCell ref="B13:C13"/>
    <x:mergeCell ref="D13:E13"/>
    <x:mergeCell ref="F13:G13"/>
    <x:mergeCell ref="H13:I13"/>
    <x:mergeCell ref="B14:C14"/>
    <x:mergeCell ref="D14:E14"/>
    <x:mergeCell ref="F14:G14"/>
    <x:mergeCell ref="H14:I14"/>
    <x:mergeCell ref="B15:C15"/>
    <x:mergeCell ref="D15:E15"/>
    <x:mergeCell ref="F15:G15"/>
    <x:mergeCell ref="H15:I15"/>
    <x:mergeCell ref="B16:C16"/>
    <x:mergeCell ref="D16:E16"/>
    <x:mergeCell ref="F16:G16"/>
    <x:mergeCell ref="H16:I16"/>
    <x:mergeCell ref="B17:C17"/>
    <x:mergeCell ref="D17:E17"/>
    <x:mergeCell ref="F17:G17"/>
    <x:mergeCell ref="H17:I17"/>
    <x:mergeCell ref="A18:I18"/>
    <x:mergeCell ref="A20:I20"/>
    <x:mergeCell ref="A21:I21"/>
    <x:mergeCell ref="A22:I22"/>
    <x:mergeCell ref="A23:I24"/>
    <x:mergeCell ref="A25:I25"/>
    <x:mergeCell ref="A26:I26"/>
    <x:mergeCell ref="A27:I28"/>
    <x:mergeCell ref="A29:I29"/>
    <x:mergeCell ref="A30:I30"/>
    <x:mergeCell ref="A38:I38"/>
    <x:mergeCell ref="A39:I40"/>
    <x:mergeCell ref="A31:I32"/>
    <x:mergeCell ref="A33:I33"/>
    <x:mergeCell ref="A34:I34"/>
    <x:mergeCell ref="A35:I36"/>
    <x:mergeCell ref="A37:I3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22" hidden="0" customWidth="1"/>
    <x:col min="4" max="4" width="22" hidden="0" customWidth="1"/>
    <x:col min="5" max="5" width="18" hidden="0" customWidth="1"/>
    <x:col min="6" max="6" width="18" hidden="0" customWidth="1"/>
  </x:cols>
  <x:sheetData>
    <x:row r="1">
      <x:c r="A1" s="70" t="str">
        <x:v>Bond Valuation, Interest Rates, and YTM</x:v>
      </x:c>
      <x:c r="B1" s="70"/>
      <x:c r="C1" s="70"/>
      <x:c r="D1" s="70"/>
      <x:c r="E1" s="70"/>
      <x:c r="F1" s="70"/>
    </x:row>
    <x:row r="3">
      <x:c r="A3" s="72" t="str">
        <x:v>BUS311 · valuation-m02-l01 · FactSet required · student starter</x:v>
      </x:c>
      <x:c r="B3" s="72"/>
      <x:c r="C3" s="72"/>
      <x:c r="D3" s="72"/>
      <x:c r="E3" s="72"/>
      <x:c r="F3" s="72"/>
    </x:row>
    <x:row r="5">
      <x:c r="A5" s="75" t="str">
        <x:v>Step</x:v>
      </x:c>
      <x:c r="B5" s="76" t="str">
        <x:v>Required workflow</x:v>
      </x:c>
    </x:row>
    <x:row r="6">
      <x:c r="A6" s="77" t="n">
        <x:v>1</x:v>
      </x:c>
      <x:c r="B6" s="78" t="str">
        <x:v>Read the lesson pre-reading and confirm FactSet access.</x:v>
      </x:c>
    </x:row>
    <x:row r="7">
      <x:c r="A7" s="77" t="n">
        <x:v>2</x:v>
      </x:c>
      <x:c r="B7" s="78" t="str">
        <x:v>Enter or verify source values; keep units and periods consistent.</x:v>
      </x:c>
    </x:row>
    <x:row r="8">
      <x:c r="A8" s="77" t="n">
        <x:v>3</x:v>
      </x:c>
      <x:c r="B8" s="78" t="str">
        <x:v>Document every FactSet field, period, and retrieval date below.</x:v>
      </x:c>
    </x:row>
    <x:row r="9">
      <x:c r="A9" s="77" t="n">
        <x:v>4</x:v>
      </x:c>
      <x:c r="B9" s="78" t="str">
        <x:v>Complete calculations with visible, auditable Excel formulas.</x:v>
      </x:c>
    </x:row>
    <x:row r="10">
      <x:c r="A10" s="79" t="n">
        <x:v>5</x:v>
      </x:c>
      <x:c r="B10" s="80" t="str">
        <x:v>Use the model outputs to state a decision, evidence, risk, and monitoring trigger.</x:v>
      </x:c>
    </x:row>
    <x:row r="12">
      <x:c r="A12" s="83" t="str">
        <x:v>FactSet input</x:v>
      </x:c>
      <x:c r="B12" s="84" t="str">
        <x:v>Field / definition</x:v>
      </x:c>
      <x:c r="C12" s="84" t="str">
        <x:v>Period / units</x:v>
      </x:c>
      <x:c r="D12" s="85" t="str">
        <x:v>Source note</x:v>
      </x:c>
    </x:row>
    <x:row r="13">
      <x:c r="A13" s="77" t="str">
        <x:v>Company identifier</x:v>
      </x:c>
      <x:c r="B13" s="82" t="str"/>
      <x:c r="C13" s="82" t="str"/>
      <x:c r="D13" s="86" t="str"/>
    </x:row>
    <x:row r="14">
      <x:c r="A14" s="77" t="str">
        <x:v>Market or price input</x:v>
      </x:c>
      <x:c r="B14" s="82" t="str"/>
      <x:c r="C14" s="82" t="str"/>
      <x:c r="D14" s="86" t="str"/>
    </x:row>
    <x:row r="15">
      <x:c r="A15" s="77" t="str">
        <x:v>Financial statement input</x:v>
      </x:c>
      <x:c r="B15" s="82" t="str"/>
      <x:c r="C15" s="82" t="str"/>
      <x:c r="D15" s="86" t="str"/>
    </x:row>
    <x:row r="16">
      <x:c r="A16" s="77" t="str">
        <x:v>Risk or discount-rate input</x:v>
      </x:c>
      <x:c r="B16" s="82" t="str"/>
      <x:c r="C16" s="82" t="str"/>
      <x:c r="D16" s="86" t="str"/>
    </x:row>
    <x:row r="17">
      <x:c r="A17" s="79" t="str">
        <x:v>Comparison-company input</x:v>
      </x:c>
      <x:c r="B17" s="87" t="str"/>
      <x:c r="C17" s="87" t="str"/>
      <x:c r="D17" s="88" t="str"/>
    </x:row>
    <x:row r="19">
      <x:c r="A19" s="83" t="str">
        <x:v>Decision output</x:v>
      </x:c>
      <x:c r="B19" s="84" t="str">
        <x:v>Response</x:v>
      </x:c>
      <x:c r="C19" s="84" t="str"/>
      <x:c r="D19" s="84" t="str"/>
      <x:c r="E19" s="84" t="str"/>
      <x:c r="F19" s="85" t="str"/>
    </x:row>
    <x:row r="20">
      <x:c r="A20" s="77" t="str">
        <x:v>Recommendation</x:v>
      </x:c>
      <x:c r="B20" s="89" t="str"/>
      <x:c r="C20" s="89" t="str"/>
      <x:c r="D20" s="89" t="str"/>
      <x:c r="E20" s="89" t="str"/>
      <x:c r="F20" s="90" t="str"/>
    </x:row>
    <x:row r="21">
      <x:c r="A21" s="77" t="str">
        <x:v>Evidence from the model</x:v>
      </x:c>
      <x:c r="B21" s="89" t="str"/>
      <x:c r="C21" s="89" t="str"/>
      <x:c r="D21" s="89" t="str"/>
      <x:c r="E21" s="89" t="str"/>
      <x:c r="F21" s="90" t="str"/>
    </x:row>
    <x:row r="22">
      <x:c r="A22" s="77" t="str">
        <x:v>Primary risk or limitation</x:v>
      </x:c>
      <x:c r="B22" s="89" t="str"/>
      <x:c r="C22" s="89" t="str"/>
      <x:c r="D22" s="89" t="str"/>
      <x:c r="E22" s="89" t="str"/>
      <x:c r="F22" s="90" t="str"/>
    </x:row>
    <x:row r="23">
      <x:c r="A23" s="79" t="str">
        <x:v>Monitoring trigger</x:v>
      </x:c>
      <x:c r="B23" s="91" t="str"/>
      <x:c r="C23" s="91" t="str"/>
      <x:c r="D23" s="91" t="str"/>
      <x:c r="E23" s="91" t="str"/>
      <x:c r="F23" s="92" t="str"/>
    </x:row>
  </x:sheetData>
  <x:mergeCells>
    <x:mergeCell ref="A1:F1"/>
    <x:mergeCell ref="A3:F3"/>
  </x:mergeCells>
  <x:pageMargins left="0.7" right="0.7" top="0.75" bottom="0.75" header="0.3" footer="0.3"/>
</x:worksheet>
</file>