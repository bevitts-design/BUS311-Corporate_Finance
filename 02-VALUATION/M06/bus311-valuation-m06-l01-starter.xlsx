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bethanyevittsair2/Documents/GitHub/BUS311-Corporate_Finance/02-VALUATION/M06/"/>
    </mc:Choice>
  </mc:AlternateContent>
  <xr:revisionPtr revIDLastSave="0" documentId="13_ncr:1_{336EB201-BBEF-A642-96C3-4EF7804FFDCF}" xr6:coauthVersionLast="47" xr6:coauthVersionMax="47" xr10:uidLastSave="{00000000-0000-0000-0000-000000000000}"/>
  <bookViews>
    <workbookView xWindow="7400" yWindow="900" windowWidth="34860" windowHeight="20020" xr2:uid="{00000000-000D-0000-FFFF-FFFF00000000}"/>
  </bookViews>
  <sheets>
    <sheet name="Example 1 - At Par" sheetId="2" r:id="rId1"/>
    <sheet name="Example 2 - Premium" sheetId="3" r:id="rId2"/>
    <sheet name="Example 3 - Discount" sheetId="4" r:id="rId3"/>
    <sheet name="START HERE" sheetId="1" r:id="rId4"/>
    <sheet name="1 Assumptions-Baseline" sheetId="5" r:id="rId5"/>
    <sheet name="2 Bond Pricing" sheetId="6" r:id="rId6"/>
    <sheet name="3 Sources-Uses" sheetId="7" r:id="rId7"/>
    <sheet name="4 Scenario Impact" sheetId="8" r:id="rId8"/>
    <sheet name="5 Capacity-Decision" sheetId="9" r:id="rId9"/>
    <sheet name="6 Checks" sheetId="10" r:id="rId10"/>
    <sheet name="BUS311 Guid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" i="10" l="1"/>
  <c r="B39" i="10"/>
  <c r="C38" i="10"/>
  <c r="B38" i="10"/>
  <c r="C37" i="10"/>
  <c r="B37" i="10"/>
  <c r="B36" i="10"/>
  <c r="B35" i="10"/>
  <c r="B34" i="10"/>
  <c r="C33" i="10"/>
  <c r="B33" i="10"/>
  <c r="C32" i="10"/>
  <c r="B32" i="10"/>
  <c r="C31" i="10"/>
  <c r="B31" i="10"/>
  <c r="C30" i="10"/>
  <c r="B30" i="10"/>
  <c r="C29" i="10"/>
  <c r="B29" i="10"/>
  <c r="F28" i="10"/>
  <c r="D28" i="10"/>
  <c r="C28" i="10"/>
  <c r="B28" i="10"/>
  <c r="C27" i="10"/>
  <c r="B27" i="10"/>
  <c r="C26" i="10"/>
  <c r="B26" i="10"/>
  <c r="C25" i="10"/>
  <c r="B25" i="10"/>
  <c r="C24" i="10"/>
  <c r="B24" i="10"/>
  <c r="C23" i="10"/>
  <c r="B23" i="10"/>
  <c r="C22" i="10"/>
  <c r="B22" i="10"/>
  <c r="C21" i="10"/>
  <c r="B21" i="10"/>
  <c r="C20" i="10"/>
  <c r="B20" i="10"/>
  <c r="C19" i="10"/>
  <c r="B19" i="10"/>
  <c r="C18" i="10"/>
  <c r="B18" i="10"/>
  <c r="C17" i="10"/>
  <c r="B17" i="10"/>
  <c r="F16" i="10"/>
  <c r="C16" i="10"/>
  <c r="B16" i="10"/>
  <c r="D16" i="10" s="1"/>
  <c r="C15" i="10"/>
  <c r="B15" i="10"/>
  <c r="C14" i="10"/>
  <c r="B14" i="10"/>
  <c r="C13" i="10"/>
  <c r="B13" i="10"/>
  <c r="C12" i="10"/>
  <c r="B12" i="10"/>
  <c r="C11" i="10"/>
  <c r="B11" i="10"/>
  <c r="C10" i="10"/>
  <c r="B10" i="10"/>
  <c r="C9" i="10"/>
  <c r="B9" i="10"/>
  <c r="C8" i="10"/>
  <c r="B8" i="10"/>
  <c r="C7" i="10"/>
  <c r="B7" i="10"/>
  <c r="B43" i="8"/>
  <c r="B42" i="8"/>
  <c r="B41" i="8"/>
  <c r="B40" i="8"/>
  <c r="B39" i="8"/>
  <c r="B38" i="8"/>
  <c r="B36" i="8"/>
  <c r="B35" i="8"/>
  <c r="B34" i="8"/>
  <c r="B33" i="8"/>
  <c r="B32" i="8"/>
  <c r="B31" i="8"/>
  <c r="B26" i="8"/>
  <c r="B25" i="8"/>
  <c r="B24" i="8"/>
  <c r="B23" i="8"/>
  <c r="B22" i="8"/>
  <c r="B21" i="8"/>
  <c r="B20" i="8"/>
  <c r="B18" i="8"/>
  <c r="B17" i="8"/>
  <c r="B16" i="8"/>
  <c r="B15" i="8"/>
  <c r="B14" i="8"/>
  <c r="B12" i="8"/>
  <c r="B11" i="8"/>
  <c r="B10" i="8"/>
  <c r="B9" i="8"/>
  <c r="B8" i="8"/>
  <c r="B7" i="8"/>
  <c r="D25" i="7"/>
  <c r="C25" i="7"/>
  <c r="B25" i="7"/>
  <c r="D22" i="7"/>
  <c r="C22" i="7"/>
  <c r="B22" i="7"/>
  <c r="D16" i="7"/>
  <c r="C16" i="7"/>
  <c r="B16" i="7"/>
  <c r="D7" i="7"/>
  <c r="C7" i="7"/>
  <c r="B7" i="7"/>
  <c r="B48" i="6"/>
  <c r="B47" i="6"/>
  <c r="B46" i="6"/>
  <c r="B45" i="6"/>
  <c r="B44" i="6"/>
  <c r="B15" i="6"/>
  <c r="B14" i="6"/>
  <c r="B13" i="6"/>
  <c r="B12" i="6"/>
  <c r="B11" i="6"/>
  <c r="B10" i="6"/>
  <c r="B9" i="6"/>
  <c r="B8" i="6"/>
  <c r="B7" i="6"/>
  <c r="D39" i="10" l="1"/>
  <c r="F39" i="10"/>
  <c r="F38" i="10"/>
  <c r="D38" i="10"/>
  <c r="D37" i="10"/>
  <c r="F37" i="10"/>
  <c r="F33" i="10"/>
  <c r="D33" i="10"/>
  <c r="D32" i="10"/>
  <c r="F32" i="10"/>
  <c r="F31" i="10"/>
  <c r="D31" i="10"/>
  <c r="F30" i="10"/>
  <c r="D30" i="10"/>
  <c r="D29" i="10"/>
  <c r="F29" i="10"/>
  <c r="F27" i="10"/>
  <c r="D27" i="10"/>
  <c r="D26" i="10"/>
  <c r="F26" i="10"/>
  <c r="F25" i="10"/>
  <c r="D25" i="10"/>
  <c r="D24" i="10"/>
  <c r="F24" i="10"/>
  <c r="F23" i="10"/>
  <c r="D23" i="10"/>
  <c r="D22" i="10"/>
  <c r="F22" i="10"/>
  <c r="D21" i="10"/>
  <c r="F21" i="10"/>
  <c r="F20" i="10"/>
  <c r="D20" i="10"/>
  <c r="F19" i="10"/>
  <c r="D19" i="10"/>
  <c r="F18" i="10"/>
  <c r="D18" i="10"/>
  <c r="F17" i="10"/>
  <c r="D17" i="10"/>
  <c r="F15" i="10"/>
  <c r="D15" i="10"/>
  <c r="F14" i="10"/>
  <c r="D14" i="10"/>
  <c r="D13" i="10"/>
  <c r="F13" i="10"/>
  <c r="F12" i="10"/>
  <c r="D12" i="10"/>
  <c r="D11" i="10"/>
  <c r="F11" i="10"/>
  <c r="D10" i="10"/>
  <c r="F10" i="10"/>
  <c r="D9" i="10"/>
  <c r="F9" i="10"/>
  <c r="D8" i="10"/>
  <c r="F8" i="10"/>
  <c r="F7" i="10"/>
  <c r="D7" i="10"/>
  <c r="C35" i="10"/>
  <c r="C34" i="10"/>
  <c r="C36" i="10"/>
  <c r="B3" i="10" l="1"/>
  <c r="F35" i="10"/>
  <c r="D35" i="10"/>
  <c r="D34" i="10"/>
  <c r="F34" i="10"/>
  <c r="F36" i="10"/>
  <c r="D36" i="10"/>
</calcChain>
</file>

<file path=xl/sharedStrings.xml><?xml version="1.0" encoding="utf-8"?>
<sst xmlns="http://schemas.openxmlformats.org/spreadsheetml/2006/main" count="725" uniqueCount="484">
  <si>
    <t>BUS311 M06 — Bond Valuation, Interest Rates, and YTM</t>
  </si>
  <si>
    <t>Meridian Industrial Corp. · student starter · $ thousands unless noted · Version 2026-09-29</t>
  </si>
  <si>
    <t>Decision objective: price Meridian’s bond with PV, PRICE, YIELD, and RATE; reconcile gross proceeds to issuance costs and every use; build closing-date balance sheets and first-year earnings; test financing capacity; and make a CFO recommendation that distinguishes “best full-size scenario” from “acceptable financing plan.”</t>
  </si>
  <si>
    <t>Required workflow</t>
  </si>
  <si>
    <t>Reconstruct</t>
  </si>
  <si>
    <t>Complete the income statement and balanced baseline before using any ratio.</t>
  </si>
  <si>
    <t>Price</t>
  </si>
  <si>
    <t>Use the same dated bond assumptions for PV and PRICE; solve reverse yields with YIELD and RATE.</t>
  </si>
  <si>
    <t>Reconcile</t>
  </si>
  <si>
    <t>Start with gross cash proceeds, subtract issuance costs, and assign every remaining dollar to refinancing, capex, or retained cash.</t>
  </si>
  <si>
    <t>Model</t>
  </si>
  <si>
    <t>Use a closing-date balance sheet; do not mix closing entries with first-year income.</t>
  </si>
  <si>
    <t>Tie</t>
  </si>
  <si>
    <t>Connect debt face value, debt carrying value, cash, interest expense, tax, equity, shares, and EPS.</t>
  </si>
  <si>
    <t>Check</t>
  </si>
  <si>
    <t>Clear the balance-sheet, sources-and-uses, debt-roll-forward, sign, and scenario checks.</t>
  </si>
  <si>
    <t>Size</t>
  </si>
  <si>
    <t>Calculate the maximum face amount supported by leverage and coverage guardrails.</t>
  </si>
  <si>
    <t>Recommend</t>
  </si>
  <si>
    <t>Cite price, two ratios, one tie-out, and one monitoring trigger.</t>
  </si>
  <si>
    <t>Model timing and sign conventions</t>
  </si>
  <si>
    <t>Convention</t>
  </si>
  <si>
    <t>Required treatment</t>
  </si>
  <si>
    <t>Interest expense</t>
  </si>
  <si>
    <t>Display as a positive expense; EBT = EBIT − interest expense.</t>
  </si>
  <si>
    <t>Income tax expense</t>
  </si>
  <si>
    <t>Display as a positive expense; net income = EBT − tax expense.</t>
  </si>
  <si>
    <t>Offering size</t>
  </si>
  <si>
    <t>Face value is debt promised, not cash received.</t>
  </si>
  <si>
    <t>Gross proceeds</t>
  </si>
  <si>
    <t>Market price × bonds issued; may differ from face value.</t>
  </si>
  <si>
    <t>Debt carrying value</t>
  </si>
  <si>
    <t>Gross proceeds less issuance costs at closing.</t>
  </si>
  <si>
    <t>Credit-ratio debt</t>
  </si>
  <si>
    <t>Use gross face debt so leverage is not understated by discount or fees.</t>
  </si>
  <si>
    <t>Closing equity</t>
  </si>
  <si>
    <t>Unchanged because no shares are issued and first-year earnings have not yet occurred.</t>
  </si>
  <si>
    <t>EPS</t>
  </si>
  <si>
    <t>First-year net income ÷ unchanged diluted shares.</t>
  </si>
  <si>
    <t>Color legend and completion rules</t>
  </si>
  <si>
    <t>Blue input</t>
  </si>
  <si>
    <t>Given teaching-case assumption; use its cell reference.</t>
  </si>
  <si>
    <t>Yellow cell</t>
  </si>
  <si>
    <t>Student formula, link, interpretation, or written recommendation.</t>
  </si>
  <si>
    <t>Green font</t>
  </si>
  <si>
    <t>Formula linked from another worksheet.</t>
  </si>
  <si>
    <t>Black formula</t>
  </si>
  <si>
    <t>Calculation on the current worksheet.</t>
  </si>
  <si>
    <t>Checks</t>
  </si>
  <si>
    <t>COMPLETE means required student cells are blank; CHECK means a completed model does not reconcile.</t>
  </si>
  <si>
    <t>Privacy</t>
  </si>
  <si>
    <t>No answer, solution, instructor, grading, or hidden key sheet belongs in this public workbook.</t>
  </si>
  <si>
    <t>FactSet</t>
  </si>
  <si>
    <t>If live values are substituted, record field, company, period, units, currency, and retrieval date.</t>
  </si>
  <si>
    <t>Units</t>
  </si>
  <si>
    <t>Financial statements are $000s; price per bond is dollars; shares are 000s.</t>
  </si>
  <si>
    <t>Baseline correction disclosed</t>
  </si>
  <si>
    <t>The prior teaching case listed $486.5M of assets but only $425.5M of liabilities and equity. This reconstruction restores the omitted $61.0M non-debt “Other Long-Term Operating Liabilities” line (for example, lease, pension, and other operating obligations). It is shown explicitly, excluded from interest-bearing debt ratios, and never used as a hidden cash or equity plug.</t>
  </si>
  <si>
    <t>Canva cash-flow warm-up</t>
  </si>
  <si>
    <t>Complete the three-year bond examples at 5%, 3%, and 7% market yields before building Meridian’s ten-year bond. Keep the $1,000 face value and 5% coupon fixed; use each tab to show how discounting changes the price.</t>
  </si>
  <si>
    <t>Three-Year Bond — 5% yield</t>
  </si>
  <si>
    <t>Canva M06 example · annual coupons · enter formulas in yellow cells · compare price with par</t>
  </si>
  <si>
    <t>Given contract and market yield</t>
  </si>
  <si>
    <t>Face value ($)</t>
  </si>
  <si>
    <t>Price the bond with Excel PV(rate, nper, pmt, fv). Use the yearly cash-flow table to check the result: calculate each promised payment, discount it at the market yield, and add its present value. Only the market yield changes across these examples.</t>
  </si>
  <si>
    <t>Annual coupon rate</t>
  </si>
  <si>
    <t>Market yield (annual)</t>
  </si>
  <si>
    <t>Years to maturity</t>
  </si>
  <si>
    <t>Coupon payments per year</t>
  </si>
  <si>
    <t>Discount each promised cash flow</t>
  </si>
  <si>
    <t>Year</t>
  </si>
  <si>
    <t>Coupon ($)</t>
  </si>
  <si>
    <t>Principal ($)</t>
  </si>
  <si>
    <t>Total cash flow ($)</t>
  </si>
  <si>
    <t>Discount factor</t>
  </si>
  <si>
    <t>Present value ($)</t>
  </si>
  <si>
    <t>Bond price and interpretation</t>
  </si>
  <si>
    <t>Bond price — Excel PV function</t>
  </si>
  <si>
    <t>Sum of discounted cash flows</t>
  </si>
  <si>
    <t>Difference between the methods</t>
  </si>
  <si>
    <t>Price relative to par</t>
  </si>
  <si>
    <t>Premium / (discount) dollars</t>
  </si>
  <si>
    <t>Explain the price</t>
  </si>
  <si>
    <t>After all three examples: compare the coupon and principal cash flows, then compare the discount factors and prices. What stays fixed, and what moves when market yield changes?</t>
  </si>
  <si>
    <t>Three-Year Bond — 3% yield</t>
  </si>
  <si>
    <t>Three-Year Bond — 7% yield</t>
  </si>
  <si>
    <t>Meridian — Central Assumptions and Balanced Baseline</t>
  </si>
  <si>
    <t>All scenario formulas must link here. Blue = given; yellow = student calculation. Fictional teaching case, FY 2025 baseline.</t>
  </si>
  <si>
    <t>Baseline income statement and per-share data</t>
  </si>
  <si>
    <t>Income statement item</t>
  </si>
  <si>
    <t>FY 2025 ($000s)</t>
  </si>
  <si>
    <t>Student formula / definition</t>
  </si>
  <si>
    <t>Role</t>
  </si>
  <si>
    <t>Revenue</t>
  </si>
  <si>
    <t>Given</t>
  </si>
  <si>
    <t>Input</t>
  </si>
  <si>
    <t>Cost of Goods Sold</t>
  </si>
  <si>
    <t>Gross Profit</t>
  </si>
  <si>
    <t>Revenue − COGS</t>
  </si>
  <si>
    <t>Student</t>
  </si>
  <si>
    <t>Selling, General &amp; Admin</t>
  </si>
  <si>
    <t>Depreciation &amp; Amortization</t>
  </si>
  <si>
    <t>EBIT (Operating Income)</t>
  </si>
  <si>
    <t>Gross Profit − SG&amp;A − D&amp;A</t>
  </si>
  <si>
    <t>Interest Expense</t>
  </si>
  <si>
    <t>Positive expense</t>
  </si>
  <si>
    <t>EBT</t>
  </si>
  <si>
    <t>EBIT − Interest Expense</t>
  </si>
  <si>
    <t>Income Tax Rate</t>
  </si>
  <si>
    <t>Applied to positive EBT</t>
  </si>
  <si>
    <t>Income Tax Expense</t>
  </si>
  <si>
    <t>Positive expense = MAX(EBT,0) × tax rate</t>
  </si>
  <si>
    <t>Net Income</t>
  </si>
  <si>
    <t>EBT − Income Tax Expense</t>
  </si>
  <si>
    <t>Diluted Shares Outstanding (000s)</t>
  </si>
  <si>
    <t>No issuance in debt scenarios</t>
  </si>
  <si>
    <t>Net Income ÷ diluted shares</t>
  </si>
  <si>
    <t>Balanced baseline statement of financial position</t>
  </si>
  <si>
    <t>Assets</t>
  </si>
  <si>
    <t>Source / rationale</t>
  </si>
  <si>
    <t>Liabilities &amp; Equity</t>
  </si>
  <si>
    <t>Cash &amp; Cash Equivalents</t>
  </si>
  <si>
    <t>Accounts Payable</t>
  </si>
  <si>
    <t>Accounts Receivable</t>
  </si>
  <si>
    <t>Short-Term Debt</t>
  </si>
  <si>
    <t>Interest-bearing current debt</t>
  </si>
  <si>
    <t>Inventory</t>
  </si>
  <si>
    <t>Other Current Liabilities</t>
  </si>
  <si>
    <t>Other Current Assets</t>
  </si>
  <si>
    <t>Total Current Liabilities</t>
  </si>
  <si>
    <t>Sum current liabilities</t>
  </si>
  <si>
    <t>Total Current Assets</t>
  </si>
  <si>
    <t>Sum current assets</t>
  </si>
  <si>
    <t>Existing Long-Term Debt</t>
  </si>
  <si>
    <t>Interest-bearing debt</t>
  </si>
  <si>
    <t>Property, Plant &amp; Equipment (net)</t>
  </si>
  <si>
    <t>Given net carrying amount</t>
  </si>
  <si>
    <t>Deferred Tax Liability</t>
  </si>
  <si>
    <t>Intangible Assets</t>
  </si>
  <si>
    <t>Other Long-Term Operating Liabilities</t>
  </si>
  <si>
    <t>Restored omitted non-debt line; lease, pension, and operating obligations</t>
  </si>
  <si>
    <t>Other Long-Term Assets</t>
  </si>
  <si>
    <t>Total Liabilities</t>
  </si>
  <si>
    <t>Current + all long-term liabilities</t>
  </si>
  <si>
    <t>Total Assets</t>
  </si>
  <si>
    <t>Current assets + all long-term assets</t>
  </si>
  <si>
    <t>Common Stock &amp; APIC</t>
  </si>
  <si>
    <t>Retained Earnings</t>
  </si>
  <si>
    <t>Total Equity</t>
  </si>
  <si>
    <t>Common Stock &amp; APIC + Retained Earnings</t>
  </si>
  <si>
    <t>Total Liabilities &amp; Equity</t>
  </si>
  <si>
    <t>Total Liabilities + Total Equity</t>
  </si>
  <si>
    <t>Bond, financing, and scenario assumptions</t>
  </si>
  <si>
    <t>Bond / financing input</t>
  </si>
  <si>
    <t>Value</t>
  </si>
  <si>
    <t>Unit / definition</t>
  </si>
  <si>
    <t>Scenario driver</t>
  </si>
  <si>
    <t>A — Refinance</t>
  </si>
  <si>
    <t>B — CapEx</t>
  </si>
  <si>
    <t>C — Mixed</t>
  </si>
  <si>
    <t>Par Value per Bond</t>
  </si>
  <si>
    <t>$ per bond</t>
  </si>
  <si>
    <t>Refinancing Target ($000s)</t>
  </si>
  <si>
    <t>Number of Bonds Issued</t>
  </si>
  <si>
    <t>bonds</t>
  </si>
  <si>
    <t>Fixed CapEx Target ($000s)</t>
  </si>
  <si>
    <t>Annual Coupon Rate</t>
  </si>
  <si>
    <t>nominal annual</t>
  </si>
  <si>
    <t>Allocate Residual Net Proceeds to CapEx?</t>
  </si>
  <si>
    <t>Market YTM</t>
  </si>
  <si>
    <t>nominal annual, semiannual compounding</t>
  </si>
  <si>
    <t>Revenue Growth</t>
  </si>
  <si>
    <t>Settlement Date</t>
  </si>
  <si>
    <t>coupon date; accrued interest = 0</t>
  </si>
  <si>
    <t>EBIT Growth</t>
  </si>
  <si>
    <t>Maturity Date</t>
  </si>
  <si>
    <t>10 years after settlement</t>
  </si>
  <si>
    <t>Incremental D&amp;A ($000s)</t>
  </si>
  <si>
    <t>Payment Frequency</t>
  </si>
  <si>
    <t>payments per year</t>
  </si>
  <si>
    <t>Cash Retained Rule</t>
  </si>
  <si>
    <t>Residual</t>
  </si>
  <si>
    <t>None</t>
  </si>
  <si>
    <t>Day-Count Basis</t>
  </si>
  <si>
    <t>0 = US 30/360</t>
  </si>
  <si>
    <t>Issuance Cost Rate</t>
  </si>
  <si>
    <t>% of gross proceeds</t>
  </si>
  <si>
    <t>Credit benchmark</t>
  </si>
  <si>
    <t>Threshold</t>
  </si>
  <si>
    <t>Direction</t>
  </si>
  <si>
    <t>Use</t>
  </si>
  <si>
    <t>Observed Clean Price</t>
  </si>
  <si>
    <t>$ per $100 of par; separate reverse-yield test</t>
  </si>
  <si>
    <t>Debt / Equity</t>
  </si>
  <si>
    <t>≤</t>
  </si>
  <si>
    <t>Capacity</t>
  </si>
  <si>
    <t>Short-Term Debt Rate</t>
  </si>
  <si>
    <t>annual</t>
  </si>
  <si>
    <t>Debt / EBITDA</t>
  </si>
  <si>
    <t>Implied Existing LT Debt Rate</t>
  </si>
  <si>
    <t>(Baseline interest − ST interest) ÷ existing LT debt</t>
  </si>
  <si>
    <t>Interest Coverage</t>
  </si>
  <si>
    <t>≥</t>
  </si>
  <si>
    <t>Net Debt / EBITDA</t>
  </si>
  <si>
    <t>Decision</t>
  </si>
  <si>
    <t>Current Ratio</t>
  </si>
  <si>
    <t>Yield sensitivity inputs</t>
  </si>
  <si>
    <t>Rates Fall</t>
  </si>
  <si>
    <t>Par / Flat</t>
  </si>
  <si>
    <t>Base Case</t>
  </si>
  <si>
    <t>Rates Rise</t>
  </si>
  <si>
    <t>Stress Case</t>
  </si>
  <si>
    <t>Meridian — Bond Pricing, Yield, and Effective Interest</t>
  </si>
  <si>
    <t>Use investor signs for valuation: price today is a cash outflow; coupons and principal are future inflows. Use issuer signs for proceeds and interest expense.</t>
  </si>
  <si>
    <t>Linked bond assumptions</t>
  </si>
  <si>
    <t>Assumption</t>
  </si>
  <si>
    <t>Linked value</t>
  </si>
  <si>
    <t>Definition</t>
  </si>
  <si>
    <t>Number of Bonds</t>
  </si>
  <si>
    <t>coupon date</t>
  </si>
  <si>
    <t>periods per year</t>
  </si>
  <si>
    <t>Student build — PV, PRICE, YIELD, RATE, proceeds, and effective interest</t>
  </si>
  <si>
    <t>Metric</t>
  </si>
  <si>
    <t>Student formula</t>
  </si>
  <si>
    <t>Required relationship</t>
  </si>
  <si>
    <t>Audit meaning</t>
  </si>
  <si>
    <t>Coupon per Period ($ / bond)</t>
  </si>
  <si>
    <t>Par × coupon rate ÷ frequency</t>
  </si>
  <si>
    <t>Contract cash flow</t>
  </si>
  <si>
    <t>Market Yield per Period</t>
  </si>
  <si>
    <t>YTM ÷ frequency</t>
  </si>
  <si>
    <t>Discount rate</t>
  </si>
  <si>
    <t>Total Coupon Periods</t>
  </si>
  <si>
    <t>Years × frequency, or dated equivalent</t>
  </si>
  <si>
    <t>Timing</t>
  </si>
  <si>
    <t>Price per Bond — PV</t>
  </si>
  <si>
    <t>Negative PV of investor inflows</t>
  </si>
  <si>
    <t>General TVM method</t>
  </si>
  <si>
    <t>Price per Bond — PRICE</t>
  </si>
  <si>
    <t>PRICE × par ÷ 100</t>
  </si>
  <si>
    <t>Dated bond method</t>
  </si>
  <si>
    <t>PV vs PRICE Difference</t>
  </si>
  <si>
    <t>PV price − PRICE price</t>
  </si>
  <si>
    <t>Should be zero on coupon date</t>
  </si>
  <si>
    <t>Gross Offering Proceeds ($000s)</t>
  </si>
  <si>
    <t>Price × bonds ÷ 1,000</t>
  </si>
  <si>
    <t>Cash source before fees</t>
  </si>
  <si>
    <t>Issuance Costs ($000s)</t>
  </si>
  <si>
    <t>Gross proceeds × issuance cost rate</t>
  </si>
  <si>
    <t>Cash use at closing</t>
  </si>
  <si>
    <t>Net Proceeds / Initial Carrying Amount ($000s)</t>
  </si>
  <si>
    <t>Gross proceeds − issuance costs</t>
  </si>
  <si>
    <t>Deployable cash and debt carrying value</t>
  </si>
  <si>
    <t>Face Discount + Issuance Costs ($000s)</t>
  </si>
  <si>
    <t>Face amount − initial carrying amount</t>
  </si>
  <si>
    <t>Contra-debt at closing</t>
  </si>
  <si>
    <t>Annual Cash Coupon ($000s)</t>
  </si>
  <si>
    <t>Face amount × coupon rate</t>
  </si>
  <si>
    <t>Cash paid; not full accounting interest</t>
  </si>
  <si>
    <t>Observed Clean Price ($ per $100)</t>
  </si>
  <si>
    <t>Link the separate observed quote</t>
  </si>
  <si>
    <t>Reverse-yield audit input</t>
  </si>
  <si>
    <t>YIELD from Observed Price</t>
  </si>
  <si>
    <t>YIELD using dated terms</t>
  </si>
  <si>
    <t>Nominal annual investor yield</t>
  </si>
  <si>
    <t>RATE from Observed Price</t>
  </si>
  <si>
    <t>RATE periodic result × frequency</t>
  </si>
  <si>
    <t>Independent reverse-yield method</t>
  </si>
  <si>
    <t>Issuer EIR per Period</t>
  </si>
  <si>
    <t>RATE using net proceeds as PV</t>
  </si>
  <si>
    <t>Includes discount and issuance costs</t>
  </si>
  <si>
    <t>Issuer Nominal Annual EIR</t>
  </si>
  <si>
    <t>Periodic issuer EIR × frequency</t>
  </si>
  <si>
    <t>All-in accounting rate</t>
  </si>
  <si>
    <t>Period 1 Interest Expense ($000s)</t>
  </si>
  <si>
    <t>Opening carrying value × periodic EIR</t>
  </si>
  <si>
    <t>Ending Carrying Value — Period 1</t>
  </si>
  <si>
    <t>Opening carry + interest expense − cash coupon</t>
  </si>
  <si>
    <t>Debt accretes toward face</t>
  </si>
  <si>
    <t>Period 2 Interest Expense ($000s)</t>
  </si>
  <si>
    <t>Period 1 ending carry × periodic EIR</t>
  </si>
  <si>
    <t>Year 1 New-Bond Interest Expense ($000s)</t>
  </si>
  <si>
    <t>Period 1 + Period 2 expense</t>
  </si>
  <si>
    <t>Used in scenario net income</t>
  </si>
  <si>
    <t>Ending Carrying Value — Year 1</t>
  </si>
  <si>
    <t>Period 1 ending carry + period 2 expense − cash coupon</t>
  </si>
  <si>
    <t>Debt roll-forward</t>
  </si>
  <si>
    <t>Yield sensitivity — one copy-down PRICE formula</t>
  </si>
  <si>
    <t>Scenario</t>
  </si>
  <si>
    <t>Linked YTM</t>
  </si>
  <si>
    <t>Price per Bond</t>
  </si>
  <si>
    <t>Premium / (Discount)</t>
  </si>
  <si>
    <t>Gross Proceeds ($000s)</t>
  </si>
  <si>
    <t>Interpretation</t>
  </si>
  <si>
    <t>Coupon exceeds market yield → premium</t>
  </si>
  <si>
    <t>Coupon equals market yield → par</t>
  </si>
  <si>
    <t>Market yield exceeds coupon → discount</t>
  </si>
  <si>
    <t>Discount widens</t>
  </si>
  <si>
    <t>Deep discount; funding shortfall grows</t>
  </si>
  <si>
    <t>Reasonableness gate: coupon rate &gt; YTM implies premium, coupon rate = YTM implies par, and coupon rate &lt; YTM implies discount. The sensitivity table must move monotonically in the opposite direction from YTM.</t>
  </si>
  <si>
    <t>Meridian — Sources, Uses, and Debt Roll-Forward</t>
  </si>
  <si>
    <t>Every dollar of gross proceeds must be assigned exactly once. Discount and fees reduce cash received but do not reduce the promised face amount used in credit ratios.</t>
  </si>
  <si>
    <t>Closing sources and uses</t>
  </si>
  <si>
    <t>Sources / Uses ($000s)</t>
  </si>
  <si>
    <t>Gross Bond Proceeds</t>
  </si>
  <si>
    <t>Issuance Costs</t>
  </si>
  <si>
    <t>Refinance Short-Term Debt</t>
  </si>
  <si>
    <t>Capital Expenditure</t>
  </si>
  <si>
    <t>Cash Retained</t>
  </si>
  <si>
    <t>Total Uses</t>
  </si>
  <si>
    <t>Sources − Uses Check</t>
  </si>
  <si>
    <t>Net Proceeds</t>
  </si>
  <si>
    <t>Refi + CapEx + Cash Retained</t>
  </si>
  <si>
    <t>Net Proceeds − Deployment Check</t>
  </si>
  <si>
    <t>Debt face value, carrying value, and roll-forward</t>
  </si>
  <si>
    <t>Debt Bridge ($000s)</t>
  </si>
  <si>
    <t>Beginning Short-Term Debt</t>
  </si>
  <si>
    <t>Refinancing Repayment</t>
  </si>
  <si>
    <t>Ending Short-Term Debt</t>
  </si>
  <si>
    <t>Beginning Existing LT Debt — Face</t>
  </si>
  <si>
    <t>New Bond — Face</t>
  </si>
  <si>
    <t>Ending Gross Face Debt</t>
  </si>
  <si>
    <t>New Bond — Initial Carrying Value</t>
  </si>
  <si>
    <t>Contra-Debt: Discount + Issuance Costs</t>
  </si>
  <si>
    <t>New Bond Face − Carrying − Contra Check</t>
  </si>
  <si>
    <t>Accounting rationale: the new bond is recorded at initial carrying value (gross proceeds less issuance costs). The difference between face value and carrying value is visible contra-debt, not missing cash. Credit ratios use ending gross face debt; the balance sheet uses carrying value.</t>
  </si>
  <si>
    <t>Meridian — Closing Balance Sheet, Year-1 Earnings, and Ratios</t>
  </si>
  <si>
    <t>Timing discipline: the balance sheet is measured immediately after closing; the income statement and EPS show the first full year after closing. Closing equity is unchanged because no shares are issued and year-1 earnings have not yet accumulated.</t>
  </si>
  <si>
    <t>Closing-date balance sheet</t>
  </si>
  <si>
    <t>Line Item ($000s)</t>
  </si>
  <si>
    <t>Baseline</t>
  </si>
  <si>
    <t>PP&amp;E (net)</t>
  </si>
  <si>
    <t>New Bond — Carrying Value</t>
  </si>
  <si>
    <t>Total Equity at Closing</t>
  </si>
  <si>
    <t>Balance Sheet Check</t>
  </si>
  <si>
    <t>First full year after closing — positive expense convention</t>
  </si>
  <si>
    <t>Income Statement / Per Share</t>
  </si>
  <si>
    <t>EBIT</t>
  </si>
  <si>
    <t>D&amp;A</t>
  </si>
  <si>
    <t>EBITDA</t>
  </si>
  <si>
    <t>Short-Term Debt Interest Expense</t>
  </si>
  <si>
    <t>Existing LT Debt Interest Expense</t>
  </si>
  <si>
    <t>New Bond Year-1 Interest Expense</t>
  </si>
  <si>
    <t>Total Interest Expense</t>
  </si>
  <si>
    <t>Credit and liquidity ratio comparison</t>
  </si>
  <si>
    <t>Benchmark</t>
  </si>
  <si>
    <t>Gross Face Debt ($000s)</t>
  </si>
  <si>
    <t>n/a</t>
  </si>
  <si>
    <t>Uses promised debt, not carrying value</t>
  </si>
  <si>
    <t>≤ 1.50x</t>
  </si>
  <si>
    <t>Lower is stronger</t>
  </si>
  <si>
    <t>≤ 3.00x</t>
  </si>
  <si>
    <t>Primary capacity constraint</t>
  </si>
  <si>
    <t>≥ 3.00x</t>
  </si>
  <si>
    <t>EBIT ÷ positive interest expense</t>
  </si>
  <si>
    <t>≤ 2.50x</t>
  </si>
  <si>
    <t>Cash retained reduces net debt</t>
  </si>
  <si>
    <t>≥ 1.50x</t>
  </si>
  <si>
    <t>Closing current assets ÷ current liabilities</t>
  </si>
  <si>
    <t>Required interpretation: a scenario may rank best but still fail an absolute benchmark. Keep face debt and carrying debt distinct; include retained cash in net debt; and never improve net income by adding a positive interest expense.</t>
  </si>
  <si>
    <t>Meridian — Financing Capacity and CFO Recommendation</t>
  </si>
  <si>
    <t>First identify the strongest full-size use of proceeds. Then calculate whether the $200M face amount is supportable under the stated guardrails.</t>
  </si>
  <si>
    <t>Full-size scenario scorecard</t>
  </si>
  <si>
    <t>Best full-size case and why</t>
  </si>
  <si>
    <t>Resize-and-stage capacity test — use Scenario C operating assumptions</t>
  </si>
  <si>
    <t>Capacity input / output</t>
  </si>
  <si>
    <t>Unit</t>
  </si>
  <si>
    <t>Scenario C EBITDA</t>
  </si>
  <si>
    <t>$000s</t>
  </si>
  <si>
    <t>Link completed scenario model</t>
  </si>
  <si>
    <t>Scenario C EBIT</t>
  </si>
  <si>
    <t>Closing Equity</t>
  </si>
  <si>
    <t>Remaining Pre-Existing Face Debt after Refi</t>
  </si>
  <si>
    <t>Ending ST debt + existing LT debt</t>
  </si>
  <si>
    <t>New Face Capacity — Debt / Equity</t>
  </si>
  <si>
    <t>D/E max × equity − remaining debt</t>
  </si>
  <si>
    <t>New Face Capacity — Debt / EBITDA</t>
  </si>
  <si>
    <t>Debt/EBITDA max × EBITDA − remaining debt</t>
  </si>
  <si>
    <t>New Face Capacity — Interest Coverage</t>
  </si>
  <si>
    <t>Interest headroom ÷ new-bond interest per $1 face</t>
  </si>
  <si>
    <t>Recommended Maximum New Face Amount</t>
  </si>
  <si>
    <t>Minimum of the three positive capacity limits</t>
  </si>
  <si>
    <t>Gross Proceeds at Capacity</t>
  </si>
  <si>
    <t>Capacity face ÷ par × price per bond</t>
  </si>
  <si>
    <t>Issuance Costs at Capacity</t>
  </si>
  <si>
    <t>Net Proceeds at Capacity</t>
  </si>
  <si>
    <t>Scenario C target</t>
  </si>
  <si>
    <t>Staged CapEx</t>
  </si>
  <si>
    <t>Scenario C fixed target</t>
  </si>
  <si>
    <t>Net proceeds − refinancing − capex</t>
  </si>
  <si>
    <t>Issuance costs + refinancing + capex + cash</t>
  </si>
  <si>
    <t>Capacity Sources − Uses Check</t>
  </si>
  <si>
    <t>Gross proceeds − total uses</t>
  </si>
  <si>
    <t>Debt / EBITDA at Capacity</t>
  </si>
  <si>
    <t>x</t>
  </si>
  <si>
    <t>(Remaining debt + new face) ÷ EBITDA</t>
  </si>
  <si>
    <t>CFO recommendation memo</t>
  </si>
  <si>
    <t>Recommendation: Choose the best full-size comparison, state whether the issue should be resized, and name the staged uses.</t>
  </si>
  <si>
    <t>Evidence: Cite bond price / proceeds, two ratios, the capacity amount, and one tie-out.</t>
  </si>
  <si>
    <t>Accounting rationale: Explain face debt versus carrying value and why interest expense lowers EBT and net income.</t>
  </si>
  <si>
    <t>Primary risk: Name the leverage, execution, or liquidity risk most likely to change the decision.</t>
  </si>
  <si>
    <t>Monitoring trigger: State a measurable threshold and the action management should take if breached.</t>
  </si>
  <si>
    <t>Meridian — Model Checks and Scenario Tie-Outs</t>
  </si>
  <si>
    <t>MODEL STATUS</t>
  </si>
  <si>
    <t>One assertion per row — do not proceed while a completed row says CHECK</t>
  </si>
  <si>
    <t>Actual</t>
  </si>
  <si>
    <t>Expected</t>
  </si>
  <si>
    <t>Difference</t>
  </si>
  <si>
    <t>Tolerance</t>
  </si>
  <si>
    <t>Status</t>
  </si>
  <si>
    <t>Where to fix / meaning</t>
  </si>
  <si>
    <t>Baseline balance sheet</t>
  </si>
  <si>
    <t>1 Assumptions-Baseline · Total Assets vs L+E</t>
  </si>
  <si>
    <t>Baseline tax expense sign</t>
  </si>
  <si>
    <t>Tax expense must be positive</t>
  </si>
  <si>
    <t>Baseline net income</t>
  </si>
  <si>
    <t>EBT − tax expense</t>
  </si>
  <si>
    <t>Baseline EPS</t>
  </si>
  <si>
    <t>Net income ÷ shares</t>
  </si>
  <si>
    <t>PV vs PRICE</t>
  </si>
  <si>
    <t>2 Bond Pricing · settlement is a coupon date</t>
  </si>
  <si>
    <t>Gross proceeds calculation</t>
  </si>
  <si>
    <t>Scenario A sources and uses</t>
  </si>
  <si>
    <t>3 Sources-Uses</t>
  </si>
  <si>
    <t>Scenario B sources and uses</t>
  </si>
  <si>
    <t>Scenario C sources and uses</t>
  </si>
  <si>
    <t>Scenario A net proceeds deployed</t>
  </si>
  <si>
    <t>Refi + CapEx + cash retained</t>
  </si>
  <si>
    <t>Scenario B net proceeds deployed</t>
  </si>
  <si>
    <t>Scenario C net proceeds deployed</t>
  </si>
  <si>
    <t>Scenario A debt face/carrying bridge</t>
  </si>
  <si>
    <t>Face − carrying − contra-debt</t>
  </si>
  <si>
    <t>Scenario B debt face/carrying bridge</t>
  </si>
  <si>
    <t>Scenario C debt face/carrying bridge</t>
  </si>
  <si>
    <t>Scenario A balance sheet</t>
  </si>
  <si>
    <t>4 Scenario Impact</t>
  </si>
  <si>
    <t>Scenario B balance sheet</t>
  </si>
  <si>
    <t>Scenario C balance sheet</t>
  </si>
  <si>
    <t>Scenario A ending ST debt</t>
  </si>
  <si>
    <t>Beginning ST − refinancing</t>
  </si>
  <si>
    <t>Scenario B ending ST debt</t>
  </si>
  <si>
    <t>Scenario C ending ST debt</t>
  </si>
  <si>
    <t>Scenario A total interest expense</t>
  </si>
  <si>
    <t>ST + existing LT + new bond</t>
  </si>
  <si>
    <t>Scenario B total interest expense</t>
  </si>
  <si>
    <t>Scenario C total interest expense</t>
  </si>
  <si>
    <t>Scenario A net income</t>
  </si>
  <si>
    <t>EBIT − interest − positive tax expense</t>
  </si>
  <si>
    <t>Scenario B net income</t>
  </si>
  <si>
    <t>Scenario C net income</t>
  </si>
  <si>
    <t>Scenario A closing equity unchanged</t>
  </si>
  <si>
    <t>No equity issuance; closing timing</t>
  </si>
  <si>
    <t>Scenario B closing equity unchanged</t>
  </si>
  <si>
    <t>Scenario C closing equity unchanged</t>
  </si>
  <si>
    <t>YIELD vs RATE from observed price</t>
  </si>
  <si>
    <t>2 Bond Pricing · independent reverse-yield methods</t>
  </si>
  <si>
    <t>Capacity sources and uses</t>
  </si>
  <si>
    <t>5 Capacity-Decision</t>
  </si>
  <si>
    <t>Capacity Debt / EBITDA</t>
  </si>
  <si>
    <t>Must equal the binding 3.00x guardrail</t>
  </si>
  <si>
    <t>PASS means every required tie-out is complete within tolerance. It does not by itself prove the recommendation is economically sound; use the capacity analysis and explain the decision logic.</t>
  </si>
  <si>
    <t>Bond Valuation, Interest Rates, and YTM</t>
  </si>
  <si>
    <t>BUS311 · valuation-m02-l01 · display module M06 · FactSet required · student starter</t>
  </si>
  <si>
    <t>Step</t>
  </si>
  <si>
    <t>Read the lesson pre-reading and confirm FactSet access.</t>
  </si>
  <si>
    <t>Enter or verify source values; keep units and periods consistent.</t>
  </si>
  <si>
    <t>Document any live FactSet field, period, units, currency, and retrieval date below.</t>
  </si>
  <si>
    <t>Complete calculations with visible, auditable Excel formulas.</t>
  </si>
  <si>
    <t>Use the Checks sheet before stating a recommendation.</t>
  </si>
  <si>
    <t>FactSet input</t>
  </si>
  <si>
    <t>Field / definition</t>
  </si>
  <si>
    <t>Period / units</t>
  </si>
  <si>
    <t>Source note</t>
  </si>
  <si>
    <t>Company identifier</t>
  </si>
  <si>
    <t>Market or price input</t>
  </si>
  <si>
    <t>Financial statement input</t>
  </si>
  <si>
    <t>Risk or discount-rate input</t>
  </si>
  <si>
    <t>Comparison-company input</t>
  </si>
  <si>
    <t>Decision output</t>
  </si>
  <si>
    <t>Response</t>
  </si>
  <si>
    <t>Recommendation</t>
  </si>
  <si>
    <t>Evidence from the model</t>
  </si>
  <si>
    <t>Primary risk or limitation</t>
  </si>
  <si>
    <t>Monitoring trigger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</si>
</sst>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\$#,##0.00;[Red]\(\$#,##0.00\);\-"/>
    <numFmt numFmtId="165" formatCode="0.00%;[Red]\(0.00%\);\-"/>
    <numFmt numFmtId="166" formatCode="#,##0;[Red]\(#,##0\);\-"/>
    <numFmt numFmtId="167" formatCode="0.0000"/>
    <numFmt numFmtId="168" formatCode="\$0.00;[Red]\(\$0.00\);\-"/>
    <numFmt numFmtId="169" formatCode="yyyy\-mm\-dd"/>
    <numFmt numFmtId="170" formatCode="0.00\x;[Red]\(0.00\x\);\-"/>
    <numFmt numFmtId="171" formatCode="\$#,##0.0;[Red]\(\$#,##0.0\);\-"/>
  </numFmts>
  <fonts count="12">
    <font>
      <sz val="11"/>
      <name val="Carlito"/>
    </font>
    <font>
      <sz val="10"/>
      <color rgb="FF000000"/>
      <name val="Aptos"/>
    </font>
    <font>
      <b/>
      <sz val="17"/>
      <color rgb="FFD6B13F"/>
      <name val="Aptos"/>
    </font>
    <font>
      <b/>
      <sz val="10"/>
      <color rgb="FFFFFFFF"/>
      <name val="Aptos"/>
    </font>
    <font>
      <b/>
      <sz val="11"/>
      <color rgb="FFD6B13F"/>
      <name val="Aptos"/>
    </font>
    <font>
      <b/>
      <sz val="10"/>
      <color rgb="FF17365D"/>
      <name val="Aptos"/>
    </font>
    <font>
      <b/>
      <sz val="10"/>
      <color rgb="FF0000FF"/>
      <name val="Aptos"/>
    </font>
    <font>
      <b/>
      <sz val="10"/>
      <color rgb="FF000000"/>
      <name val="Aptos"/>
    </font>
    <font>
      <b/>
      <sz val="10"/>
      <color rgb="FF008000"/>
      <name val="Aptos"/>
    </font>
    <font>
      <sz val="10"/>
      <color rgb="FF0000FF"/>
      <name val="Aptos"/>
    </font>
    <font>
      <sz val="10"/>
      <color rgb="FF008000"/>
      <name val="Aptos"/>
    </font>
    <font>
      <b/>
      <sz val="12"/>
      <color rgb="FF000000"/>
      <name val="Aptos"/>
    </font>
  </fonts>
  <fills count="11">
    <fill>
      <patternFill patternType="none"/>
    </fill>
    <fill>
      <patternFill patternType="gray125"/>
    </fill>
    <fill>
      <patternFill patternType="solid">
        <fgColor rgb="FF10213D"/>
      </patternFill>
    </fill>
    <fill>
      <patternFill patternType="solid">
        <fgColor rgb="FF9C4A2B"/>
      </patternFill>
    </fill>
    <fill>
      <patternFill patternType="solid">
        <fgColor rgb="FFFAF8F3"/>
      </patternFill>
    </fill>
    <fill>
      <patternFill patternType="solid">
        <fgColor rgb="FFDDEBF7"/>
      </patternFill>
    </fill>
    <fill>
      <patternFill patternType="solid">
        <fgColor rgb="FF30465B"/>
      </patternFill>
    </fill>
    <fill>
      <patternFill patternType="solid">
        <fgColor rgb="FFFFF07A"/>
      </patternFill>
    </fill>
    <fill>
      <patternFill patternType="solid">
        <fgColor rgb="FFF2EEE5"/>
      </patternFill>
    </fill>
    <fill>
      <patternFill patternType="solid">
        <fgColor rgb="FFFCE4D6"/>
      </patternFill>
    </fill>
    <fill>
      <patternFill patternType="solid">
        <fgColor rgb="FFE7E6E6"/>
      </patternFill>
    </fill>
  </fills>
  <borders count="18">
    <border>
      <left/>
      <right/>
      <top/>
      <bottom/>
      <diagonal/>
    </border>
    <border>
      <left style="thin">
        <color rgb="FFB8BDC5"/>
      </left>
      <right/>
      <top style="thin">
        <color rgb="FFB8BDC5"/>
      </top>
      <bottom/>
      <diagonal/>
    </border>
    <border>
      <left/>
      <right/>
      <top style="thin">
        <color rgb="FFB8BDC5"/>
      </top>
      <bottom/>
      <diagonal/>
    </border>
    <border>
      <left/>
      <right style="thin">
        <color rgb="FFB8BDC5"/>
      </right>
      <top style="thin">
        <color rgb="FFB8BDC5"/>
      </top>
      <bottom/>
      <diagonal/>
    </border>
    <border>
      <left style="thin">
        <color rgb="FFB8BDC5"/>
      </left>
      <right/>
      <top/>
      <bottom/>
      <diagonal/>
    </border>
    <border>
      <left/>
      <right style="thin">
        <color rgb="FFB8BDC5"/>
      </right>
      <top/>
      <bottom/>
      <diagonal/>
    </border>
    <border>
      <left style="thin">
        <color rgb="FFB8BDC5"/>
      </left>
      <right/>
      <top/>
      <bottom style="thin">
        <color rgb="FFB8BDC5"/>
      </bottom>
      <diagonal/>
    </border>
    <border>
      <left/>
      <right/>
      <top/>
      <bottom style="thin">
        <color rgb="FFB8BDC5"/>
      </bottom>
      <diagonal/>
    </border>
    <border>
      <left/>
      <right style="thin">
        <color rgb="FFB8BDC5"/>
      </right>
      <top/>
      <bottom style="thin">
        <color rgb="FFB8BDC5"/>
      </bottom>
      <diagonal/>
    </border>
    <border>
      <left style="thin">
        <color rgb="FFB8BDC5"/>
      </left>
      <right style="thin">
        <color rgb="FFB8BDC5"/>
      </right>
      <top style="thin">
        <color rgb="FFB8BDC5"/>
      </top>
      <bottom style="thin">
        <color rgb="FFB8BDC5"/>
      </bottom>
      <diagonal/>
    </border>
    <border>
      <left style="medium">
        <color rgb="FF30465B"/>
      </left>
      <right style="medium">
        <color rgb="FF30465B"/>
      </right>
      <top style="medium">
        <color rgb="FF30465B"/>
      </top>
      <bottom style="medium">
        <color rgb="FF30465B"/>
      </bottom>
      <diagonal/>
    </border>
    <border>
      <left style="thin">
        <color rgb="FFB8BDC5"/>
      </left>
      <right/>
      <top style="thin">
        <color rgb="FFB8BDC5"/>
      </top>
      <bottom style="thin">
        <color rgb="FFB8BDC5"/>
      </bottom>
      <diagonal/>
    </border>
    <border>
      <left/>
      <right/>
      <top style="thin">
        <color rgb="FFB8BDC5"/>
      </top>
      <bottom style="thin">
        <color rgb="FFB8BDC5"/>
      </bottom>
      <diagonal/>
    </border>
    <border>
      <left/>
      <right style="thin">
        <color rgb="FFB8BDC5"/>
      </right>
      <top style="thin">
        <color rgb="FFB8BDC5"/>
      </top>
      <bottom style="thin">
        <color rgb="FFB8BDC5"/>
      </bottom>
      <diagonal/>
    </border>
    <border>
      <left/>
      <right/>
      <top style="thin">
        <color rgb="FF30465B"/>
      </top>
      <bottom style="double">
        <color rgb="FF30465B"/>
      </bottom>
      <diagonal/>
    </border>
    <border>
      <left style="thin">
        <color rgb="FFB8BDC5"/>
      </left>
      <right style="thin">
        <color rgb="FFB8BDC5"/>
      </right>
      <top style="thin">
        <color rgb="FF30465B"/>
      </top>
      <bottom style="double">
        <color rgb="FF30465B"/>
      </bottom>
      <diagonal/>
    </border>
    <border>
      <left style="medium">
        <color rgb="FF30465B"/>
      </left>
      <right style="medium">
        <color rgb="FF30465B"/>
      </right>
      <top style="thin">
        <color rgb="FF30465B"/>
      </top>
      <bottom style="double">
        <color rgb="FF30465B"/>
      </bottom>
      <diagonal/>
    </border>
    <border>
      <left style="medium">
        <color rgb="FF30465B"/>
      </left>
      <right/>
      <top style="thin">
        <color rgb="FF30465B"/>
      </top>
      <bottom style="double">
        <color rgb="FF30465B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Alignment="1">
      <alignment vertical="center"/>
    </xf>
    <xf numFmtId="0" fontId="5" fillId="5" borderId="9" xfId="0" applyFont="1" applyFill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" fillId="0" borderId="9" xfId="0" applyFont="1" applyBorder="1" applyAlignment="1">
      <alignment vertical="center" wrapText="1"/>
    </xf>
    <xf numFmtId="0" fontId="3" fillId="6" borderId="9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vertical="center" wrapText="1"/>
    </xf>
    <xf numFmtId="0" fontId="6" fillId="5" borderId="9" xfId="0" applyFont="1" applyFill="1" applyBorder="1" applyAlignment="1">
      <alignment vertical="center"/>
    </xf>
    <xf numFmtId="0" fontId="8" fillId="8" borderId="9" xfId="0" applyFont="1" applyFill="1" applyBorder="1" applyAlignment="1">
      <alignment vertical="center"/>
    </xf>
    <xf numFmtId="0" fontId="7" fillId="7" borderId="9" xfId="0" applyFont="1" applyFill="1" applyBorder="1" applyAlignment="1">
      <alignment vertical="center" wrapText="1"/>
    </xf>
    <xf numFmtId="0" fontId="7" fillId="8" borderId="9" xfId="0" applyFont="1" applyFill="1" applyBorder="1" applyAlignment="1">
      <alignment vertical="center" wrapText="1"/>
    </xf>
    <xf numFmtId="0" fontId="5" fillId="0" borderId="9" xfId="0" applyFont="1" applyBorder="1" applyAlignment="1">
      <alignment vertical="center"/>
    </xf>
    <xf numFmtId="164" fontId="9" fillId="5" borderId="9" xfId="0" applyNumberFormat="1" applyFont="1" applyFill="1" applyBorder="1" applyAlignment="1">
      <alignment vertical="center"/>
    </xf>
    <xf numFmtId="165" fontId="9" fillId="5" borderId="9" xfId="0" applyNumberFormat="1" applyFont="1" applyFill="1" applyBorder="1" applyAlignment="1">
      <alignment vertical="center"/>
    </xf>
    <xf numFmtId="166" fontId="9" fillId="5" borderId="9" xfId="0" applyNumberFormat="1" applyFont="1" applyFill="1" applyBorder="1" applyAlignment="1">
      <alignment vertical="center"/>
    </xf>
    <xf numFmtId="0" fontId="1" fillId="8" borderId="9" xfId="0" applyFont="1" applyFill="1" applyBorder="1" applyAlignment="1">
      <alignment horizontal="center" vertical="center"/>
    </xf>
    <xf numFmtId="164" fontId="1" fillId="7" borderId="10" xfId="0" applyNumberFormat="1" applyFont="1" applyFill="1" applyBorder="1" applyAlignment="1">
      <alignment vertical="top" wrapText="1"/>
    </xf>
    <xf numFmtId="167" fontId="1" fillId="7" borderId="10" xfId="0" applyNumberFormat="1" applyFont="1" applyFill="1" applyBorder="1" applyAlignment="1">
      <alignment vertical="top" wrapText="1"/>
    </xf>
    <xf numFmtId="49" fontId="1" fillId="7" borderId="10" xfId="0" applyNumberFormat="1" applyFont="1" applyFill="1" applyBorder="1" applyAlignment="1">
      <alignment vertical="top" wrapText="1"/>
    </xf>
    <xf numFmtId="166" fontId="1" fillId="7" borderId="10" xfId="0" applyNumberFormat="1" applyFont="1" applyFill="1" applyBorder="1" applyAlignment="1">
      <alignment vertical="top" wrapText="1"/>
    </xf>
    <xf numFmtId="168" fontId="1" fillId="7" borderId="10" xfId="0" applyNumberFormat="1" applyFont="1" applyFill="1" applyBorder="1" applyAlignment="1">
      <alignment vertical="top" wrapText="1"/>
    </xf>
    <xf numFmtId="169" fontId="9" fillId="5" borderId="9" xfId="0" applyNumberFormat="1" applyFont="1" applyFill="1" applyBorder="1" applyAlignment="1">
      <alignment vertical="center"/>
    </xf>
    <xf numFmtId="165" fontId="1" fillId="7" borderId="10" xfId="0" applyNumberFormat="1" applyFont="1" applyFill="1" applyBorder="1" applyAlignment="1">
      <alignment vertical="top" wrapText="1"/>
    </xf>
    <xf numFmtId="0" fontId="9" fillId="5" borderId="9" xfId="0" applyFont="1" applyFill="1" applyBorder="1" applyAlignment="1">
      <alignment horizontal="center" vertical="center"/>
    </xf>
    <xf numFmtId="170" fontId="9" fillId="5" borderId="9" xfId="0" applyNumberFormat="1" applyFont="1" applyFill="1" applyBorder="1" applyAlignment="1">
      <alignment vertical="center"/>
    </xf>
    <xf numFmtId="0" fontId="5" fillId="8" borderId="9" xfId="0" applyFont="1" applyFill="1" applyBorder="1" applyAlignment="1">
      <alignment vertical="center"/>
    </xf>
    <xf numFmtId="166" fontId="10" fillId="8" borderId="9" xfId="0" applyNumberFormat="1" applyFont="1" applyFill="1" applyBorder="1" applyAlignment="1">
      <alignment vertical="center"/>
    </xf>
    <xf numFmtId="165" fontId="10" fillId="8" borderId="9" xfId="0" applyNumberFormat="1" applyFont="1" applyFill="1" applyBorder="1" applyAlignment="1">
      <alignment vertical="center"/>
    </xf>
    <xf numFmtId="169" fontId="10" fillId="8" borderId="9" xfId="0" applyNumberFormat="1" applyFont="1" applyFill="1" applyBorder="1" applyAlignment="1">
      <alignment vertical="center"/>
    </xf>
    <xf numFmtId="171" fontId="1" fillId="7" borderId="10" xfId="0" applyNumberFormat="1" applyFont="1" applyFill="1" applyBorder="1" applyAlignment="1">
      <alignment vertical="top" wrapText="1"/>
    </xf>
    <xf numFmtId="0" fontId="1" fillId="8" borderId="9" xfId="0" applyFont="1" applyFill="1" applyBorder="1" applyAlignment="1">
      <alignment vertical="center" wrapText="1"/>
    </xf>
    <xf numFmtId="171" fontId="10" fillId="8" borderId="9" xfId="0" applyNumberFormat="1" applyFont="1" applyFill="1" applyBorder="1" applyAlignment="1">
      <alignment vertical="center"/>
    </xf>
    <xf numFmtId="0" fontId="7" fillId="0" borderId="9" xfId="0" applyFont="1" applyBorder="1" applyAlignment="1">
      <alignment vertical="center"/>
    </xf>
    <xf numFmtId="171" fontId="8" fillId="8" borderId="15" xfId="0" applyNumberFormat="1" applyFont="1" applyFill="1" applyBorder="1" applyAlignment="1">
      <alignment vertical="center"/>
    </xf>
    <xf numFmtId="171" fontId="7" fillId="8" borderId="16" xfId="0" applyNumberFormat="1" applyFont="1" applyFill="1" applyBorder="1" applyAlignment="1">
      <alignment vertical="top" wrapText="1"/>
    </xf>
    <xf numFmtId="171" fontId="7" fillId="8" borderId="17" xfId="0" applyNumberFormat="1" applyFont="1" applyFill="1" applyBorder="1" applyAlignment="1">
      <alignment vertical="top" wrapText="1"/>
    </xf>
    <xf numFmtId="171" fontId="7" fillId="8" borderId="14" xfId="0" applyNumberFormat="1" applyFont="1" applyFill="1" applyBorder="1" applyAlignment="1">
      <alignment vertical="center"/>
    </xf>
    <xf numFmtId="168" fontId="8" fillId="8" borderId="15" xfId="0" applyNumberFormat="1" applyFont="1" applyFill="1" applyBorder="1" applyAlignment="1">
      <alignment vertical="center"/>
    </xf>
    <xf numFmtId="168" fontId="7" fillId="8" borderId="16" xfId="0" applyNumberFormat="1" applyFont="1" applyFill="1" applyBorder="1" applyAlignment="1">
      <alignment vertical="top" wrapText="1"/>
    </xf>
    <xf numFmtId="168" fontId="7" fillId="8" borderId="17" xfId="0" applyNumberFormat="1" applyFont="1" applyFill="1" applyBorder="1" applyAlignment="1">
      <alignment vertical="top" wrapText="1"/>
    </xf>
    <xf numFmtId="168" fontId="7" fillId="8" borderId="14" xfId="0" applyNumberFormat="1" applyFont="1" applyFill="1" applyBorder="1" applyAlignment="1">
      <alignment vertical="center"/>
    </xf>
    <xf numFmtId="170" fontId="1" fillId="7" borderId="10" xfId="0" applyNumberFormat="1" applyFont="1" applyFill="1" applyBorder="1" applyAlignment="1">
      <alignment vertical="top" wrapText="1"/>
    </xf>
    <xf numFmtId="0" fontId="11" fillId="10" borderId="9" xfId="0" applyFont="1" applyFill="1" applyBorder="1" applyAlignment="1">
      <alignment horizontal="center" vertical="center"/>
    </xf>
    <xf numFmtId="164" fontId="1" fillId="0" borderId="9" xfId="0" applyNumberFormat="1" applyFont="1" applyBorder="1" applyAlignment="1">
      <alignment vertical="center"/>
    </xf>
    <xf numFmtId="165" fontId="1" fillId="0" borderId="9" xfId="0" applyNumberFormat="1" applyFont="1" applyBorder="1" applyAlignment="1">
      <alignment vertical="center"/>
    </xf>
    <xf numFmtId="170" fontId="1" fillId="0" borderId="9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" fillId="4" borderId="1" xfId="0" applyFont="1" applyFill="1" applyBorder="1" applyAlignment="1">
      <alignment vertical="center" wrapText="1"/>
    </xf>
    <xf numFmtId="0" fontId="1" fillId="4" borderId="2" xfId="0" applyFont="1" applyFill="1" applyBorder="1" applyAlignment="1">
      <alignment vertical="center" wrapText="1"/>
    </xf>
    <xf numFmtId="0" fontId="1" fillId="4" borderId="3" xfId="0" applyFont="1" applyFill="1" applyBorder="1" applyAlignment="1">
      <alignment vertical="center" wrapText="1"/>
    </xf>
    <xf numFmtId="0" fontId="1" fillId="4" borderId="4" xfId="0" applyFont="1" applyFill="1" applyBorder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1" fillId="4" borderId="5" xfId="0" applyFont="1" applyFill="1" applyBorder="1" applyAlignment="1">
      <alignment vertical="center" wrapText="1"/>
    </xf>
    <xf numFmtId="0" fontId="1" fillId="4" borderId="6" xfId="0" applyFont="1" applyFill="1" applyBorder="1" applyAlignment="1">
      <alignment vertical="center" wrapText="1"/>
    </xf>
    <xf numFmtId="0" fontId="1" fillId="4" borderId="7" xfId="0" applyFont="1" applyFill="1" applyBorder="1" applyAlignment="1">
      <alignment vertical="center" wrapText="1"/>
    </xf>
    <xf numFmtId="0" fontId="1" fillId="4" borderId="8" xfId="0" applyFont="1" applyFill="1" applyBorder="1" applyAlignment="1">
      <alignment vertical="center" wrapText="1"/>
    </xf>
    <xf numFmtId="0" fontId="4" fillId="2" borderId="0" xfId="0" applyFont="1" applyFill="1" applyAlignment="1">
      <alignment vertical="center"/>
    </xf>
    <xf numFmtId="0" fontId="1" fillId="9" borderId="1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9" borderId="0" xfId="0" applyFont="1" applyFill="1" applyAlignment="1">
      <alignment vertical="center" wrapText="1"/>
    </xf>
    <xf numFmtId="0" fontId="1" fillId="9" borderId="5" xfId="0" applyFont="1" applyFill="1" applyBorder="1" applyAlignment="1">
      <alignment vertical="center" wrapText="1"/>
    </xf>
    <xf numFmtId="0" fontId="1" fillId="9" borderId="6" xfId="0" applyFont="1" applyFill="1" applyBorder="1" applyAlignment="1">
      <alignment vertical="center" wrapText="1"/>
    </xf>
    <xf numFmtId="0" fontId="1" fillId="9" borderId="7" xfId="0" applyFont="1" applyFill="1" applyBorder="1" applyAlignment="1">
      <alignment vertical="center" wrapText="1"/>
    </xf>
    <xf numFmtId="0" fontId="1" fillId="9" borderId="8" xfId="0" applyFont="1" applyFill="1" applyBorder="1" applyAlignment="1">
      <alignment vertical="center" wrapText="1"/>
    </xf>
    <xf numFmtId="49" fontId="1" fillId="7" borderId="10" xfId="0" applyNumberFormat="1" applyFont="1" applyFill="1" applyBorder="1" applyAlignment="1">
      <alignment vertical="top" wrapText="1"/>
    </xf>
    <xf numFmtId="0" fontId="1" fillId="4" borderId="11" xfId="0" applyFont="1" applyFill="1" applyBorder="1" applyAlignment="1">
      <alignment vertical="center" wrapText="1"/>
    </xf>
    <xf numFmtId="0" fontId="1" fillId="4" borderId="12" xfId="0" applyFont="1" applyFill="1" applyBorder="1" applyAlignment="1">
      <alignment vertical="center" wrapText="1"/>
    </xf>
    <xf numFmtId="0" fontId="1" fillId="4" borderId="13" xfId="0" applyFont="1" applyFill="1" applyBorder="1" applyAlignment="1">
      <alignment vertical="center" wrapText="1"/>
    </xf>
    <xf numFmtId="0" fontId="5" fillId="5" borderId="11" xfId="0" applyFont="1" applyFill="1" applyBorder="1" applyAlignment="1">
      <alignment vertical="center" wrapText="1"/>
    </xf>
    <xf numFmtId="0" fontId="5" fillId="5" borderId="12" xfId="0" applyFont="1" applyFill="1" applyBorder="1" applyAlignment="1">
      <alignment vertical="center" wrapText="1"/>
    </xf>
    <xf numFmtId="0" fontId="5" fillId="5" borderId="13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horizontal="center" vertical="center"/>
    </xf>
    <xf numFmtId="0" fontId="3" fillId="3" borderId="0" xfId="0" applyFont="1" applyFill="1" applyAlignment="1">
      <alignment vertical="center"/>
    </xf>
  </cellXfs>
  <cellStyles count="1">
    <cellStyle name="Normal" xfId="0" builtinId="0"/>
  </cellStyles>
  <dxfs count="3"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2"/>
  <sheetViews>
    <sheetView showGridLines="0" tabSelected="1" workbookViewId="0">
      <pane ySplit="3" topLeftCell="A4" activePane="bottomLeft" state="frozen"/>
      <selection sqref="A1:H1"/>
      <selection pane="bottomLeft" sqref="A1:XFD1048576"/>
    </sheetView>
  </sheetViews>
  <sheetFormatPr baseColWidth="10" defaultColWidth="8.83203125" defaultRowHeight="14"/>
  <cols>
    <col min="1" max="1" width="37" customWidth="1"/>
    <col min="2" max="2" width="22" customWidth="1"/>
    <col min="3" max="3" width="20" customWidth="1"/>
    <col min="4" max="4" width="25" customWidth="1"/>
    <col min="5" max="5" width="20" customWidth="1"/>
    <col min="6" max="6" width="23" customWidth="1"/>
    <col min="7" max="8" width="14" customWidth="1"/>
  </cols>
  <sheetData>
    <row r="1" spans="1:8" ht="30" customHeight="1">
      <c r="A1" s="46" t="s">
        <v>60</v>
      </c>
      <c r="B1" s="46"/>
      <c r="C1" s="46"/>
      <c r="D1" s="46"/>
      <c r="E1" s="46"/>
      <c r="F1" s="46"/>
      <c r="G1" s="46"/>
      <c r="H1" s="46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47" t="s">
        <v>61</v>
      </c>
      <c r="B3" s="47"/>
      <c r="C3" s="47"/>
      <c r="D3" s="47"/>
      <c r="E3" s="47"/>
      <c r="F3" s="47"/>
      <c r="G3" s="47"/>
      <c r="H3" s="47"/>
    </row>
    <row r="4" spans="1:8">
      <c r="A4" s="1"/>
      <c r="B4" s="1"/>
      <c r="C4" s="1"/>
      <c r="D4" s="1"/>
      <c r="E4" s="1"/>
      <c r="F4" s="1"/>
      <c r="G4" s="1"/>
      <c r="H4" s="1"/>
    </row>
    <row r="5" spans="1:8" ht="22" customHeight="1">
      <c r="A5" s="57" t="s">
        <v>62</v>
      </c>
      <c r="B5" s="57"/>
      <c r="C5" s="57"/>
      <c r="D5" s="57"/>
      <c r="E5" s="57"/>
      <c r="F5" s="57"/>
      <c r="G5" s="57"/>
      <c r="H5" s="57"/>
    </row>
    <row r="6" spans="1:8" ht="27" customHeight="1">
      <c r="A6" s="11" t="s">
        <v>63</v>
      </c>
      <c r="B6" s="12">
        <v>1000</v>
      </c>
      <c r="C6" s="1"/>
      <c r="D6" s="48" t="s">
        <v>64</v>
      </c>
      <c r="E6" s="49"/>
      <c r="F6" s="49"/>
      <c r="G6" s="49"/>
      <c r="H6" s="50"/>
    </row>
    <row r="7" spans="1:8" ht="27" customHeight="1">
      <c r="A7" s="11" t="s">
        <v>65</v>
      </c>
      <c r="B7" s="13">
        <v>0.05</v>
      </c>
      <c r="C7" s="1"/>
      <c r="D7" s="51"/>
      <c r="E7" s="52"/>
      <c r="F7" s="52"/>
      <c r="G7" s="52"/>
      <c r="H7" s="53"/>
    </row>
    <row r="8" spans="1:8" ht="27" customHeight="1">
      <c r="A8" s="11" t="s">
        <v>66</v>
      </c>
      <c r="B8" s="13">
        <v>0.05</v>
      </c>
      <c r="C8" s="1"/>
      <c r="D8" s="51"/>
      <c r="E8" s="52"/>
      <c r="F8" s="52"/>
      <c r="G8" s="52"/>
      <c r="H8" s="53"/>
    </row>
    <row r="9" spans="1:8" ht="27" customHeight="1">
      <c r="A9" s="11" t="s">
        <v>67</v>
      </c>
      <c r="B9" s="14">
        <v>3</v>
      </c>
      <c r="C9" s="1"/>
      <c r="D9" s="51"/>
      <c r="E9" s="52"/>
      <c r="F9" s="52"/>
      <c r="G9" s="52"/>
      <c r="H9" s="53"/>
    </row>
    <row r="10" spans="1:8" ht="27" customHeight="1">
      <c r="A10" s="11" t="s">
        <v>68</v>
      </c>
      <c r="B10" s="14">
        <v>1</v>
      </c>
      <c r="C10" s="1"/>
      <c r="D10" s="54"/>
      <c r="E10" s="55"/>
      <c r="F10" s="55"/>
      <c r="G10" s="55"/>
      <c r="H10" s="56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 ht="22" customHeight="1">
      <c r="A12" s="57" t="s">
        <v>69</v>
      </c>
      <c r="B12" s="57"/>
      <c r="C12" s="57"/>
      <c r="D12" s="57"/>
      <c r="E12" s="57"/>
      <c r="F12" s="57"/>
      <c r="G12" s="57"/>
      <c r="H12" s="57"/>
    </row>
    <row r="13" spans="1:8" ht="30" customHeight="1">
      <c r="A13" s="5" t="s">
        <v>70</v>
      </c>
      <c r="B13" s="5" t="s">
        <v>71</v>
      </c>
      <c r="C13" s="5" t="s">
        <v>72</v>
      </c>
      <c r="D13" s="5" t="s">
        <v>73</v>
      </c>
      <c r="E13" s="5" t="s">
        <v>74</v>
      </c>
      <c r="F13" s="5" t="s">
        <v>75</v>
      </c>
      <c r="G13" s="1"/>
      <c r="H13" s="1"/>
    </row>
    <row r="14" spans="1:8" ht="30" customHeight="1">
      <c r="A14" s="15">
        <v>1</v>
      </c>
      <c r="B14" s="16"/>
      <c r="C14" s="16"/>
      <c r="D14" s="16"/>
      <c r="E14" s="17"/>
      <c r="F14" s="16"/>
      <c r="G14" s="1"/>
      <c r="H14" s="1"/>
    </row>
    <row r="15" spans="1:8" ht="30" customHeight="1">
      <c r="A15" s="15">
        <v>2</v>
      </c>
      <c r="B15" s="16"/>
      <c r="C15" s="16"/>
      <c r="D15" s="16"/>
      <c r="E15" s="17"/>
      <c r="F15" s="16"/>
      <c r="G15" s="1"/>
      <c r="H15" s="1"/>
    </row>
    <row r="16" spans="1:8" ht="30" customHeight="1">
      <c r="A16" s="15">
        <v>3</v>
      </c>
      <c r="B16" s="16"/>
      <c r="C16" s="16"/>
      <c r="D16" s="16"/>
      <c r="E16" s="17"/>
      <c r="F16" s="16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 ht="22" customHeight="1">
      <c r="A18" s="57" t="s">
        <v>76</v>
      </c>
      <c r="B18" s="57"/>
      <c r="C18" s="57"/>
      <c r="D18" s="57"/>
      <c r="E18" s="57"/>
      <c r="F18" s="57"/>
      <c r="G18" s="57"/>
      <c r="H18" s="57"/>
    </row>
    <row r="19" spans="1:8" ht="28" customHeight="1">
      <c r="A19" s="11" t="s">
        <v>77</v>
      </c>
      <c r="B19" s="16"/>
      <c r="C19" s="1"/>
      <c r="D19" s="1"/>
      <c r="E19" s="1"/>
      <c r="F19" s="1"/>
      <c r="G19" s="1"/>
      <c r="H19" s="1"/>
    </row>
    <row r="20" spans="1:8" ht="28" customHeight="1">
      <c r="A20" s="11" t="s">
        <v>78</v>
      </c>
      <c r="B20" s="16"/>
      <c r="C20" s="1"/>
      <c r="D20" s="1"/>
      <c r="E20" s="1"/>
      <c r="F20" s="1"/>
      <c r="G20" s="1"/>
      <c r="H20" s="1"/>
    </row>
    <row r="21" spans="1:8" ht="28" customHeight="1">
      <c r="A21" s="11" t="s">
        <v>79</v>
      </c>
      <c r="B21" s="16"/>
      <c r="C21" s="1"/>
      <c r="D21" s="1"/>
      <c r="E21" s="1"/>
      <c r="F21" s="1"/>
      <c r="G21" s="1"/>
      <c r="H21" s="1"/>
    </row>
    <row r="22" spans="1:8" ht="28" customHeight="1">
      <c r="A22" s="11" t="s">
        <v>80</v>
      </c>
      <c r="B22" s="18"/>
      <c r="C22" s="1"/>
      <c r="D22" s="1"/>
      <c r="E22" s="1"/>
      <c r="F22" s="1"/>
      <c r="G22" s="1"/>
      <c r="H22" s="1"/>
    </row>
    <row r="23" spans="1:8" ht="28" customHeight="1">
      <c r="A23" s="11" t="s">
        <v>81</v>
      </c>
      <c r="B23" s="16"/>
      <c r="C23" s="1"/>
      <c r="D23" s="1"/>
      <c r="E23" s="1"/>
      <c r="F23" s="1"/>
      <c r="G23" s="1"/>
      <c r="H23" s="1"/>
    </row>
    <row r="24" spans="1:8">
      <c r="A24" s="1"/>
      <c r="B24" s="1"/>
      <c r="C24" s="1"/>
      <c r="D24" s="1"/>
      <c r="E24" s="1"/>
      <c r="F24" s="1"/>
      <c r="G24" s="1"/>
      <c r="H24" s="1"/>
    </row>
    <row r="25" spans="1:8" ht="22" customHeight="1">
      <c r="A25" s="57" t="s">
        <v>82</v>
      </c>
      <c r="B25" s="57"/>
      <c r="C25" s="57"/>
      <c r="D25" s="57"/>
      <c r="E25" s="57"/>
      <c r="F25" s="57"/>
      <c r="G25" s="57"/>
      <c r="H25" s="57"/>
    </row>
    <row r="26" spans="1:8" ht="26" customHeight="1">
      <c r="A26" s="67"/>
      <c r="B26" s="67"/>
      <c r="C26" s="67"/>
      <c r="D26" s="67"/>
      <c r="E26" s="67"/>
      <c r="F26" s="67"/>
      <c r="G26" s="67"/>
      <c r="H26" s="67"/>
    </row>
    <row r="27" spans="1:8" ht="26" customHeight="1">
      <c r="A27" s="67"/>
      <c r="B27" s="67"/>
      <c r="C27" s="67"/>
      <c r="D27" s="67"/>
      <c r="E27" s="67"/>
      <c r="F27" s="67"/>
      <c r="G27" s="67"/>
      <c r="H27" s="67"/>
    </row>
    <row r="28" spans="1:8" ht="26" customHeight="1">
      <c r="A28" s="67"/>
      <c r="B28" s="67"/>
      <c r="C28" s="67"/>
      <c r="D28" s="67"/>
      <c r="E28" s="67"/>
      <c r="F28" s="67"/>
      <c r="G28" s="67"/>
      <c r="H28" s="67"/>
    </row>
    <row r="29" spans="1:8">
      <c r="A29" s="1"/>
      <c r="B29" s="1"/>
      <c r="C29" s="1"/>
      <c r="D29" s="1"/>
      <c r="E29" s="1"/>
      <c r="F29" s="1"/>
      <c r="G29" s="1"/>
      <c r="H29" s="1"/>
    </row>
    <row r="30" spans="1:8" ht="26" customHeight="1">
      <c r="A30" s="48" t="s">
        <v>83</v>
      </c>
      <c r="B30" s="49"/>
      <c r="C30" s="49"/>
      <c r="D30" s="49"/>
      <c r="E30" s="49"/>
      <c r="F30" s="49"/>
      <c r="G30" s="49"/>
      <c r="H30" s="50"/>
    </row>
    <row r="31" spans="1:8" ht="26" customHeight="1">
      <c r="A31" s="54"/>
      <c r="B31" s="55"/>
      <c r="C31" s="55"/>
      <c r="D31" s="55"/>
      <c r="E31" s="55"/>
      <c r="F31" s="55"/>
      <c r="G31" s="55"/>
      <c r="H31" s="56"/>
    </row>
    <row r="32" spans="1:8">
      <c r="A32" s="1"/>
      <c r="B32" s="1"/>
      <c r="C32" s="1"/>
      <c r="D32" s="1"/>
      <c r="E32" s="1"/>
      <c r="F32" s="1"/>
      <c r="G32" s="1"/>
      <c r="H32" s="1"/>
    </row>
  </sheetData>
  <mergeCells count="9">
    <mergeCell ref="A18:H18"/>
    <mergeCell ref="A25:H25"/>
    <mergeCell ref="A26:H28"/>
    <mergeCell ref="A30:H31"/>
    <mergeCell ref="A1:H1"/>
    <mergeCell ref="A3:H3"/>
    <mergeCell ref="A5:H5"/>
    <mergeCell ref="D6:H10"/>
    <mergeCell ref="A12:H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2"/>
  <sheetViews>
    <sheetView showGridLines="0" workbookViewId="0">
      <pane ySplit="3" topLeftCell="A4" activePane="bottomLeft" state="frozen"/>
      <selection sqref="A1:H1"/>
      <selection pane="bottomLeft" sqref="A1:H1"/>
    </sheetView>
  </sheetViews>
  <sheetFormatPr baseColWidth="10" defaultColWidth="8.83203125" defaultRowHeight="14"/>
  <cols>
    <col min="1" max="1" width="37" customWidth="1"/>
    <col min="2" max="2" width="22" customWidth="1"/>
    <col min="3" max="3" width="20" customWidth="1"/>
    <col min="4" max="4" width="25" customWidth="1"/>
    <col min="5" max="5" width="20" customWidth="1"/>
    <col min="6" max="6" width="23" customWidth="1"/>
    <col min="7" max="8" width="14" customWidth="1"/>
  </cols>
  <sheetData>
    <row r="1" spans="1:8" ht="30" customHeight="1">
      <c r="A1" s="46" t="s">
        <v>84</v>
      </c>
      <c r="B1" s="46"/>
      <c r="C1" s="46"/>
      <c r="D1" s="46"/>
      <c r="E1" s="46"/>
      <c r="F1" s="46"/>
      <c r="G1" s="46"/>
      <c r="H1" s="46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47" t="s">
        <v>61</v>
      </c>
      <c r="B3" s="47"/>
      <c r="C3" s="47"/>
      <c r="D3" s="47"/>
      <c r="E3" s="47"/>
      <c r="F3" s="47"/>
      <c r="G3" s="47"/>
      <c r="H3" s="47"/>
    </row>
    <row r="4" spans="1:8">
      <c r="A4" s="1"/>
      <c r="B4" s="1"/>
      <c r="C4" s="1"/>
      <c r="D4" s="1"/>
      <c r="E4" s="1"/>
      <c r="F4" s="1"/>
      <c r="G4" s="1"/>
      <c r="H4" s="1"/>
    </row>
    <row r="5" spans="1:8" ht="22" customHeight="1">
      <c r="A5" s="57" t="s">
        <v>62</v>
      </c>
      <c r="B5" s="57"/>
      <c r="C5" s="57"/>
      <c r="D5" s="57"/>
      <c r="E5" s="57"/>
      <c r="F5" s="57"/>
      <c r="G5" s="57"/>
      <c r="H5" s="57"/>
    </row>
    <row r="6" spans="1:8" ht="27" customHeight="1">
      <c r="A6" s="11" t="s">
        <v>63</v>
      </c>
      <c r="B6" s="12">
        <v>1000</v>
      </c>
      <c r="C6" s="1"/>
      <c r="D6" s="48" t="s">
        <v>64</v>
      </c>
      <c r="E6" s="49"/>
      <c r="F6" s="49"/>
      <c r="G6" s="49"/>
      <c r="H6" s="50"/>
    </row>
    <row r="7" spans="1:8" ht="27" customHeight="1">
      <c r="A7" s="11" t="s">
        <v>65</v>
      </c>
      <c r="B7" s="13">
        <v>0.05</v>
      </c>
      <c r="C7" s="1"/>
      <c r="D7" s="51"/>
      <c r="E7" s="52"/>
      <c r="F7" s="52"/>
      <c r="G7" s="52"/>
      <c r="H7" s="53"/>
    </row>
    <row r="8" spans="1:8" ht="27" customHeight="1">
      <c r="A8" s="11" t="s">
        <v>66</v>
      </c>
      <c r="B8" s="13">
        <v>0.03</v>
      </c>
      <c r="C8" s="1"/>
      <c r="D8" s="51"/>
      <c r="E8" s="52"/>
      <c r="F8" s="52"/>
      <c r="G8" s="52"/>
      <c r="H8" s="53"/>
    </row>
    <row r="9" spans="1:8" ht="27" customHeight="1">
      <c r="A9" s="11" t="s">
        <v>67</v>
      </c>
      <c r="B9" s="14">
        <v>3</v>
      </c>
      <c r="C9" s="1"/>
      <c r="D9" s="51"/>
      <c r="E9" s="52"/>
      <c r="F9" s="52"/>
      <c r="G9" s="52"/>
      <c r="H9" s="53"/>
    </row>
    <row r="10" spans="1:8" ht="27" customHeight="1">
      <c r="A10" s="11" t="s">
        <v>68</v>
      </c>
      <c r="B10" s="14">
        <v>1</v>
      </c>
      <c r="C10" s="1"/>
      <c r="D10" s="54"/>
      <c r="E10" s="55"/>
      <c r="F10" s="55"/>
      <c r="G10" s="55"/>
      <c r="H10" s="56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 ht="22" customHeight="1">
      <c r="A12" s="57" t="s">
        <v>69</v>
      </c>
      <c r="B12" s="57"/>
      <c r="C12" s="57"/>
      <c r="D12" s="57"/>
      <c r="E12" s="57"/>
      <c r="F12" s="57"/>
      <c r="G12" s="57"/>
      <c r="H12" s="57"/>
    </row>
    <row r="13" spans="1:8" ht="30" customHeight="1">
      <c r="A13" s="5" t="s">
        <v>70</v>
      </c>
      <c r="B13" s="5" t="s">
        <v>71</v>
      </c>
      <c r="C13" s="5" t="s">
        <v>72</v>
      </c>
      <c r="D13" s="5" t="s">
        <v>73</v>
      </c>
      <c r="E13" s="5" t="s">
        <v>74</v>
      </c>
      <c r="F13" s="5" t="s">
        <v>75</v>
      </c>
      <c r="G13" s="1"/>
      <c r="H13" s="1"/>
    </row>
    <row r="14" spans="1:8" ht="30" customHeight="1">
      <c r="A14" s="15">
        <v>1</v>
      </c>
      <c r="B14" s="16"/>
      <c r="C14" s="16"/>
      <c r="D14" s="16"/>
      <c r="E14" s="17"/>
      <c r="F14" s="16"/>
      <c r="G14" s="1"/>
      <c r="H14" s="1"/>
    </row>
    <row r="15" spans="1:8" ht="30" customHeight="1">
      <c r="A15" s="15">
        <v>2</v>
      </c>
      <c r="B15" s="16"/>
      <c r="C15" s="16"/>
      <c r="D15" s="16"/>
      <c r="E15" s="17"/>
      <c r="F15" s="16"/>
      <c r="G15" s="1"/>
      <c r="H15" s="1"/>
    </row>
    <row r="16" spans="1:8" ht="30" customHeight="1">
      <c r="A16" s="15">
        <v>3</v>
      </c>
      <c r="B16" s="16"/>
      <c r="C16" s="16"/>
      <c r="D16" s="16"/>
      <c r="E16" s="17"/>
      <c r="F16" s="16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 ht="22" customHeight="1">
      <c r="A18" s="57" t="s">
        <v>76</v>
      </c>
      <c r="B18" s="57"/>
      <c r="C18" s="57"/>
      <c r="D18" s="57"/>
      <c r="E18" s="57"/>
      <c r="F18" s="57"/>
      <c r="G18" s="57"/>
      <c r="H18" s="57"/>
    </row>
    <row r="19" spans="1:8" ht="28" customHeight="1">
      <c r="A19" s="11" t="s">
        <v>77</v>
      </c>
      <c r="B19" s="16"/>
      <c r="C19" s="1"/>
      <c r="D19" s="1"/>
      <c r="E19" s="1"/>
      <c r="F19" s="1"/>
      <c r="G19" s="1"/>
      <c r="H19" s="1"/>
    </row>
    <row r="20" spans="1:8" ht="28" customHeight="1">
      <c r="A20" s="11" t="s">
        <v>78</v>
      </c>
      <c r="B20" s="16"/>
      <c r="C20" s="1"/>
      <c r="D20" s="1"/>
      <c r="E20" s="1"/>
      <c r="F20" s="1"/>
      <c r="G20" s="1"/>
      <c r="H20" s="1"/>
    </row>
    <row r="21" spans="1:8" ht="28" customHeight="1">
      <c r="A21" s="11" t="s">
        <v>79</v>
      </c>
      <c r="B21" s="16"/>
      <c r="C21" s="1"/>
      <c r="D21" s="1"/>
      <c r="E21" s="1"/>
      <c r="F21" s="1"/>
      <c r="G21" s="1"/>
      <c r="H21" s="1"/>
    </row>
    <row r="22" spans="1:8" ht="28" customHeight="1">
      <c r="A22" s="11" t="s">
        <v>80</v>
      </c>
      <c r="B22" s="18"/>
      <c r="C22" s="1"/>
      <c r="D22" s="1"/>
      <c r="E22" s="1"/>
      <c r="F22" s="1"/>
      <c r="G22" s="1"/>
      <c r="H22" s="1"/>
    </row>
    <row r="23" spans="1:8" ht="28" customHeight="1">
      <c r="A23" s="11" t="s">
        <v>81</v>
      </c>
      <c r="B23" s="16"/>
      <c r="C23" s="1"/>
      <c r="D23" s="1"/>
      <c r="E23" s="1"/>
      <c r="F23" s="1"/>
      <c r="G23" s="1"/>
      <c r="H23" s="1"/>
    </row>
    <row r="24" spans="1:8">
      <c r="A24" s="1"/>
      <c r="B24" s="1"/>
      <c r="C24" s="1"/>
      <c r="D24" s="1"/>
      <c r="E24" s="1"/>
      <c r="F24" s="1"/>
      <c r="G24" s="1"/>
      <c r="H24" s="1"/>
    </row>
    <row r="25" spans="1:8" ht="22" customHeight="1">
      <c r="A25" s="57" t="s">
        <v>82</v>
      </c>
      <c r="B25" s="57"/>
      <c r="C25" s="57"/>
      <c r="D25" s="57"/>
      <c r="E25" s="57"/>
      <c r="F25" s="57"/>
      <c r="G25" s="57"/>
      <c r="H25" s="57"/>
    </row>
    <row r="26" spans="1:8" ht="26" customHeight="1">
      <c r="A26" s="67"/>
      <c r="B26" s="67"/>
      <c r="C26" s="67"/>
      <c r="D26" s="67"/>
      <c r="E26" s="67"/>
      <c r="F26" s="67"/>
      <c r="G26" s="67"/>
      <c r="H26" s="67"/>
    </row>
    <row r="27" spans="1:8" ht="26" customHeight="1">
      <c r="A27" s="67"/>
      <c r="B27" s="67"/>
      <c r="C27" s="67"/>
      <c r="D27" s="67"/>
      <c r="E27" s="67"/>
      <c r="F27" s="67"/>
      <c r="G27" s="67"/>
      <c r="H27" s="67"/>
    </row>
    <row r="28" spans="1:8" ht="26" customHeight="1">
      <c r="A28" s="67"/>
      <c r="B28" s="67"/>
      <c r="C28" s="67"/>
      <c r="D28" s="67"/>
      <c r="E28" s="67"/>
      <c r="F28" s="67"/>
      <c r="G28" s="67"/>
      <c r="H28" s="67"/>
    </row>
    <row r="29" spans="1:8">
      <c r="A29" s="1"/>
      <c r="B29" s="1"/>
      <c r="C29" s="1"/>
      <c r="D29" s="1"/>
      <c r="E29" s="1"/>
      <c r="F29" s="1"/>
      <c r="G29" s="1"/>
      <c r="H29" s="1"/>
    </row>
    <row r="30" spans="1:8" ht="26" customHeight="1">
      <c r="A30" s="48" t="s">
        <v>83</v>
      </c>
      <c r="B30" s="49"/>
      <c r="C30" s="49"/>
      <c r="D30" s="49"/>
      <c r="E30" s="49"/>
      <c r="F30" s="49"/>
      <c r="G30" s="49"/>
      <c r="H30" s="50"/>
    </row>
    <row r="31" spans="1:8" ht="26" customHeight="1">
      <c r="A31" s="54"/>
      <c r="B31" s="55"/>
      <c r="C31" s="55"/>
      <c r="D31" s="55"/>
      <c r="E31" s="55"/>
      <c r="F31" s="55"/>
      <c r="G31" s="55"/>
      <c r="H31" s="56"/>
    </row>
    <row r="32" spans="1:8">
      <c r="A32" s="1"/>
      <c r="B32" s="1"/>
      <c r="C32" s="1"/>
      <c r="D32" s="1"/>
      <c r="E32" s="1"/>
      <c r="F32" s="1"/>
      <c r="G32" s="1"/>
      <c r="H32" s="1"/>
    </row>
  </sheetData>
  <mergeCells count="9">
    <mergeCell ref="A18:H18"/>
    <mergeCell ref="A25:H25"/>
    <mergeCell ref="A26:H28"/>
    <mergeCell ref="A30:H31"/>
    <mergeCell ref="A1:H1"/>
    <mergeCell ref="A3:H3"/>
    <mergeCell ref="A5:H5"/>
    <mergeCell ref="D6:H10"/>
    <mergeCell ref="A12:H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"/>
  <sheetViews>
    <sheetView showGridLines="0" workbookViewId="0">
      <pane ySplit="3" topLeftCell="A4" activePane="bottomLeft" state="frozen"/>
      <selection sqref="A1:H1"/>
      <selection pane="bottomLeft" sqref="A1:H1"/>
    </sheetView>
  </sheetViews>
  <sheetFormatPr baseColWidth="10" defaultColWidth="8.83203125" defaultRowHeight="14"/>
  <cols>
    <col min="1" max="1" width="37" customWidth="1"/>
    <col min="2" max="2" width="22" customWidth="1"/>
    <col min="3" max="3" width="20" customWidth="1"/>
    <col min="4" max="4" width="25" customWidth="1"/>
    <col min="5" max="5" width="20" customWidth="1"/>
    <col min="6" max="6" width="23" customWidth="1"/>
    <col min="7" max="8" width="14" customWidth="1"/>
  </cols>
  <sheetData>
    <row r="1" spans="1:8" ht="30" customHeight="1">
      <c r="A1" s="46" t="s">
        <v>85</v>
      </c>
      <c r="B1" s="46"/>
      <c r="C1" s="46"/>
      <c r="D1" s="46"/>
      <c r="E1" s="46"/>
      <c r="F1" s="46"/>
      <c r="G1" s="46"/>
      <c r="H1" s="46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47" t="s">
        <v>61</v>
      </c>
      <c r="B3" s="47"/>
      <c r="C3" s="47"/>
      <c r="D3" s="47"/>
      <c r="E3" s="47"/>
      <c r="F3" s="47"/>
      <c r="G3" s="47"/>
      <c r="H3" s="47"/>
    </row>
    <row r="4" spans="1:8">
      <c r="A4" s="1"/>
      <c r="B4" s="1"/>
      <c r="C4" s="1"/>
      <c r="D4" s="1"/>
      <c r="E4" s="1"/>
      <c r="F4" s="1"/>
      <c r="G4" s="1"/>
      <c r="H4" s="1"/>
    </row>
    <row r="5" spans="1:8" ht="22" customHeight="1">
      <c r="A5" s="57" t="s">
        <v>62</v>
      </c>
      <c r="B5" s="57"/>
      <c r="C5" s="57"/>
      <c r="D5" s="57"/>
      <c r="E5" s="57"/>
      <c r="F5" s="57"/>
      <c r="G5" s="57"/>
      <c r="H5" s="57"/>
    </row>
    <row r="6" spans="1:8" ht="27" customHeight="1">
      <c r="A6" s="11" t="s">
        <v>63</v>
      </c>
      <c r="B6" s="12">
        <v>1000</v>
      </c>
      <c r="C6" s="1"/>
      <c r="D6" s="48" t="s">
        <v>64</v>
      </c>
      <c r="E6" s="49"/>
      <c r="F6" s="49"/>
      <c r="G6" s="49"/>
      <c r="H6" s="50"/>
    </row>
    <row r="7" spans="1:8" ht="27" customHeight="1">
      <c r="A7" s="11" t="s">
        <v>65</v>
      </c>
      <c r="B7" s="13">
        <v>0.05</v>
      </c>
      <c r="C7" s="1"/>
      <c r="D7" s="51"/>
      <c r="E7" s="52"/>
      <c r="F7" s="52"/>
      <c r="G7" s="52"/>
      <c r="H7" s="53"/>
    </row>
    <row r="8" spans="1:8" ht="27" customHeight="1">
      <c r="A8" s="11" t="s">
        <v>66</v>
      </c>
      <c r="B8" s="13">
        <v>7.0000000000000007E-2</v>
      </c>
      <c r="C8" s="1"/>
      <c r="D8" s="51"/>
      <c r="E8" s="52"/>
      <c r="F8" s="52"/>
      <c r="G8" s="52"/>
      <c r="H8" s="53"/>
    </row>
    <row r="9" spans="1:8" ht="27" customHeight="1">
      <c r="A9" s="11" t="s">
        <v>67</v>
      </c>
      <c r="B9" s="14">
        <v>3</v>
      </c>
      <c r="C9" s="1"/>
      <c r="D9" s="51"/>
      <c r="E9" s="52"/>
      <c r="F9" s="52"/>
      <c r="G9" s="52"/>
      <c r="H9" s="53"/>
    </row>
    <row r="10" spans="1:8" ht="27" customHeight="1">
      <c r="A10" s="11" t="s">
        <v>68</v>
      </c>
      <c r="B10" s="14">
        <v>1</v>
      </c>
      <c r="C10" s="1"/>
      <c r="D10" s="54"/>
      <c r="E10" s="55"/>
      <c r="F10" s="55"/>
      <c r="G10" s="55"/>
      <c r="H10" s="56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 ht="22" customHeight="1">
      <c r="A12" s="57" t="s">
        <v>69</v>
      </c>
      <c r="B12" s="57"/>
      <c r="C12" s="57"/>
      <c r="D12" s="57"/>
      <c r="E12" s="57"/>
      <c r="F12" s="57"/>
      <c r="G12" s="57"/>
      <c r="H12" s="57"/>
    </row>
    <row r="13" spans="1:8" ht="30" customHeight="1">
      <c r="A13" s="5" t="s">
        <v>70</v>
      </c>
      <c r="B13" s="5" t="s">
        <v>71</v>
      </c>
      <c r="C13" s="5" t="s">
        <v>72</v>
      </c>
      <c r="D13" s="5" t="s">
        <v>73</v>
      </c>
      <c r="E13" s="5" t="s">
        <v>74</v>
      </c>
      <c r="F13" s="5" t="s">
        <v>75</v>
      </c>
      <c r="G13" s="1"/>
      <c r="H13" s="1"/>
    </row>
    <row r="14" spans="1:8" ht="30" customHeight="1">
      <c r="A14" s="15">
        <v>1</v>
      </c>
      <c r="B14" s="16"/>
      <c r="C14" s="16"/>
      <c r="D14" s="16"/>
      <c r="E14" s="17"/>
      <c r="F14" s="16"/>
      <c r="G14" s="1"/>
      <c r="H14" s="1"/>
    </row>
    <row r="15" spans="1:8" ht="30" customHeight="1">
      <c r="A15" s="15">
        <v>2</v>
      </c>
      <c r="B15" s="16"/>
      <c r="C15" s="16"/>
      <c r="D15" s="16"/>
      <c r="E15" s="17"/>
      <c r="F15" s="16"/>
      <c r="G15" s="1"/>
      <c r="H15" s="1"/>
    </row>
    <row r="16" spans="1:8" ht="30" customHeight="1">
      <c r="A16" s="15">
        <v>3</v>
      </c>
      <c r="B16" s="16"/>
      <c r="C16" s="16"/>
      <c r="D16" s="16"/>
      <c r="E16" s="17"/>
      <c r="F16" s="16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 ht="22" customHeight="1">
      <c r="A18" s="57" t="s">
        <v>76</v>
      </c>
      <c r="B18" s="57"/>
      <c r="C18" s="57"/>
      <c r="D18" s="57"/>
      <c r="E18" s="57"/>
      <c r="F18" s="57"/>
      <c r="G18" s="57"/>
      <c r="H18" s="57"/>
    </row>
    <row r="19" spans="1:8" ht="28" customHeight="1">
      <c r="A19" s="11" t="s">
        <v>77</v>
      </c>
      <c r="B19" s="16"/>
      <c r="C19" s="1"/>
      <c r="D19" s="1"/>
      <c r="E19" s="1"/>
      <c r="F19" s="1"/>
      <c r="G19" s="1"/>
      <c r="H19" s="1"/>
    </row>
    <row r="20" spans="1:8" ht="28" customHeight="1">
      <c r="A20" s="11" t="s">
        <v>78</v>
      </c>
      <c r="B20" s="16"/>
      <c r="C20" s="1"/>
      <c r="D20" s="1"/>
      <c r="E20" s="1"/>
      <c r="F20" s="1"/>
      <c r="G20" s="1"/>
      <c r="H20" s="1"/>
    </row>
    <row r="21" spans="1:8" ht="28" customHeight="1">
      <c r="A21" s="11" t="s">
        <v>79</v>
      </c>
      <c r="B21" s="16"/>
      <c r="C21" s="1"/>
      <c r="D21" s="1"/>
      <c r="E21" s="1"/>
      <c r="F21" s="1"/>
      <c r="G21" s="1"/>
      <c r="H21" s="1"/>
    </row>
    <row r="22" spans="1:8" ht="28" customHeight="1">
      <c r="A22" s="11" t="s">
        <v>80</v>
      </c>
      <c r="B22" s="18"/>
      <c r="C22" s="1"/>
      <c r="D22" s="1"/>
      <c r="E22" s="1"/>
      <c r="F22" s="1"/>
      <c r="G22" s="1"/>
      <c r="H22" s="1"/>
    </row>
    <row r="23" spans="1:8" ht="28" customHeight="1">
      <c r="A23" s="11" t="s">
        <v>81</v>
      </c>
      <c r="B23" s="16"/>
      <c r="C23" s="1"/>
      <c r="D23" s="1"/>
      <c r="E23" s="1"/>
      <c r="F23" s="1"/>
      <c r="G23" s="1"/>
      <c r="H23" s="1"/>
    </row>
    <row r="24" spans="1:8">
      <c r="A24" s="1"/>
      <c r="B24" s="1"/>
      <c r="C24" s="1"/>
      <c r="D24" s="1"/>
      <c r="E24" s="1"/>
      <c r="F24" s="1"/>
      <c r="G24" s="1"/>
      <c r="H24" s="1"/>
    </row>
    <row r="25" spans="1:8" ht="22" customHeight="1">
      <c r="A25" s="57" t="s">
        <v>82</v>
      </c>
      <c r="B25" s="57"/>
      <c r="C25" s="57"/>
      <c r="D25" s="57"/>
      <c r="E25" s="57"/>
      <c r="F25" s="57"/>
      <c r="G25" s="57"/>
      <c r="H25" s="57"/>
    </row>
    <row r="26" spans="1:8" ht="26" customHeight="1">
      <c r="A26" s="67"/>
      <c r="B26" s="67"/>
      <c r="C26" s="67"/>
      <c r="D26" s="67"/>
      <c r="E26" s="67"/>
      <c r="F26" s="67"/>
      <c r="G26" s="67"/>
      <c r="H26" s="67"/>
    </row>
    <row r="27" spans="1:8" ht="26" customHeight="1">
      <c r="A27" s="67"/>
      <c r="B27" s="67"/>
      <c r="C27" s="67"/>
      <c r="D27" s="67"/>
      <c r="E27" s="67"/>
      <c r="F27" s="67"/>
      <c r="G27" s="67"/>
      <c r="H27" s="67"/>
    </row>
    <row r="28" spans="1:8" ht="26" customHeight="1">
      <c r="A28" s="67"/>
      <c r="B28" s="67"/>
      <c r="C28" s="67"/>
      <c r="D28" s="67"/>
      <c r="E28" s="67"/>
      <c r="F28" s="67"/>
      <c r="G28" s="67"/>
      <c r="H28" s="67"/>
    </row>
    <row r="29" spans="1:8">
      <c r="A29" s="1"/>
      <c r="B29" s="1"/>
      <c r="C29" s="1"/>
      <c r="D29" s="1"/>
      <c r="E29" s="1"/>
      <c r="F29" s="1"/>
      <c r="G29" s="1"/>
      <c r="H29" s="1"/>
    </row>
    <row r="30" spans="1:8" ht="26" customHeight="1">
      <c r="A30" s="48" t="s">
        <v>83</v>
      </c>
      <c r="B30" s="49"/>
      <c r="C30" s="49"/>
      <c r="D30" s="49"/>
      <c r="E30" s="49"/>
      <c r="F30" s="49"/>
      <c r="G30" s="49"/>
      <c r="H30" s="50"/>
    </row>
    <row r="31" spans="1:8" ht="26" customHeight="1">
      <c r="A31" s="54"/>
      <c r="B31" s="55"/>
      <c r="C31" s="55"/>
      <c r="D31" s="55"/>
      <c r="E31" s="55"/>
      <c r="F31" s="55"/>
      <c r="G31" s="55"/>
      <c r="H31" s="56"/>
    </row>
    <row r="32" spans="1:8">
      <c r="A32" s="1"/>
      <c r="B32" s="1"/>
      <c r="C32" s="1"/>
      <c r="D32" s="1"/>
      <c r="E32" s="1"/>
      <c r="F32" s="1"/>
      <c r="G32" s="1"/>
      <c r="H32" s="1"/>
    </row>
  </sheetData>
  <mergeCells count="9">
    <mergeCell ref="A18:H18"/>
    <mergeCell ref="A25:H25"/>
    <mergeCell ref="A26:H28"/>
    <mergeCell ref="A30:H31"/>
    <mergeCell ref="A1:H1"/>
    <mergeCell ref="A3:H3"/>
    <mergeCell ref="A5:H5"/>
    <mergeCell ref="D6:H10"/>
    <mergeCell ref="A12:H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1"/>
  <sheetViews>
    <sheetView showGridLines="0" workbookViewId="0">
      <pane ySplit="3" topLeftCell="A4" activePane="bottomLeft" state="frozen"/>
      <selection pane="bottomLeft" sqref="A1:H1"/>
    </sheetView>
  </sheetViews>
  <sheetFormatPr baseColWidth="10" defaultColWidth="8.83203125" defaultRowHeight="14"/>
  <cols>
    <col min="1" max="1" width="22" customWidth="1"/>
    <col min="2" max="2" width="68" customWidth="1"/>
    <col min="3" max="3" width="22" customWidth="1"/>
    <col min="4" max="4" width="68" customWidth="1"/>
    <col min="5" max="8" width="12" customWidth="1"/>
  </cols>
  <sheetData>
    <row r="1" spans="1:8" ht="30" customHeight="1">
      <c r="A1" s="46" t="s">
        <v>0</v>
      </c>
      <c r="B1" s="46"/>
      <c r="C1" s="46"/>
      <c r="D1" s="46"/>
      <c r="E1" s="46"/>
      <c r="F1" s="46"/>
      <c r="G1" s="46"/>
      <c r="H1" s="46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47" t="s">
        <v>1</v>
      </c>
      <c r="B3" s="47"/>
      <c r="C3" s="47"/>
      <c r="D3" s="47"/>
      <c r="E3" s="47"/>
      <c r="F3" s="47"/>
      <c r="G3" s="47"/>
      <c r="H3" s="47"/>
    </row>
    <row r="4" spans="1:8">
      <c r="A4" s="1"/>
      <c r="B4" s="1"/>
      <c r="C4" s="1"/>
      <c r="D4" s="1"/>
      <c r="E4" s="1"/>
      <c r="F4" s="1"/>
      <c r="G4" s="1"/>
      <c r="H4" s="1"/>
    </row>
    <row r="5" spans="1:8" ht="26" customHeight="1">
      <c r="A5" s="48" t="s">
        <v>2</v>
      </c>
      <c r="B5" s="49"/>
      <c r="C5" s="49"/>
      <c r="D5" s="49"/>
      <c r="E5" s="49"/>
      <c r="F5" s="49"/>
      <c r="G5" s="49"/>
      <c r="H5" s="50"/>
    </row>
    <row r="6" spans="1:8" ht="26" customHeight="1">
      <c r="A6" s="51"/>
      <c r="B6" s="52"/>
      <c r="C6" s="52"/>
      <c r="D6" s="52"/>
      <c r="E6" s="52"/>
      <c r="F6" s="52"/>
      <c r="G6" s="52"/>
      <c r="H6" s="53"/>
    </row>
    <row r="7" spans="1:8" ht="26" customHeight="1">
      <c r="A7" s="54"/>
      <c r="B7" s="55"/>
      <c r="C7" s="55"/>
      <c r="D7" s="55"/>
      <c r="E7" s="55"/>
      <c r="F7" s="55"/>
      <c r="G7" s="55"/>
      <c r="H7" s="56"/>
    </row>
    <row r="8" spans="1:8">
      <c r="A8" s="1"/>
      <c r="B8" s="1"/>
      <c r="C8" s="1"/>
      <c r="D8" s="1"/>
      <c r="E8" s="1"/>
      <c r="F8" s="1"/>
      <c r="G8" s="1"/>
      <c r="H8" s="1"/>
    </row>
    <row r="9" spans="1:8" ht="22" customHeight="1">
      <c r="A9" s="57" t="s">
        <v>3</v>
      </c>
      <c r="B9" s="57"/>
      <c r="C9" s="57"/>
      <c r="D9" s="57"/>
      <c r="E9" s="57"/>
      <c r="F9" s="57"/>
      <c r="G9" s="57"/>
      <c r="H9" s="57"/>
    </row>
    <row r="10" spans="1:8" ht="30" customHeight="1">
      <c r="A10" s="2" t="s">
        <v>4</v>
      </c>
      <c r="B10" s="4" t="s">
        <v>5</v>
      </c>
      <c r="C10" s="1"/>
      <c r="D10" s="1"/>
      <c r="E10" s="1"/>
      <c r="F10" s="1"/>
      <c r="G10" s="1"/>
      <c r="H10" s="1"/>
    </row>
    <row r="11" spans="1:8" ht="30" customHeight="1">
      <c r="A11" s="2" t="s">
        <v>6</v>
      </c>
      <c r="B11" s="4" t="s">
        <v>7</v>
      </c>
      <c r="C11" s="1"/>
      <c r="D11" s="1"/>
      <c r="E11" s="1"/>
      <c r="F11" s="1"/>
      <c r="G11" s="1"/>
      <c r="H11" s="1"/>
    </row>
    <row r="12" spans="1:8" ht="30" customHeight="1">
      <c r="A12" s="2" t="s">
        <v>8</v>
      </c>
      <c r="B12" s="4" t="s">
        <v>9</v>
      </c>
      <c r="C12" s="1"/>
      <c r="D12" s="1"/>
      <c r="E12" s="1"/>
      <c r="F12" s="1"/>
      <c r="G12" s="1"/>
      <c r="H12" s="1"/>
    </row>
    <row r="13" spans="1:8" ht="30" customHeight="1">
      <c r="A13" s="2" t="s">
        <v>10</v>
      </c>
      <c r="B13" s="4" t="s">
        <v>11</v>
      </c>
      <c r="C13" s="1"/>
      <c r="D13" s="1"/>
      <c r="E13" s="1"/>
      <c r="F13" s="1"/>
      <c r="G13" s="1"/>
      <c r="H13" s="1"/>
    </row>
    <row r="14" spans="1:8" ht="30" customHeight="1">
      <c r="A14" s="2" t="s">
        <v>12</v>
      </c>
      <c r="B14" s="4" t="s">
        <v>13</v>
      </c>
      <c r="C14" s="1"/>
      <c r="D14" s="1"/>
      <c r="E14" s="1"/>
      <c r="F14" s="1"/>
      <c r="G14" s="1"/>
      <c r="H14" s="1"/>
    </row>
    <row r="15" spans="1:8" ht="30" customHeight="1">
      <c r="A15" s="2" t="s">
        <v>14</v>
      </c>
      <c r="B15" s="4" t="s">
        <v>15</v>
      </c>
      <c r="C15" s="1"/>
      <c r="D15" s="1"/>
      <c r="E15" s="1"/>
      <c r="F15" s="1"/>
      <c r="G15" s="1"/>
      <c r="H15" s="1"/>
    </row>
    <row r="16" spans="1:8" ht="30" customHeight="1">
      <c r="A16" s="2" t="s">
        <v>16</v>
      </c>
      <c r="B16" s="4" t="s">
        <v>17</v>
      </c>
      <c r="C16" s="1"/>
      <c r="D16" s="1"/>
      <c r="E16" s="1"/>
      <c r="F16" s="1"/>
      <c r="G16" s="1"/>
      <c r="H16" s="1"/>
    </row>
    <row r="17" spans="1:8" ht="30" customHeight="1">
      <c r="A17" s="2" t="s">
        <v>18</v>
      </c>
      <c r="B17" s="4" t="s">
        <v>19</v>
      </c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 ht="22" customHeight="1">
      <c r="A19" s="57" t="s">
        <v>20</v>
      </c>
      <c r="B19" s="57"/>
      <c r="C19" s="57"/>
      <c r="D19" s="57"/>
      <c r="E19" s="57"/>
      <c r="F19" s="57"/>
      <c r="G19" s="57"/>
      <c r="H19" s="57"/>
    </row>
    <row r="20" spans="1:8" ht="15">
      <c r="A20" s="5" t="s">
        <v>21</v>
      </c>
      <c r="B20" s="5" t="s">
        <v>22</v>
      </c>
      <c r="C20" s="5" t="s">
        <v>21</v>
      </c>
      <c r="D20" s="5" t="s">
        <v>22</v>
      </c>
      <c r="E20" s="1"/>
      <c r="F20" s="1"/>
      <c r="G20" s="1"/>
      <c r="H20" s="1"/>
    </row>
    <row r="21" spans="1:8" ht="38" customHeight="1">
      <c r="A21" s="6" t="s">
        <v>23</v>
      </c>
      <c r="B21" s="4" t="s">
        <v>24</v>
      </c>
      <c r="C21" s="6" t="s">
        <v>25</v>
      </c>
      <c r="D21" s="4" t="s">
        <v>26</v>
      </c>
      <c r="E21" s="1"/>
      <c r="F21" s="1"/>
      <c r="G21" s="1"/>
      <c r="H21" s="1"/>
    </row>
    <row r="22" spans="1:8" ht="38" customHeight="1">
      <c r="A22" s="6" t="s">
        <v>27</v>
      </c>
      <c r="B22" s="4" t="s">
        <v>28</v>
      </c>
      <c r="C22" s="6" t="s">
        <v>29</v>
      </c>
      <c r="D22" s="4" t="s">
        <v>30</v>
      </c>
      <c r="E22" s="1"/>
      <c r="F22" s="1"/>
      <c r="G22" s="1"/>
      <c r="H22" s="1"/>
    </row>
    <row r="23" spans="1:8" ht="38" customHeight="1">
      <c r="A23" s="6" t="s">
        <v>31</v>
      </c>
      <c r="B23" s="4" t="s">
        <v>32</v>
      </c>
      <c r="C23" s="6" t="s">
        <v>33</v>
      </c>
      <c r="D23" s="4" t="s">
        <v>34</v>
      </c>
      <c r="E23" s="1"/>
      <c r="F23" s="1"/>
      <c r="G23" s="1"/>
      <c r="H23" s="1"/>
    </row>
    <row r="24" spans="1:8" ht="38" customHeight="1">
      <c r="A24" s="6" t="s">
        <v>35</v>
      </c>
      <c r="B24" s="4" t="s">
        <v>36</v>
      </c>
      <c r="C24" s="6" t="s">
        <v>37</v>
      </c>
      <c r="D24" s="4" t="s">
        <v>38</v>
      </c>
      <c r="E24" s="1"/>
      <c r="F24" s="1"/>
      <c r="G24" s="1"/>
      <c r="H24" s="1"/>
    </row>
    <row r="25" spans="1:8">
      <c r="A25" s="1"/>
      <c r="B25" s="1"/>
      <c r="C25" s="1"/>
      <c r="D25" s="1"/>
      <c r="E25" s="1"/>
      <c r="F25" s="1"/>
      <c r="G25" s="1"/>
      <c r="H25" s="1"/>
    </row>
    <row r="26" spans="1:8" ht="22" customHeight="1">
      <c r="A26" s="57" t="s">
        <v>39</v>
      </c>
      <c r="B26" s="57"/>
      <c r="C26" s="57"/>
      <c r="D26" s="57"/>
      <c r="E26" s="57"/>
      <c r="F26" s="57"/>
      <c r="G26" s="57"/>
      <c r="H26" s="57"/>
    </row>
    <row r="27" spans="1:8" ht="38" customHeight="1">
      <c r="A27" s="7" t="s">
        <v>40</v>
      </c>
      <c r="B27" s="4" t="s">
        <v>41</v>
      </c>
      <c r="C27" s="9" t="s">
        <v>42</v>
      </c>
      <c r="D27" s="4" t="s">
        <v>43</v>
      </c>
      <c r="E27" s="1"/>
      <c r="F27" s="1"/>
      <c r="G27" s="1"/>
      <c r="H27" s="1"/>
    </row>
    <row r="28" spans="1:8" ht="38" customHeight="1">
      <c r="A28" s="8" t="s">
        <v>44</v>
      </c>
      <c r="B28" s="4" t="s">
        <v>45</v>
      </c>
      <c r="C28" s="10" t="s">
        <v>46</v>
      </c>
      <c r="D28" s="4" t="s">
        <v>47</v>
      </c>
      <c r="E28" s="1"/>
      <c r="F28" s="1"/>
      <c r="G28" s="1"/>
      <c r="H28" s="1"/>
    </row>
    <row r="29" spans="1:8" ht="38" customHeight="1">
      <c r="A29" s="3" t="s">
        <v>48</v>
      </c>
      <c r="B29" s="4" t="s">
        <v>49</v>
      </c>
      <c r="C29" s="4" t="s">
        <v>50</v>
      </c>
      <c r="D29" s="4" t="s">
        <v>51</v>
      </c>
      <c r="E29" s="1"/>
      <c r="F29" s="1"/>
      <c r="G29" s="1"/>
      <c r="H29" s="1"/>
    </row>
    <row r="30" spans="1:8" ht="38" customHeight="1">
      <c r="A30" s="3" t="s">
        <v>52</v>
      </c>
      <c r="B30" s="4" t="s">
        <v>53</v>
      </c>
      <c r="C30" s="4" t="s">
        <v>54</v>
      </c>
      <c r="D30" s="4" t="s">
        <v>55</v>
      </c>
      <c r="E30" s="1"/>
      <c r="F30" s="1"/>
      <c r="G30" s="1"/>
      <c r="H30" s="1"/>
    </row>
    <row r="31" spans="1:8">
      <c r="A31" s="1"/>
      <c r="B31" s="1"/>
      <c r="C31" s="1"/>
      <c r="D31" s="1"/>
      <c r="E31" s="1"/>
      <c r="F31" s="1"/>
      <c r="G31" s="1"/>
      <c r="H31" s="1"/>
    </row>
    <row r="32" spans="1:8" ht="22" customHeight="1">
      <c r="A32" s="57" t="s">
        <v>56</v>
      </c>
      <c r="B32" s="57"/>
      <c r="C32" s="57"/>
      <c r="D32" s="57"/>
      <c r="E32" s="57"/>
      <c r="F32" s="57"/>
      <c r="G32" s="57"/>
      <c r="H32" s="57"/>
    </row>
    <row r="33" spans="1:8" ht="24" customHeight="1">
      <c r="A33" s="58" t="s">
        <v>57</v>
      </c>
      <c r="B33" s="59"/>
      <c r="C33" s="59"/>
      <c r="D33" s="59"/>
      <c r="E33" s="59"/>
      <c r="F33" s="59"/>
      <c r="G33" s="59"/>
      <c r="H33" s="60"/>
    </row>
    <row r="34" spans="1:8" ht="24" customHeight="1">
      <c r="A34" s="61"/>
      <c r="B34" s="62"/>
      <c r="C34" s="62"/>
      <c r="D34" s="62"/>
      <c r="E34" s="62"/>
      <c r="F34" s="62"/>
      <c r="G34" s="62"/>
      <c r="H34" s="63"/>
    </row>
    <row r="35" spans="1:8" ht="24" customHeight="1">
      <c r="A35" s="61"/>
      <c r="B35" s="62"/>
      <c r="C35" s="62"/>
      <c r="D35" s="62"/>
      <c r="E35" s="62"/>
      <c r="F35" s="62"/>
      <c r="G35" s="62"/>
      <c r="H35" s="63"/>
    </row>
    <row r="36" spans="1:8" ht="24" customHeight="1">
      <c r="A36" s="64"/>
      <c r="B36" s="65"/>
      <c r="C36" s="65"/>
      <c r="D36" s="65"/>
      <c r="E36" s="65"/>
      <c r="F36" s="65"/>
      <c r="G36" s="65"/>
      <c r="H36" s="66"/>
    </row>
    <row r="37" spans="1:8">
      <c r="A37" s="1"/>
      <c r="B37" s="1"/>
      <c r="C37" s="1"/>
      <c r="D37" s="1"/>
      <c r="E37" s="1"/>
      <c r="F37" s="1"/>
      <c r="G37" s="1"/>
      <c r="H37" s="1"/>
    </row>
    <row r="38" spans="1:8" ht="22" customHeight="1">
      <c r="A38" s="57" t="s">
        <v>58</v>
      </c>
      <c r="B38" s="57"/>
      <c r="C38" s="57"/>
      <c r="D38" s="57"/>
      <c r="E38" s="57"/>
      <c r="F38" s="57"/>
      <c r="G38" s="57"/>
      <c r="H38" s="57"/>
    </row>
    <row r="39" spans="1:8" ht="25" customHeight="1">
      <c r="A39" s="48" t="s">
        <v>59</v>
      </c>
      <c r="B39" s="49"/>
      <c r="C39" s="49"/>
      <c r="D39" s="49"/>
      <c r="E39" s="49"/>
      <c r="F39" s="49"/>
      <c r="G39" s="49"/>
      <c r="H39" s="50"/>
    </row>
    <row r="40" spans="1:8" ht="25" customHeight="1">
      <c r="A40" s="51"/>
      <c r="B40" s="52"/>
      <c r="C40" s="52"/>
      <c r="D40" s="52"/>
      <c r="E40" s="52"/>
      <c r="F40" s="52"/>
      <c r="G40" s="52"/>
      <c r="H40" s="53"/>
    </row>
    <row r="41" spans="1:8" ht="25" customHeight="1">
      <c r="A41" s="54"/>
      <c r="B41" s="55"/>
      <c r="C41" s="55"/>
      <c r="D41" s="55"/>
      <c r="E41" s="55"/>
      <c r="F41" s="55"/>
      <c r="G41" s="55"/>
      <c r="H41" s="56"/>
    </row>
  </sheetData>
  <mergeCells count="10">
    <mergeCell ref="A26:H26"/>
    <mergeCell ref="A32:H32"/>
    <mergeCell ref="A33:H36"/>
    <mergeCell ref="A38:H38"/>
    <mergeCell ref="A39:H41"/>
    <mergeCell ref="A1:H1"/>
    <mergeCell ref="A3:H3"/>
    <mergeCell ref="A5:H7"/>
    <mergeCell ref="A9:H9"/>
    <mergeCell ref="A19:H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9"/>
  <sheetViews>
    <sheetView showGridLines="0" workbookViewId="0">
      <pane ySplit="3" topLeftCell="A4" activePane="bottomLeft" state="frozen"/>
      <selection pane="bottomLeft" sqref="A1:H1"/>
    </sheetView>
  </sheetViews>
  <sheetFormatPr baseColWidth="10" defaultColWidth="8.83203125" defaultRowHeight="14"/>
  <cols>
    <col min="1" max="1" width="34" customWidth="1"/>
    <col min="2" max="2" width="18" customWidth="1"/>
    <col min="3" max="3" width="44" customWidth="1"/>
    <col min="4" max="4" width="12" customWidth="1"/>
    <col min="5" max="5" width="34" customWidth="1"/>
    <col min="6" max="8" width="18" customWidth="1"/>
  </cols>
  <sheetData>
    <row r="1" spans="1:8" ht="30" customHeight="1">
      <c r="A1" s="46" t="s">
        <v>86</v>
      </c>
      <c r="B1" s="46"/>
      <c r="C1" s="46"/>
      <c r="D1" s="46"/>
      <c r="E1" s="46"/>
      <c r="F1" s="46"/>
      <c r="G1" s="46"/>
      <c r="H1" s="46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47" t="s">
        <v>87</v>
      </c>
      <c r="B3" s="47"/>
      <c r="C3" s="47"/>
      <c r="D3" s="47"/>
      <c r="E3" s="47"/>
      <c r="F3" s="47"/>
      <c r="G3" s="47"/>
      <c r="H3" s="47"/>
    </row>
    <row r="4" spans="1:8">
      <c r="A4" s="1"/>
      <c r="B4" s="1"/>
      <c r="C4" s="1"/>
      <c r="D4" s="1"/>
      <c r="E4" s="1"/>
      <c r="F4" s="1"/>
      <c r="G4" s="1"/>
      <c r="H4" s="1"/>
    </row>
    <row r="5" spans="1:8" ht="22" customHeight="1">
      <c r="A5" s="57" t="s">
        <v>88</v>
      </c>
      <c r="B5" s="57"/>
      <c r="C5" s="57"/>
      <c r="D5" s="57"/>
      <c r="E5" s="1"/>
      <c r="F5" s="1"/>
      <c r="G5" s="1"/>
      <c r="H5" s="1"/>
    </row>
    <row r="6" spans="1:8" ht="27" customHeight="1">
      <c r="A6" s="5" t="s">
        <v>89</v>
      </c>
      <c r="B6" s="5" t="s">
        <v>90</v>
      </c>
      <c r="C6" s="5" t="s">
        <v>91</v>
      </c>
      <c r="D6" s="5" t="s">
        <v>92</v>
      </c>
      <c r="E6" s="1"/>
      <c r="F6" s="1"/>
      <c r="G6" s="1"/>
      <c r="H6" s="1"/>
    </row>
    <row r="7" spans="1:8" ht="27" customHeight="1">
      <c r="A7" s="1" t="s">
        <v>93</v>
      </c>
      <c r="B7" s="14">
        <v>425000</v>
      </c>
      <c r="C7" s="4" t="s">
        <v>94</v>
      </c>
      <c r="D7" s="4" t="s">
        <v>95</v>
      </c>
      <c r="E7" s="1"/>
      <c r="F7" s="1"/>
      <c r="G7" s="1"/>
      <c r="H7" s="1"/>
    </row>
    <row r="8" spans="1:8" ht="27" customHeight="1">
      <c r="A8" s="1" t="s">
        <v>96</v>
      </c>
      <c r="B8" s="14">
        <v>272000</v>
      </c>
      <c r="C8" s="4" t="s">
        <v>94</v>
      </c>
      <c r="D8" s="4" t="s">
        <v>95</v>
      </c>
      <c r="E8" s="1"/>
      <c r="F8" s="1"/>
      <c r="G8" s="1"/>
      <c r="H8" s="1"/>
    </row>
    <row r="9" spans="1:8" ht="27" customHeight="1">
      <c r="A9" s="1" t="s">
        <v>97</v>
      </c>
      <c r="B9" s="19"/>
      <c r="C9" s="4" t="s">
        <v>98</v>
      </c>
      <c r="D9" s="4" t="s">
        <v>99</v>
      </c>
      <c r="E9" s="1"/>
      <c r="F9" s="1"/>
      <c r="G9" s="1"/>
      <c r="H9" s="1"/>
    </row>
    <row r="10" spans="1:8" ht="27" customHeight="1">
      <c r="A10" s="1" t="s">
        <v>100</v>
      </c>
      <c r="B10" s="14">
        <v>61000</v>
      </c>
      <c r="C10" s="4" t="s">
        <v>94</v>
      </c>
      <c r="D10" s="4" t="s">
        <v>95</v>
      </c>
      <c r="E10" s="1"/>
      <c r="F10" s="1"/>
      <c r="G10" s="1"/>
      <c r="H10" s="1"/>
    </row>
    <row r="11" spans="1:8" ht="27" customHeight="1">
      <c r="A11" s="1" t="s">
        <v>101</v>
      </c>
      <c r="B11" s="14">
        <v>18500</v>
      </c>
      <c r="C11" s="4" t="s">
        <v>94</v>
      </c>
      <c r="D11" s="4" t="s">
        <v>95</v>
      </c>
      <c r="E11" s="1"/>
      <c r="F11" s="1"/>
      <c r="G11" s="1"/>
      <c r="H11" s="1"/>
    </row>
    <row r="12" spans="1:8" ht="27" customHeight="1">
      <c r="A12" s="1" t="s">
        <v>102</v>
      </c>
      <c r="B12" s="19"/>
      <c r="C12" s="4" t="s">
        <v>103</v>
      </c>
      <c r="D12" s="4" t="s">
        <v>99</v>
      </c>
      <c r="E12" s="1"/>
      <c r="F12" s="1"/>
      <c r="G12" s="1"/>
      <c r="H12" s="1"/>
    </row>
    <row r="13" spans="1:8" ht="27" customHeight="1">
      <c r="A13" s="1" t="s">
        <v>104</v>
      </c>
      <c r="B13" s="14">
        <v>9800</v>
      </c>
      <c r="C13" s="4" t="s">
        <v>105</v>
      </c>
      <c r="D13" s="4" t="s">
        <v>95</v>
      </c>
      <c r="E13" s="1"/>
      <c r="F13" s="1"/>
      <c r="G13" s="1"/>
      <c r="H13" s="1"/>
    </row>
    <row r="14" spans="1:8" ht="27" customHeight="1">
      <c r="A14" s="1" t="s">
        <v>106</v>
      </c>
      <c r="B14" s="19"/>
      <c r="C14" s="4" t="s">
        <v>107</v>
      </c>
      <c r="D14" s="4" t="s">
        <v>99</v>
      </c>
      <c r="E14" s="1"/>
      <c r="F14" s="1"/>
      <c r="G14" s="1"/>
      <c r="H14" s="1"/>
    </row>
    <row r="15" spans="1:8" ht="27" customHeight="1">
      <c r="A15" s="1" t="s">
        <v>108</v>
      </c>
      <c r="B15" s="13">
        <v>0.25</v>
      </c>
      <c r="C15" s="4" t="s">
        <v>109</v>
      </c>
      <c r="D15" s="4" t="s">
        <v>95</v>
      </c>
      <c r="E15" s="1"/>
      <c r="F15" s="1"/>
      <c r="G15" s="1"/>
      <c r="H15" s="1"/>
    </row>
    <row r="16" spans="1:8" ht="27" customHeight="1">
      <c r="A16" s="1" t="s">
        <v>110</v>
      </c>
      <c r="B16" s="19"/>
      <c r="C16" s="4" t="s">
        <v>111</v>
      </c>
      <c r="D16" s="4" t="s">
        <v>99</v>
      </c>
      <c r="E16" s="1"/>
      <c r="F16" s="1"/>
      <c r="G16" s="1"/>
      <c r="H16" s="1"/>
    </row>
    <row r="17" spans="1:8" ht="27" customHeight="1">
      <c r="A17" s="1" t="s">
        <v>112</v>
      </c>
      <c r="B17" s="19"/>
      <c r="C17" s="4" t="s">
        <v>113</v>
      </c>
      <c r="D17" s="4" t="s">
        <v>99</v>
      </c>
      <c r="E17" s="1"/>
      <c r="F17" s="1"/>
      <c r="G17" s="1"/>
      <c r="H17" s="1"/>
    </row>
    <row r="18" spans="1:8" ht="27" customHeight="1">
      <c r="A18" s="1" t="s">
        <v>114</v>
      </c>
      <c r="B18" s="14">
        <v>50000</v>
      </c>
      <c r="C18" s="4" t="s">
        <v>115</v>
      </c>
      <c r="D18" s="4" t="s">
        <v>95</v>
      </c>
      <c r="E18" s="1"/>
      <c r="F18" s="1"/>
      <c r="G18" s="1"/>
      <c r="H18" s="1"/>
    </row>
    <row r="19" spans="1:8" ht="27" customHeight="1">
      <c r="A19" s="1" t="s">
        <v>37</v>
      </c>
      <c r="B19" s="20"/>
      <c r="C19" s="4" t="s">
        <v>116</v>
      </c>
      <c r="D19" s="4" t="s">
        <v>99</v>
      </c>
      <c r="E19" s="1"/>
      <c r="F19" s="1"/>
      <c r="G19" s="1"/>
      <c r="H19" s="1"/>
    </row>
    <row r="20" spans="1:8">
      <c r="A20" s="1"/>
      <c r="B20" s="1"/>
      <c r="C20" s="1"/>
      <c r="D20" s="1"/>
      <c r="E20" s="1"/>
      <c r="F20" s="1"/>
      <c r="G20" s="1"/>
      <c r="H20" s="1"/>
    </row>
    <row r="21" spans="1:8" ht="22" customHeight="1">
      <c r="A21" s="57" t="s">
        <v>117</v>
      </c>
      <c r="B21" s="57"/>
      <c r="C21" s="57"/>
      <c r="D21" s="57"/>
      <c r="E21" s="57"/>
      <c r="F21" s="57"/>
      <c r="G21" s="57"/>
      <c r="H21" s="57"/>
    </row>
    <row r="22" spans="1:8" ht="28" customHeight="1">
      <c r="A22" s="5" t="s">
        <v>118</v>
      </c>
      <c r="B22" s="5" t="s">
        <v>90</v>
      </c>
      <c r="C22" s="5" t="s">
        <v>119</v>
      </c>
      <c r="D22" s="5" t="s">
        <v>92</v>
      </c>
      <c r="E22" s="5" t="s">
        <v>120</v>
      </c>
      <c r="F22" s="5" t="s">
        <v>90</v>
      </c>
      <c r="G22" s="5" t="s">
        <v>119</v>
      </c>
      <c r="H22" s="5" t="s">
        <v>92</v>
      </c>
    </row>
    <row r="23" spans="1:8" ht="28" customHeight="1">
      <c r="A23" s="1" t="s">
        <v>121</v>
      </c>
      <c r="B23" s="14">
        <v>32500</v>
      </c>
      <c r="C23" s="4" t="s">
        <v>94</v>
      </c>
      <c r="D23" s="4" t="s">
        <v>95</v>
      </c>
      <c r="E23" s="1" t="s">
        <v>122</v>
      </c>
      <c r="F23" s="14">
        <v>29400</v>
      </c>
      <c r="G23" s="4" t="s">
        <v>94</v>
      </c>
      <c r="H23" s="4" t="s">
        <v>95</v>
      </c>
    </row>
    <row r="24" spans="1:8" ht="28" customHeight="1">
      <c r="A24" s="1" t="s">
        <v>123</v>
      </c>
      <c r="B24" s="14">
        <v>58000</v>
      </c>
      <c r="C24" s="4" t="s">
        <v>94</v>
      </c>
      <c r="D24" s="4" t="s">
        <v>95</v>
      </c>
      <c r="E24" s="1" t="s">
        <v>124</v>
      </c>
      <c r="F24" s="14">
        <v>45000</v>
      </c>
      <c r="G24" s="4" t="s">
        <v>125</v>
      </c>
      <c r="H24" s="4" t="s">
        <v>95</v>
      </c>
    </row>
    <row r="25" spans="1:8" ht="28" customHeight="1">
      <c r="A25" s="1" t="s">
        <v>126</v>
      </c>
      <c r="B25" s="14">
        <v>44200</v>
      </c>
      <c r="C25" s="4" t="s">
        <v>94</v>
      </c>
      <c r="D25" s="4" t="s">
        <v>95</v>
      </c>
      <c r="E25" s="1" t="s">
        <v>127</v>
      </c>
      <c r="F25" s="14">
        <v>13100</v>
      </c>
      <c r="G25" s="4" t="s">
        <v>94</v>
      </c>
      <c r="H25" s="4" t="s">
        <v>95</v>
      </c>
    </row>
    <row r="26" spans="1:8" ht="28" customHeight="1">
      <c r="A26" s="1" t="s">
        <v>128</v>
      </c>
      <c r="B26" s="14">
        <v>8300</v>
      </c>
      <c r="C26" s="4" t="s">
        <v>94</v>
      </c>
      <c r="D26" s="4" t="s">
        <v>95</v>
      </c>
      <c r="E26" s="1" t="s">
        <v>129</v>
      </c>
      <c r="F26" s="19"/>
      <c r="G26" s="4" t="s">
        <v>130</v>
      </c>
      <c r="H26" s="4" t="s">
        <v>99</v>
      </c>
    </row>
    <row r="27" spans="1:8" ht="28" customHeight="1">
      <c r="A27" s="1" t="s">
        <v>131</v>
      </c>
      <c r="B27" s="19"/>
      <c r="C27" s="4" t="s">
        <v>132</v>
      </c>
      <c r="D27" s="4" t="s">
        <v>99</v>
      </c>
      <c r="E27" s="1" t="s">
        <v>133</v>
      </c>
      <c r="F27" s="14">
        <v>110000</v>
      </c>
      <c r="G27" s="4" t="s">
        <v>134</v>
      </c>
      <c r="H27" s="4" t="s">
        <v>95</v>
      </c>
    </row>
    <row r="28" spans="1:8" ht="28" customHeight="1">
      <c r="A28" s="1" t="s">
        <v>135</v>
      </c>
      <c r="B28" s="14">
        <v>312000</v>
      </c>
      <c r="C28" s="4" t="s">
        <v>136</v>
      </c>
      <c r="D28" s="4" t="s">
        <v>95</v>
      </c>
      <c r="E28" s="1" t="s">
        <v>137</v>
      </c>
      <c r="F28" s="14">
        <v>7200</v>
      </c>
      <c r="G28" s="4" t="s">
        <v>94</v>
      </c>
      <c r="H28" s="4" t="s">
        <v>95</v>
      </c>
    </row>
    <row r="29" spans="1:8" ht="28" customHeight="1">
      <c r="A29" s="1" t="s">
        <v>138</v>
      </c>
      <c r="B29" s="14">
        <v>22000</v>
      </c>
      <c r="C29" s="4" t="s">
        <v>94</v>
      </c>
      <c r="D29" s="4" t="s">
        <v>95</v>
      </c>
      <c r="E29" s="1" t="s">
        <v>139</v>
      </c>
      <c r="F29" s="14">
        <v>61000</v>
      </c>
      <c r="G29" s="4" t="s">
        <v>140</v>
      </c>
      <c r="H29" s="4" t="s">
        <v>95</v>
      </c>
    </row>
    <row r="30" spans="1:8" ht="28" customHeight="1">
      <c r="A30" s="1" t="s">
        <v>141</v>
      </c>
      <c r="B30" s="14">
        <v>9500</v>
      </c>
      <c r="C30" s="4" t="s">
        <v>94</v>
      </c>
      <c r="D30" s="4" t="s">
        <v>95</v>
      </c>
      <c r="E30" s="1" t="s">
        <v>142</v>
      </c>
      <c r="F30" s="19"/>
      <c r="G30" s="4" t="s">
        <v>143</v>
      </c>
      <c r="H30" s="4" t="s">
        <v>99</v>
      </c>
    </row>
    <row r="31" spans="1:8" ht="28" customHeight="1">
      <c r="A31" s="1" t="s">
        <v>144</v>
      </c>
      <c r="B31" s="19"/>
      <c r="C31" s="4" t="s">
        <v>145</v>
      </c>
      <c r="D31" s="4" t="s">
        <v>99</v>
      </c>
      <c r="E31" s="1" t="s">
        <v>146</v>
      </c>
      <c r="F31" s="14">
        <v>85000</v>
      </c>
      <c r="G31" s="4" t="s">
        <v>94</v>
      </c>
      <c r="H31" s="4" t="s">
        <v>95</v>
      </c>
    </row>
    <row r="32" spans="1:8" ht="28" customHeight="1">
      <c r="A32" s="1"/>
      <c r="B32" s="1"/>
      <c r="C32" s="1"/>
      <c r="D32" s="1"/>
      <c r="E32" s="1" t="s">
        <v>147</v>
      </c>
      <c r="F32" s="14">
        <v>135800</v>
      </c>
      <c r="G32" s="4" t="s">
        <v>94</v>
      </c>
      <c r="H32" s="4" t="s">
        <v>95</v>
      </c>
    </row>
    <row r="33" spans="1:8" ht="28" customHeight="1">
      <c r="A33" s="1"/>
      <c r="B33" s="1"/>
      <c r="C33" s="1"/>
      <c r="D33" s="1"/>
      <c r="E33" s="1" t="s">
        <v>148</v>
      </c>
      <c r="F33" s="19"/>
      <c r="G33" s="4" t="s">
        <v>149</v>
      </c>
      <c r="H33" s="4" t="s">
        <v>99</v>
      </c>
    </row>
    <row r="34" spans="1:8" ht="28" customHeight="1">
      <c r="A34" s="1"/>
      <c r="B34" s="1"/>
      <c r="C34" s="1"/>
      <c r="D34" s="1"/>
      <c r="E34" s="1" t="s">
        <v>150</v>
      </c>
      <c r="F34" s="19"/>
      <c r="G34" s="4" t="s">
        <v>151</v>
      </c>
      <c r="H34" s="4" t="s">
        <v>99</v>
      </c>
    </row>
    <row r="35" spans="1:8">
      <c r="A35" s="1"/>
      <c r="B35" s="1"/>
      <c r="C35" s="1"/>
      <c r="D35" s="1"/>
      <c r="E35" s="1"/>
      <c r="F35" s="1"/>
      <c r="G35" s="1"/>
      <c r="H35" s="1"/>
    </row>
    <row r="36" spans="1:8" ht="22" customHeight="1">
      <c r="A36" s="57" t="s">
        <v>152</v>
      </c>
      <c r="B36" s="57"/>
      <c r="C36" s="57"/>
      <c r="D36" s="57"/>
      <c r="E36" s="57"/>
      <c r="F36" s="57"/>
      <c r="G36" s="57"/>
      <c r="H36" s="57"/>
    </row>
    <row r="37" spans="1:8" ht="28" customHeight="1">
      <c r="A37" s="5" t="s">
        <v>153</v>
      </c>
      <c r="B37" s="5" t="s">
        <v>154</v>
      </c>
      <c r="C37" s="5" t="s">
        <v>155</v>
      </c>
      <c r="D37" s="5" t="s">
        <v>92</v>
      </c>
      <c r="E37" s="5" t="s">
        <v>156</v>
      </c>
      <c r="F37" s="5" t="s">
        <v>157</v>
      </c>
      <c r="G37" s="5" t="s">
        <v>158</v>
      </c>
      <c r="H37" s="5" t="s">
        <v>159</v>
      </c>
    </row>
    <row r="38" spans="1:8" ht="28" customHeight="1">
      <c r="A38" s="1" t="s">
        <v>160</v>
      </c>
      <c r="B38" s="14">
        <v>1000</v>
      </c>
      <c r="C38" s="4" t="s">
        <v>161</v>
      </c>
      <c r="D38" s="4" t="s">
        <v>95</v>
      </c>
      <c r="E38" s="4" t="s">
        <v>162</v>
      </c>
      <c r="F38" s="14">
        <v>45000</v>
      </c>
      <c r="G38" s="14">
        <v>0</v>
      </c>
      <c r="H38" s="14">
        <v>45000</v>
      </c>
    </row>
    <row r="39" spans="1:8" ht="28" customHeight="1">
      <c r="A39" s="1" t="s">
        <v>163</v>
      </c>
      <c r="B39" s="14">
        <v>200000</v>
      </c>
      <c r="C39" s="4" t="s">
        <v>164</v>
      </c>
      <c r="D39" s="4" t="s">
        <v>95</v>
      </c>
      <c r="E39" s="4" t="s">
        <v>165</v>
      </c>
      <c r="F39" s="14">
        <v>0</v>
      </c>
      <c r="G39" s="14">
        <v>0</v>
      </c>
      <c r="H39" s="14">
        <v>100000</v>
      </c>
    </row>
    <row r="40" spans="1:8" ht="28" customHeight="1">
      <c r="A40" s="1" t="s">
        <v>166</v>
      </c>
      <c r="B40" s="13">
        <v>5.5E-2</v>
      </c>
      <c r="C40" s="4" t="s">
        <v>167</v>
      </c>
      <c r="D40" s="4" t="s">
        <v>95</v>
      </c>
      <c r="E40" s="4" t="s">
        <v>168</v>
      </c>
      <c r="F40" s="14">
        <v>0</v>
      </c>
      <c r="G40" s="14">
        <v>1</v>
      </c>
      <c r="H40" s="14">
        <v>0</v>
      </c>
    </row>
    <row r="41" spans="1:8" ht="28" customHeight="1">
      <c r="A41" s="1" t="s">
        <v>169</v>
      </c>
      <c r="B41" s="13">
        <v>5.8000000000000003E-2</v>
      </c>
      <c r="C41" s="4" t="s">
        <v>170</v>
      </c>
      <c r="D41" s="4" t="s">
        <v>95</v>
      </c>
      <c r="E41" s="4" t="s">
        <v>171</v>
      </c>
      <c r="F41" s="13">
        <v>0</v>
      </c>
      <c r="G41" s="13">
        <v>2.5000000000000001E-2</v>
      </c>
      <c r="H41" s="13">
        <v>1.4999999999999999E-2</v>
      </c>
    </row>
    <row r="42" spans="1:8" ht="28" customHeight="1">
      <c r="A42" s="1" t="s">
        <v>172</v>
      </c>
      <c r="B42" s="21">
        <v>46266</v>
      </c>
      <c r="C42" s="4" t="s">
        <v>173</v>
      </c>
      <c r="D42" s="4" t="s">
        <v>95</v>
      </c>
      <c r="E42" s="4" t="s">
        <v>174</v>
      </c>
      <c r="F42" s="13">
        <v>0</v>
      </c>
      <c r="G42" s="13">
        <v>2.5000000000000001E-2</v>
      </c>
      <c r="H42" s="13">
        <v>1.2E-2</v>
      </c>
    </row>
    <row r="43" spans="1:8" ht="28" customHeight="1">
      <c r="A43" s="1" t="s">
        <v>175</v>
      </c>
      <c r="B43" s="21">
        <v>49919</v>
      </c>
      <c r="C43" s="4" t="s">
        <v>176</v>
      </c>
      <c r="D43" s="4" t="s">
        <v>95</v>
      </c>
      <c r="E43" s="4" t="s">
        <v>177</v>
      </c>
      <c r="F43" s="14">
        <v>0</v>
      </c>
      <c r="G43" s="14">
        <v>10000</v>
      </c>
      <c r="H43" s="14">
        <v>5000</v>
      </c>
    </row>
    <row r="44" spans="1:8" ht="28" customHeight="1">
      <c r="A44" s="1" t="s">
        <v>178</v>
      </c>
      <c r="B44" s="14">
        <v>2</v>
      </c>
      <c r="C44" s="4" t="s">
        <v>179</v>
      </c>
      <c r="D44" s="4" t="s">
        <v>95</v>
      </c>
      <c r="E44" s="4" t="s">
        <v>180</v>
      </c>
      <c r="F44" s="23" t="s">
        <v>181</v>
      </c>
      <c r="G44" s="23" t="s">
        <v>182</v>
      </c>
      <c r="H44" s="23" t="s">
        <v>181</v>
      </c>
    </row>
    <row r="45" spans="1:8" ht="28" customHeight="1">
      <c r="A45" s="1" t="s">
        <v>183</v>
      </c>
      <c r="B45" s="14">
        <v>0</v>
      </c>
      <c r="C45" s="4" t="s">
        <v>184</v>
      </c>
      <c r="D45" s="4" t="s">
        <v>95</v>
      </c>
      <c r="E45" s="1"/>
      <c r="F45" s="1"/>
      <c r="G45" s="1"/>
      <c r="H45" s="1"/>
    </row>
    <row r="46" spans="1:8" ht="28" customHeight="1">
      <c r="A46" s="1" t="s">
        <v>185</v>
      </c>
      <c r="B46" s="13">
        <v>0.01</v>
      </c>
      <c r="C46" s="4" t="s">
        <v>186</v>
      </c>
      <c r="D46" s="4" t="s">
        <v>95</v>
      </c>
      <c r="E46" s="5" t="s">
        <v>187</v>
      </c>
      <c r="F46" s="5" t="s">
        <v>188</v>
      </c>
      <c r="G46" s="5" t="s">
        <v>189</v>
      </c>
      <c r="H46" s="5" t="s">
        <v>190</v>
      </c>
    </row>
    <row r="47" spans="1:8" ht="28" customHeight="1">
      <c r="A47" s="1" t="s">
        <v>191</v>
      </c>
      <c r="B47" s="12">
        <v>96.5</v>
      </c>
      <c r="C47" s="4" t="s">
        <v>192</v>
      </c>
      <c r="D47" s="4" t="s">
        <v>95</v>
      </c>
      <c r="E47" s="3" t="s">
        <v>193</v>
      </c>
      <c r="F47" s="24">
        <v>1.5</v>
      </c>
      <c r="G47" s="3" t="s">
        <v>194</v>
      </c>
      <c r="H47" s="3" t="s">
        <v>195</v>
      </c>
    </row>
    <row r="48" spans="1:8" ht="28" customHeight="1">
      <c r="A48" s="1" t="s">
        <v>196</v>
      </c>
      <c r="B48" s="13">
        <v>8.5000000000000006E-2</v>
      </c>
      <c r="C48" s="4" t="s">
        <v>197</v>
      </c>
      <c r="D48" s="4" t="s">
        <v>95</v>
      </c>
      <c r="E48" s="3" t="s">
        <v>198</v>
      </c>
      <c r="F48" s="24">
        <v>3</v>
      </c>
      <c r="G48" s="3" t="s">
        <v>194</v>
      </c>
      <c r="H48" s="3" t="s">
        <v>195</v>
      </c>
    </row>
    <row r="49" spans="1:8" ht="28" customHeight="1">
      <c r="A49" s="1" t="s">
        <v>199</v>
      </c>
      <c r="B49" s="22"/>
      <c r="C49" s="4" t="s">
        <v>200</v>
      </c>
      <c r="D49" s="4" t="s">
        <v>99</v>
      </c>
      <c r="E49" s="3" t="s">
        <v>201</v>
      </c>
      <c r="F49" s="24">
        <v>3</v>
      </c>
      <c r="G49" s="3" t="s">
        <v>202</v>
      </c>
      <c r="H49" s="3" t="s">
        <v>195</v>
      </c>
    </row>
    <row r="50" spans="1:8" ht="28" customHeight="1">
      <c r="A50" s="1"/>
      <c r="B50" s="1"/>
      <c r="C50" s="1"/>
      <c r="D50" s="1"/>
      <c r="E50" s="3" t="s">
        <v>203</v>
      </c>
      <c r="F50" s="24">
        <v>2.5</v>
      </c>
      <c r="G50" s="3" t="s">
        <v>194</v>
      </c>
      <c r="H50" s="3" t="s">
        <v>204</v>
      </c>
    </row>
    <row r="51" spans="1:8" ht="28" customHeight="1">
      <c r="A51" s="1"/>
      <c r="B51" s="1"/>
      <c r="C51" s="1"/>
      <c r="D51" s="1"/>
      <c r="E51" s="3" t="s">
        <v>205</v>
      </c>
      <c r="F51" s="24">
        <v>1.5</v>
      </c>
      <c r="G51" s="3" t="s">
        <v>202</v>
      </c>
      <c r="H51" s="3" t="s">
        <v>204</v>
      </c>
    </row>
    <row r="52" spans="1:8">
      <c r="A52" s="1"/>
      <c r="B52" s="1"/>
      <c r="C52" s="1"/>
      <c r="D52" s="1"/>
      <c r="E52" s="1"/>
      <c r="F52" s="1"/>
      <c r="G52" s="1"/>
      <c r="H52" s="1"/>
    </row>
    <row r="53" spans="1:8" ht="22" customHeight="1">
      <c r="A53" s="57" t="s">
        <v>206</v>
      </c>
      <c r="B53" s="57"/>
      <c r="C53" s="57"/>
      <c r="D53" s="57"/>
      <c r="E53" s="1"/>
      <c r="F53" s="1"/>
      <c r="G53" s="1"/>
      <c r="H53" s="1"/>
    </row>
    <row r="54" spans="1:8">
      <c r="A54" s="25" t="s">
        <v>207</v>
      </c>
      <c r="B54" s="13">
        <v>4.4999999999999998E-2</v>
      </c>
      <c r="C54" s="1"/>
      <c r="D54" s="1"/>
      <c r="E54" s="1"/>
      <c r="F54" s="1"/>
      <c r="G54" s="1"/>
      <c r="H54" s="1"/>
    </row>
    <row r="55" spans="1:8">
      <c r="A55" s="25" t="s">
        <v>208</v>
      </c>
      <c r="B55" s="13">
        <v>5.5E-2</v>
      </c>
      <c r="C55" s="1"/>
      <c r="D55" s="1"/>
      <c r="E55" s="1"/>
      <c r="F55" s="1"/>
      <c r="G55" s="1"/>
      <c r="H55" s="1"/>
    </row>
    <row r="56" spans="1:8">
      <c r="A56" s="25" t="s">
        <v>209</v>
      </c>
      <c r="B56" s="13">
        <v>5.8000000000000003E-2</v>
      </c>
      <c r="C56" s="1"/>
      <c r="D56" s="1"/>
      <c r="E56" s="1"/>
      <c r="F56" s="1"/>
      <c r="G56" s="1"/>
      <c r="H56" s="1"/>
    </row>
    <row r="57" spans="1:8">
      <c r="A57" s="25" t="s">
        <v>210</v>
      </c>
      <c r="B57" s="13">
        <v>6.5000000000000002E-2</v>
      </c>
      <c r="C57" s="1"/>
      <c r="D57" s="1"/>
      <c r="E57" s="1"/>
      <c r="F57" s="1"/>
      <c r="G57" s="1"/>
      <c r="H57" s="1"/>
    </row>
    <row r="58" spans="1:8">
      <c r="A58" s="25" t="s">
        <v>211</v>
      </c>
      <c r="B58" s="13">
        <v>7.4999999999999997E-2</v>
      </c>
      <c r="C58" s="1"/>
      <c r="D58" s="1"/>
      <c r="E58" s="1"/>
      <c r="F58" s="1"/>
      <c r="G58" s="1"/>
      <c r="H58" s="1"/>
    </row>
    <row r="59" spans="1:8">
      <c r="A59" s="1"/>
      <c r="B59" s="1"/>
      <c r="C59" s="1"/>
      <c r="D59" s="1"/>
      <c r="E59" s="1"/>
      <c r="F59" s="1"/>
      <c r="G59" s="1"/>
      <c r="H59" s="1"/>
    </row>
  </sheetData>
  <mergeCells count="6">
    <mergeCell ref="A53:D53"/>
    <mergeCell ref="A1:H1"/>
    <mergeCell ref="A3:H3"/>
    <mergeCell ref="A5:D5"/>
    <mergeCell ref="A21:H21"/>
    <mergeCell ref="A36:H3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2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4"/>
  <cols>
    <col min="1" max="1" width="38" customWidth="1"/>
    <col min="2" max="2" width="22" customWidth="1"/>
    <col min="3" max="3" width="44" customWidth="1"/>
    <col min="4" max="4" width="42" customWidth="1"/>
    <col min="5" max="5" width="21" customWidth="1"/>
    <col min="6" max="6" width="42" customWidth="1"/>
    <col min="7" max="8" width="12" customWidth="1"/>
  </cols>
  <sheetData>
    <row r="1" spans="1:8" ht="30" customHeight="1">
      <c r="A1" s="46" t="s">
        <v>212</v>
      </c>
      <c r="B1" s="46"/>
      <c r="C1" s="46"/>
      <c r="D1" s="46"/>
      <c r="E1" s="46"/>
      <c r="F1" s="46"/>
      <c r="G1" s="46"/>
      <c r="H1" s="46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68" t="s">
        <v>213</v>
      </c>
      <c r="B3" s="69"/>
      <c r="C3" s="69"/>
      <c r="D3" s="69"/>
      <c r="E3" s="69"/>
      <c r="F3" s="69"/>
      <c r="G3" s="69"/>
      <c r="H3" s="70"/>
    </row>
    <row r="4" spans="1:8">
      <c r="A4" s="1"/>
      <c r="B4" s="1"/>
      <c r="C4" s="1"/>
      <c r="D4" s="1"/>
      <c r="E4" s="1"/>
      <c r="F4" s="1"/>
      <c r="G4" s="1"/>
      <c r="H4" s="1"/>
    </row>
    <row r="5" spans="1:8" ht="22" customHeight="1">
      <c r="A5" s="57" t="s">
        <v>214</v>
      </c>
      <c r="B5" s="57"/>
      <c r="C5" s="57"/>
      <c r="D5" s="57"/>
      <c r="E5" s="1"/>
      <c r="F5" s="1"/>
      <c r="G5" s="1"/>
      <c r="H5" s="1"/>
    </row>
    <row r="6" spans="1:8" ht="15">
      <c r="A6" s="5" t="s">
        <v>215</v>
      </c>
      <c r="B6" s="5" t="s">
        <v>216</v>
      </c>
      <c r="C6" s="5" t="s">
        <v>217</v>
      </c>
      <c r="D6" s="1"/>
      <c r="E6" s="1"/>
      <c r="F6" s="1"/>
      <c r="G6" s="1"/>
      <c r="H6" s="1"/>
    </row>
    <row r="7" spans="1:8">
      <c r="A7" s="3" t="s">
        <v>160</v>
      </c>
      <c r="B7" s="26">
        <f>'1 Assumptions-Baseline'!B38</f>
        <v>1000</v>
      </c>
      <c r="C7" s="3" t="s">
        <v>161</v>
      </c>
      <c r="D7" s="1"/>
      <c r="E7" s="1"/>
      <c r="F7" s="1"/>
      <c r="G7" s="1"/>
      <c r="H7" s="1"/>
    </row>
    <row r="8" spans="1:8">
      <c r="A8" s="3" t="s">
        <v>218</v>
      </c>
      <c r="B8" s="26">
        <f>'1 Assumptions-Baseline'!B39</f>
        <v>200000</v>
      </c>
      <c r="C8" s="3" t="s">
        <v>164</v>
      </c>
      <c r="D8" s="1"/>
      <c r="E8" s="1"/>
      <c r="F8" s="1"/>
      <c r="G8" s="1"/>
      <c r="H8" s="1"/>
    </row>
    <row r="9" spans="1:8">
      <c r="A9" s="3" t="s">
        <v>166</v>
      </c>
      <c r="B9" s="27">
        <f>'1 Assumptions-Baseline'!B40</f>
        <v>5.5E-2</v>
      </c>
      <c r="C9" s="3" t="s">
        <v>167</v>
      </c>
      <c r="D9" s="1"/>
      <c r="E9" s="1"/>
      <c r="F9" s="1"/>
      <c r="G9" s="1"/>
      <c r="H9" s="1"/>
    </row>
    <row r="10" spans="1:8">
      <c r="A10" s="3" t="s">
        <v>169</v>
      </c>
      <c r="B10" s="27">
        <f>'1 Assumptions-Baseline'!B41</f>
        <v>5.8000000000000003E-2</v>
      </c>
      <c r="C10" s="3" t="s">
        <v>167</v>
      </c>
      <c r="D10" s="1"/>
      <c r="E10" s="1"/>
      <c r="F10" s="1"/>
      <c r="G10" s="1"/>
      <c r="H10" s="1"/>
    </row>
    <row r="11" spans="1:8">
      <c r="A11" s="3" t="s">
        <v>172</v>
      </c>
      <c r="B11" s="28">
        <f>'1 Assumptions-Baseline'!B42</f>
        <v>46266</v>
      </c>
      <c r="C11" s="3" t="s">
        <v>219</v>
      </c>
      <c r="D11" s="1"/>
      <c r="E11" s="1"/>
      <c r="F11" s="1"/>
      <c r="G11" s="1"/>
      <c r="H11" s="1"/>
    </row>
    <row r="12" spans="1:8">
      <c r="A12" s="3" t="s">
        <v>175</v>
      </c>
      <c r="B12" s="28">
        <f>'1 Assumptions-Baseline'!B43</f>
        <v>49919</v>
      </c>
      <c r="C12" s="3" t="s">
        <v>219</v>
      </c>
      <c r="D12" s="1"/>
      <c r="E12" s="1"/>
      <c r="F12" s="1"/>
      <c r="G12" s="1"/>
      <c r="H12" s="1"/>
    </row>
    <row r="13" spans="1:8">
      <c r="A13" s="3" t="s">
        <v>178</v>
      </c>
      <c r="B13" s="26">
        <f>'1 Assumptions-Baseline'!B44</f>
        <v>2</v>
      </c>
      <c r="C13" s="3" t="s">
        <v>220</v>
      </c>
      <c r="D13" s="1"/>
      <c r="E13" s="1"/>
      <c r="F13" s="1"/>
      <c r="G13" s="1"/>
      <c r="H13" s="1"/>
    </row>
    <row r="14" spans="1:8">
      <c r="A14" s="3" t="s">
        <v>183</v>
      </c>
      <c r="B14" s="26">
        <f>'1 Assumptions-Baseline'!B45</f>
        <v>0</v>
      </c>
      <c r="C14" s="3" t="s">
        <v>184</v>
      </c>
      <c r="D14" s="1"/>
      <c r="E14" s="1"/>
      <c r="F14" s="1"/>
      <c r="G14" s="1"/>
      <c r="H14" s="1"/>
    </row>
    <row r="15" spans="1:8">
      <c r="A15" s="3" t="s">
        <v>185</v>
      </c>
      <c r="B15" s="27">
        <f>'1 Assumptions-Baseline'!B46</f>
        <v>0.01</v>
      </c>
      <c r="C15" s="3" t="s">
        <v>186</v>
      </c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 ht="22" customHeight="1">
      <c r="A17" s="57" t="s">
        <v>221</v>
      </c>
      <c r="B17" s="57"/>
      <c r="C17" s="57"/>
      <c r="D17" s="57"/>
      <c r="E17" s="57"/>
      <c r="F17" s="57"/>
      <c r="G17" s="57"/>
      <c r="H17" s="57"/>
    </row>
    <row r="18" spans="1:8" ht="28" customHeight="1">
      <c r="A18" s="5" t="s">
        <v>222</v>
      </c>
      <c r="B18" s="5" t="s">
        <v>223</v>
      </c>
      <c r="C18" s="5" t="s">
        <v>224</v>
      </c>
      <c r="D18" s="5" t="s">
        <v>225</v>
      </c>
      <c r="E18" s="1"/>
      <c r="F18" s="1"/>
      <c r="G18" s="1"/>
      <c r="H18" s="1"/>
    </row>
    <row r="19" spans="1:8" ht="28" customHeight="1">
      <c r="A19" s="1" t="s">
        <v>226</v>
      </c>
      <c r="B19" s="16"/>
      <c r="C19" s="4" t="s">
        <v>227</v>
      </c>
      <c r="D19" s="4" t="s">
        <v>228</v>
      </c>
      <c r="E19" s="1"/>
      <c r="F19" s="1"/>
      <c r="G19" s="1"/>
      <c r="H19" s="1"/>
    </row>
    <row r="20" spans="1:8" ht="28" customHeight="1">
      <c r="A20" s="1" t="s">
        <v>229</v>
      </c>
      <c r="B20" s="22"/>
      <c r="C20" s="4" t="s">
        <v>230</v>
      </c>
      <c r="D20" s="4" t="s">
        <v>231</v>
      </c>
      <c r="E20" s="1"/>
      <c r="F20" s="1"/>
      <c r="G20" s="1"/>
      <c r="H20" s="1"/>
    </row>
    <row r="21" spans="1:8" ht="28" customHeight="1">
      <c r="A21" s="1" t="s">
        <v>232</v>
      </c>
      <c r="B21" s="19"/>
      <c r="C21" s="4" t="s">
        <v>233</v>
      </c>
      <c r="D21" s="4" t="s">
        <v>234</v>
      </c>
      <c r="E21" s="1"/>
      <c r="F21" s="1"/>
      <c r="G21" s="1"/>
      <c r="H21" s="1"/>
    </row>
    <row r="22" spans="1:8" ht="28" customHeight="1">
      <c r="A22" s="1" t="s">
        <v>235</v>
      </c>
      <c r="B22" s="16"/>
      <c r="C22" s="4" t="s">
        <v>236</v>
      </c>
      <c r="D22" s="4" t="s">
        <v>237</v>
      </c>
      <c r="E22" s="1"/>
      <c r="F22" s="1"/>
      <c r="G22" s="1"/>
      <c r="H22" s="1"/>
    </row>
    <row r="23" spans="1:8" ht="28" customHeight="1">
      <c r="A23" s="1" t="s">
        <v>238</v>
      </c>
      <c r="B23" s="16"/>
      <c r="C23" s="4" t="s">
        <v>239</v>
      </c>
      <c r="D23" s="4" t="s">
        <v>240</v>
      </c>
      <c r="E23" s="1"/>
      <c r="F23" s="1"/>
      <c r="G23" s="1"/>
      <c r="H23" s="1"/>
    </row>
    <row r="24" spans="1:8" ht="28" customHeight="1">
      <c r="A24" s="1" t="s">
        <v>241</v>
      </c>
      <c r="B24" s="16"/>
      <c r="C24" s="4" t="s">
        <v>242</v>
      </c>
      <c r="D24" s="4" t="s">
        <v>243</v>
      </c>
      <c r="E24" s="1"/>
      <c r="F24" s="1"/>
      <c r="G24" s="1"/>
      <c r="H24" s="1"/>
    </row>
    <row r="25" spans="1:8" ht="28" customHeight="1">
      <c r="A25" s="1" t="s">
        <v>244</v>
      </c>
      <c r="B25" s="29"/>
      <c r="C25" s="4" t="s">
        <v>245</v>
      </c>
      <c r="D25" s="4" t="s">
        <v>246</v>
      </c>
      <c r="E25" s="1"/>
      <c r="F25" s="1"/>
      <c r="G25" s="1"/>
      <c r="H25" s="1"/>
    </row>
    <row r="26" spans="1:8" ht="28" customHeight="1">
      <c r="A26" s="1" t="s">
        <v>247</v>
      </c>
      <c r="B26" s="29"/>
      <c r="C26" s="4" t="s">
        <v>248</v>
      </c>
      <c r="D26" s="4" t="s">
        <v>249</v>
      </c>
      <c r="E26" s="1"/>
      <c r="F26" s="1"/>
      <c r="G26" s="1"/>
      <c r="H26" s="1"/>
    </row>
    <row r="27" spans="1:8" ht="28" customHeight="1">
      <c r="A27" s="1" t="s">
        <v>250</v>
      </c>
      <c r="B27" s="29"/>
      <c r="C27" s="4" t="s">
        <v>251</v>
      </c>
      <c r="D27" s="4" t="s">
        <v>252</v>
      </c>
      <c r="E27" s="1"/>
      <c r="F27" s="1"/>
      <c r="G27" s="1"/>
      <c r="H27" s="1"/>
    </row>
    <row r="28" spans="1:8" ht="28" customHeight="1">
      <c r="A28" s="1" t="s">
        <v>253</v>
      </c>
      <c r="B28" s="29"/>
      <c r="C28" s="4" t="s">
        <v>254</v>
      </c>
      <c r="D28" s="4" t="s">
        <v>255</v>
      </c>
      <c r="E28" s="1"/>
      <c r="F28" s="1"/>
      <c r="G28" s="1"/>
      <c r="H28" s="1"/>
    </row>
    <row r="29" spans="1:8" ht="28" customHeight="1">
      <c r="A29" s="1" t="s">
        <v>256</v>
      </c>
      <c r="B29" s="29"/>
      <c r="C29" s="4" t="s">
        <v>257</v>
      </c>
      <c r="D29" s="4" t="s">
        <v>258</v>
      </c>
      <c r="E29" s="1"/>
      <c r="F29" s="1"/>
      <c r="G29" s="1"/>
      <c r="H29" s="1"/>
    </row>
    <row r="30" spans="1:8" ht="28" customHeight="1">
      <c r="A30" s="1" t="s">
        <v>259</v>
      </c>
      <c r="B30" s="16"/>
      <c r="C30" s="4" t="s">
        <v>260</v>
      </c>
      <c r="D30" s="4" t="s">
        <v>261</v>
      </c>
      <c r="E30" s="1"/>
      <c r="F30" s="1"/>
      <c r="G30" s="1"/>
      <c r="H30" s="1"/>
    </row>
    <row r="31" spans="1:8" ht="28" customHeight="1">
      <c r="A31" s="1" t="s">
        <v>262</v>
      </c>
      <c r="B31" s="22"/>
      <c r="C31" s="4" t="s">
        <v>263</v>
      </c>
      <c r="D31" s="4" t="s">
        <v>264</v>
      </c>
      <c r="E31" s="1"/>
      <c r="F31" s="1"/>
      <c r="G31" s="1"/>
      <c r="H31" s="1"/>
    </row>
    <row r="32" spans="1:8" ht="28" customHeight="1">
      <c r="A32" s="1" t="s">
        <v>265</v>
      </c>
      <c r="B32" s="22"/>
      <c r="C32" s="4" t="s">
        <v>266</v>
      </c>
      <c r="D32" s="4" t="s">
        <v>267</v>
      </c>
      <c r="E32" s="1"/>
      <c r="F32" s="1"/>
      <c r="G32" s="1"/>
      <c r="H32" s="1"/>
    </row>
    <row r="33" spans="1:8" ht="28" customHeight="1">
      <c r="A33" s="1" t="s">
        <v>268</v>
      </c>
      <c r="B33" s="22"/>
      <c r="C33" s="4" t="s">
        <v>269</v>
      </c>
      <c r="D33" s="4" t="s">
        <v>270</v>
      </c>
      <c r="E33" s="1"/>
      <c r="F33" s="1"/>
      <c r="G33" s="1"/>
      <c r="H33" s="1"/>
    </row>
    <row r="34" spans="1:8" ht="28" customHeight="1">
      <c r="A34" s="1" t="s">
        <v>271</v>
      </c>
      <c r="B34" s="22"/>
      <c r="C34" s="4" t="s">
        <v>272</v>
      </c>
      <c r="D34" s="4" t="s">
        <v>273</v>
      </c>
      <c r="E34" s="1"/>
      <c r="F34" s="1"/>
      <c r="G34" s="1"/>
      <c r="H34" s="1"/>
    </row>
    <row r="35" spans="1:8" ht="28" customHeight="1">
      <c r="A35" s="1" t="s">
        <v>274</v>
      </c>
      <c r="B35" s="29"/>
      <c r="C35" s="4" t="s">
        <v>275</v>
      </c>
      <c r="D35" s="4" t="s">
        <v>105</v>
      </c>
      <c r="E35" s="1"/>
      <c r="F35" s="1"/>
      <c r="G35" s="1"/>
      <c r="H35" s="1"/>
    </row>
    <row r="36" spans="1:8" ht="28" customHeight="1">
      <c r="A36" s="1" t="s">
        <v>276</v>
      </c>
      <c r="B36" s="29"/>
      <c r="C36" s="4" t="s">
        <v>277</v>
      </c>
      <c r="D36" s="4" t="s">
        <v>278</v>
      </c>
      <c r="E36" s="1"/>
      <c r="F36" s="1"/>
      <c r="G36" s="1"/>
      <c r="H36" s="1"/>
    </row>
    <row r="37" spans="1:8" ht="28" customHeight="1">
      <c r="A37" s="1" t="s">
        <v>279</v>
      </c>
      <c r="B37" s="29"/>
      <c r="C37" s="4" t="s">
        <v>280</v>
      </c>
      <c r="D37" s="4" t="s">
        <v>105</v>
      </c>
      <c r="E37" s="1"/>
      <c r="F37" s="1"/>
      <c r="G37" s="1"/>
      <c r="H37" s="1"/>
    </row>
    <row r="38" spans="1:8" ht="28" customHeight="1">
      <c r="A38" s="1" t="s">
        <v>281</v>
      </c>
      <c r="B38" s="29"/>
      <c r="C38" s="4" t="s">
        <v>282</v>
      </c>
      <c r="D38" s="4" t="s">
        <v>283</v>
      </c>
      <c r="E38" s="1"/>
      <c r="F38" s="1"/>
      <c r="G38" s="1"/>
      <c r="H38" s="1"/>
    </row>
    <row r="39" spans="1:8" ht="28" customHeight="1">
      <c r="A39" s="1" t="s">
        <v>284</v>
      </c>
      <c r="B39" s="29"/>
      <c r="C39" s="4" t="s">
        <v>285</v>
      </c>
      <c r="D39" s="4" t="s">
        <v>286</v>
      </c>
      <c r="E39" s="1"/>
      <c r="F39" s="1"/>
      <c r="G39" s="1"/>
      <c r="H39" s="1"/>
    </row>
    <row r="40" spans="1:8">
      <c r="A40" s="1"/>
      <c r="B40" s="1"/>
      <c r="C40" s="1"/>
      <c r="D40" s="1"/>
      <c r="E40" s="1"/>
      <c r="F40" s="1"/>
      <c r="G40" s="1"/>
      <c r="H40" s="1"/>
    </row>
    <row r="41" spans="1:8">
      <c r="A41" s="1"/>
      <c r="B41" s="1"/>
      <c r="C41" s="1"/>
      <c r="D41" s="1"/>
      <c r="E41" s="1"/>
      <c r="F41" s="1"/>
      <c r="G41" s="1"/>
      <c r="H41" s="1"/>
    </row>
    <row r="42" spans="1:8" ht="22" customHeight="1">
      <c r="A42" s="57" t="s">
        <v>287</v>
      </c>
      <c r="B42" s="57"/>
      <c r="C42" s="57"/>
      <c r="D42" s="57"/>
      <c r="E42" s="57"/>
      <c r="F42" s="57"/>
      <c r="G42" s="1"/>
      <c r="H42" s="1"/>
    </row>
    <row r="43" spans="1:8" ht="30" customHeight="1">
      <c r="A43" s="5" t="s">
        <v>288</v>
      </c>
      <c r="B43" s="5" t="s">
        <v>289</v>
      </c>
      <c r="C43" s="5" t="s">
        <v>290</v>
      </c>
      <c r="D43" s="5" t="s">
        <v>291</v>
      </c>
      <c r="E43" s="5" t="s">
        <v>292</v>
      </c>
      <c r="F43" s="5" t="s">
        <v>293</v>
      </c>
      <c r="G43" s="1"/>
      <c r="H43" s="1"/>
    </row>
    <row r="44" spans="1:8" ht="30" customHeight="1">
      <c r="A44" s="1" t="s">
        <v>207</v>
      </c>
      <c r="B44" s="27">
        <f>'1 Assumptions-Baseline'!B54</f>
        <v>4.4999999999999998E-2</v>
      </c>
      <c r="C44" s="16"/>
      <c r="D44" s="16"/>
      <c r="E44" s="16"/>
      <c r="F44" s="30" t="s">
        <v>294</v>
      </c>
      <c r="G44" s="1"/>
      <c r="H44" s="1"/>
    </row>
    <row r="45" spans="1:8" ht="30" customHeight="1">
      <c r="A45" s="1" t="s">
        <v>208</v>
      </c>
      <c r="B45" s="27">
        <f>'1 Assumptions-Baseline'!B55</f>
        <v>5.5E-2</v>
      </c>
      <c r="C45" s="16"/>
      <c r="D45" s="16"/>
      <c r="E45" s="16"/>
      <c r="F45" s="30" t="s">
        <v>295</v>
      </c>
      <c r="G45" s="1"/>
      <c r="H45" s="1"/>
    </row>
    <row r="46" spans="1:8" ht="30" customHeight="1">
      <c r="A46" s="1" t="s">
        <v>209</v>
      </c>
      <c r="B46" s="27">
        <f>'1 Assumptions-Baseline'!B56</f>
        <v>5.8000000000000003E-2</v>
      </c>
      <c r="C46" s="16"/>
      <c r="D46" s="16"/>
      <c r="E46" s="16"/>
      <c r="F46" s="30" t="s">
        <v>296</v>
      </c>
      <c r="G46" s="1"/>
      <c r="H46" s="1"/>
    </row>
    <row r="47" spans="1:8" ht="30" customHeight="1">
      <c r="A47" s="1" t="s">
        <v>210</v>
      </c>
      <c r="B47" s="27">
        <f>'1 Assumptions-Baseline'!B57</f>
        <v>6.5000000000000002E-2</v>
      </c>
      <c r="C47" s="16"/>
      <c r="D47" s="16"/>
      <c r="E47" s="16"/>
      <c r="F47" s="30" t="s">
        <v>297</v>
      </c>
      <c r="G47" s="1"/>
      <c r="H47" s="1"/>
    </row>
    <row r="48" spans="1:8" ht="30" customHeight="1">
      <c r="A48" s="1" t="s">
        <v>211</v>
      </c>
      <c r="B48" s="27">
        <f>'1 Assumptions-Baseline'!B58</f>
        <v>7.4999999999999997E-2</v>
      </c>
      <c r="C48" s="16"/>
      <c r="D48" s="16"/>
      <c r="E48" s="16"/>
      <c r="F48" s="30" t="s">
        <v>298</v>
      </c>
      <c r="G48" s="1"/>
      <c r="H48" s="1"/>
    </row>
    <row r="49" spans="1:8">
      <c r="A49" s="1"/>
      <c r="B49" s="1"/>
      <c r="C49" s="1"/>
      <c r="D49" s="1"/>
      <c r="E49" s="1"/>
      <c r="F49" s="1"/>
      <c r="G49" s="1"/>
      <c r="H49" s="1"/>
    </row>
    <row r="50" spans="1:8">
      <c r="A50" s="58" t="s">
        <v>299</v>
      </c>
      <c r="B50" s="59"/>
      <c r="C50" s="59"/>
      <c r="D50" s="59"/>
      <c r="E50" s="59"/>
      <c r="F50" s="59"/>
      <c r="G50" s="59"/>
      <c r="H50" s="60"/>
    </row>
    <row r="51" spans="1:8">
      <c r="A51" s="61"/>
      <c r="B51" s="62"/>
      <c r="C51" s="62"/>
      <c r="D51" s="62"/>
      <c r="E51" s="62"/>
      <c r="F51" s="62"/>
      <c r="G51" s="62"/>
      <c r="H51" s="63"/>
    </row>
    <row r="52" spans="1:8">
      <c r="A52" s="64"/>
      <c r="B52" s="65"/>
      <c r="C52" s="65"/>
      <c r="D52" s="65"/>
      <c r="E52" s="65"/>
      <c r="F52" s="65"/>
      <c r="G52" s="65"/>
      <c r="H52" s="66"/>
    </row>
  </sheetData>
  <mergeCells count="6">
    <mergeCell ref="A50:H52"/>
    <mergeCell ref="A1:H1"/>
    <mergeCell ref="A3:H3"/>
    <mergeCell ref="A5:D5"/>
    <mergeCell ref="A17:H17"/>
    <mergeCell ref="A42:F4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6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4"/>
  <cols>
    <col min="1" max="1" width="44" customWidth="1"/>
    <col min="2" max="4" width="22" customWidth="1"/>
    <col min="5" max="5" width="12" customWidth="1"/>
    <col min="6" max="8" width="14" customWidth="1"/>
  </cols>
  <sheetData>
    <row r="1" spans="1:8" ht="30" customHeight="1">
      <c r="A1" s="46" t="s">
        <v>300</v>
      </c>
      <c r="B1" s="46"/>
      <c r="C1" s="46"/>
      <c r="D1" s="46"/>
      <c r="E1" s="46"/>
      <c r="F1" s="46"/>
      <c r="G1" s="46"/>
      <c r="H1" s="46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68" t="s">
        <v>301</v>
      </c>
      <c r="B3" s="69"/>
      <c r="C3" s="69"/>
      <c r="D3" s="69"/>
      <c r="E3" s="69"/>
      <c r="F3" s="69"/>
      <c r="G3" s="69"/>
      <c r="H3" s="70"/>
    </row>
    <row r="4" spans="1:8">
      <c r="A4" s="1"/>
      <c r="B4" s="1"/>
      <c r="C4" s="1"/>
      <c r="D4" s="1"/>
      <c r="E4" s="1"/>
      <c r="F4" s="1"/>
      <c r="G4" s="1"/>
      <c r="H4" s="1"/>
    </row>
    <row r="5" spans="1:8" ht="22" customHeight="1">
      <c r="A5" s="57" t="s">
        <v>302</v>
      </c>
      <c r="B5" s="57"/>
      <c r="C5" s="57"/>
      <c r="D5" s="57"/>
      <c r="E5" s="57"/>
      <c r="F5" s="1"/>
      <c r="G5" s="1"/>
      <c r="H5" s="1"/>
    </row>
    <row r="6" spans="1:8" ht="28" customHeight="1">
      <c r="A6" s="5" t="s">
        <v>303</v>
      </c>
      <c r="B6" s="5" t="s">
        <v>157</v>
      </c>
      <c r="C6" s="5" t="s">
        <v>158</v>
      </c>
      <c r="D6" s="5" t="s">
        <v>159</v>
      </c>
      <c r="E6" s="1"/>
      <c r="F6" s="1"/>
      <c r="G6" s="1"/>
      <c r="H6" s="1"/>
    </row>
    <row r="7" spans="1:8" ht="28" customHeight="1">
      <c r="A7" s="32" t="s">
        <v>304</v>
      </c>
      <c r="B7" s="31">
        <f>'2 Bond Pricing'!$B$25</f>
        <v>0</v>
      </c>
      <c r="C7" s="31">
        <f>'2 Bond Pricing'!$B$25</f>
        <v>0</v>
      </c>
      <c r="D7" s="31">
        <f>'2 Bond Pricing'!$B$25</f>
        <v>0</v>
      </c>
      <c r="E7" s="1"/>
      <c r="F7" s="1"/>
      <c r="G7" s="1"/>
      <c r="H7" s="1"/>
    </row>
    <row r="8" spans="1:8" ht="28" customHeight="1">
      <c r="A8" s="32"/>
      <c r="B8" s="1"/>
      <c r="C8" s="1"/>
      <c r="D8" s="1"/>
      <c r="E8" s="1"/>
      <c r="F8" s="1"/>
      <c r="G8" s="1"/>
      <c r="H8" s="1"/>
    </row>
    <row r="9" spans="1:8" ht="28" customHeight="1">
      <c r="A9" s="32" t="s">
        <v>305</v>
      </c>
      <c r="B9" s="29"/>
      <c r="C9" s="29"/>
      <c r="D9" s="29"/>
      <c r="E9" s="1"/>
      <c r="F9" s="1"/>
      <c r="G9" s="1"/>
      <c r="H9" s="1"/>
    </row>
    <row r="10" spans="1:8" ht="28" customHeight="1">
      <c r="A10" s="32" t="s">
        <v>306</v>
      </c>
      <c r="B10" s="29"/>
      <c r="C10" s="29"/>
      <c r="D10" s="29"/>
      <c r="E10" s="1"/>
      <c r="F10" s="1"/>
      <c r="G10" s="1"/>
      <c r="H10" s="1"/>
    </row>
    <row r="11" spans="1:8" ht="28" customHeight="1">
      <c r="A11" s="32" t="s">
        <v>307</v>
      </c>
      <c r="B11" s="29"/>
      <c r="C11" s="29"/>
      <c r="D11" s="29"/>
      <c r="E11" s="1"/>
      <c r="F11" s="1"/>
      <c r="G11" s="1"/>
      <c r="H11" s="1"/>
    </row>
    <row r="12" spans="1:8" ht="28" customHeight="1">
      <c r="A12" s="32" t="s">
        <v>308</v>
      </c>
      <c r="B12" s="29"/>
      <c r="C12" s="29"/>
      <c r="D12" s="29"/>
      <c r="E12" s="1"/>
      <c r="F12" s="1"/>
      <c r="G12" s="1"/>
      <c r="H12" s="1"/>
    </row>
    <row r="13" spans="1:8" ht="28" customHeight="1">
      <c r="A13" s="32" t="s">
        <v>309</v>
      </c>
      <c r="B13" s="29"/>
      <c r="C13" s="29"/>
      <c r="D13" s="29"/>
      <c r="E13" s="1"/>
      <c r="F13" s="1"/>
      <c r="G13" s="1"/>
      <c r="H13" s="1"/>
    </row>
    <row r="14" spans="1:8" ht="28" customHeight="1">
      <c r="A14" s="32" t="s">
        <v>310</v>
      </c>
      <c r="B14" s="29"/>
      <c r="C14" s="29"/>
      <c r="D14" s="29"/>
      <c r="E14" s="1"/>
      <c r="F14" s="1"/>
      <c r="G14" s="1"/>
      <c r="H14" s="1"/>
    </row>
    <row r="15" spans="1:8" ht="28" customHeight="1">
      <c r="A15" s="32"/>
      <c r="B15" s="1"/>
      <c r="C15" s="1"/>
      <c r="D15" s="1"/>
      <c r="E15" s="1"/>
      <c r="F15" s="1"/>
      <c r="G15" s="1"/>
      <c r="H15" s="1"/>
    </row>
    <row r="16" spans="1:8" ht="28" customHeight="1">
      <c r="A16" s="32" t="s">
        <v>311</v>
      </c>
      <c r="B16" s="31">
        <f>'2 Bond Pricing'!$B$27</f>
        <v>0</v>
      </c>
      <c r="C16" s="31">
        <f>'2 Bond Pricing'!$B$27</f>
        <v>0</v>
      </c>
      <c r="D16" s="31">
        <f>'2 Bond Pricing'!$B$27</f>
        <v>0</v>
      </c>
      <c r="E16" s="1"/>
      <c r="F16" s="1"/>
      <c r="G16" s="1"/>
      <c r="H16" s="1"/>
    </row>
    <row r="17" spans="1:8" ht="28" customHeight="1">
      <c r="A17" s="32" t="s">
        <v>312</v>
      </c>
      <c r="B17" s="29"/>
      <c r="C17" s="29"/>
      <c r="D17" s="29"/>
      <c r="E17" s="1"/>
      <c r="F17" s="1"/>
      <c r="G17" s="1"/>
      <c r="H17" s="1"/>
    </row>
    <row r="18" spans="1:8" ht="28" customHeight="1">
      <c r="A18" s="32" t="s">
        <v>313</v>
      </c>
      <c r="B18" s="29"/>
      <c r="C18" s="29"/>
      <c r="D18" s="29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  <row r="20" spans="1:8" ht="22" customHeight="1">
      <c r="A20" s="57" t="s">
        <v>314</v>
      </c>
      <c r="B20" s="57"/>
      <c r="C20" s="57"/>
      <c r="D20" s="57"/>
      <c r="E20" s="57"/>
      <c r="F20" s="1"/>
      <c r="G20" s="1"/>
      <c r="H20" s="1"/>
    </row>
    <row r="21" spans="1:8" ht="28" customHeight="1">
      <c r="A21" s="5" t="s">
        <v>315</v>
      </c>
      <c r="B21" s="5" t="s">
        <v>157</v>
      </c>
      <c r="C21" s="5" t="s">
        <v>158</v>
      </c>
      <c r="D21" s="5" t="s">
        <v>159</v>
      </c>
      <c r="E21" s="1"/>
      <c r="F21" s="1"/>
      <c r="G21" s="1"/>
      <c r="H21" s="1"/>
    </row>
    <row r="22" spans="1:8" ht="28" customHeight="1">
      <c r="A22" s="32" t="s">
        <v>316</v>
      </c>
      <c r="B22" s="31">
        <f>'1 Assumptions-Baseline'!$F$24</f>
        <v>45000</v>
      </c>
      <c r="C22" s="31">
        <f>'1 Assumptions-Baseline'!$F$24</f>
        <v>45000</v>
      </c>
      <c r="D22" s="31">
        <f>'1 Assumptions-Baseline'!$F$24</f>
        <v>45000</v>
      </c>
      <c r="E22" s="1"/>
      <c r="F22" s="1"/>
      <c r="G22" s="1"/>
      <c r="H22" s="1"/>
    </row>
    <row r="23" spans="1:8" ht="28" customHeight="1">
      <c r="A23" s="32" t="s">
        <v>317</v>
      </c>
      <c r="B23" s="29"/>
      <c r="C23" s="29"/>
      <c r="D23" s="29"/>
      <c r="E23" s="1"/>
      <c r="F23" s="1"/>
      <c r="G23" s="1"/>
      <c r="H23" s="1"/>
    </row>
    <row r="24" spans="1:8" ht="28" customHeight="1">
      <c r="A24" s="32" t="s">
        <v>318</v>
      </c>
      <c r="B24" s="29"/>
      <c r="C24" s="29"/>
      <c r="D24" s="29"/>
      <c r="E24" s="1"/>
      <c r="F24" s="1"/>
      <c r="G24" s="1"/>
      <c r="H24" s="1"/>
    </row>
    <row r="25" spans="1:8" ht="28" customHeight="1">
      <c r="A25" s="32" t="s">
        <v>319</v>
      </c>
      <c r="B25" s="31">
        <f>'1 Assumptions-Baseline'!$F$27</f>
        <v>110000</v>
      </c>
      <c r="C25" s="31">
        <f>'1 Assumptions-Baseline'!$F$27</f>
        <v>110000</v>
      </c>
      <c r="D25" s="31">
        <f>'1 Assumptions-Baseline'!$F$27</f>
        <v>110000</v>
      </c>
      <c r="E25" s="1"/>
      <c r="F25" s="1"/>
      <c r="G25" s="1"/>
      <c r="H25" s="1"/>
    </row>
    <row r="26" spans="1:8" ht="28" customHeight="1">
      <c r="A26" s="32" t="s">
        <v>320</v>
      </c>
      <c r="B26" s="29"/>
      <c r="C26" s="29"/>
      <c r="D26" s="29"/>
      <c r="E26" s="1"/>
      <c r="F26" s="1"/>
      <c r="G26" s="1"/>
      <c r="H26" s="1"/>
    </row>
    <row r="27" spans="1:8" ht="28" customHeight="1">
      <c r="A27" s="32" t="s">
        <v>321</v>
      </c>
      <c r="B27" s="29"/>
      <c r="C27" s="29"/>
      <c r="D27" s="29"/>
      <c r="E27" s="1"/>
      <c r="F27" s="1"/>
      <c r="G27" s="1"/>
      <c r="H27" s="1"/>
    </row>
    <row r="28" spans="1:8" ht="28" customHeight="1">
      <c r="A28" s="32" t="s">
        <v>322</v>
      </c>
      <c r="B28" s="29"/>
      <c r="C28" s="29"/>
      <c r="D28" s="29"/>
      <c r="E28" s="1"/>
      <c r="F28" s="1"/>
      <c r="G28" s="1"/>
      <c r="H28" s="1"/>
    </row>
    <row r="29" spans="1:8" ht="28" customHeight="1">
      <c r="A29" s="32" t="s">
        <v>323</v>
      </c>
      <c r="B29" s="29"/>
      <c r="C29" s="29"/>
      <c r="D29" s="29"/>
      <c r="E29" s="1"/>
      <c r="F29" s="1"/>
      <c r="G29" s="1"/>
      <c r="H29" s="1"/>
    </row>
    <row r="30" spans="1:8" ht="28" customHeight="1">
      <c r="A30" s="32" t="s">
        <v>324</v>
      </c>
      <c r="B30" s="29"/>
      <c r="C30" s="29"/>
      <c r="D30" s="29"/>
      <c r="E30" s="1"/>
      <c r="F30" s="1"/>
      <c r="G30" s="1"/>
      <c r="H30" s="1"/>
    </row>
    <row r="31" spans="1:8">
      <c r="A31" s="1"/>
      <c r="B31" s="1"/>
      <c r="C31" s="1"/>
      <c r="D31" s="1"/>
      <c r="E31" s="1"/>
      <c r="F31" s="1"/>
      <c r="G31" s="1"/>
      <c r="H31" s="1"/>
    </row>
    <row r="32" spans="1:8">
      <c r="A32" s="58" t="s">
        <v>325</v>
      </c>
      <c r="B32" s="59"/>
      <c r="C32" s="59"/>
      <c r="D32" s="59"/>
      <c r="E32" s="59"/>
      <c r="F32" s="59"/>
      <c r="G32" s="59"/>
      <c r="H32" s="60"/>
    </row>
    <row r="33" spans="1:8">
      <c r="A33" s="61"/>
      <c r="B33" s="62"/>
      <c r="C33" s="62"/>
      <c r="D33" s="62"/>
      <c r="E33" s="62"/>
      <c r="F33" s="62"/>
      <c r="G33" s="62"/>
      <c r="H33" s="63"/>
    </row>
    <row r="34" spans="1:8">
      <c r="A34" s="61"/>
      <c r="B34" s="62"/>
      <c r="C34" s="62"/>
      <c r="D34" s="62"/>
      <c r="E34" s="62"/>
      <c r="F34" s="62"/>
      <c r="G34" s="62"/>
      <c r="H34" s="63"/>
    </row>
    <row r="35" spans="1:8">
      <c r="A35" s="64"/>
      <c r="B35" s="65"/>
      <c r="C35" s="65"/>
      <c r="D35" s="65"/>
      <c r="E35" s="65"/>
      <c r="F35" s="65"/>
      <c r="G35" s="65"/>
      <c r="H35" s="66"/>
    </row>
    <row r="36" spans="1:8">
      <c r="A36" s="1"/>
      <c r="B36" s="1"/>
      <c r="C36" s="1"/>
      <c r="D36" s="1"/>
      <c r="E36" s="1"/>
      <c r="F36" s="1"/>
      <c r="G36" s="1"/>
      <c r="H36" s="1"/>
    </row>
  </sheetData>
  <mergeCells count="5">
    <mergeCell ref="A1:H1"/>
    <mergeCell ref="A3:H3"/>
    <mergeCell ref="A5:E5"/>
    <mergeCell ref="A20:E20"/>
    <mergeCell ref="A32:H3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58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4"/>
  <cols>
    <col min="1" max="1" width="42" customWidth="1"/>
    <col min="2" max="5" width="20" customWidth="1"/>
    <col min="6" max="6" width="18" customWidth="1"/>
    <col min="7" max="7" width="42" customWidth="1"/>
    <col min="8" max="8" width="12" customWidth="1"/>
  </cols>
  <sheetData>
    <row r="1" spans="1:8" ht="30" customHeight="1">
      <c r="A1" s="46" t="s">
        <v>326</v>
      </c>
      <c r="B1" s="46"/>
      <c r="C1" s="46"/>
      <c r="D1" s="46"/>
      <c r="E1" s="46"/>
      <c r="F1" s="46"/>
      <c r="G1" s="46"/>
      <c r="H1" s="46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68" t="s">
        <v>327</v>
      </c>
      <c r="B3" s="69"/>
      <c r="C3" s="69"/>
      <c r="D3" s="69"/>
      <c r="E3" s="69"/>
      <c r="F3" s="69"/>
      <c r="G3" s="69"/>
      <c r="H3" s="70"/>
    </row>
    <row r="4" spans="1:8">
      <c r="A4" s="1"/>
      <c r="B4" s="1"/>
      <c r="C4" s="1"/>
      <c r="D4" s="1"/>
      <c r="E4" s="1"/>
      <c r="F4" s="1"/>
      <c r="G4" s="1"/>
      <c r="H4" s="1"/>
    </row>
    <row r="5" spans="1:8" ht="22" customHeight="1">
      <c r="A5" s="57" t="s">
        <v>328</v>
      </c>
      <c r="B5" s="57"/>
      <c r="C5" s="57"/>
      <c r="D5" s="57"/>
      <c r="E5" s="57"/>
      <c r="F5" s="57"/>
      <c r="G5" s="1"/>
      <c r="H5" s="1"/>
    </row>
    <row r="6" spans="1:8" ht="27" customHeight="1">
      <c r="A6" s="5" t="s">
        <v>329</v>
      </c>
      <c r="B6" s="5" t="s">
        <v>330</v>
      </c>
      <c r="C6" s="5" t="s">
        <v>157</v>
      </c>
      <c r="D6" s="5" t="s">
        <v>158</v>
      </c>
      <c r="E6" s="5" t="s">
        <v>159</v>
      </c>
      <c r="F6" s="1"/>
      <c r="G6" s="1"/>
      <c r="H6" s="1"/>
    </row>
    <row r="7" spans="1:8" ht="27" customHeight="1">
      <c r="A7" s="1" t="s">
        <v>121</v>
      </c>
      <c r="B7" s="31">
        <f>'1 Assumptions-Baseline'!B23</f>
        <v>32500</v>
      </c>
      <c r="C7" s="29"/>
      <c r="D7" s="29"/>
      <c r="E7" s="29"/>
      <c r="F7" s="1"/>
      <c r="G7" s="1"/>
      <c r="H7" s="1"/>
    </row>
    <row r="8" spans="1:8" ht="27" customHeight="1">
      <c r="A8" s="1" t="s">
        <v>131</v>
      </c>
      <c r="B8" s="31">
        <f>'1 Assumptions-Baseline'!B27</f>
        <v>0</v>
      </c>
      <c r="C8" s="29"/>
      <c r="D8" s="29"/>
      <c r="E8" s="29"/>
      <c r="F8" s="1"/>
      <c r="G8" s="1"/>
      <c r="H8" s="1"/>
    </row>
    <row r="9" spans="1:8" ht="27" customHeight="1">
      <c r="A9" s="1" t="s">
        <v>331</v>
      </c>
      <c r="B9" s="31">
        <f>'1 Assumptions-Baseline'!B28</f>
        <v>312000</v>
      </c>
      <c r="C9" s="29"/>
      <c r="D9" s="29"/>
      <c r="E9" s="29"/>
      <c r="F9" s="1"/>
      <c r="G9" s="1"/>
      <c r="H9" s="1"/>
    </row>
    <row r="10" spans="1:8" ht="27" customHeight="1">
      <c r="A10" s="1" t="s">
        <v>138</v>
      </c>
      <c r="B10" s="31">
        <f>'1 Assumptions-Baseline'!B29</f>
        <v>22000</v>
      </c>
      <c r="C10" s="29"/>
      <c r="D10" s="29"/>
      <c r="E10" s="29"/>
      <c r="F10" s="1"/>
      <c r="G10" s="1"/>
      <c r="H10" s="1"/>
    </row>
    <row r="11" spans="1:8" ht="27" customHeight="1">
      <c r="A11" s="1" t="s">
        <v>141</v>
      </c>
      <c r="B11" s="31">
        <f>'1 Assumptions-Baseline'!B30</f>
        <v>9500</v>
      </c>
      <c r="C11" s="29"/>
      <c r="D11" s="29"/>
      <c r="E11" s="29"/>
      <c r="F11" s="1"/>
      <c r="G11" s="1"/>
      <c r="H11" s="1"/>
    </row>
    <row r="12" spans="1:8" ht="27" customHeight="1">
      <c r="A12" s="36" t="s">
        <v>144</v>
      </c>
      <c r="B12" s="33">
        <f>'1 Assumptions-Baseline'!B31</f>
        <v>0</v>
      </c>
      <c r="C12" s="34"/>
      <c r="D12" s="34"/>
      <c r="E12" s="35"/>
      <c r="F12" s="1"/>
      <c r="G12" s="1"/>
      <c r="H12" s="1"/>
    </row>
    <row r="13" spans="1:8" ht="27" customHeight="1">
      <c r="A13" s="1"/>
      <c r="B13" s="31"/>
      <c r="C13" s="29"/>
      <c r="D13" s="29"/>
      <c r="E13" s="29"/>
      <c r="F13" s="1"/>
      <c r="G13" s="1"/>
      <c r="H13" s="1"/>
    </row>
    <row r="14" spans="1:8" ht="27" customHeight="1">
      <c r="A14" s="1" t="s">
        <v>122</v>
      </c>
      <c r="B14" s="31">
        <f>'1 Assumptions-Baseline'!F23</f>
        <v>29400</v>
      </c>
      <c r="C14" s="29"/>
      <c r="D14" s="29"/>
      <c r="E14" s="29"/>
      <c r="F14" s="1"/>
      <c r="G14" s="1"/>
      <c r="H14" s="1"/>
    </row>
    <row r="15" spans="1:8" ht="27" customHeight="1">
      <c r="A15" s="1" t="s">
        <v>124</v>
      </c>
      <c r="B15" s="31">
        <f>'1 Assumptions-Baseline'!F24</f>
        <v>45000</v>
      </c>
      <c r="C15" s="29"/>
      <c r="D15" s="29"/>
      <c r="E15" s="29"/>
      <c r="F15" s="1"/>
      <c r="G15" s="1"/>
      <c r="H15" s="1"/>
    </row>
    <row r="16" spans="1:8" ht="27" customHeight="1">
      <c r="A16" s="1" t="s">
        <v>127</v>
      </c>
      <c r="B16" s="31">
        <f>'1 Assumptions-Baseline'!F25</f>
        <v>13100</v>
      </c>
      <c r="C16" s="29"/>
      <c r="D16" s="29"/>
      <c r="E16" s="29"/>
      <c r="F16" s="1"/>
      <c r="G16" s="1"/>
      <c r="H16" s="1"/>
    </row>
    <row r="17" spans="1:8" ht="27" customHeight="1">
      <c r="A17" s="1" t="s">
        <v>129</v>
      </c>
      <c r="B17" s="31">
        <f>'1 Assumptions-Baseline'!F26</f>
        <v>0</v>
      </c>
      <c r="C17" s="29"/>
      <c r="D17" s="29"/>
      <c r="E17" s="29"/>
      <c r="F17" s="1"/>
      <c r="G17" s="1"/>
      <c r="H17" s="1"/>
    </row>
    <row r="18" spans="1:8" ht="27" customHeight="1">
      <c r="A18" s="1" t="s">
        <v>133</v>
      </c>
      <c r="B18" s="31">
        <f>'1 Assumptions-Baseline'!F27</f>
        <v>110000</v>
      </c>
      <c r="C18" s="29"/>
      <c r="D18" s="29"/>
      <c r="E18" s="29"/>
      <c r="F18" s="1"/>
      <c r="G18" s="1"/>
      <c r="H18" s="1"/>
    </row>
    <row r="19" spans="1:8" ht="27" customHeight="1">
      <c r="A19" s="1" t="s">
        <v>332</v>
      </c>
      <c r="B19" s="31">
        <v>0</v>
      </c>
      <c r="C19" s="29"/>
      <c r="D19" s="29"/>
      <c r="E19" s="29"/>
      <c r="F19" s="1"/>
      <c r="G19" s="1"/>
      <c r="H19" s="1"/>
    </row>
    <row r="20" spans="1:8" ht="27" customHeight="1">
      <c r="A20" s="1" t="s">
        <v>137</v>
      </c>
      <c r="B20" s="31">
        <f>'1 Assumptions-Baseline'!F28</f>
        <v>7200</v>
      </c>
      <c r="C20" s="29"/>
      <c r="D20" s="29"/>
      <c r="E20" s="29"/>
      <c r="F20" s="1"/>
      <c r="G20" s="1"/>
      <c r="H20" s="1"/>
    </row>
    <row r="21" spans="1:8" ht="27" customHeight="1">
      <c r="A21" s="1" t="s">
        <v>139</v>
      </c>
      <c r="B21" s="31">
        <f>'1 Assumptions-Baseline'!F29</f>
        <v>61000</v>
      </c>
      <c r="C21" s="29"/>
      <c r="D21" s="29"/>
      <c r="E21" s="29"/>
      <c r="F21" s="1"/>
      <c r="G21" s="1"/>
      <c r="H21" s="1"/>
    </row>
    <row r="22" spans="1:8" ht="27" customHeight="1">
      <c r="A22" s="36" t="s">
        <v>142</v>
      </c>
      <c r="B22" s="33">
        <f>'1 Assumptions-Baseline'!F30</f>
        <v>0</v>
      </c>
      <c r="C22" s="34"/>
      <c r="D22" s="34"/>
      <c r="E22" s="35"/>
      <c r="F22" s="1"/>
      <c r="G22" s="1"/>
      <c r="H22" s="1"/>
    </row>
    <row r="23" spans="1:8" ht="27" customHeight="1">
      <c r="A23" s="1" t="s">
        <v>146</v>
      </c>
      <c r="B23" s="31">
        <f>'1 Assumptions-Baseline'!F31</f>
        <v>85000</v>
      </c>
      <c r="C23" s="29"/>
      <c r="D23" s="29"/>
      <c r="E23" s="29"/>
      <c r="F23" s="1"/>
      <c r="G23" s="1"/>
      <c r="H23" s="1"/>
    </row>
    <row r="24" spans="1:8" ht="27" customHeight="1">
      <c r="A24" s="1" t="s">
        <v>147</v>
      </c>
      <c r="B24" s="31">
        <f>'1 Assumptions-Baseline'!F32</f>
        <v>135800</v>
      </c>
      <c r="C24" s="29"/>
      <c r="D24" s="29"/>
      <c r="E24" s="29"/>
      <c r="F24" s="1"/>
      <c r="G24" s="1"/>
      <c r="H24" s="1"/>
    </row>
    <row r="25" spans="1:8" ht="27" customHeight="1">
      <c r="A25" s="36" t="s">
        <v>333</v>
      </c>
      <c r="B25" s="33">
        <f>'1 Assumptions-Baseline'!F33</f>
        <v>0</v>
      </c>
      <c r="C25" s="34"/>
      <c r="D25" s="34"/>
      <c r="E25" s="35"/>
      <c r="F25" s="1"/>
      <c r="G25" s="1"/>
      <c r="H25" s="1"/>
    </row>
    <row r="26" spans="1:8" ht="27" customHeight="1">
      <c r="A26" s="36" t="s">
        <v>150</v>
      </c>
      <c r="B26" s="33">
        <f>'1 Assumptions-Baseline'!F34</f>
        <v>0</v>
      </c>
      <c r="C26" s="34"/>
      <c r="D26" s="34"/>
      <c r="E26" s="35"/>
      <c r="F26" s="1"/>
      <c r="G26" s="1"/>
      <c r="H26" s="1"/>
    </row>
    <row r="27" spans="1:8" ht="27" customHeight="1">
      <c r="A27" s="36" t="s">
        <v>334</v>
      </c>
      <c r="B27" s="36"/>
      <c r="C27" s="34"/>
      <c r="D27" s="34"/>
      <c r="E27" s="35"/>
      <c r="F27" s="1"/>
      <c r="G27" s="1"/>
      <c r="H27" s="1"/>
    </row>
    <row r="28" spans="1:8">
      <c r="A28" s="1"/>
      <c r="B28" s="1"/>
      <c r="C28" s="1"/>
      <c r="D28" s="1"/>
      <c r="E28" s="1"/>
      <c r="F28" s="1"/>
      <c r="G28" s="1"/>
      <c r="H28" s="1"/>
    </row>
    <row r="29" spans="1:8" ht="22" customHeight="1">
      <c r="A29" s="57" t="s">
        <v>335</v>
      </c>
      <c r="B29" s="57"/>
      <c r="C29" s="57"/>
      <c r="D29" s="57"/>
      <c r="E29" s="57"/>
      <c r="F29" s="57"/>
      <c r="G29" s="1"/>
      <c r="H29" s="1"/>
    </row>
    <row r="30" spans="1:8" ht="27" customHeight="1">
      <c r="A30" s="5" t="s">
        <v>336</v>
      </c>
      <c r="B30" s="5" t="s">
        <v>330</v>
      </c>
      <c r="C30" s="5" t="s">
        <v>157</v>
      </c>
      <c r="D30" s="5" t="s">
        <v>158</v>
      </c>
      <c r="E30" s="5" t="s">
        <v>159</v>
      </c>
      <c r="F30" s="1"/>
      <c r="G30" s="1"/>
      <c r="H30" s="1"/>
    </row>
    <row r="31" spans="1:8" ht="27" customHeight="1">
      <c r="A31" s="1" t="s">
        <v>93</v>
      </c>
      <c r="B31" s="31">
        <f>'1 Assumptions-Baseline'!B7</f>
        <v>425000</v>
      </c>
      <c r="C31" s="29"/>
      <c r="D31" s="29"/>
      <c r="E31" s="29"/>
      <c r="F31" s="1"/>
      <c r="G31" s="1"/>
      <c r="H31" s="1"/>
    </row>
    <row r="32" spans="1:8" ht="27" customHeight="1">
      <c r="A32" s="1" t="s">
        <v>337</v>
      </c>
      <c r="B32" s="31">
        <f>'1 Assumptions-Baseline'!B12</f>
        <v>0</v>
      </c>
      <c r="C32" s="29"/>
      <c r="D32" s="29"/>
      <c r="E32" s="29"/>
      <c r="F32" s="1"/>
      <c r="G32" s="1"/>
      <c r="H32" s="1"/>
    </row>
    <row r="33" spans="1:8" ht="27" customHeight="1">
      <c r="A33" s="1" t="s">
        <v>338</v>
      </c>
      <c r="B33" s="31">
        <f>'1 Assumptions-Baseline'!B11</f>
        <v>18500</v>
      </c>
      <c r="C33" s="29"/>
      <c r="D33" s="29"/>
      <c r="E33" s="29"/>
      <c r="F33" s="1"/>
      <c r="G33" s="1"/>
      <c r="H33" s="1"/>
    </row>
    <row r="34" spans="1:8" ht="27" customHeight="1">
      <c r="A34" s="36" t="s">
        <v>339</v>
      </c>
      <c r="B34" s="33" t="str">
        <f>IF(ISBLANK('1 Assumptions-Baseline'!B12),"",'1 Assumptions-Baseline'!B12+'1 Assumptions-Baseline'!B11)</f>
        <v/>
      </c>
      <c r="C34" s="34"/>
      <c r="D34" s="34"/>
      <c r="E34" s="35"/>
      <c r="F34" s="1"/>
      <c r="G34" s="1"/>
      <c r="H34" s="1"/>
    </row>
    <row r="35" spans="1:8" ht="27" customHeight="1">
      <c r="A35" s="1" t="s">
        <v>340</v>
      </c>
      <c r="B35" s="31">
        <f>'1 Assumptions-Baseline'!F24*'1 Assumptions-Baseline'!B48</f>
        <v>3825.0000000000005</v>
      </c>
      <c r="C35" s="29"/>
      <c r="D35" s="29"/>
      <c r="E35" s="29"/>
      <c r="F35" s="1"/>
      <c r="G35" s="1"/>
      <c r="H35" s="1"/>
    </row>
    <row r="36" spans="1:8" ht="27" customHeight="1">
      <c r="A36" s="1" t="s">
        <v>341</v>
      </c>
      <c r="B36" s="31" t="str">
        <f>IF(ISBLANK('1 Assumptions-Baseline'!B49),"",'1 Assumptions-Baseline'!F27*'1 Assumptions-Baseline'!B49)</f>
        <v/>
      </c>
      <c r="C36" s="29"/>
      <c r="D36" s="29"/>
      <c r="E36" s="29"/>
      <c r="F36" s="1"/>
      <c r="G36" s="1"/>
      <c r="H36" s="1"/>
    </row>
    <row r="37" spans="1:8" ht="27" customHeight="1">
      <c r="A37" s="1" t="s">
        <v>342</v>
      </c>
      <c r="B37" s="31">
        <v>0</v>
      </c>
      <c r="C37" s="29"/>
      <c r="D37" s="29"/>
      <c r="E37" s="29"/>
      <c r="F37" s="1"/>
      <c r="G37" s="1"/>
      <c r="H37" s="1"/>
    </row>
    <row r="38" spans="1:8" ht="27" customHeight="1">
      <c r="A38" s="36" t="s">
        <v>343</v>
      </c>
      <c r="B38" s="33" t="str">
        <f>IF(COUNT(B35:B37)&lt;3,"",SUM(B35:B37))</f>
        <v/>
      </c>
      <c r="C38" s="34"/>
      <c r="D38" s="34"/>
      <c r="E38" s="35"/>
      <c r="F38" s="1"/>
      <c r="G38" s="1"/>
      <c r="H38" s="1"/>
    </row>
    <row r="39" spans="1:8" ht="27" customHeight="1">
      <c r="A39" s="1" t="s">
        <v>106</v>
      </c>
      <c r="B39" s="31">
        <f>'1 Assumptions-Baseline'!B14</f>
        <v>0</v>
      </c>
      <c r="C39" s="29"/>
      <c r="D39" s="29"/>
      <c r="E39" s="29"/>
      <c r="F39" s="1"/>
      <c r="G39" s="1"/>
      <c r="H39" s="1"/>
    </row>
    <row r="40" spans="1:8" ht="27" customHeight="1">
      <c r="A40" s="1" t="s">
        <v>110</v>
      </c>
      <c r="B40" s="31">
        <f>'1 Assumptions-Baseline'!B16</f>
        <v>0</v>
      </c>
      <c r="C40" s="29"/>
      <c r="D40" s="29"/>
      <c r="E40" s="29"/>
      <c r="F40" s="1"/>
      <c r="G40" s="1"/>
      <c r="H40" s="1"/>
    </row>
    <row r="41" spans="1:8" ht="27" customHeight="1">
      <c r="A41" s="36" t="s">
        <v>112</v>
      </c>
      <c r="B41" s="33">
        <f>'1 Assumptions-Baseline'!B17</f>
        <v>0</v>
      </c>
      <c r="C41" s="34"/>
      <c r="D41" s="34"/>
      <c r="E41" s="35"/>
      <c r="F41" s="1"/>
      <c r="G41" s="1"/>
      <c r="H41" s="1"/>
    </row>
    <row r="42" spans="1:8" ht="27" customHeight="1">
      <c r="A42" s="1" t="s">
        <v>114</v>
      </c>
      <c r="B42" s="31">
        <f>'1 Assumptions-Baseline'!B18</f>
        <v>50000</v>
      </c>
      <c r="C42" s="19"/>
      <c r="D42" s="19"/>
      <c r="E42" s="19"/>
      <c r="F42" s="1"/>
      <c r="G42" s="1"/>
      <c r="H42" s="1"/>
    </row>
    <row r="43" spans="1:8" ht="27" customHeight="1">
      <c r="A43" s="40" t="s">
        <v>37</v>
      </c>
      <c r="B43" s="37">
        <f>'1 Assumptions-Baseline'!B19</f>
        <v>0</v>
      </c>
      <c r="C43" s="38"/>
      <c r="D43" s="38"/>
      <c r="E43" s="39"/>
      <c r="F43" s="1"/>
      <c r="G43" s="1"/>
      <c r="H43" s="1"/>
    </row>
    <row r="44" spans="1:8">
      <c r="A44" s="1"/>
      <c r="B44" s="1"/>
      <c r="C44" s="1"/>
      <c r="D44" s="1"/>
      <c r="E44" s="1"/>
      <c r="F44" s="1"/>
      <c r="G44" s="1"/>
      <c r="H44" s="1"/>
    </row>
    <row r="45" spans="1:8">
      <c r="A45" s="1"/>
      <c r="B45" s="1"/>
      <c r="C45" s="1"/>
      <c r="D45" s="1"/>
      <c r="E45" s="1"/>
      <c r="F45" s="1"/>
      <c r="G45" s="1"/>
      <c r="H45" s="1"/>
    </row>
    <row r="46" spans="1:8" ht="22" customHeight="1">
      <c r="A46" s="57" t="s">
        <v>344</v>
      </c>
      <c r="B46" s="57"/>
      <c r="C46" s="57"/>
      <c r="D46" s="57"/>
      <c r="E46" s="57"/>
      <c r="F46" s="57"/>
      <c r="G46" s="57"/>
      <c r="H46" s="1"/>
    </row>
    <row r="47" spans="1:8" ht="28" customHeight="1">
      <c r="A47" s="5" t="s">
        <v>222</v>
      </c>
      <c r="B47" s="5" t="s">
        <v>330</v>
      </c>
      <c r="C47" s="5" t="s">
        <v>157</v>
      </c>
      <c r="D47" s="5" t="s">
        <v>158</v>
      </c>
      <c r="E47" s="5" t="s">
        <v>159</v>
      </c>
      <c r="F47" s="5" t="s">
        <v>345</v>
      </c>
      <c r="G47" s="5" t="s">
        <v>293</v>
      </c>
      <c r="H47" s="1"/>
    </row>
    <row r="48" spans="1:8" ht="28" customHeight="1">
      <c r="A48" s="1" t="s">
        <v>346</v>
      </c>
      <c r="B48" s="29"/>
      <c r="C48" s="29"/>
      <c r="D48" s="29"/>
      <c r="E48" s="29"/>
      <c r="F48" s="30" t="s">
        <v>347</v>
      </c>
      <c r="G48" s="30" t="s">
        <v>348</v>
      </c>
      <c r="H48" s="1"/>
    </row>
    <row r="49" spans="1:8" ht="28" customHeight="1">
      <c r="A49" s="1" t="s">
        <v>193</v>
      </c>
      <c r="B49" s="41"/>
      <c r="C49" s="41"/>
      <c r="D49" s="41"/>
      <c r="E49" s="41"/>
      <c r="F49" s="30" t="s">
        <v>349</v>
      </c>
      <c r="G49" s="30" t="s">
        <v>350</v>
      </c>
      <c r="H49" s="1"/>
    </row>
    <row r="50" spans="1:8" ht="28" customHeight="1">
      <c r="A50" s="1" t="s">
        <v>198</v>
      </c>
      <c r="B50" s="41"/>
      <c r="C50" s="41"/>
      <c r="D50" s="41"/>
      <c r="E50" s="41"/>
      <c r="F50" s="30" t="s">
        <v>351</v>
      </c>
      <c r="G50" s="30" t="s">
        <v>352</v>
      </c>
      <c r="H50" s="1"/>
    </row>
    <row r="51" spans="1:8" ht="28" customHeight="1">
      <c r="A51" s="1" t="s">
        <v>201</v>
      </c>
      <c r="B51" s="41"/>
      <c r="C51" s="41"/>
      <c r="D51" s="41"/>
      <c r="E51" s="41"/>
      <c r="F51" s="30" t="s">
        <v>353</v>
      </c>
      <c r="G51" s="30" t="s">
        <v>354</v>
      </c>
      <c r="H51" s="1"/>
    </row>
    <row r="52" spans="1:8" ht="28" customHeight="1">
      <c r="A52" s="1" t="s">
        <v>203</v>
      </c>
      <c r="B52" s="41"/>
      <c r="C52" s="41"/>
      <c r="D52" s="41"/>
      <c r="E52" s="41"/>
      <c r="F52" s="30" t="s">
        <v>355</v>
      </c>
      <c r="G52" s="30" t="s">
        <v>356</v>
      </c>
      <c r="H52" s="1"/>
    </row>
    <row r="53" spans="1:8" ht="28" customHeight="1">
      <c r="A53" s="1" t="s">
        <v>205</v>
      </c>
      <c r="B53" s="41"/>
      <c r="C53" s="41"/>
      <c r="D53" s="41"/>
      <c r="E53" s="41"/>
      <c r="F53" s="30" t="s">
        <v>357</v>
      </c>
      <c r="G53" s="30" t="s">
        <v>358</v>
      </c>
      <c r="H53" s="1"/>
    </row>
    <row r="54" spans="1:8">
      <c r="A54" s="1"/>
      <c r="B54" s="1"/>
      <c r="C54" s="1"/>
      <c r="D54" s="1"/>
      <c r="E54" s="1"/>
      <c r="F54" s="1"/>
      <c r="G54" s="1"/>
      <c r="H54" s="1"/>
    </row>
    <row r="55" spans="1:8">
      <c r="A55" s="58" t="s">
        <v>359</v>
      </c>
      <c r="B55" s="59"/>
      <c r="C55" s="59"/>
      <c r="D55" s="59"/>
      <c r="E55" s="59"/>
      <c r="F55" s="59"/>
      <c r="G55" s="59"/>
      <c r="H55" s="60"/>
    </row>
    <row r="56" spans="1:8">
      <c r="A56" s="61"/>
      <c r="B56" s="62"/>
      <c r="C56" s="62"/>
      <c r="D56" s="62"/>
      <c r="E56" s="62"/>
      <c r="F56" s="62"/>
      <c r="G56" s="62"/>
      <c r="H56" s="63"/>
    </row>
    <row r="57" spans="1:8">
      <c r="A57" s="64"/>
      <c r="B57" s="65"/>
      <c r="C57" s="65"/>
      <c r="D57" s="65"/>
      <c r="E57" s="65"/>
      <c r="F57" s="65"/>
      <c r="G57" s="65"/>
      <c r="H57" s="66"/>
    </row>
    <row r="58" spans="1:8">
      <c r="A58" s="1"/>
      <c r="B58" s="1"/>
      <c r="C58" s="1"/>
      <c r="D58" s="1"/>
      <c r="E58" s="1"/>
      <c r="F58" s="1"/>
      <c r="G58" s="1"/>
      <c r="H58" s="1"/>
    </row>
  </sheetData>
  <mergeCells count="6">
    <mergeCell ref="A55:H57"/>
    <mergeCell ref="A1:H1"/>
    <mergeCell ref="A3:H3"/>
    <mergeCell ref="A5:F5"/>
    <mergeCell ref="A29:F29"/>
    <mergeCell ref="A46:G4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62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4"/>
  <cols>
    <col min="1" max="1" width="44" customWidth="1"/>
    <col min="2" max="2" width="22" customWidth="1"/>
    <col min="3" max="3" width="17" customWidth="1"/>
    <col min="4" max="4" width="50" customWidth="1"/>
    <col min="5" max="5" width="45" customWidth="1"/>
    <col min="6" max="8" width="14" customWidth="1"/>
  </cols>
  <sheetData>
    <row r="1" spans="1:8" ht="30" customHeight="1">
      <c r="A1" s="46" t="s">
        <v>360</v>
      </c>
      <c r="B1" s="46"/>
      <c r="C1" s="46"/>
      <c r="D1" s="46"/>
      <c r="E1" s="46"/>
      <c r="F1" s="46"/>
      <c r="G1" s="46"/>
      <c r="H1" s="46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68" t="s">
        <v>361</v>
      </c>
      <c r="B3" s="69"/>
      <c r="C3" s="69"/>
      <c r="D3" s="69"/>
      <c r="E3" s="69"/>
      <c r="F3" s="69"/>
      <c r="G3" s="69"/>
      <c r="H3" s="70"/>
    </row>
    <row r="4" spans="1:8">
      <c r="A4" s="1"/>
      <c r="B4" s="1"/>
      <c r="C4" s="1"/>
      <c r="D4" s="1"/>
      <c r="E4" s="1"/>
      <c r="F4" s="1"/>
      <c r="G4" s="1"/>
      <c r="H4" s="1"/>
    </row>
    <row r="5" spans="1:8" ht="22" customHeight="1">
      <c r="A5" s="57" t="s">
        <v>362</v>
      </c>
      <c r="B5" s="57"/>
      <c r="C5" s="57"/>
      <c r="D5" s="57"/>
      <c r="E5" s="57"/>
      <c r="F5" s="57"/>
      <c r="G5" s="1"/>
      <c r="H5" s="1"/>
    </row>
    <row r="6" spans="1:8" ht="30" customHeight="1">
      <c r="A6" s="5" t="s">
        <v>222</v>
      </c>
      <c r="B6" s="5" t="s">
        <v>157</v>
      </c>
      <c r="C6" s="5" t="s">
        <v>158</v>
      </c>
      <c r="D6" s="5" t="s">
        <v>159</v>
      </c>
      <c r="E6" s="5" t="s">
        <v>363</v>
      </c>
      <c r="F6" s="1"/>
      <c r="G6" s="1"/>
      <c r="H6" s="1"/>
    </row>
    <row r="7" spans="1:8" ht="30" customHeight="1">
      <c r="A7" s="1" t="s">
        <v>193</v>
      </c>
      <c r="B7" s="41"/>
      <c r="C7" s="41"/>
      <c r="D7" s="41"/>
      <c r="E7" s="18"/>
      <c r="F7" s="1"/>
      <c r="G7" s="1"/>
      <c r="H7" s="1"/>
    </row>
    <row r="8" spans="1:8" ht="30" customHeight="1">
      <c r="A8" s="1" t="s">
        <v>198</v>
      </c>
      <c r="B8" s="41"/>
      <c r="C8" s="41"/>
      <c r="D8" s="41"/>
      <c r="E8" s="18"/>
      <c r="F8" s="1"/>
      <c r="G8" s="1"/>
      <c r="H8" s="1"/>
    </row>
    <row r="9" spans="1:8" ht="30" customHeight="1">
      <c r="A9" s="1" t="s">
        <v>201</v>
      </c>
      <c r="B9" s="41"/>
      <c r="C9" s="41"/>
      <c r="D9" s="41"/>
      <c r="E9" s="18"/>
      <c r="F9" s="1"/>
      <c r="G9" s="1"/>
      <c r="H9" s="1"/>
    </row>
    <row r="10" spans="1:8" ht="30" customHeight="1">
      <c r="A10" s="1" t="s">
        <v>203</v>
      </c>
      <c r="B10" s="41"/>
      <c r="C10" s="41"/>
      <c r="D10" s="41"/>
      <c r="E10" s="18"/>
      <c r="F10" s="1"/>
      <c r="G10" s="1"/>
      <c r="H10" s="1"/>
    </row>
    <row r="11" spans="1:8" ht="30" customHeight="1">
      <c r="A11" s="1" t="s">
        <v>205</v>
      </c>
      <c r="B11" s="41"/>
      <c r="C11" s="41"/>
      <c r="D11" s="41"/>
      <c r="E11" s="18"/>
      <c r="F11" s="1"/>
      <c r="G11" s="1"/>
      <c r="H11" s="1"/>
    </row>
    <row r="12" spans="1:8" ht="30" customHeight="1">
      <c r="A12" s="1" t="s">
        <v>37</v>
      </c>
      <c r="B12" s="20"/>
      <c r="C12" s="20"/>
      <c r="D12" s="20"/>
      <c r="E12" s="18"/>
      <c r="F12" s="1"/>
      <c r="G12" s="1"/>
      <c r="H12" s="1"/>
    </row>
    <row r="13" spans="1:8">
      <c r="A13" s="1"/>
      <c r="B13" s="1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 ht="22" customHeight="1">
      <c r="A15" s="57" t="s">
        <v>364</v>
      </c>
      <c r="B15" s="57"/>
      <c r="C15" s="57"/>
      <c r="D15" s="57"/>
      <c r="E15" s="57"/>
      <c r="F15" s="57"/>
      <c r="G15" s="1"/>
      <c r="H15" s="1"/>
    </row>
    <row r="16" spans="1:8" ht="28" customHeight="1">
      <c r="A16" s="5" t="s">
        <v>365</v>
      </c>
      <c r="B16" s="5" t="s">
        <v>223</v>
      </c>
      <c r="C16" s="5" t="s">
        <v>366</v>
      </c>
      <c r="D16" s="5" t="s">
        <v>224</v>
      </c>
      <c r="E16" s="1"/>
      <c r="F16" s="1"/>
      <c r="G16" s="1"/>
      <c r="H16" s="1"/>
    </row>
    <row r="17" spans="1:8" ht="28" customHeight="1">
      <c r="A17" s="32" t="s">
        <v>367</v>
      </c>
      <c r="B17" s="29"/>
      <c r="C17" s="4" t="s">
        <v>368</v>
      </c>
      <c r="D17" s="4" t="s">
        <v>369</v>
      </c>
      <c r="E17" s="1"/>
      <c r="F17" s="1"/>
      <c r="G17" s="1"/>
      <c r="H17" s="1"/>
    </row>
    <row r="18" spans="1:8" ht="28" customHeight="1">
      <c r="A18" s="32" t="s">
        <v>370</v>
      </c>
      <c r="B18" s="29"/>
      <c r="C18" s="4" t="s">
        <v>368</v>
      </c>
      <c r="D18" s="4" t="s">
        <v>369</v>
      </c>
      <c r="E18" s="1"/>
      <c r="F18" s="1"/>
      <c r="G18" s="1"/>
      <c r="H18" s="1"/>
    </row>
    <row r="19" spans="1:8" ht="28" customHeight="1">
      <c r="A19" s="32" t="s">
        <v>371</v>
      </c>
      <c r="B19" s="29"/>
      <c r="C19" s="4" t="s">
        <v>368</v>
      </c>
      <c r="D19" s="4" t="s">
        <v>369</v>
      </c>
      <c r="E19" s="1"/>
      <c r="F19" s="1"/>
      <c r="G19" s="1"/>
      <c r="H19" s="1"/>
    </row>
    <row r="20" spans="1:8" ht="28" customHeight="1">
      <c r="A20" s="32" t="s">
        <v>372</v>
      </c>
      <c r="B20" s="29"/>
      <c r="C20" s="4" t="s">
        <v>368</v>
      </c>
      <c r="D20" s="4" t="s">
        <v>373</v>
      </c>
      <c r="E20" s="1"/>
      <c r="F20" s="1"/>
      <c r="G20" s="1"/>
      <c r="H20" s="1"/>
    </row>
    <row r="21" spans="1:8" ht="28" customHeight="1">
      <c r="A21" s="32"/>
      <c r="B21" s="29"/>
      <c r="C21" s="4"/>
      <c r="D21" s="4"/>
      <c r="E21" s="1"/>
      <c r="F21" s="1"/>
      <c r="G21" s="1"/>
      <c r="H21" s="1"/>
    </row>
    <row r="22" spans="1:8" ht="28" customHeight="1">
      <c r="A22" s="32" t="s">
        <v>374</v>
      </c>
      <c r="B22" s="29"/>
      <c r="C22" s="4" t="s">
        <v>368</v>
      </c>
      <c r="D22" s="4" t="s">
        <v>375</v>
      </c>
      <c r="E22" s="1"/>
      <c r="F22" s="1"/>
      <c r="G22" s="1"/>
      <c r="H22" s="1"/>
    </row>
    <row r="23" spans="1:8" ht="28" customHeight="1">
      <c r="A23" s="32" t="s">
        <v>376</v>
      </c>
      <c r="B23" s="29"/>
      <c r="C23" s="4" t="s">
        <v>368</v>
      </c>
      <c r="D23" s="4" t="s">
        <v>377</v>
      </c>
      <c r="E23" s="1"/>
      <c r="F23" s="1"/>
      <c r="G23" s="1"/>
      <c r="H23" s="1"/>
    </row>
    <row r="24" spans="1:8" ht="28" customHeight="1">
      <c r="A24" s="32" t="s">
        <v>378</v>
      </c>
      <c r="B24" s="29"/>
      <c r="C24" s="4" t="s">
        <v>368</v>
      </c>
      <c r="D24" s="4" t="s">
        <v>379</v>
      </c>
      <c r="E24" s="1"/>
      <c r="F24" s="1"/>
      <c r="G24" s="1"/>
      <c r="H24" s="1"/>
    </row>
    <row r="25" spans="1:8" ht="28" customHeight="1">
      <c r="A25" s="32" t="s">
        <v>380</v>
      </c>
      <c r="B25" s="29"/>
      <c r="C25" s="4" t="s">
        <v>368</v>
      </c>
      <c r="D25" s="4" t="s">
        <v>381</v>
      </c>
      <c r="E25" s="1"/>
      <c r="F25" s="1"/>
      <c r="G25" s="1"/>
      <c r="H25" s="1"/>
    </row>
    <row r="26" spans="1:8" ht="28" customHeight="1">
      <c r="A26" s="32"/>
      <c r="B26" s="29"/>
      <c r="C26" s="4"/>
      <c r="D26" s="4"/>
      <c r="E26" s="1"/>
      <c r="F26" s="1"/>
      <c r="G26" s="1"/>
      <c r="H26" s="1"/>
    </row>
    <row r="27" spans="1:8" ht="28" customHeight="1">
      <c r="A27" s="32" t="s">
        <v>382</v>
      </c>
      <c r="B27" s="29"/>
      <c r="C27" s="4" t="s">
        <v>368</v>
      </c>
      <c r="D27" s="4" t="s">
        <v>383</v>
      </c>
      <c r="E27" s="1"/>
      <c r="F27" s="1"/>
      <c r="G27" s="1"/>
      <c r="H27" s="1"/>
    </row>
    <row r="28" spans="1:8" ht="28" customHeight="1">
      <c r="A28" s="32" t="s">
        <v>384</v>
      </c>
      <c r="B28" s="29"/>
      <c r="C28" s="4" t="s">
        <v>368</v>
      </c>
      <c r="D28" s="4" t="s">
        <v>248</v>
      </c>
      <c r="E28" s="1"/>
      <c r="F28" s="1"/>
      <c r="G28" s="1"/>
      <c r="H28" s="1"/>
    </row>
    <row r="29" spans="1:8" ht="28" customHeight="1">
      <c r="A29" s="32" t="s">
        <v>385</v>
      </c>
      <c r="B29" s="29"/>
      <c r="C29" s="4" t="s">
        <v>368</v>
      </c>
      <c r="D29" s="4" t="s">
        <v>251</v>
      </c>
      <c r="E29" s="1"/>
      <c r="F29" s="1"/>
      <c r="G29" s="1"/>
      <c r="H29" s="1"/>
    </row>
    <row r="30" spans="1:8" ht="28" customHeight="1">
      <c r="A30" s="32" t="s">
        <v>306</v>
      </c>
      <c r="B30" s="29"/>
      <c r="C30" s="4" t="s">
        <v>368</v>
      </c>
      <c r="D30" s="4" t="s">
        <v>386</v>
      </c>
      <c r="E30" s="1"/>
      <c r="F30" s="1"/>
      <c r="G30" s="1"/>
      <c r="H30" s="1"/>
    </row>
    <row r="31" spans="1:8" ht="28" customHeight="1">
      <c r="A31" s="32" t="s">
        <v>387</v>
      </c>
      <c r="B31" s="29"/>
      <c r="C31" s="4" t="s">
        <v>368</v>
      </c>
      <c r="D31" s="4" t="s">
        <v>388</v>
      </c>
      <c r="E31" s="1"/>
      <c r="F31" s="1"/>
      <c r="G31" s="1"/>
      <c r="H31" s="1"/>
    </row>
    <row r="32" spans="1:8" ht="28" customHeight="1">
      <c r="A32" s="32" t="s">
        <v>308</v>
      </c>
      <c r="B32" s="29"/>
      <c r="C32" s="4" t="s">
        <v>368</v>
      </c>
      <c r="D32" s="4" t="s">
        <v>389</v>
      </c>
      <c r="E32" s="1"/>
      <c r="F32" s="1"/>
      <c r="G32" s="1"/>
      <c r="H32" s="1"/>
    </row>
    <row r="33" spans="1:8" ht="28" customHeight="1">
      <c r="A33" s="32" t="s">
        <v>309</v>
      </c>
      <c r="B33" s="29"/>
      <c r="C33" s="4" t="s">
        <v>368</v>
      </c>
      <c r="D33" s="4" t="s">
        <v>390</v>
      </c>
      <c r="E33" s="1"/>
      <c r="F33" s="1"/>
      <c r="G33" s="1"/>
      <c r="H33" s="1"/>
    </row>
    <row r="34" spans="1:8" ht="28" customHeight="1">
      <c r="A34" s="32" t="s">
        <v>391</v>
      </c>
      <c r="B34" s="29"/>
      <c r="C34" s="4" t="s">
        <v>368</v>
      </c>
      <c r="D34" s="4" t="s">
        <v>392</v>
      </c>
      <c r="E34" s="1"/>
      <c r="F34" s="1"/>
      <c r="G34" s="1"/>
      <c r="H34" s="1"/>
    </row>
    <row r="35" spans="1:8" ht="28" customHeight="1">
      <c r="A35" s="32" t="s">
        <v>393</v>
      </c>
      <c r="B35" s="41"/>
      <c r="C35" s="4" t="s">
        <v>394</v>
      </c>
      <c r="D35" s="4" t="s">
        <v>395</v>
      </c>
      <c r="E35" s="1"/>
      <c r="F35" s="1"/>
      <c r="G35" s="1"/>
      <c r="H35" s="1"/>
    </row>
    <row r="36" spans="1:8">
      <c r="A36" s="1"/>
      <c r="B36" s="1"/>
      <c r="C36" s="1"/>
      <c r="D36" s="1"/>
      <c r="E36" s="1"/>
      <c r="F36" s="1"/>
      <c r="G36" s="1"/>
      <c r="H36" s="1"/>
    </row>
    <row r="37" spans="1:8">
      <c r="A37" s="1"/>
      <c r="B37" s="1"/>
      <c r="C37" s="1"/>
      <c r="D37" s="1"/>
      <c r="E37" s="1"/>
      <c r="F37" s="1"/>
      <c r="G37" s="1"/>
      <c r="H37" s="1"/>
    </row>
    <row r="38" spans="1:8" ht="22" customHeight="1">
      <c r="A38" s="57" t="s">
        <v>396</v>
      </c>
      <c r="B38" s="57"/>
      <c r="C38" s="57"/>
      <c r="D38" s="57"/>
      <c r="E38" s="57"/>
      <c r="F38" s="57"/>
      <c r="G38" s="57"/>
      <c r="H38" s="57"/>
    </row>
    <row r="39" spans="1:8" ht="26" customHeight="1">
      <c r="A39" s="71" t="s">
        <v>397</v>
      </c>
      <c r="B39" s="72"/>
      <c r="C39" s="72"/>
      <c r="D39" s="72"/>
      <c r="E39" s="72"/>
      <c r="F39" s="72"/>
      <c r="G39" s="72"/>
      <c r="H39" s="73"/>
    </row>
    <row r="40" spans="1:8" ht="28" customHeight="1">
      <c r="A40" s="67"/>
      <c r="B40" s="67"/>
      <c r="C40" s="67"/>
      <c r="D40" s="67"/>
      <c r="E40" s="67"/>
      <c r="F40" s="67"/>
      <c r="G40" s="67"/>
      <c r="H40" s="67"/>
    </row>
    <row r="41" spans="1:8" ht="28" customHeight="1">
      <c r="A41" s="67"/>
      <c r="B41" s="67"/>
      <c r="C41" s="67"/>
      <c r="D41" s="67"/>
      <c r="E41" s="67"/>
      <c r="F41" s="67"/>
      <c r="G41" s="67"/>
      <c r="H41" s="67"/>
    </row>
    <row r="42" spans="1:8">
      <c r="A42" s="1"/>
      <c r="B42" s="1"/>
      <c r="C42" s="1"/>
      <c r="D42" s="1"/>
      <c r="E42" s="1"/>
      <c r="F42" s="1"/>
      <c r="G42" s="1"/>
      <c r="H42" s="1"/>
    </row>
    <row r="43" spans="1:8" ht="26" customHeight="1">
      <c r="A43" s="71" t="s">
        <v>398</v>
      </c>
      <c r="B43" s="72"/>
      <c r="C43" s="72"/>
      <c r="D43" s="72"/>
      <c r="E43" s="72"/>
      <c r="F43" s="72"/>
      <c r="G43" s="72"/>
      <c r="H43" s="73"/>
    </row>
    <row r="44" spans="1:8" ht="28" customHeight="1">
      <c r="A44" s="67"/>
      <c r="B44" s="67"/>
      <c r="C44" s="67"/>
      <c r="D44" s="67"/>
      <c r="E44" s="67"/>
      <c r="F44" s="67"/>
      <c r="G44" s="67"/>
      <c r="H44" s="67"/>
    </row>
    <row r="45" spans="1:8" ht="28" customHeight="1">
      <c r="A45" s="67"/>
      <c r="B45" s="67"/>
      <c r="C45" s="67"/>
      <c r="D45" s="67"/>
      <c r="E45" s="67"/>
      <c r="F45" s="67"/>
      <c r="G45" s="67"/>
      <c r="H45" s="67"/>
    </row>
    <row r="46" spans="1:8">
      <c r="A46" s="1"/>
      <c r="B46" s="1"/>
      <c r="C46" s="1"/>
      <c r="D46" s="1"/>
      <c r="E46" s="1"/>
      <c r="F46" s="1"/>
      <c r="G46" s="1"/>
      <c r="H46" s="1"/>
    </row>
    <row r="47" spans="1:8" ht="26" customHeight="1">
      <c r="A47" s="71" t="s">
        <v>399</v>
      </c>
      <c r="B47" s="72"/>
      <c r="C47" s="72"/>
      <c r="D47" s="72"/>
      <c r="E47" s="72"/>
      <c r="F47" s="72"/>
      <c r="G47" s="72"/>
      <c r="H47" s="73"/>
    </row>
    <row r="48" spans="1:8" ht="28" customHeight="1">
      <c r="A48" s="67"/>
      <c r="B48" s="67"/>
      <c r="C48" s="67"/>
      <c r="D48" s="67"/>
      <c r="E48" s="67"/>
      <c r="F48" s="67"/>
      <c r="G48" s="67"/>
      <c r="H48" s="67"/>
    </row>
    <row r="49" spans="1:8" ht="28" customHeight="1">
      <c r="A49" s="67"/>
      <c r="B49" s="67"/>
      <c r="C49" s="67"/>
      <c r="D49" s="67"/>
      <c r="E49" s="67"/>
      <c r="F49" s="67"/>
      <c r="G49" s="67"/>
      <c r="H49" s="67"/>
    </row>
    <row r="50" spans="1:8">
      <c r="A50" s="1"/>
      <c r="B50" s="1"/>
      <c r="C50" s="1"/>
      <c r="D50" s="1"/>
      <c r="E50" s="1"/>
      <c r="F50" s="1"/>
      <c r="G50" s="1"/>
      <c r="H50" s="1"/>
    </row>
    <row r="51" spans="1:8" ht="26" customHeight="1">
      <c r="A51" s="71" t="s">
        <v>400</v>
      </c>
      <c r="B51" s="72"/>
      <c r="C51" s="72"/>
      <c r="D51" s="72"/>
      <c r="E51" s="72"/>
      <c r="F51" s="72"/>
      <c r="G51" s="72"/>
      <c r="H51" s="73"/>
    </row>
    <row r="52" spans="1:8" ht="28" customHeight="1">
      <c r="A52" s="67"/>
      <c r="B52" s="67"/>
      <c r="C52" s="67"/>
      <c r="D52" s="67"/>
      <c r="E52" s="67"/>
      <c r="F52" s="67"/>
      <c r="G52" s="67"/>
      <c r="H52" s="67"/>
    </row>
    <row r="53" spans="1:8" ht="28" customHeight="1">
      <c r="A53" s="67"/>
      <c r="B53" s="67"/>
      <c r="C53" s="67"/>
      <c r="D53" s="67"/>
      <c r="E53" s="67"/>
      <c r="F53" s="67"/>
      <c r="G53" s="67"/>
      <c r="H53" s="67"/>
    </row>
    <row r="54" spans="1:8">
      <c r="A54" s="1"/>
      <c r="B54" s="1"/>
      <c r="C54" s="1"/>
      <c r="D54" s="1"/>
      <c r="E54" s="1"/>
      <c r="F54" s="1"/>
      <c r="G54" s="1"/>
      <c r="H54" s="1"/>
    </row>
    <row r="55" spans="1:8" ht="26" customHeight="1">
      <c r="A55" s="71" t="s">
        <v>401</v>
      </c>
      <c r="B55" s="72"/>
      <c r="C55" s="72"/>
      <c r="D55" s="72"/>
      <c r="E55" s="72"/>
      <c r="F55" s="72"/>
      <c r="G55" s="72"/>
      <c r="H55" s="73"/>
    </row>
    <row r="56" spans="1:8" ht="28" customHeight="1">
      <c r="A56" s="67"/>
      <c r="B56" s="67"/>
      <c r="C56" s="67"/>
      <c r="D56" s="67"/>
      <c r="E56" s="67"/>
      <c r="F56" s="67"/>
      <c r="G56" s="67"/>
      <c r="H56" s="67"/>
    </row>
    <row r="57" spans="1:8" ht="28" customHeight="1">
      <c r="A57" s="67"/>
      <c r="B57" s="67"/>
      <c r="C57" s="67"/>
      <c r="D57" s="67"/>
      <c r="E57" s="67"/>
      <c r="F57" s="67"/>
      <c r="G57" s="67"/>
      <c r="H57" s="67"/>
    </row>
    <row r="58" spans="1:8">
      <c r="A58" s="1"/>
      <c r="B58" s="1"/>
      <c r="C58" s="1"/>
      <c r="D58" s="1"/>
      <c r="E58" s="1"/>
      <c r="F58" s="1"/>
      <c r="G58" s="1"/>
      <c r="H58" s="1"/>
    </row>
    <row r="59" spans="1:8">
      <c r="A59" s="1"/>
      <c r="B59" s="1"/>
      <c r="C59" s="1"/>
      <c r="D59" s="1"/>
      <c r="E59" s="1"/>
      <c r="F59" s="1"/>
      <c r="G59" s="1"/>
      <c r="H59" s="1"/>
    </row>
    <row r="60" spans="1:8">
      <c r="A60" s="1"/>
      <c r="B60" s="1"/>
      <c r="C60" s="1"/>
      <c r="D60" s="1"/>
      <c r="E60" s="1"/>
      <c r="F60" s="1"/>
      <c r="G60" s="1"/>
      <c r="H60" s="1"/>
    </row>
    <row r="61" spans="1:8">
      <c r="A61" s="1"/>
      <c r="B61" s="1"/>
      <c r="C61" s="1"/>
      <c r="D61" s="1"/>
      <c r="E61" s="1"/>
      <c r="F61" s="1"/>
      <c r="G61" s="1"/>
      <c r="H61" s="1"/>
    </row>
    <row r="62" spans="1:8">
      <c r="A62" s="1"/>
      <c r="B62" s="1"/>
      <c r="C62" s="1"/>
      <c r="D62" s="1"/>
      <c r="E62" s="1"/>
      <c r="F62" s="1"/>
      <c r="G62" s="1"/>
      <c r="H62" s="1"/>
    </row>
  </sheetData>
  <mergeCells count="15">
    <mergeCell ref="A48:H49"/>
    <mergeCell ref="A51:H51"/>
    <mergeCell ref="A52:H53"/>
    <mergeCell ref="A55:H55"/>
    <mergeCell ref="A56:H57"/>
    <mergeCell ref="A39:H39"/>
    <mergeCell ref="A40:H41"/>
    <mergeCell ref="A43:H43"/>
    <mergeCell ref="A44:H45"/>
    <mergeCell ref="A47:H47"/>
    <mergeCell ref="A1:H1"/>
    <mergeCell ref="A3:H3"/>
    <mergeCell ref="A5:F5"/>
    <mergeCell ref="A15:F15"/>
    <mergeCell ref="A38:H3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44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4"/>
  <cols>
    <col min="1" max="1" width="38" customWidth="1"/>
    <col min="2" max="4" width="19" customWidth="1"/>
    <col min="5" max="5" width="14" customWidth="1"/>
    <col min="6" max="6" width="16" customWidth="1"/>
    <col min="7" max="7" width="45" customWidth="1"/>
  </cols>
  <sheetData>
    <row r="1" spans="1:7" ht="30" customHeight="1">
      <c r="A1" s="46" t="s">
        <v>402</v>
      </c>
      <c r="B1" s="46"/>
      <c r="C1" s="46"/>
      <c r="D1" s="46"/>
      <c r="E1" s="46"/>
      <c r="F1" s="46"/>
      <c r="G1" s="46"/>
    </row>
    <row r="2" spans="1:7">
      <c r="A2" s="1"/>
      <c r="B2" s="1"/>
      <c r="C2" s="1"/>
      <c r="D2" s="1"/>
      <c r="E2" s="1"/>
      <c r="F2" s="1"/>
      <c r="G2" s="1"/>
    </row>
    <row r="3" spans="1:7" ht="16">
      <c r="A3" s="42" t="s">
        <v>403</v>
      </c>
      <c r="B3" s="74" t="str">
        <f>IF(COUNTIF(F7:F39,"CHECK")&gt;0,"FAIL",IF(COUNTIF(F7:F39,"COMPLETE")&gt;0,"COMPLETE MODEL","PASS"))</f>
        <v>COMPLETE MODEL</v>
      </c>
      <c r="C3" s="74"/>
      <c r="D3" s="74"/>
      <c r="E3" s="1"/>
      <c r="F3" s="1"/>
      <c r="G3" s="1"/>
    </row>
    <row r="4" spans="1:7">
      <c r="A4" s="1"/>
      <c r="B4" s="1"/>
      <c r="C4" s="1"/>
      <c r="D4" s="1"/>
      <c r="E4" s="1"/>
      <c r="F4" s="1"/>
      <c r="G4" s="1"/>
    </row>
    <row r="5" spans="1:7" ht="22" customHeight="1">
      <c r="A5" s="57" t="s">
        <v>404</v>
      </c>
      <c r="B5" s="57"/>
      <c r="C5" s="57"/>
      <c r="D5" s="57"/>
      <c r="E5" s="57"/>
      <c r="F5" s="57"/>
      <c r="G5" s="57"/>
    </row>
    <row r="6" spans="1:7" ht="27" customHeight="1">
      <c r="A6" s="5" t="s">
        <v>14</v>
      </c>
      <c r="B6" s="5" t="s">
        <v>405</v>
      </c>
      <c r="C6" s="5" t="s">
        <v>406</v>
      </c>
      <c r="D6" s="5" t="s">
        <v>407</v>
      </c>
      <c r="E6" s="5" t="s">
        <v>408</v>
      </c>
      <c r="F6" s="5" t="s">
        <v>409</v>
      </c>
      <c r="G6" s="5" t="s">
        <v>410</v>
      </c>
    </row>
    <row r="7" spans="1:7" ht="27" customHeight="1">
      <c r="A7" s="1" t="s">
        <v>411</v>
      </c>
      <c r="B7" s="43" t="str">
        <f>IF(ISBLANK('1 Assumptions-Baseline'!B31),"",'1 Assumptions-Baseline'!B31)</f>
        <v/>
      </c>
      <c r="C7" s="43" t="str">
        <f>IF(ISBLANK('1 Assumptions-Baseline'!F34),"",'1 Assumptions-Baseline'!F34)</f>
        <v/>
      </c>
      <c r="D7" s="43" t="str">
        <f t="shared" ref="D7:D39" si="0">IF(OR(NOT(ISNUMBER(B7)),NOT(ISNUMBER(C7))),"",B7-C7)</f>
        <v/>
      </c>
      <c r="E7" s="43">
        <v>0.1</v>
      </c>
      <c r="F7" s="3" t="str">
        <f t="shared" ref="F7:F39" si="1">IF(OR(NOT(ISNUMBER(B7)),NOT(ISNUMBER(C7))),"COMPLETE",IF(ABS(D7)&lt;=E7,"OK","CHECK"))</f>
        <v>COMPLETE</v>
      </c>
      <c r="G7" s="4" t="s">
        <v>412</v>
      </c>
    </row>
    <row r="8" spans="1:7" ht="27" customHeight="1">
      <c r="A8" s="1" t="s">
        <v>413</v>
      </c>
      <c r="B8" s="43">
        <f>'1 Assumptions-Baseline'!B16</f>
        <v>0</v>
      </c>
      <c r="C8" s="43" t="str">
        <f>IF('1 Assumptions-Baseline'!B14="","",MAX('1 Assumptions-Baseline'!B14,0)*'1 Assumptions-Baseline'!B15)</f>
        <v/>
      </c>
      <c r="D8" s="43" t="str">
        <f t="shared" si="0"/>
        <v/>
      </c>
      <c r="E8" s="43">
        <v>0.1</v>
      </c>
      <c r="F8" s="3" t="str">
        <f t="shared" si="1"/>
        <v>COMPLETE</v>
      </c>
      <c r="G8" s="4" t="s">
        <v>414</v>
      </c>
    </row>
    <row r="9" spans="1:7" ht="27" customHeight="1">
      <c r="A9" s="1" t="s">
        <v>415</v>
      </c>
      <c r="B9" s="43">
        <f>'1 Assumptions-Baseline'!B17</f>
        <v>0</v>
      </c>
      <c r="C9" s="43" t="str">
        <f>IF(OR('1 Assumptions-Baseline'!B14="",'1 Assumptions-Baseline'!B16=""),"",'1 Assumptions-Baseline'!B14-'1 Assumptions-Baseline'!B16)</f>
        <v/>
      </c>
      <c r="D9" s="43" t="str">
        <f t="shared" si="0"/>
        <v/>
      </c>
      <c r="E9" s="43">
        <v>0.1</v>
      </c>
      <c r="F9" s="3" t="str">
        <f t="shared" si="1"/>
        <v>COMPLETE</v>
      </c>
      <c r="G9" s="4" t="s">
        <v>416</v>
      </c>
    </row>
    <row r="10" spans="1:7" ht="27" customHeight="1">
      <c r="A10" s="1" t="s">
        <v>417</v>
      </c>
      <c r="B10" s="43">
        <f>'1 Assumptions-Baseline'!B19</f>
        <v>0</v>
      </c>
      <c r="C10" s="43" t="str">
        <f>IF(OR('1 Assumptions-Baseline'!B17="",'1 Assumptions-Baseline'!B18=""),"",'1 Assumptions-Baseline'!B17/'1 Assumptions-Baseline'!B18)</f>
        <v/>
      </c>
      <c r="D10" s="43" t="str">
        <f t="shared" si="0"/>
        <v/>
      </c>
      <c r="E10" s="43">
        <v>1E-4</v>
      </c>
      <c r="F10" s="3" t="str">
        <f t="shared" si="1"/>
        <v>COMPLETE</v>
      </c>
      <c r="G10" s="4" t="s">
        <v>418</v>
      </c>
    </row>
    <row r="11" spans="1:7" ht="27" customHeight="1">
      <c r="A11" s="1" t="s">
        <v>419</v>
      </c>
      <c r="B11" s="43" t="str">
        <f>IF(ISBLANK('2 Bond Pricing'!B24),"",'2 Bond Pricing'!B24)</f>
        <v/>
      </c>
      <c r="C11" s="43">
        <f>0</f>
        <v>0</v>
      </c>
      <c r="D11" s="43" t="str">
        <f t="shared" si="0"/>
        <v/>
      </c>
      <c r="E11" s="43">
        <v>0.01</v>
      </c>
      <c r="F11" s="3" t="str">
        <f t="shared" si="1"/>
        <v>COMPLETE</v>
      </c>
      <c r="G11" s="4" t="s">
        <v>420</v>
      </c>
    </row>
    <row r="12" spans="1:7" ht="27" customHeight="1">
      <c r="A12" s="1" t="s">
        <v>421</v>
      </c>
      <c r="B12" s="43">
        <f>'2 Bond Pricing'!B25</f>
        <v>0</v>
      </c>
      <c r="C12" s="43" t="str">
        <f>IF('2 Bond Pricing'!B22="","",'2 Bond Pricing'!B22*'2 Bond Pricing'!B8/1000)</f>
        <v/>
      </c>
      <c r="D12" s="43" t="str">
        <f t="shared" si="0"/>
        <v/>
      </c>
      <c r="E12" s="43">
        <v>0.1</v>
      </c>
      <c r="F12" s="3" t="str">
        <f t="shared" si="1"/>
        <v>COMPLETE</v>
      </c>
      <c r="G12" s="4" t="s">
        <v>245</v>
      </c>
    </row>
    <row r="13" spans="1:7" ht="27" customHeight="1">
      <c r="A13" s="1" t="s">
        <v>422</v>
      </c>
      <c r="B13" s="43" t="str">
        <f>IF(ISBLANK('3 Sources-Uses'!B14),"",'3 Sources-Uses'!B14)</f>
        <v/>
      </c>
      <c r="C13" s="43">
        <f>0</f>
        <v>0</v>
      </c>
      <c r="D13" s="43" t="str">
        <f t="shared" si="0"/>
        <v/>
      </c>
      <c r="E13" s="43">
        <v>0.1</v>
      </c>
      <c r="F13" s="3" t="str">
        <f t="shared" si="1"/>
        <v>COMPLETE</v>
      </c>
      <c r="G13" s="4" t="s">
        <v>423</v>
      </c>
    </row>
    <row r="14" spans="1:7" ht="27" customHeight="1">
      <c r="A14" s="1" t="s">
        <v>424</v>
      </c>
      <c r="B14" s="43" t="str">
        <f>IF(ISBLANK('3 Sources-Uses'!C14),"",'3 Sources-Uses'!C14)</f>
        <v/>
      </c>
      <c r="C14" s="43">
        <f>0</f>
        <v>0</v>
      </c>
      <c r="D14" s="43" t="str">
        <f t="shared" si="0"/>
        <v/>
      </c>
      <c r="E14" s="43">
        <v>0.1</v>
      </c>
      <c r="F14" s="3" t="str">
        <f t="shared" si="1"/>
        <v>COMPLETE</v>
      </c>
      <c r="G14" s="4" t="s">
        <v>423</v>
      </c>
    </row>
    <row r="15" spans="1:7" ht="27" customHeight="1">
      <c r="A15" s="1" t="s">
        <v>425</v>
      </c>
      <c r="B15" s="43" t="str">
        <f>IF(ISBLANK('3 Sources-Uses'!D14),"",'3 Sources-Uses'!D14)</f>
        <v/>
      </c>
      <c r="C15" s="43">
        <f>0</f>
        <v>0</v>
      </c>
      <c r="D15" s="43" t="str">
        <f t="shared" si="0"/>
        <v/>
      </c>
      <c r="E15" s="43">
        <v>0.1</v>
      </c>
      <c r="F15" s="3" t="str">
        <f t="shared" si="1"/>
        <v>COMPLETE</v>
      </c>
      <c r="G15" s="4" t="s">
        <v>423</v>
      </c>
    </row>
    <row r="16" spans="1:7" ht="27" customHeight="1">
      <c r="A16" s="1" t="s">
        <v>426</v>
      </c>
      <c r="B16" s="43" t="str">
        <f>IF(ISBLANK('3 Sources-Uses'!B18),"",'3 Sources-Uses'!B18)</f>
        <v/>
      </c>
      <c r="C16" s="43">
        <f>0</f>
        <v>0</v>
      </c>
      <c r="D16" s="43" t="str">
        <f t="shared" si="0"/>
        <v/>
      </c>
      <c r="E16" s="43">
        <v>0.1</v>
      </c>
      <c r="F16" s="3" t="str">
        <f t="shared" si="1"/>
        <v>COMPLETE</v>
      </c>
      <c r="G16" s="4" t="s">
        <v>427</v>
      </c>
    </row>
    <row r="17" spans="1:7" ht="27" customHeight="1">
      <c r="A17" s="1" t="s">
        <v>428</v>
      </c>
      <c r="B17" s="43" t="str">
        <f>IF(ISBLANK('3 Sources-Uses'!C18),"",'3 Sources-Uses'!C18)</f>
        <v/>
      </c>
      <c r="C17" s="43">
        <f>0</f>
        <v>0</v>
      </c>
      <c r="D17" s="43" t="str">
        <f t="shared" si="0"/>
        <v/>
      </c>
      <c r="E17" s="43">
        <v>0.1</v>
      </c>
      <c r="F17" s="3" t="str">
        <f t="shared" si="1"/>
        <v>COMPLETE</v>
      </c>
      <c r="G17" s="4" t="s">
        <v>427</v>
      </c>
    </row>
    <row r="18" spans="1:7" ht="27" customHeight="1">
      <c r="A18" s="1" t="s">
        <v>429</v>
      </c>
      <c r="B18" s="43" t="str">
        <f>IF(ISBLANK('3 Sources-Uses'!D18),"",'3 Sources-Uses'!D18)</f>
        <v/>
      </c>
      <c r="C18" s="43">
        <f>0</f>
        <v>0</v>
      </c>
      <c r="D18" s="43" t="str">
        <f t="shared" si="0"/>
        <v/>
      </c>
      <c r="E18" s="43">
        <v>0.1</v>
      </c>
      <c r="F18" s="3" t="str">
        <f t="shared" si="1"/>
        <v>COMPLETE</v>
      </c>
      <c r="G18" s="4" t="s">
        <v>427</v>
      </c>
    </row>
    <row r="19" spans="1:7" ht="27" customHeight="1">
      <c r="A19" s="1" t="s">
        <v>430</v>
      </c>
      <c r="B19" s="43" t="str">
        <f>IF(ISBLANK('3 Sources-Uses'!B30),"",'3 Sources-Uses'!B30)</f>
        <v/>
      </c>
      <c r="C19" s="43">
        <f>0</f>
        <v>0</v>
      </c>
      <c r="D19" s="43" t="str">
        <f t="shared" si="0"/>
        <v/>
      </c>
      <c r="E19" s="43">
        <v>0.1</v>
      </c>
      <c r="F19" s="3" t="str">
        <f t="shared" si="1"/>
        <v>COMPLETE</v>
      </c>
      <c r="G19" s="4" t="s">
        <v>431</v>
      </c>
    </row>
    <row r="20" spans="1:7" ht="27" customHeight="1">
      <c r="A20" s="1" t="s">
        <v>432</v>
      </c>
      <c r="B20" s="43" t="str">
        <f>IF(ISBLANK('3 Sources-Uses'!C30),"",'3 Sources-Uses'!C30)</f>
        <v/>
      </c>
      <c r="C20" s="43">
        <f>0</f>
        <v>0</v>
      </c>
      <c r="D20" s="43" t="str">
        <f t="shared" si="0"/>
        <v/>
      </c>
      <c r="E20" s="43">
        <v>0.1</v>
      </c>
      <c r="F20" s="3" t="str">
        <f t="shared" si="1"/>
        <v>COMPLETE</v>
      </c>
      <c r="G20" s="4" t="s">
        <v>431</v>
      </c>
    </row>
    <row r="21" spans="1:7" ht="27" customHeight="1">
      <c r="A21" s="1" t="s">
        <v>433</v>
      </c>
      <c r="B21" s="43" t="str">
        <f>IF(ISBLANK('3 Sources-Uses'!D30),"",'3 Sources-Uses'!D30)</f>
        <v/>
      </c>
      <c r="C21" s="43">
        <f>0</f>
        <v>0</v>
      </c>
      <c r="D21" s="43" t="str">
        <f t="shared" si="0"/>
        <v/>
      </c>
      <c r="E21" s="43">
        <v>0.1</v>
      </c>
      <c r="F21" s="3" t="str">
        <f t="shared" si="1"/>
        <v>COMPLETE</v>
      </c>
      <c r="G21" s="4" t="s">
        <v>431</v>
      </c>
    </row>
    <row r="22" spans="1:7" ht="27" customHeight="1">
      <c r="A22" s="1" t="s">
        <v>434</v>
      </c>
      <c r="B22" s="43" t="str">
        <f>IF(ISBLANK('4 Scenario Impact'!C27),"",'4 Scenario Impact'!C27)</f>
        <v/>
      </c>
      <c r="C22" s="43">
        <f>0</f>
        <v>0</v>
      </c>
      <c r="D22" s="43" t="str">
        <f t="shared" si="0"/>
        <v/>
      </c>
      <c r="E22" s="43">
        <v>0.1</v>
      </c>
      <c r="F22" s="3" t="str">
        <f t="shared" si="1"/>
        <v>COMPLETE</v>
      </c>
      <c r="G22" s="4" t="s">
        <v>435</v>
      </c>
    </row>
    <row r="23" spans="1:7" ht="27" customHeight="1">
      <c r="A23" s="1" t="s">
        <v>436</v>
      </c>
      <c r="B23" s="43" t="str">
        <f>IF(ISBLANK('4 Scenario Impact'!D27),"",'4 Scenario Impact'!D27)</f>
        <v/>
      </c>
      <c r="C23" s="43">
        <f>0</f>
        <v>0</v>
      </c>
      <c r="D23" s="43" t="str">
        <f t="shared" si="0"/>
        <v/>
      </c>
      <c r="E23" s="43">
        <v>0.1</v>
      </c>
      <c r="F23" s="3" t="str">
        <f t="shared" si="1"/>
        <v>COMPLETE</v>
      </c>
      <c r="G23" s="4" t="s">
        <v>435</v>
      </c>
    </row>
    <row r="24" spans="1:7" ht="27" customHeight="1">
      <c r="A24" s="1" t="s">
        <v>437</v>
      </c>
      <c r="B24" s="43" t="str">
        <f>IF(ISBLANK('4 Scenario Impact'!E27),"",'4 Scenario Impact'!E27)</f>
        <v/>
      </c>
      <c r="C24" s="43">
        <f>0</f>
        <v>0</v>
      </c>
      <c r="D24" s="43" t="str">
        <f t="shared" si="0"/>
        <v/>
      </c>
      <c r="E24" s="43">
        <v>0.1</v>
      </c>
      <c r="F24" s="3" t="str">
        <f t="shared" si="1"/>
        <v>COMPLETE</v>
      </c>
      <c r="G24" s="4" t="s">
        <v>435</v>
      </c>
    </row>
    <row r="25" spans="1:7" ht="27" customHeight="1">
      <c r="A25" s="1" t="s">
        <v>438</v>
      </c>
      <c r="B25" s="43" t="str">
        <f>IF(ISBLANK('3 Sources-Uses'!B24),"",'3 Sources-Uses'!B24)</f>
        <v/>
      </c>
      <c r="C25" s="43" t="str">
        <f>IF(OR(ISBLANK('3 Sources-Uses'!B22),ISBLANK('3 Sources-Uses'!B23)),"",'3 Sources-Uses'!B22-'3 Sources-Uses'!B23)</f>
        <v/>
      </c>
      <c r="D25" s="43" t="str">
        <f t="shared" si="0"/>
        <v/>
      </c>
      <c r="E25" s="43">
        <v>0.1</v>
      </c>
      <c r="F25" s="3" t="str">
        <f t="shared" si="1"/>
        <v>COMPLETE</v>
      </c>
      <c r="G25" s="4" t="s">
        <v>439</v>
      </c>
    </row>
    <row r="26" spans="1:7" ht="27" customHeight="1">
      <c r="A26" s="1" t="s">
        <v>440</v>
      </c>
      <c r="B26" s="43" t="str">
        <f>IF(ISBLANK('3 Sources-Uses'!C24),"",'3 Sources-Uses'!C24)</f>
        <v/>
      </c>
      <c r="C26" s="43" t="str">
        <f>IF(OR(ISBLANK('3 Sources-Uses'!C22),ISBLANK('3 Sources-Uses'!C23)),"",'3 Sources-Uses'!C22-'3 Sources-Uses'!C23)</f>
        <v/>
      </c>
      <c r="D26" s="43" t="str">
        <f t="shared" si="0"/>
        <v/>
      </c>
      <c r="E26" s="43">
        <v>0.1</v>
      </c>
      <c r="F26" s="3" t="str">
        <f t="shared" si="1"/>
        <v>COMPLETE</v>
      </c>
      <c r="G26" s="4" t="s">
        <v>439</v>
      </c>
    </row>
    <row r="27" spans="1:7" ht="27" customHeight="1">
      <c r="A27" s="1" t="s">
        <v>441</v>
      </c>
      <c r="B27" s="43" t="str">
        <f>IF(ISBLANK('3 Sources-Uses'!D24),"",'3 Sources-Uses'!D24)</f>
        <v/>
      </c>
      <c r="C27" s="43" t="str">
        <f>IF(OR(ISBLANK('3 Sources-Uses'!D22),ISBLANK('3 Sources-Uses'!D23)),"",'3 Sources-Uses'!D22-'3 Sources-Uses'!D23)</f>
        <v/>
      </c>
      <c r="D27" s="43" t="str">
        <f t="shared" si="0"/>
        <v/>
      </c>
      <c r="E27" s="43">
        <v>0.1</v>
      </c>
      <c r="F27" s="3" t="str">
        <f t="shared" si="1"/>
        <v>COMPLETE</v>
      </c>
      <c r="G27" s="4" t="s">
        <v>439</v>
      </c>
    </row>
    <row r="28" spans="1:7" ht="27" customHeight="1">
      <c r="A28" s="1" t="s">
        <v>442</v>
      </c>
      <c r="B28" s="43">
        <f>'4 Scenario Impact'!C38</f>
        <v>0</v>
      </c>
      <c r="C28" s="43" t="str">
        <f>IF(COUNT('4 Scenario Impact'!C35:C37)&lt;3,"",SUM('4 Scenario Impact'!C35:C37))</f>
        <v/>
      </c>
      <c r="D28" s="43" t="str">
        <f t="shared" si="0"/>
        <v/>
      </c>
      <c r="E28" s="43">
        <v>0.1</v>
      </c>
      <c r="F28" s="3" t="str">
        <f t="shared" si="1"/>
        <v>COMPLETE</v>
      </c>
      <c r="G28" s="4" t="s">
        <v>443</v>
      </c>
    </row>
    <row r="29" spans="1:7" ht="27" customHeight="1">
      <c r="A29" s="1" t="s">
        <v>444</v>
      </c>
      <c r="B29" s="43">
        <f>'4 Scenario Impact'!D38</f>
        <v>0</v>
      </c>
      <c r="C29" s="43" t="str">
        <f>IF(COUNT('4 Scenario Impact'!D35:D37)&lt;3,"",SUM('4 Scenario Impact'!D35:D37))</f>
        <v/>
      </c>
      <c r="D29" s="43" t="str">
        <f t="shared" si="0"/>
        <v/>
      </c>
      <c r="E29" s="43">
        <v>0.1</v>
      </c>
      <c r="F29" s="3" t="str">
        <f t="shared" si="1"/>
        <v>COMPLETE</v>
      </c>
      <c r="G29" s="4" t="s">
        <v>443</v>
      </c>
    </row>
    <row r="30" spans="1:7" ht="27" customHeight="1">
      <c r="A30" s="1" t="s">
        <v>445</v>
      </c>
      <c r="B30" s="43">
        <f>'4 Scenario Impact'!E38</f>
        <v>0</v>
      </c>
      <c r="C30" s="43" t="str">
        <f>IF(COUNT('4 Scenario Impact'!E35:E37)&lt;3,"",SUM('4 Scenario Impact'!E35:E37))</f>
        <v/>
      </c>
      <c r="D30" s="43" t="str">
        <f t="shared" si="0"/>
        <v/>
      </c>
      <c r="E30" s="43">
        <v>0.1</v>
      </c>
      <c r="F30" s="3" t="str">
        <f t="shared" si="1"/>
        <v>COMPLETE</v>
      </c>
      <c r="G30" s="4" t="s">
        <v>443</v>
      </c>
    </row>
    <row r="31" spans="1:7" ht="27" customHeight="1">
      <c r="A31" s="1" t="s">
        <v>446</v>
      </c>
      <c r="B31" s="43">
        <f>'4 Scenario Impact'!C41</f>
        <v>0</v>
      </c>
      <c r="C31" s="43" t="str">
        <f>IF(OR('4 Scenario Impact'!C39="",'4 Scenario Impact'!C40=""),"",'4 Scenario Impact'!C39-'4 Scenario Impact'!C40)</f>
        <v/>
      </c>
      <c r="D31" s="43" t="str">
        <f t="shared" si="0"/>
        <v/>
      </c>
      <c r="E31" s="43">
        <v>0.1</v>
      </c>
      <c r="F31" s="3" t="str">
        <f t="shared" si="1"/>
        <v>COMPLETE</v>
      </c>
      <c r="G31" s="4" t="s">
        <v>447</v>
      </c>
    </row>
    <row r="32" spans="1:7" ht="27" customHeight="1">
      <c r="A32" s="1" t="s">
        <v>448</v>
      </c>
      <c r="B32" s="43">
        <f>'4 Scenario Impact'!D41</f>
        <v>0</v>
      </c>
      <c r="C32" s="43" t="str">
        <f>IF(OR('4 Scenario Impact'!D39="",'4 Scenario Impact'!D40=""),"",'4 Scenario Impact'!D39-'4 Scenario Impact'!D40)</f>
        <v/>
      </c>
      <c r="D32" s="43" t="str">
        <f t="shared" si="0"/>
        <v/>
      </c>
      <c r="E32" s="43">
        <v>0.1</v>
      </c>
      <c r="F32" s="3" t="str">
        <f t="shared" si="1"/>
        <v>COMPLETE</v>
      </c>
      <c r="G32" s="4" t="s">
        <v>447</v>
      </c>
    </row>
    <row r="33" spans="1:7" ht="27" customHeight="1">
      <c r="A33" s="1" t="s">
        <v>449</v>
      </c>
      <c r="B33" s="43">
        <f>'4 Scenario Impact'!E41</f>
        <v>0</v>
      </c>
      <c r="C33" s="43" t="str">
        <f>IF(OR('4 Scenario Impact'!E39="",'4 Scenario Impact'!E40=""),"",'4 Scenario Impact'!E39-'4 Scenario Impact'!E40)</f>
        <v/>
      </c>
      <c r="D33" s="43" t="str">
        <f t="shared" si="0"/>
        <v/>
      </c>
      <c r="E33" s="43">
        <v>0.1</v>
      </c>
      <c r="F33" s="3" t="str">
        <f t="shared" si="1"/>
        <v>COMPLETE</v>
      </c>
      <c r="G33" s="4" t="s">
        <v>447</v>
      </c>
    </row>
    <row r="34" spans="1:7" ht="27" customHeight="1">
      <c r="A34" s="1" t="s">
        <v>450</v>
      </c>
      <c r="B34" s="43" t="str">
        <f>IF(ISBLANK('4 Scenario Impact'!C25),"",'4 Scenario Impact'!C25)</f>
        <v/>
      </c>
      <c r="C34" s="43">
        <f>IF(ISBLANK('4 Scenario Impact'!B25),"",'4 Scenario Impact'!B25)</f>
        <v>0</v>
      </c>
      <c r="D34" s="43" t="str">
        <f t="shared" si="0"/>
        <v/>
      </c>
      <c r="E34" s="43">
        <v>0.1</v>
      </c>
      <c r="F34" s="3" t="str">
        <f t="shared" si="1"/>
        <v>COMPLETE</v>
      </c>
      <c r="G34" s="4" t="s">
        <v>451</v>
      </c>
    </row>
    <row r="35" spans="1:7" ht="27" customHeight="1">
      <c r="A35" s="1" t="s">
        <v>452</v>
      </c>
      <c r="B35" s="43" t="str">
        <f>IF(ISBLANK('4 Scenario Impact'!D25),"",'4 Scenario Impact'!D25)</f>
        <v/>
      </c>
      <c r="C35" s="43">
        <f>IF(ISBLANK('4 Scenario Impact'!B25),"",'4 Scenario Impact'!B25)</f>
        <v>0</v>
      </c>
      <c r="D35" s="43" t="str">
        <f t="shared" si="0"/>
        <v/>
      </c>
      <c r="E35" s="43">
        <v>0.1</v>
      </c>
      <c r="F35" s="3" t="str">
        <f t="shared" si="1"/>
        <v>COMPLETE</v>
      </c>
      <c r="G35" s="4" t="s">
        <v>451</v>
      </c>
    </row>
    <row r="36" spans="1:7" ht="27" customHeight="1">
      <c r="A36" s="1" t="s">
        <v>453</v>
      </c>
      <c r="B36" s="43" t="str">
        <f>IF(ISBLANK('4 Scenario Impact'!E25),"",'4 Scenario Impact'!E25)</f>
        <v/>
      </c>
      <c r="C36" s="43">
        <f>IF(ISBLANK('4 Scenario Impact'!B25),"",'4 Scenario Impact'!B25)</f>
        <v>0</v>
      </c>
      <c r="D36" s="43" t="str">
        <f t="shared" si="0"/>
        <v/>
      </c>
      <c r="E36" s="43">
        <v>0.1</v>
      </c>
      <c r="F36" s="3" t="str">
        <f t="shared" si="1"/>
        <v>COMPLETE</v>
      </c>
      <c r="G36" s="4" t="s">
        <v>451</v>
      </c>
    </row>
    <row r="37" spans="1:7" ht="27" customHeight="1">
      <c r="A37" s="1" t="s">
        <v>454</v>
      </c>
      <c r="B37" s="44" t="str">
        <f>IF(ISBLANK('2 Bond Pricing'!B31),"",'2 Bond Pricing'!B31)</f>
        <v/>
      </c>
      <c r="C37" s="44" t="str">
        <f>IF(ISBLANK('2 Bond Pricing'!B32),"",'2 Bond Pricing'!B32)</f>
        <v/>
      </c>
      <c r="D37" s="44" t="str">
        <f t="shared" si="0"/>
        <v/>
      </c>
      <c r="E37" s="44">
        <v>9.9999999999999995E-7</v>
      </c>
      <c r="F37" s="3" t="str">
        <f t="shared" si="1"/>
        <v>COMPLETE</v>
      </c>
      <c r="G37" s="4" t="s">
        <v>455</v>
      </c>
    </row>
    <row r="38" spans="1:7" ht="27" customHeight="1">
      <c r="A38" s="1" t="s">
        <v>456</v>
      </c>
      <c r="B38" s="43" t="str">
        <f>IF(ISBLANK('5 Capacity-Decision'!B34),"",'5 Capacity-Decision'!B34)</f>
        <v/>
      </c>
      <c r="C38" s="43">
        <f>0</f>
        <v>0</v>
      </c>
      <c r="D38" s="43" t="str">
        <f t="shared" si="0"/>
        <v/>
      </c>
      <c r="E38" s="43">
        <v>0.1</v>
      </c>
      <c r="F38" s="3" t="str">
        <f t="shared" si="1"/>
        <v>COMPLETE</v>
      </c>
      <c r="G38" s="4" t="s">
        <v>457</v>
      </c>
    </row>
    <row r="39" spans="1:7" ht="27" customHeight="1">
      <c r="A39" s="1" t="s">
        <v>458</v>
      </c>
      <c r="B39" s="45" t="str">
        <f>IF(ISBLANK('5 Capacity-Decision'!B35),"",'5 Capacity-Decision'!B35)</f>
        <v/>
      </c>
      <c r="C39" s="45">
        <f>'1 Assumptions-Baseline'!F48</f>
        <v>3</v>
      </c>
      <c r="D39" s="45" t="str">
        <f t="shared" si="0"/>
        <v/>
      </c>
      <c r="E39" s="45">
        <v>1E-4</v>
      </c>
      <c r="F39" s="3" t="str">
        <f t="shared" si="1"/>
        <v>COMPLETE</v>
      </c>
      <c r="G39" s="4" t="s">
        <v>459</v>
      </c>
    </row>
    <row r="40" spans="1:7">
      <c r="A40" s="1"/>
      <c r="B40" s="1"/>
      <c r="C40" s="1"/>
      <c r="D40" s="1"/>
      <c r="E40" s="1"/>
      <c r="F40" s="1"/>
      <c r="G40" s="1"/>
    </row>
    <row r="41" spans="1:7">
      <c r="A41" s="58" t="s">
        <v>460</v>
      </c>
      <c r="B41" s="59"/>
      <c r="C41" s="59"/>
      <c r="D41" s="59"/>
      <c r="E41" s="59"/>
      <c r="F41" s="59"/>
      <c r="G41" s="60"/>
    </row>
    <row r="42" spans="1:7">
      <c r="A42" s="61"/>
      <c r="B42" s="62"/>
      <c r="C42" s="62"/>
      <c r="D42" s="62"/>
      <c r="E42" s="62"/>
      <c r="F42" s="62"/>
      <c r="G42" s="63"/>
    </row>
    <row r="43" spans="1:7">
      <c r="A43" s="61"/>
      <c r="B43" s="62"/>
      <c r="C43" s="62"/>
      <c r="D43" s="62"/>
      <c r="E43" s="62"/>
      <c r="F43" s="62"/>
      <c r="G43" s="63"/>
    </row>
    <row r="44" spans="1:7">
      <c r="A44" s="64"/>
      <c r="B44" s="65"/>
      <c r="C44" s="65"/>
      <c r="D44" s="65"/>
      <c r="E44" s="65"/>
      <c r="F44" s="65"/>
      <c r="G44" s="66"/>
    </row>
  </sheetData>
  <mergeCells count="4">
    <mergeCell ref="A1:G1"/>
    <mergeCell ref="B3:D3"/>
    <mergeCell ref="A5:G5"/>
    <mergeCell ref="A41:G44"/>
  </mergeCells>
  <conditionalFormatting sqref="F7:F39">
    <cfRule type="containsText" dxfId="2" priority="1" operator="containsText" text="OK"/>
    <cfRule type="containsText" dxfId="1" priority="2" operator="containsText" text="CHECK"/>
    <cfRule type="containsText" dxfId="0" priority="3" operator="containsText" text="COMPLETE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5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4"/>
  <cols>
    <col min="1" max="1" width="32" customWidth="1"/>
    <col min="2" max="2" width="55" customWidth="1"/>
    <col min="3" max="3" width="28" customWidth="1"/>
    <col min="4" max="4" width="42" customWidth="1"/>
    <col min="5" max="6" width="16" customWidth="1"/>
  </cols>
  <sheetData>
    <row r="1" spans="1:6" ht="30" customHeight="1">
      <c r="A1" s="46" t="s">
        <v>461</v>
      </c>
      <c r="B1" s="46"/>
      <c r="C1" s="46"/>
      <c r="D1" s="46"/>
      <c r="E1" s="46"/>
      <c r="F1" s="46"/>
    </row>
    <row r="2" spans="1:6">
      <c r="A2" s="1"/>
      <c r="B2" s="1"/>
      <c r="C2" s="1"/>
      <c r="D2" s="1"/>
      <c r="E2" s="1"/>
      <c r="F2" s="1"/>
    </row>
    <row r="3" spans="1:6">
      <c r="A3" s="75" t="s">
        <v>462</v>
      </c>
      <c r="B3" s="75"/>
      <c r="C3" s="75"/>
      <c r="D3" s="75"/>
      <c r="E3" s="75"/>
      <c r="F3" s="75"/>
    </row>
    <row r="4" spans="1:6">
      <c r="A4" s="1"/>
      <c r="B4" s="1"/>
      <c r="C4" s="1"/>
      <c r="D4" s="1"/>
      <c r="E4" s="1"/>
      <c r="F4" s="1"/>
    </row>
    <row r="5" spans="1:6" ht="15">
      <c r="A5" s="5" t="s">
        <v>463</v>
      </c>
      <c r="B5" s="5" t="s">
        <v>3</v>
      </c>
      <c r="C5" s="1"/>
      <c r="D5" s="1"/>
      <c r="E5" s="1"/>
      <c r="F5" s="1"/>
    </row>
    <row r="6" spans="1:6" ht="26" customHeight="1">
      <c r="A6" s="3">
        <v>1</v>
      </c>
      <c r="B6" s="3" t="s">
        <v>464</v>
      </c>
      <c r="C6" s="1"/>
      <c r="D6" s="1"/>
      <c r="E6" s="1"/>
      <c r="F6" s="1"/>
    </row>
    <row r="7" spans="1:6" ht="26" customHeight="1">
      <c r="A7" s="3">
        <v>2</v>
      </c>
      <c r="B7" s="3" t="s">
        <v>465</v>
      </c>
      <c r="C7" s="1"/>
      <c r="D7" s="1"/>
      <c r="E7" s="1"/>
      <c r="F7" s="1"/>
    </row>
    <row r="8" spans="1:6" ht="26" customHeight="1">
      <c r="A8" s="3">
        <v>3</v>
      </c>
      <c r="B8" s="3" t="s">
        <v>466</v>
      </c>
      <c r="C8" s="1"/>
      <c r="D8" s="1"/>
      <c r="E8" s="1"/>
      <c r="F8" s="1"/>
    </row>
    <row r="9" spans="1:6" ht="26" customHeight="1">
      <c r="A9" s="3">
        <v>4</v>
      </c>
      <c r="B9" s="3" t="s">
        <v>467</v>
      </c>
      <c r="C9" s="1"/>
      <c r="D9" s="1"/>
      <c r="E9" s="1"/>
      <c r="F9" s="1"/>
    </row>
    <row r="10" spans="1:6" ht="26" customHeight="1">
      <c r="A10" s="3">
        <v>5</v>
      </c>
      <c r="B10" s="3" t="s">
        <v>468</v>
      </c>
      <c r="C10" s="1"/>
      <c r="D10" s="1"/>
      <c r="E10" s="1"/>
      <c r="F10" s="1"/>
    </row>
    <row r="11" spans="1:6">
      <c r="A11" s="1"/>
      <c r="B11" s="1"/>
      <c r="C11" s="1"/>
      <c r="D11" s="1"/>
      <c r="E11" s="1"/>
      <c r="F11" s="1"/>
    </row>
    <row r="12" spans="1:6" ht="15">
      <c r="A12" s="5" t="s">
        <v>469</v>
      </c>
      <c r="B12" s="5" t="s">
        <v>470</v>
      </c>
      <c r="C12" s="5" t="s">
        <v>471</v>
      </c>
      <c r="D12" s="5" t="s">
        <v>472</v>
      </c>
      <c r="E12" s="1"/>
      <c r="F12" s="1"/>
    </row>
    <row r="13" spans="1:6" ht="28" customHeight="1">
      <c r="A13" s="1" t="s">
        <v>473</v>
      </c>
      <c r="B13" s="18"/>
      <c r="C13" s="18"/>
      <c r="D13" s="18"/>
      <c r="E13" s="1"/>
      <c r="F13" s="1"/>
    </row>
    <row r="14" spans="1:6" ht="28" customHeight="1">
      <c r="A14" s="1" t="s">
        <v>474</v>
      </c>
      <c r="B14" s="18"/>
      <c r="C14" s="18"/>
      <c r="D14" s="18"/>
      <c r="E14" s="1"/>
      <c r="F14" s="1"/>
    </row>
    <row r="15" spans="1:6" ht="28" customHeight="1">
      <c r="A15" s="1" t="s">
        <v>475</v>
      </c>
      <c r="B15" s="18"/>
      <c r="C15" s="18"/>
      <c r="D15" s="18"/>
      <c r="E15" s="1"/>
      <c r="F15" s="1"/>
    </row>
    <row r="16" spans="1:6" ht="28" customHeight="1">
      <c r="A16" s="1" t="s">
        <v>476</v>
      </c>
      <c r="B16" s="18"/>
      <c r="C16" s="18"/>
      <c r="D16" s="18"/>
      <c r="E16" s="1"/>
      <c r="F16" s="1"/>
    </row>
    <row r="17" spans="1:6" ht="28" customHeight="1">
      <c r="A17" s="1" t="s">
        <v>477</v>
      </c>
      <c r="B17" s="18"/>
      <c r="C17" s="18"/>
      <c r="D17" s="18"/>
      <c r="E17" s="1"/>
      <c r="F17" s="1"/>
    </row>
    <row r="18" spans="1:6">
      <c r="A18" s="1"/>
      <c r="B18" s="1"/>
      <c r="C18" s="1"/>
      <c r="D18" s="1"/>
      <c r="E18" s="1"/>
      <c r="F18" s="1"/>
    </row>
    <row r="19" spans="1:6" ht="15">
      <c r="A19" s="5" t="s">
        <v>478</v>
      </c>
      <c r="B19" s="5" t="s">
        <v>479</v>
      </c>
      <c r="C19" s="1"/>
      <c r="D19" s="1"/>
      <c r="E19" s="1"/>
      <c r="F19" s="1"/>
    </row>
    <row r="20" spans="1:6" ht="30" customHeight="1">
      <c r="A20" s="1" t="s">
        <v>480</v>
      </c>
      <c r="B20" s="18"/>
      <c r="C20" s="1"/>
      <c r="D20" s="1"/>
      <c r="E20" s="1"/>
      <c r="F20" s="1"/>
    </row>
    <row r="21" spans="1:6" ht="30" customHeight="1">
      <c r="A21" s="1" t="s">
        <v>481</v>
      </c>
      <c r="B21" s="18"/>
      <c r="C21" s="1"/>
      <c r="D21" s="1"/>
      <c r="E21" s="1"/>
      <c r="F21" s="1"/>
    </row>
    <row r="22" spans="1:6" ht="30" customHeight="1">
      <c r="A22" s="1" t="s">
        <v>482</v>
      </c>
      <c r="B22" s="18"/>
      <c r="C22" s="1"/>
      <c r="D22" s="1"/>
      <c r="E22" s="1"/>
      <c r="F22" s="1"/>
    </row>
    <row r="23" spans="1:6" ht="30" customHeight="1">
      <c r="A23" s="1" t="s">
        <v>483</v>
      </c>
      <c r="B23" s="18"/>
      <c r="C23" s="1"/>
      <c r="D23" s="1"/>
      <c r="E23" s="1"/>
      <c r="F23" s="1"/>
    </row>
    <row r="24" spans="1:6">
      <c r="A24" s="1"/>
      <c r="B24" s="1"/>
      <c r="C24" s="1"/>
      <c r="D24" s="1"/>
      <c r="E24" s="1"/>
      <c r="F24" s="1"/>
    </row>
    <row r="25" spans="1:6">
      <c r="A25" s="1"/>
      <c r="B25" s="1"/>
      <c r="C25" s="1"/>
      <c r="D25" s="1"/>
      <c r="E25" s="1"/>
      <c r="F25" s="1"/>
    </row>
  </sheetData>
  <mergeCells count="2">
    <mergeCell ref="A1:F1"/>
    <mergeCell ref="A3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Example 1 - At Par</vt:lpstr>
      <vt:lpstr>Example 2 - Premium</vt:lpstr>
      <vt:lpstr>Example 3 - Discount</vt:lpstr>
      <vt:lpstr>START HERE</vt:lpstr>
      <vt:lpstr>1 Assumptions-Baseline</vt:lpstr>
      <vt:lpstr>2 Bond Pricing</vt:lpstr>
      <vt:lpstr>3 Sources-Uses</vt:lpstr>
      <vt:lpstr>4 Scenario Impact</vt:lpstr>
      <vt:lpstr>5 Capacity-Decision</vt:lpstr>
      <vt:lpstr>6 Checks</vt:lpstr>
      <vt:lpstr>BUS311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Bethany Evitts</cp:lastModifiedBy>
  <dcterms:modified xsi:type="dcterms:W3CDTF">2026-09-29T22:14:10Z</dcterms:modified>
</cp:coreProperties>
</file>