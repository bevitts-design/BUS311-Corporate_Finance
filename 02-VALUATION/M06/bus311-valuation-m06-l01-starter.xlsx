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497086f6a14b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970e9f1f28fc46e8"/>
    <x:sheet xmlns:r="http://schemas.openxmlformats.org/officeDocument/2006/relationships" name="Example 1 - At Par" sheetId="2" r:id="R0e5861704b554f50"/>
    <x:sheet xmlns:r="http://schemas.openxmlformats.org/officeDocument/2006/relationships" name="Example 2 - Premium" sheetId="3" r:id="R74f165e6597b465c"/>
    <x:sheet xmlns:r="http://schemas.openxmlformats.org/officeDocument/2006/relationships" name="Example 3 - Discount" sheetId="4" r:id="Re7b44f1def7043ea"/>
    <x:sheet xmlns:r="http://schemas.openxmlformats.org/officeDocument/2006/relationships" name="1 Assumptions-Baseline" sheetId="5" r:id="Rab1492dd51a343c8"/>
    <x:sheet xmlns:r="http://schemas.openxmlformats.org/officeDocument/2006/relationships" name="2 Bond Pricing" sheetId="6" r:id="R4c741c6ea79e4e25"/>
    <x:sheet xmlns:r="http://schemas.openxmlformats.org/officeDocument/2006/relationships" name="3 Sources-Uses" sheetId="7" r:id="Rdaf022011f31496e"/>
    <x:sheet xmlns:r="http://schemas.openxmlformats.org/officeDocument/2006/relationships" name="4 Scenario Impact" sheetId="8" r:id="Rb675859985d84a16"/>
    <x:sheet xmlns:r="http://schemas.openxmlformats.org/officeDocument/2006/relationships" name="5 Capacity-Decision" sheetId="9" r:id="R11b7b95b30164578"/>
    <x:sheet xmlns:r="http://schemas.openxmlformats.org/officeDocument/2006/relationships" name="6 Checks" sheetId="10" r:id="Re0adc72e9d2f44fd"/>
    <x:sheet xmlns:r="http://schemas.openxmlformats.org/officeDocument/2006/relationships" name="BUS311 Guide" sheetId="11" r:id="Rb174bc1498d546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$#,##0.00;[Red]($#,##0.00);-"/>
    <x:numFmt numFmtId="201" formatCode="0.00%;[Red](0.00%);-"/>
    <x:numFmt numFmtId="202" formatCode="#,##0;[Red](#,##0);-"/>
    <x:numFmt numFmtId="203" formatCode="0.0000"/>
    <x:numFmt numFmtId="204" formatCode="@"/>
    <x:numFmt numFmtId="205" formatCode="$0.00;[Red]($0.00);-"/>
    <x:numFmt numFmtId="206" formatCode="yyyy-mm-dd"/>
    <x:numFmt numFmtId="207" formatCode="0.00x;[Red](0.00x);-"/>
    <x:numFmt numFmtId="208" formatCode="$#,##0.0;[Red]($#,##0.0);-"/>
  </x:numFmts>
  <x:fonts count="12">
    <x:font>
      <x:sz val="11"/>
      <x:name val="Carlito"/>
    </x:font>
    <x:font>
      <x:sz val="10"/>
      <x:color rgb="FF000000"/>
      <x:name val="Aptos"/>
    </x:font>
    <x:font>
      <x:b/>
      <x:sz val="17"/>
      <x:color rgb="FFD6B13F"/>
      <x:name val="Aptos"/>
    </x:font>
    <x:font>
      <x:b/>
      <x:sz val="10"/>
      <x:color rgb="FFFFFFFF"/>
      <x:name val="Aptos"/>
    </x:font>
    <x:font>
      <x:b/>
      <x:sz val="11"/>
      <x:color rgb="FFD6B13F"/>
      <x:name val="Aptos"/>
    </x:font>
    <x:font>
      <x:b/>
      <x:sz val="10"/>
      <x:color rgb="FF17365D"/>
      <x:name val="Aptos"/>
    </x:font>
    <x:font>
      <x:b/>
      <x:sz val="10"/>
      <x:color rgb="FF0000FF"/>
      <x:name val="Aptos"/>
    </x:font>
    <x:font>
      <x:b/>
      <x:sz val="10"/>
      <x:color rgb="FF000000"/>
      <x:name val="Aptos"/>
    </x:font>
    <x:font>
      <x:b/>
      <x:sz val="10"/>
      <x:color rgb="FF008000"/>
      <x:name val="Aptos"/>
    </x:font>
    <x:font>
      <x:sz val="10"/>
      <x:color rgb="FF0000FF"/>
      <x:name val="Aptos"/>
    </x:font>
    <x:font>
      <x:sz val="10"/>
      <x:color rgb="FF008000"/>
      <x:name val="Aptos"/>
    </x:font>
    <x:font>
      <x:b/>
      <x:sz val="12"/>
      <x:color rgb="FF000000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0213D"/>
      </x:patternFill>
    </x:fill>
    <x:fill>
      <x:patternFill patternType="solid">
        <x:fgColor rgb="FF9C4A2B"/>
      </x:patternFill>
    </x:fill>
    <x:fill>
      <x:patternFill patternType="solid">
        <x:fgColor rgb="FFFAF8F3"/>
      </x:patternFill>
    </x:fill>
    <x:fill>
      <x:patternFill patternType="solid">
        <x:fgColor rgb="FFDDEBF7"/>
      </x:patternFill>
    </x:fill>
    <x:fill>
      <x:patternFill patternType="solid">
        <x:fgColor rgb="FF30465B"/>
      </x:patternFill>
    </x:fill>
    <x:fill>
      <x:patternFill patternType="solid">
        <x:fgColor rgb="FFFFF07A"/>
      </x:patternFill>
    </x:fill>
    <x:fill>
      <x:patternFill patternType="solid">
        <x:fgColor rgb="FFF2EEE5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</x:fills>
  <x:borders count="18">
    <x:border/>
    <x:border>
      <x:left style="thin">
        <x:color rgb="FFB8BDC5"/>
      </x:left>
      <x:top style="thin">
        <x:color rgb="FFB8BDC5"/>
      </x:top>
    </x:border>
    <x:border>
      <x:top style="thin">
        <x:color rgb="FFB8BDC5"/>
      </x:top>
    </x:border>
    <x:border>
      <x:right style="thin">
        <x:color rgb="FFB8BDC5"/>
      </x:right>
      <x:top style="thin">
        <x:color rgb="FFB8BDC5"/>
      </x:top>
    </x:border>
    <x:border>
      <x:left style="thin">
        <x:color rgb="FFB8BDC5"/>
      </x:left>
    </x:border>
    <x:border>
      <x:right style="thin">
        <x:color rgb="FFB8BDC5"/>
      </x:right>
    </x:border>
    <x:border>
      <x:left style="thin">
        <x:color rgb="FFB8BDC5"/>
      </x:left>
      <x:bottom style="thin">
        <x:color rgb="FFB8BDC5"/>
      </x:bottom>
    </x:border>
    <x:border>
      <x:bottom style="thin">
        <x:color rgb="FFB8BDC5"/>
      </x:bottom>
    </x:border>
    <x:border>
      <x:right style="thin">
        <x:color rgb="FFB8BDC5"/>
      </x:right>
      <x:bottom style="thin">
        <x:color rgb="FFB8BDC5"/>
      </x:bottom>
    </x:border>
    <x:border>
      <x:left style="thin">
        <x:color rgb="FFB8BDC5"/>
      </x:left>
      <x:right style="thin">
        <x:color rgb="FFB8BDC5"/>
      </x:right>
      <x:top style="thin">
        <x:color rgb="FFB8BDC5"/>
      </x:top>
      <x:bottom style="thin">
        <x:color rgb="FFB8BDC5"/>
      </x:bottom>
    </x:border>
    <x:border>
      <x:left style="medium">
        <x:color rgb="FF30465B"/>
      </x:left>
      <x:right style="medium">
        <x:color rgb="FF30465B"/>
      </x:right>
      <x:top style="medium">
        <x:color rgb="FF30465B"/>
      </x:top>
      <x:bottom style="medium">
        <x:color rgb="FF30465B"/>
      </x:bottom>
    </x:border>
    <x:border>
      <x:left style="thin">
        <x:color rgb="FFB8BDC5"/>
      </x:left>
      <x:top style="thin">
        <x:color rgb="FFB8BDC5"/>
      </x:top>
      <x:bottom style="thin">
        <x:color rgb="FFB8BDC5"/>
      </x:bottom>
    </x:border>
    <x:border>
      <x:top style="thin">
        <x:color rgb="FFB8BDC5"/>
      </x:top>
      <x:bottom style="thin">
        <x:color rgb="FFB8BDC5"/>
      </x:bottom>
    </x:border>
    <x:border>
      <x:right style="thin">
        <x:color rgb="FFB8BDC5"/>
      </x:right>
      <x:top style="thin">
        <x:color rgb="FFB8BDC5"/>
      </x:top>
      <x:bottom style="thin">
        <x:color rgb="FFB8BDC5"/>
      </x:bottom>
    </x:border>
    <x:border>
      <x:top style="thin">
        <x:color rgb="FF30465B"/>
      </x:top>
      <x:bottom style="double">
        <x:color rgb="FF30465B"/>
      </x:bottom>
    </x:border>
    <x:border>
      <x:left style="thin">
        <x:color rgb="FFB8BDC5"/>
      </x:left>
      <x:right style="thin">
        <x:color rgb="FFB8BDC5"/>
      </x:right>
      <x:top style="thin">
        <x:color rgb="FF30465B"/>
      </x:top>
      <x:bottom style="double">
        <x:color rgb="FF30465B"/>
      </x:bottom>
    </x:border>
    <x:border>
      <x:left style="medium">
        <x:color rgb="FF30465B"/>
      </x:left>
      <x:right style="medium">
        <x:color rgb="FF30465B"/>
      </x:right>
      <x:top style="thin">
        <x:color rgb="FF30465B"/>
      </x:top>
      <x:bottom style="double">
        <x:color rgb="FF30465B"/>
      </x:bottom>
    </x:border>
    <x:border>
      <x:left style="medium">
        <x:color rgb="FF30465B"/>
      </x:left>
      <x:top style="thin">
        <x:color rgb="FF30465B"/>
      </x:top>
      <x:bottom style="double">
        <x:color rgb="FF30465B"/>
      </x:bottom>
    </x:border>
  </x:borders>
  <x:cellStyleXfs count="1">
    <x:xf numFmtId="0" fontId="0" fillId="0" borderId="0"/>
  </x:cellStyleXfs>
  <x:cellXfs count="15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4" borderId="7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0" fontId="1" fillId="4" borderId="4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vertical="center" wrapText="1"/>
    </x:xf>
    <x:xf numFmtId="0" fontId="1" fillId="4" borderId="6" xfId="0" applyNumberFormat="1" applyFont="1" applyFill="1" applyBorder="1" applyAlignment="1">
      <x:alignment vertical="center" wrapText="1"/>
    </x:xf>
    <x:xf numFmtId="0" fontId="1" fillId="4" borderId="7" xfId="0" applyNumberFormat="1" applyFont="1" applyFill="1" applyBorder="1" applyAlignment="1">
      <x:alignment vertical="center" wrapText="1"/>
    </x:xf>
    <x:xf numFmtId="0" fontId="1" fillId="4" borderId="8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9" xfId="0" applyNumberFormat="1" applyFont="1" applyFill="1" applyBorder="1" applyAlignment="1">
      <x:alignment vertical="center"/>
    </x:xf>
    <x:xf numFmtId="0" fontId="5" fillId="5" borderId="9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9" xfId="0" applyNumberFormat="1" applyFont="1" applyFill="1" applyBorder="1" applyAlignment="1">
      <x:alignment vertical="center"/>
    </x:xf>
    <x:xf numFmtId="0" fontId="3" fillId="6" borderId="9" xfId="0" applyNumberFormat="1" applyFont="1" applyFill="1" applyBorder="1" applyAlignment="1">
      <x:alignment vertical="center" wrapText="1"/>
    </x:xf>
    <x:xf numFmtId="0" fontId="3" fillId="6" borderId="9" xfId="0" applyNumberFormat="1" applyFont="1" applyFill="1" applyBorder="1" applyAlignment="1">
      <x:alignment horizontal="center"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vertical="center"/>
    </x:xf>
    <x:xf numFmtId="0" fontId="6" fillId="5" borderId="9" xfId="0" applyNumberFormat="1" applyFont="1" applyFill="1" applyBorder="1" applyAlignment="1">
      <x:alignment vertical="center"/>
    </x:xf>
    <x:xf numFmtId="0" fontId="7" fillId="7" borderId="9" xfId="0" applyNumberFormat="1" applyFont="1" applyFill="1" applyBorder="1" applyAlignment="1">
      <x:alignment vertical="center"/>
    </x:xf>
    <x:xf numFmtId="0" fontId="8" fillId="8" borderId="9" xfId="0" applyNumberFormat="1" applyFont="1" applyFill="1" applyBorder="1" applyAlignment="1">
      <x:alignment vertical="center"/>
    </x:xf>
    <x:xf numFmtId="0" fontId="7" fillId="8" borderId="9" xfId="0" applyNumberFormat="1" applyFont="1" applyFill="1" applyBorder="1" applyAlignment="1">
      <x:alignment vertical="center"/>
    </x:xf>
    <x:xf numFmtId="0" fontId="7" fillId="7" borderId="9" xfId="0" applyNumberFormat="1" applyFont="1" applyFill="1" applyBorder="1" applyAlignment="1">
      <x:alignment vertical="center" wrapText="1"/>
    </x:xf>
    <x:xf numFmtId="0" fontId="7" fillId="8" borderId="9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1" fillId="9" borderId="1" xfId="0" applyNumberFormat="1" applyFont="1" applyFill="1" applyBorder="1" applyAlignment="1">
      <x:alignment vertical="center"/>
    </x:xf>
    <x:xf numFmtId="0" fontId="1" fillId="9" borderId="2" xfId="0" applyNumberFormat="1" applyFont="1" applyFill="1" applyBorder="1" applyAlignment="1">
      <x:alignment vertical="center"/>
    </x:xf>
    <x:xf numFmtId="0" fontId="1" fillId="9" borderId="3" xfId="0" applyNumberFormat="1" applyFont="1" applyFill="1" applyBorder="1" applyAlignment="1">
      <x:alignment vertical="center"/>
    </x:xf>
    <x:xf numFmtId="0" fontId="1" fillId="9" borderId="4" xfId="0" applyNumberFormat="1" applyFont="1" applyFill="1" applyBorder="1" applyAlignment="1">
      <x:alignment vertical="center"/>
    </x:xf>
    <x:xf numFmtId="0" fontId="1" fillId="9" borderId="5" xfId="0" applyNumberFormat="1" applyFont="1" applyFill="1" applyBorder="1" applyAlignment="1">
      <x:alignment vertical="center"/>
    </x:xf>
    <x:xf numFmtId="0" fontId="1" fillId="9" borderId="6" xfId="0" applyNumberFormat="1" applyFont="1" applyFill="1" applyBorder="1" applyAlignment="1">
      <x:alignment vertical="center"/>
    </x:xf>
    <x:xf numFmtId="0" fontId="1" fillId="9" borderId="7" xfId="0" applyNumberFormat="1" applyFont="1" applyFill="1" applyBorder="1" applyAlignment="1">
      <x:alignment vertical="center"/>
    </x:xf>
    <x:xf numFmtId="0" fontId="1" fillId="9" borderId="8" xfId="0" applyNumberFormat="1" applyFont="1" applyFill="1" applyBorder="1" applyAlignment="1">
      <x:alignment vertical="center"/>
    </x:xf>
    <x:xf numFmtId="0" fontId="1" fillId="9" borderId="1" xfId="0" applyNumberFormat="1" applyFont="1" applyFill="1" applyBorder="1" applyAlignment="1">
      <x:alignment vertical="center" wrapText="1"/>
    </x:xf>
    <x:xf numFmtId="0" fontId="1" fillId="9" borderId="2" xfId="0" applyNumberFormat="1" applyFont="1" applyFill="1" applyBorder="1" applyAlignment="1">
      <x:alignment vertical="center" wrapText="1"/>
    </x:xf>
    <x:xf numFmtId="0" fontId="1" fillId="9" borderId="3" xfId="0" applyNumberFormat="1" applyFont="1" applyFill="1" applyBorder="1" applyAlignment="1">
      <x:alignment vertical="center" wrapText="1"/>
    </x:xf>
    <x:xf numFmtId="0" fontId="1" fillId="9" borderId="4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1" fillId="9" borderId="5" xfId="0" applyNumberFormat="1" applyFont="1" applyFill="1" applyBorder="1" applyAlignment="1">
      <x:alignment vertical="center" wrapText="1"/>
    </x:xf>
    <x:xf numFmtId="0" fontId="1" fillId="9" borderId="6" xfId="0" applyNumberFormat="1" applyFont="1" applyFill="1" applyBorder="1" applyAlignment="1">
      <x:alignment vertical="center" wrapText="1"/>
    </x:xf>
    <x:xf numFmtId="0" fontId="1" fillId="9" borderId="7" xfId="0" applyNumberFormat="1" applyFont="1" applyFill="1" applyBorder="1" applyAlignment="1">
      <x:alignment vertical="center" wrapText="1"/>
    </x:xf>
    <x:xf numFmtId="0" fontId="1" fillId="9" borderId="8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9" fillId="5" borderId="9" xfId="0" applyNumberFormat="1" applyFont="1" applyFill="1" applyBorder="1" applyAlignment="1">
      <x:alignment vertical="center"/>
    </x:xf>
    <x:xf numFmtId="200" fontId="9" fillId="5" borderId="9" xfId="0" applyNumberFormat="1" applyFont="1" applyFill="1" applyBorder="1" applyAlignment="1">
      <x:alignment vertical="center"/>
    </x:xf>
    <x:xf numFmtId="201" fontId="9" fillId="5" borderId="9" xfId="0" applyNumberFormat="1" applyFont="1" applyFill="1" applyBorder="1" applyAlignment="1">
      <x:alignment vertical="center"/>
    </x:xf>
    <x:xf numFmtId="202" fontId="9" fillId="5" borderId="9" xfId="0" applyNumberFormat="1" applyFont="1" applyFill="1" applyBorder="1" applyAlignment="1">
      <x:alignment vertical="center"/>
    </x:xf>
    <x:xf numFmtId="0" fontId="1" fillId="8" borderId="9" xfId="0" applyNumberFormat="1" applyFont="1" applyFill="1" applyBorder="1" applyAlignment="1">
      <x:alignment vertical="center"/>
    </x:xf>
    <x:xf numFmtId="0" fontId="1" fillId="8" borderId="9" xfId="0" applyNumberFormat="1" applyFont="1" applyFill="1" applyBorder="1" applyAlignment="1">
      <x:alignment horizontal="center" vertical="center"/>
    </x:xf>
    <x:xf numFmtId="0" fontId="1" fillId="7" borderId="10" xfId="0" applyNumberFormat="1" applyFont="1" applyFill="1" applyBorder="1" applyAlignment="1">
      <x:alignment vertical="center"/>
    </x:xf>
    <x:xf numFmtId="200" fontId="1" fillId="7" borderId="10" xfId="0" applyNumberFormat="1" applyFont="1" applyFill="1" applyBorder="1" applyAlignment="1">
      <x:alignment vertical="center"/>
    </x:xf>
    <x:xf numFmtId="200" fontId="1" fillId="7" borderId="10" xfId="0" applyNumberFormat="1" applyFont="1" applyFill="1" applyBorder="1" applyAlignment="1">
      <x:alignment vertical="center" wrapText="1"/>
    </x:xf>
    <x:xf numFmtId="200" fontId="1" fillId="7" borderId="10" xfId="0" applyNumberFormat="1" applyFont="1" applyFill="1" applyBorder="1" applyAlignment="1">
      <x:alignment vertical="top" wrapText="1"/>
    </x:xf>
    <x:xf numFmtId="203" fontId="1" fillId="7" borderId="10" xfId="0" applyNumberFormat="1" applyFont="1" applyFill="1" applyBorder="1" applyAlignment="1">
      <x:alignment vertical="center"/>
    </x:xf>
    <x:xf numFmtId="203" fontId="1" fillId="7" borderId="10" xfId="0" applyNumberFormat="1" applyFont="1" applyFill="1" applyBorder="1" applyAlignment="1">
      <x:alignment vertical="center" wrapText="1"/>
    </x:xf>
    <x:xf numFmtId="203" fontId="1" fillId="7" borderId="10" xfId="0" applyNumberFormat="1" applyFont="1" applyFill="1" applyBorder="1" applyAlignment="1">
      <x:alignment vertical="top" wrapText="1"/>
    </x:xf>
    <x:xf numFmtId="204" fontId="1" fillId="7" borderId="10" xfId="0" applyNumberFormat="1" applyFont="1" applyFill="1" applyBorder="1" applyAlignment="1">
      <x:alignment vertical="center"/>
    </x:xf>
    <x:xf numFmtId="204" fontId="1" fillId="7" borderId="10" xfId="0" applyNumberFormat="1" applyFont="1" applyFill="1" applyBorder="1" applyAlignment="1">
      <x:alignment vertical="center" wrapText="1"/>
    </x:xf>
    <x:xf numFmtId="204" fontId="1" fillId="7" borderId="10" xfId="0" applyNumberFormat="1" applyFont="1" applyFill="1" applyBorder="1" applyAlignment="1">
      <x:alignment vertical="top" wrapText="1"/>
    </x:xf>
    <x:xf numFmtId="202" fontId="1" fillId="7" borderId="10" xfId="0" applyNumberFormat="1" applyFont="1" applyFill="1" applyBorder="1" applyAlignment="1">
      <x:alignment vertical="center"/>
    </x:xf>
    <x:xf numFmtId="202" fontId="1" fillId="7" borderId="10" xfId="0" applyNumberFormat="1" applyFont="1" applyFill="1" applyBorder="1" applyAlignment="1">
      <x:alignment vertical="center" wrapText="1"/>
    </x:xf>
    <x:xf numFmtId="202" fontId="1" fillId="7" borderId="10" xfId="0" applyNumberFormat="1" applyFont="1" applyFill="1" applyBorder="1" applyAlignment="1">
      <x:alignment vertical="top" wrapText="1"/>
    </x:xf>
    <x:xf numFmtId="205" fontId="1" fillId="7" borderId="10" xfId="0" applyNumberFormat="1" applyFont="1" applyFill="1" applyBorder="1" applyAlignment="1">
      <x:alignment vertical="center"/>
    </x:xf>
    <x:xf numFmtId="205" fontId="1" fillId="7" borderId="10" xfId="0" applyNumberFormat="1" applyFont="1" applyFill="1" applyBorder="1" applyAlignment="1">
      <x:alignment vertical="center" wrapText="1"/>
    </x:xf>
    <x:xf numFmtId="205" fontId="1" fillId="7" borderId="10" xfId="0" applyNumberFormat="1" applyFont="1" applyFill="1" applyBorder="1" applyAlignment="1">
      <x:alignment vertical="top" wrapText="1"/>
    </x:xf>
    <x:xf numFmtId="206" fontId="9" fillId="5" borderId="9" xfId="0" applyNumberFormat="1" applyFont="1" applyFill="1" applyBorder="1" applyAlignment="1">
      <x:alignment vertical="center"/>
    </x:xf>
    <x:xf numFmtId="201" fontId="1" fillId="7" borderId="10" xfId="0" applyNumberFormat="1" applyFont="1" applyFill="1" applyBorder="1" applyAlignment="1">
      <x:alignment vertical="center"/>
    </x:xf>
    <x:xf numFmtId="201" fontId="1" fillId="7" borderId="10" xfId="0" applyNumberFormat="1" applyFont="1" applyFill="1" applyBorder="1" applyAlignment="1">
      <x:alignment vertical="center" wrapText="1"/>
    </x:xf>
    <x:xf numFmtId="201" fontId="1" fillId="7" borderId="10" xfId="0" applyNumberFormat="1" applyFont="1" applyFill="1" applyBorder="1" applyAlignment="1">
      <x:alignment vertical="top" wrapText="1"/>
    </x:xf>
    <x:xf numFmtId="0" fontId="9" fillId="5" borderId="9" xfId="0" applyNumberFormat="1" applyFont="1" applyFill="1" applyBorder="1" applyAlignment="1">
      <x:alignment horizontal="center" vertical="center"/>
    </x:xf>
    <x:xf numFmtId="207" fontId="9" fillId="5" borderId="9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9" xfId="0" applyNumberFormat="1" applyFont="1" applyFill="1" applyBorder="1" applyAlignment="1">
      <x:alignment vertical="center"/>
    </x:xf>
    <x:xf numFmtId="0" fontId="1" fillId="4" borderId="11" xfId="0" applyNumberFormat="1" applyFont="1" applyFill="1" applyBorder="1" applyAlignment="1">
      <x:alignment vertical="center"/>
    </x:xf>
    <x:xf numFmtId="0" fontId="1" fillId="4" borderId="12" xfId="0" applyNumberFormat="1" applyFont="1" applyFill="1" applyBorder="1" applyAlignment="1">
      <x:alignment vertical="center"/>
    </x:xf>
    <x:xf numFmtId="0" fontId="1" fillId="4" borderId="13" xfId="0" applyNumberFormat="1" applyFont="1" applyFill="1" applyBorder="1" applyAlignment="1">
      <x:alignment vertical="center"/>
    </x:xf>
    <x:xf numFmtId="0" fontId="1" fillId="4" borderId="11" xfId="0" applyNumberFormat="1" applyFont="1" applyFill="1" applyBorder="1" applyAlignment="1">
      <x:alignment vertical="center" wrapText="1"/>
    </x:xf>
    <x:xf numFmtId="0" fontId="1" fillId="4" borderId="12" xfId="0" applyNumberFormat="1" applyFont="1" applyFill="1" applyBorder="1" applyAlignment="1">
      <x:alignment vertical="center" wrapText="1"/>
    </x:xf>
    <x:xf numFmtId="0" fontId="1" fillId="4" borderId="13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vertical="center"/>
    </x:xf>
    <x:xf numFmtId="0" fontId="10" fillId="8" borderId="9" xfId="0" applyNumberFormat="1" applyFont="1" applyFill="1" applyBorder="1" applyAlignment="1">
      <x:alignment vertical="center"/>
    </x:xf>
    <x:xf numFmtId="202" fontId="10" fillId="8" borderId="9" xfId="0" applyNumberFormat="1" applyFont="1" applyFill="1" applyBorder="1" applyAlignment="1">
      <x:alignment vertical="center"/>
    </x:xf>
    <x:xf numFmtId="201" fontId="10" fillId="8" borderId="9" xfId="0" applyNumberFormat="1" applyFont="1" applyFill="1" applyBorder="1" applyAlignment="1">
      <x:alignment vertical="center"/>
    </x:xf>
    <x:xf numFmtId="206" fontId="10" fillId="8" borderId="9" xfId="0" applyNumberFormat="1" applyFont="1" applyFill="1" applyBorder="1" applyAlignment="1">
      <x:alignment vertical="center"/>
    </x:xf>
    <x:xf numFmtId="208" fontId="1" fillId="7" borderId="10" xfId="0" applyNumberFormat="1" applyFont="1" applyFill="1" applyBorder="1" applyAlignment="1">
      <x:alignment vertical="center"/>
    </x:xf>
    <x:xf numFmtId="208" fontId="1" fillId="7" borderId="10" xfId="0" applyNumberFormat="1" applyFont="1" applyFill="1" applyBorder="1" applyAlignment="1">
      <x:alignment vertical="center" wrapText="1"/>
    </x:xf>
    <x:xf numFmtId="208" fontId="1" fillId="7" borderId="10" xfId="0" applyNumberFormat="1" applyFont="1" applyFill="1" applyBorder="1" applyAlignment="1">
      <x:alignment vertical="top" wrapText="1"/>
    </x:xf>
    <x:xf numFmtId="0" fontId="1" fillId="8" borderId="9" xfId="0" applyNumberFormat="1" applyFont="1" applyFill="1" applyBorder="1" applyAlignment="1">
      <x:alignment vertical="center" wrapText="1"/>
    </x:xf>
    <x:xf numFmtId="208" fontId="10" fillId="8" borderId="9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9" xfId="0" applyNumberFormat="1" applyFont="1" applyFill="1" applyBorder="1" applyAlignment="1">
      <x:alignment vertical="center"/>
    </x:xf>
    <x:xf numFmtId="208" fontId="1" fillId="8" borderId="10" xfId="0" applyNumberFormat="1" applyFont="1" applyFill="1" applyBorder="1" applyAlignment="1">
      <x:alignment vertical="top" wrapText="1"/>
    </x:xf>
    <x:xf numFmtId="208" fontId="8" fillId="8" borderId="9" xfId="0" applyNumberFormat="1" applyFont="1" applyFill="1" applyBorder="1" applyAlignment="1">
      <x:alignment vertical="center"/>
    </x:xf>
    <x:xf numFmtId="208" fontId="7" fillId="8" borderId="10" xfId="0" applyNumberFormat="1" applyFont="1" applyFill="1" applyBorder="1" applyAlignment="1">
      <x:alignment vertical="top" wrapText="1"/>
    </x:xf>
    <x:xf numFmtId="0" fontId="7" fillId="8" borderId="14" xfId="0" applyNumberFormat="1" applyFont="1" applyFill="1" applyBorder="1" applyAlignment="1">
      <x:alignment vertical="center"/>
    </x:xf>
    <x:xf numFmtId="208" fontId="8" fillId="8" borderId="15" xfId="0" applyNumberFormat="1" applyFont="1" applyFill="1" applyBorder="1" applyAlignment="1">
      <x:alignment vertical="center"/>
    </x:xf>
    <x:xf numFmtId="208" fontId="7" fillId="8" borderId="16" xfId="0" applyNumberFormat="1" applyFont="1" applyFill="1" applyBorder="1" applyAlignment="1">
      <x:alignment vertical="top" wrapText="1"/>
    </x:xf>
    <x:xf numFmtId="208" fontId="7" fillId="8" borderId="17" xfId="0" applyNumberFormat="1" applyFont="1" applyFill="1" applyBorder="1" applyAlignment="1">
      <x:alignment vertical="top" wrapText="1"/>
    </x:xf>
    <x:xf numFmtId="208" fontId="7" fillId="8" borderId="14" xfId="0" applyNumberFormat="1" applyFont="1" applyFill="1" applyBorder="1" applyAlignment="1">
      <x:alignment vertical="center"/>
    </x:xf>
    <x:xf numFmtId="205" fontId="10" fillId="8" borderId="9" xfId="0" applyNumberFormat="1" applyFont="1" applyFill="1" applyBorder="1" applyAlignment="1">
      <x:alignment vertical="center"/>
    </x:xf>
    <x:xf numFmtId="205" fontId="1" fillId="8" borderId="10" xfId="0" applyNumberFormat="1" applyFont="1" applyFill="1" applyBorder="1" applyAlignment="1">
      <x:alignment vertical="top" wrapText="1"/>
    </x:xf>
    <x:xf numFmtId="205" fontId="8" fillId="8" borderId="9" xfId="0" applyNumberFormat="1" applyFont="1" applyFill="1" applyBorder="1" applyAlignment="1">
      <x:alignment vertical="center"/>
    </x:xf>
    <x:xf numFmtId="205" fontId="7" fillId="8" borderId="10" xfId="0" applyNumberFormat="1" applyFont="1" applyFill="1" applyBorder="1" applyAlignment="1">
      <x:alignment vertical="top" wrapText="1"/>
    </x:xf>
    <x:xf numFmtId="205" fontId="8" fillId="8" borderId="15" xfId="0" applyNumberFormat="1" applyFont="1" applyFill="1" applyBorder="1" applyAlignment="1">
      <x:alignment vertical="center"/>
    </x:xf>
    <x:xf numFmtId="205" fontId="7" fillId="8" borderId="16" xfId="0" applyNumberFormat="1" applyFont="1" applyFill="1" applyBorder="1" applyAlignment="1">
      <x:alignment vertical="top" wrapText="1"/>
    </x:xf>
    <x:xf numFmtId="205" fontId="7" fillId="8" borderId="17" xfId="0" applyNumberFormat="1" applyFont="1" applyFill="1" applyBorder="1" applyAlignment="1">
      <x:alignment vertical="top" wrapText="1"/>
    </x:xf>
    <x:xf numFmtId="205" fontId="7" fillId="8" borderId="14" xfId="0" applyNumberFormat="1" applyFont="1" applyFill="1" applyBorder="1" applyAlignment="1">
      <x:alignment vertical="center"/>
    </x:xf>
    <x:xf numFmtId="207" fontId="1" fillId="7" borderId="10" xfId="0" applyNumberFormat="1" applyFont="1" applyFill="1" applyBorder="1" applyAlignment="1">
      <x:alignment vertical="center"/>
    </x:xf>
    <x:xf numFmtId="207" fontId="1" fillId="7" borderId="10" xfId="0" applyNumberFormat="1" applyFont="1" applyFill="1" applyBorder="1" applyAlignment="1">
      <x:alignment vertical="center" wrapText="1"/>
    </x:xf>
    <x:xf numFmtId="207" fontId="1" fillId="7" borderId="10" xfId="0" applyNumberFormat="1" applyFont="1" applyFill="1" applyBorder="1" applyAlignment="1">
      <x:alignment vertical="top" wrapText="1"/>
    </x:xf>
    <x:xf numFmtId="0" fontId="5" fillId="5" borderId="11" xfId="0" applyNumberFormat="1" applyFont="1" applyFill="1" applyBorder="1" applyAlignment="1">
      <x:alignment vertical="center"/>
    </x:xf>
    <x:xf numFmtId="0" fontId="5" fillId="5" borderId="12" xfId="0" applyNumberFormat="1" applyFont="1" applyFill="1" applyBorder="1" applyAlignment="1">
      <x:alignment vertical="center"/>
    </x:xf>
    <x:xf numFmtId="0" fontId="5" fillId="5" borderId="13" xfId="0" applyNumberFormat="1" applyFont="1" applyFill="1" applyBorder="1" applyAlignment="1">
      <x:alignment vertical="center"/>
    </x:xf>
    <x:xf numFmtId="0" fontId="5" fillId="5" borderId="11" xfId="0" applyNumberFormat="1" applyFont="1" applyFill="1" applyBorder="1" applyAlignment="1">
      <x:alignment vertical="center" wrapText="1"/>
    </x:xf>
    <x:xf numFmtId="0" fontId="5" fillId="5" borderId="12" xfId="0" applyNumberFormat="1" applyFont="1" applyFill="1" applyBorder="1" applyAlignment="1">
      <x:alignment vertical="center" wrapText="1"/>
    </x:xf>
    <x:xf numFmtId="0" fontId="5" fillId="5" borderId="13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/>
    </x:xf>
    <x:xf numFmtId="0" fontId="11" fillId="10" borderId="0" xfId="0" applyNumberFormat="1" applyFont="1" applyFill="1" applyBorder="1" applyAlignment="1">
      <x:alignment vertical="center"/>
    </x:xf>
    <x:xf numFmtId="0" fontId="11" fillId="10" borderId="9" xfId="0" applyNumberFormat="1" applyFont="1" applyFill="1" applyBorder="1" applyAlignment="1">
      <x:alignment vertical="center"/>
    </x:xf>
    <x:xf numFmtId="0" fontId="11" fillId="10" borderId="9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0" fontId="1" fillId="0" borderId="9" xfId="0" applyNumberFormat="1" applyFont="1" applyFill="1" applyBorder="1" applyAlignment="1">
      <x:alignment vertical="center"/>
    </x:xf>
    <x:xf numFmtId="201" fontId="1" fillId="0" borderId="9" xfId="0" applyNumberFormat="1" applyFont="1" applyFill="1" applyBorder="1" applyAlignment="1">
      <x:alignment vertical="center"/>
    </x:xf>
    <x:xf numFmtId="207" fontId="1" fillId="0" borderId="9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07e1a0844a4ae4" /><Relationship Type="http://schemas.openxmlformats.org/officeDocument/2006/relationships/theme" Target="/xl/theme/theme1.xml" Id="R7ab412d4ba524b11" /><Relationship Type="http://schemas.openxmlformats.org/officeDocument/2006/relationships/sharedStrings" Target="/xl/sharedStrings.xml" Id="R2e3d1103d51e409a" /><Relationship Type="http://schemas.openxmlformats.org/officeDocument/2006/relationships/worksheet" Target="/xl/worksheets/sheet1.xml" Id="R970e9f1f28fc46e8" /><Relationship Type="http://schemas.openxmlformats.org/officeDocument/2006/relationships/worksheet" Target="/xl/worksheets/sheet2.xml" Id="R0e5861704b554f50" /><Relationship Type="http://schemas.openxmlformats.org/officeDocument/2006/relationships/worksheet" Target="/xl/worksheets/sheet3.xml" Id="R74f165e6597b465c" /><Relationship Type="http://schemas.openxmlformats.org/officeDocument/2006/relationships/worksheet" Target="/xl/worksheets/sheet4.xml" Id="Re7b44f1def7043ea" /><Relationship Type="http://schemas.openxmlformats.org/officeDocument/2006/relationships/worksheet" Target="/xl/worksheets/sheet5.xml" Id="Rab1492dd51a343c8" /><Relationship Type="http://schemas.openxmlformats.org/officeDocument/2006/relationships/worksheet" Target="/xl/worksheets/sheet6.xml" Id="R4c741c6ea79e4e25" /><Relationship Type="http://schemas.openxmlformats.org/officeDocument/2006/relationships/worksheet" Target="/xl/worksheets/sheet7.xml" Id="Rdaf022011f31496e" /><Relationship Type="http://schemas.openxmlformats.org/officeDocument/2006/relationships/worksheet" Target="/xl/worksheets/sheet8.xml" Id="Rb675859985d84a16" /><Relationship Type="http://schemas.openxmlformats.org/officeDocument/2006/relationships/worksheet" Target="/xl/worksheets/sheet9.xml" Id="R11b7b95b30164578" /><Relationship Type="http://schemas.openxmlformats.org/officeDocument/2006/relationships/worksheet" Target="/xl/worksheets/sheet10.xml" Id="Re0adc72e9d2f44fd" /><Relationship Type="http://schemas.openxmlformats.org/officeDocument/2006/relationships/worksheet" Target="/xl/worksheets/sheet11.xml" Id="Rb174bc1498d546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68" hidden="0" customWidth="1"/>
    <x:col min="3" max="3" width="22" hidden="0" customWidth="1"/>
    <x:col min="4" max="4" width="6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5" t="str">
        <x:v>BUS311 M06 — Bond Valuation, Interest Rates, and YTM</x:v>
      </x:c>
      <x:c r="B1" s="5"/>
      <x:c r="C1" s="5"/>
      <x:c r="D1" s="5"/>
      <x:c r="E1" s="5"/>
      <x:c r="F1" s="5"/>
      <x:c r="G1" s="5"/>
      <x:c r="H1" s="5"/>
    </x:row>
    <x:row r="2">
      <x:c r="A2" s="2"/>
      <x:c r="B2" s="2"/>
      <x:c r="C2" s="2"/>
      <x:c r="D2" s="2"/>
      <x:c r="E2" s="2"/>
      <x:c r="F2" s="2"/>
      <x:c r="G2" s="2"/>
      <x:c r="H2" s="2"/>
    </x:row>
    <x:row r="3">
      <x:c r="A3" s="8" t="str">
        <x:v>Meridian Industrial Corp. · student starter · $ thousands unless noted · Version 2026-09-29</x:v>
      </x:c>
      <x:c r="B3" s="8"/>
      <x:c r="C3" s="8"/>
      <x:c r="D3" s="8"/>
      <x:c r="E3" s="8"/>
      <x:c r="F3" s="8"/>
      <x:c r="G3" s="8"/>
      <x:c r="H3" s="8"/>
    </x:row>
    <x:row r="4">
      <x:c r="A4" s="2"/>
      <x:c r="B4" s="2"/>
      <x:c r="C4" s="2"/>
      <x:c r="D4" s="2"/>
      <x:c r="E4" s="2"/>
      <x:c r="F4" s="2"/>
      <x:c r="G4" s="2"/>
      <x:c r="H4" s="2"/>
    </x:row>
    <x:row r="5" ht="26" customHeight="1">
      <x:c r="A5" s="18" t="str">
        <x:v>Decision objective: price Meridian’s bond with PV, PRICE, YIELD, and RATE; reconcile gross proceeds to issuance costs and every use; build closing-date balance sheets and first-year earnings; test financing capacity; and make a CFO recommendation that distinguishes “best full-size scenario” from “acceptable financing plan.”</x:v>
      </x:c>
      <x:c r="B5" s="19"/>
      <x:c r="C5" s="19"/>
      <x:c r="D5" s="19"/>
      <x:c r="E5" s="19"/>
      <x:c r="F5" s="19"/>
      <x:c r="G5" s="19"/>
      <x:c r="H5" s="20"/>
    </x:row>
    <x:row r="6" ht="26" customHeight="1">
      <x:c r="A6" s="21"/>
      <x:c r="B6" s="22"/>
      <x:c r="C6" s="22"/>
      <x:c r="D6" s="22"/>
      <x:c r="E6" s="22"/>
      <x:c r="F6" s="22"/>
      <x:c r="G6" s="22"/>
      <x:c r="H6" s="23"/>
    </x:row>
    <x:row r="7" ht="26" customHeight="1">
      <x:c r="A7" s="24"/>
      <x:c r="B7" s="25"/>
      <x:c r="C7" s="25"/>
      <x:c r="D7" s="25"/>
      <x:c r="E7" s="25"/>
      <x:c r="F7" s="25"/>
      <x:c r="G7" s="25"/>
      <x:c r="H7" s="26"/>
    </x:row>
    <x:row r="8">
      <x:c r="A8" s="2"/>
      <x:c r="B8" s="2"/>
      <x:c r="C8" s="2"/>
      <x:c r="D8" s="2"/>
      <x:c r="E8" s="2"/>
      <x:c r="F8" s="2"/>
      <x:c r="G8" s="2"/>
      <x:c r="H8" s="2"/>
    </x:row>
    <x:row r="9" ht="22" customHeight="1">
      <x:c r="A9" s="27" t="str">
        <x:v>Required workflow</x:v>
      </x:c>
      <x:c r="B9" s="27"/>
      <x:c r="C9" s="27"/>
      <x:c r="D9" s="27"/>
      <x:c r="E9" s="27"/>
      <x:c r="F9" s="27"/>
      <x:c r="G9" s="27"/>
      <x:c r="H9" s="27"/>
    </x:row>
    <x:row r="10" ht="30" customHeight="1">
      <x:c r="A10" s="31" t="str">
        <x:v>Reconstruct</x:v>
      </x:c>
      <x:c r="B10" s="33" t="str">
        <x:v>Complete the income statement and balanced baseline before using any ratio.</x:v>
      </x:c>
      <x:c r="C10" s="2"/>
      <x:c r="D10" s="2"/>
      <x:c r="E10" s="2"/>
      <x:c r="F10" s="2"/>
      <x:c r="G10" s="2"/>
      <x:c r="H10" s="2"/>
    </x:row>
    <x:row r="11" ht="30" customHeight="1">
      <x:c r="A11" s="31" t="str">
        <x:v>Price</x:v>
      </x:c>
      <x:c r="B11" s="33" t="str">
        <x:v>Use the same dated bond assumptions for PV and PRICE; solve reverse yields with YIELD and RATE.</x:v>
      </x:c>
      <x:c r="C11" s="2"/>
      <x:c r="D11" s="2"/>
      <x:c r="E11" s="2"/>
      <x:c r="F11" s="2"/>
      <x:c r="G11" s="2"/>
      <x:c r="H11" s="2"/>
    </x:row>
    <x:row r="12" ht="30" customHeight="1">
      <x:c r="A12" s="31" t="str">
        <x:v>Reconcile</x:v>
      </x:c>
      <x:c r="B12" s="33" t="str">
        <x:v>Start with gross cash proceeds, subtract issuance costs, and assign every remaining dollar to refinancing, capex, or retained cash.</x:v>
      </x:c>
      <x:c r="C12" s="2"/>
      <x:c r="D12" s="2"/>
      <x:c r="E12" s="2"/>
      <x:c r="F12" s="2"/>
      <x:c r="G12" s="2"/>
      <x:c r="H12" s="2"/>
    </x:row>
    <x:row r="13" ht="30" customHeight="1">
      <x:c r="A13" s="31" t="str">
        <x:v>Model</x:v>
      </x:c>
      <x:c r="B13" s="33" t="str">
        <x:v>Use a closing-date balance sheet; do not mix closing entries with first-year income.</x:v>
      </x:c>
      <x:c r="C13" s="2"/>
      <x:c r="D13" s="2"/>
      <x:c r="E13" s="2"/>
      <x:c r="F13" s="2"/>
      <x:c r="G13" s="2"/>
      <x:c r="H13" s="2"/>
    </x:row>
    <x:row r="14" ht="30" customHeight="1">
      <x:c r="A14" s="31" t="str">
        <x:v>Tie</x:v>
      </x:c>
      <x:c r="B14" s="33" t="str">
        <x:v>Connect debt face value, debt carrying value, cash, interest expense, tax, equity, shares, and EPS.</x:v>
      </x:c>
      <x:c r="C14" s="2"/>
      <x:c r="D14" s="2"/>
      <x:c r="E14" s="2"/>
      <x:c r="F14" s="2"/>
      <x:c r="G14" s="2"/>
      <x:c r="H14" s="2"/>
    </x:row>
    <x:row r="15" ht="30" customHeight="1">
      <x:c r="A15" s="31" t="str">
        <x:v>Check</x:v>
      </x:c>
      <x:c r="B15" s="33" t="str">
        <x:v>Clear the balance-sheet, sources-and-uses, debt-roll-forward, sign, and scenario checks.</x:v>
      </x:c>
      <x:c r="C15" s="2"/>
      <x:c r="D15" s="2"/>
      <x:c r="E15" s="2"/>
      <x:c r="F15" s="2"/>
      <x:c r="G15" s="2"/>
      <x:c r="H15" s="2"/>
    </x:row>
    <x:row r="16" ht="30" customHeight="1">
      <x:c r="A16" s="31" t="str">
        <x:v>Size</x:v>
      </x:c>
      <x:c r="B16" s="33" t="str">
        <x:v>Calculate the maximum face amount supported by leverage and coverage guardrails.</x:v>
      </x:c>
      <x:c r="C16" s="2"/>
      <x:c r="D16" s="2"/>
      <x:c r="E16" s="2"/>
      <x:c r="F16" s="2"/>
      <x:c r="G16" s="2"/>
      <x:c r="H16" s="2"/>
    </x:row>
    <x:row r="17" ht="30" customHeight="1">
      <x:c r="A17" s="31" t="str">
        <x:v>Recommend</x:v>
      </x:c>
      <x:c r="B17" s="33" t="str">
        <x:v>Cite price, two ratios, one tie-out, and one monitoring trigger.</x:v>
      </x:c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 ht="22" customHeight="1">
      <x:c r="A19" s="27" t="str">
        <x:v>Model timing and sign conventions</x:v>
      </x:c>
      <x:c r="B19" s="27"/>
      <x:c r="C19" s="27"/>
      <x:c r="D19" s="27"/>
      <x:c r="E19" s="27"/>
      <x:c r="F19" s="27"/>
      <x:c r="G19" s="27"/>
      <x:c r="H19" s="27"/>
    </x:row>
    <x:row r="20">
      <x:c r="A20" s="38" t="str">
        <x:v>Convention</x:v>
      </x:c>
      <x:c r="B20" s="38" t="str">
        <x:v>Required treatment</x:v>
      </x:c>
      <x:c r="C20" s="38" t="str">
        <x:v>Convention</x:v>
      </x:c>
      <x:c r="D20" s="38" t="str">
        <x:v>Required treatment</x:v>
      </x:c>
      <x:c r="E20" s="2"/>
      <x:c r="F20" s="2"/>
      <x:c r="G20" s="2"/>
      <x:c r="H20" s="2"/>
    </x:row>
    <x:row r="21" ht="38" customHeight="1">
      <x:c r="A21" s="39" t="str">
        <x:v>Interest expense</x:v>
      </x:c>
      <x:c r="B21" s="33" t="str">
        <x:v>Display as a positive expense; EBT = EBIT − interest expense.</x:v>
      </x:c>
      <x:c r="C21" s="39" t="str">
        <x:v>Income tax expense</x:v>
      </x:c>
      <x:c r="D21" s="33" t="str">
        <x:v>Display as a positive expense; net income = EBT − tax expense.</x:v>
      </x:c>
      <x:c r="E21" s="2"/>
      <x:c r="F21" s="2"/>
      <x:c r="G21" s="2"/>
      <x:c r="H21" s="2"/>
    </x:row>
    <x:row r="22" ht="38" customHeight="1">
      <x:c r="A22" s="39" t="str">
        <x:v>Offering size</x:v>
      </x:c>
      <x:c r="B22" s="33" t="str">
        <x:v>Face value is debt promised, not cash received.</x:v>
      </x:c>
      <x:c r="C22" s="39" t="str">
        <x:v>Gross proceeds</x:v>
      </x:c>
      <x:c r="D22" s="33" t="str">
        <x:v>Market price × bonds issued; may differ from face value.</x:v>
      </x:c>
      <x:c r="E22" s="2"/>
      <x:c r="F22" s="2"/>
      <x:c r="G22" s="2"/>
      <x:c r="H22" s="2"/>
    </x:row>
    <x:row r="23" ht="38" customHeight="1">
      <x:c r="A23" s="39" t="str">
        <x:v>Debt carrying value</x:v>
      </x:c>
      <x:c r="B23" s="33" t="str">
        <x:v>Gross proceeds less issuance costs at closing.</x:v>
      </x:c>
      <x:c r="C23" s="39" t="str">
        <x:v>Credit-ratio debt</x:v>
      </x:c>
      <x:c r="D23" s="33" t="str">
        <x:v>Use gross face debt so leverage is not understated by discount or fees.</x:v>
      </x:c>
      <x:c r="E23" s="2"/>
      <x:c r="F23" s="2"/>
      <x:c r="G23" s="2"/>
      <x:c r="H23" s="2"/>
    </x:row>
    <x:row r="24" ht="38" customHeight="1">
      <x:c r="A24" s="39" t="str">
        <x:v>Closing equity</x:v>
      </x:c>
      <x:c r="B24" s="33" t="str">
        <x:v>Unchanged because no shares are issued and first-year earnings have not yet occurred.</x:v>
      </x:c>
      <x:c r="C24" s="39" t="str">
        <x:v>EPS</x:v>
      </x:c>
      <x:c r="D24" s="33" t="str">
        <x:v>First-year net income ÷ unchanged diluted shares.</x:v>
      </x:c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 ht="22" customHeight="1">
      <x:c r="A26" s="27" t="str">
        <x:v>Color legend and completion rules</x:v>
      </x:c>
      <x:c r="B26" s="27"/>
      <x:c r="C26" s="27"/>
      <x:c r="D26" s="27"/>
      <x:c r="E26" s="27"/>
      <x:c r="F26" s="27"/>
      <x:c r="G26" s="27"/>
      <x:c r="H26" s="27"/>
    </x:row>
    <x:row r="27" ht="38" customHeight="1">
      <x:c r="A27" s="46" t="str">
        <x:v>Blue input</x:v>
      </x:c>
      <x:c r="B27" s="33" t="str">
        <x:v>Given teaching-case assumption; use its cell reference.</x:v>
      </x:c>
      <x:c r="C27" s="50" t="str">
        <x:v>Yellow cell</x:v>
      </x:c>
      <x:c r="D27" s="33" t="str">
        <x:v>Student formula, link, interpretation, or written recommendation.</x:v>
      </x:c>
      <x:c r="E27" s="2"/>
      <x:c r="F27" s="2"/>
      <x:c r="G27" s="2"/>
      <x:c r="H27" s="2"/>
    </x:row>
    <x:row r="28" ht="38" customHeight="1">
      <x:c r="A28" s="48" t="str">
        <x:v>Green font</x:v>
      </x:c>
      <x:c r="B28" s="33" t="str">
        <x:v>Formula linked from another worksheet.</x:v>
      </x:c>
      <x:c r="C28" s="51" t="str">
        <x:v>Black formula</x:v>
      </x:c>
      <x:c r="D28" s="33" t="str">
        <x:v>Calculation on the current worksheet.</x:v>
      </x:c>
      <x:c r="E28" s="2"/>
      <x:c r="F28" s="2"/>
      <x:c r="G28" s="2"/>
      <x:c r="H28" s="2"/>
    </x:row>
    <x:row r="29" ht="38" customHeight="1">
      <x:c r="A29" s="32" t="str">
        <x:v>Checks</x:v>
      </x:c>
      <x:c r="B29" s="33" t="str">
        <x:v>COMPLETE means required student cells are blank; CHECK means a completed model does not reconcile.</x:v>
      </x:c>
      <x:c r="C29" s="33" t="str">
        <x:v>Privacy</x:v>
      </x:c>
      <x:c r="D29" s="33" t="str">
        <x:v>No answer, solution, instructor, grading, or hidden key sheet belongs in this public workbook.</x:v>
      </x:c>
      <x:c r="E29" s="2"/>
      <x:c r="F29" s="2"/>
      <x:c r="G29" s="2"/>
      <x:c r="H29" s="2"/>
    </x:row>
    <x:row r="30" ht="38" customHeight="1">
      <x:c r="A30" s="32" t="str">
        <x:v>FactSet</x:v>
      </x:c>
      <x:c r="B30" s="33" t="str">
        <x:v>If live values are substituted, record field, company, period, units, currency, and retrieval date.</x:v>
      </x:c>
      <x:c r="C30" s="33" t="str">
        <x:v>Units</x:v>
      </x:c>
      <x:c r="D30" s="33" t="str">
        <x:v>Financial statements are $000s; price per bond is dollars; shares are 000s.</x:v>
      </x:c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 ht="22" customHeight="1">
      <x:c r="A32" s="27" t="str">
        <x:v>Baseline correction disclosed</x:v>
      </x:c>
      <x:c r="B32" s="27"/>
      <x:c r="C32" s="27"/>
      <x:c r="D32" s="27"/>
      <x:c r="E32" s="27"/>
      <x:c r="F32" s="27"/>
      <x:c r="G32" s="27"/>
      <x:c r="H32" s="27"/>
    </x:row>
    <x:row r="33" ht="24" customHeight="1">
      <x:c r="A33" s="61" t="str">
        <x:v>The prior teaching case listed $486.5M of assets but only $425.5M of liabilities and equity. This reconstruction restores the omitted $61.0M non-debt “Other Long-Term Operating Liabilities” line (for example, lease, pension, and other operating obligations). It is shown explicitly, excluded from interest-bearing debt ratios, and never used as a hidden cash or equity plug.</x:v>
      </x:c>
      <x:c r="B33" s="62"/>
      <x:c r="C33" s="62"/>
      <x:c r="D33" s="62"/>
      <x:c r="E33" s="62"/>
      <x:c r="F33" s="62"/>
      <x:c r="G33" s="62"/>
      <x:c r="H33" s="63"/>
    </x:row>
    <x:row r="34" ht="24" customHeight="1">
      <x:c r="A34" s="64"/>
      <x:c r="B34" s="65"/>
      <x:c r="C34" s="65"/>
      <x:c r="D34" s="65"/>
      <x:c r="E34" s="65"/>
      <x:c r="F34" s="65"/>
      <x:c r="G34" s="65"/>
      <x:c r="H34" s="66"/>
    </x:row>
    <x:row r="35" ht="24" customHeight="1">
      <x:c r="A35" s="64"/>
      <x:c r="B35" s="65"/>
      <x:c r="C35" s="65"/>
      <x:c r="D35" s="65"/>
      <x:c r="E35" s="65"/>
      <x:c r="F35" s="65"/>
      <x:c r="G35" s="65"/>
      <x:c r="H35" s="66"/>
    </x:row>
    <x:row r="36" ht="24" customHeight="1">
      <x:c r="A36" s="67"/>
      <x:c r="B36" s="68"/>
      <x:c r="C36" s="68"/>
      <x:c r="D36" s="68"/>
      <x:c r="E36" s="68"/>
      <x:c r="F36" s="68"/>
      <x:c r="G36" s="68"/>
      <x:c r="H36" s="69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 ht="22" customHeight="1">
      <x:c r="A38" s="27" t="str">
        <x:v>Canva cash-flow warm-up</x:v>
      </x:c>
      <x:c r="B38" s="27"/>
      <x:c r="C38" s="27"/>
      <x:c r="D38" s="27"/>
      <x:c r="E38" s="27"/>
      <x:c r="F38" s="27"/>
      <x:c r="G38" s="27"/>
      <x:c r="H38" s="27"/>
    </x:row>
    <x:row r="39" ht="25" customHeight="1">
      <x:c r="A39" s="18" t="str">
        <x:v>Complete the three-year bond examples at 5%, 3%, and 7% market yields before building Meridian’s ten-year bond. Keep the $1,000 face value and 5% coupon fixed; use each tab to show how discounting changes the price.</x:v>
      </x:c>
      <x:c r="B39" s="19"/>
      <x:c r="C39" s="19"/>
      <x:c r="D39" s="19"/>
      <x:c r="E39" s="19"/>
      <x:c r="F39" s="19"/>
      <x:c r="G39" s="19"/>
      <x:c r="H39" s="20"/>
    </x:row>
    <x:row r="40" ht="25" customHeight="1">
      <x:c r="A40" s="21"/>
      <x:c r="B40" s="22"/>
      <x:c r="C40" s="22"/>
      <x:c r="D40" s="22"/>
      <x:c r="E40" s="22"/>
      <x:c r="F40" s="22"/>
      <x:c r="G40" s="22"/>
      <x:c r="H40" s="23"/>
    </x:row>
    <x:row r="41" ht="25" customHeight="1">
      <x:c r="A41" s="24"/>
      <x:c r="B41" s="25"/>
      <x:c r="C41" s="25"/>
      <x:c r="D41" s="25"/>
      <x:c r="E41" s="25"/>
      <x:c r="F41" s="25"/>
      <x:c r="G41" s="25"/>
      <x:c r="H41" s="26"/>
    </x:row>
  </x:sheetData>
  <x:mergeCells>
    <x:mergeCell ref="A1:H1"/>
    <x:mergeCell ref="A3:H3"/>
    <x:mergeCell ref="A5:H7"/>
    <x:mergeCell ref="A9:H9"/>
    <x:mergeCell ref="A19:H19"/>
    <x:mergeCell ref="A26:H26"/>
    <x:mergeCell ref="A32:H32"/>
    <x:mergeCell ref="A33:H36"/>
    <x:mergeCell ref="A38:H38"/>
    <x:mergeCell ref="A39:H4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22" hidden="0" customWidth="1"/>
    <x:col min="3" max="3" width="20" hidden="0" customWidth="1"/>
    <x:col min="4" max="4" width="25" hidden="0" customWidth="1"/>
    <x:col min="5" max="5" width="20" hidden="0" customWidth="1"/>
    <x:col min="6" max="6" width="23" hidden="0" customWidth="1"/>
    <x:col min="7" max="7" width="14" hidden="0" customWidth="1"/>
    <x:col min="8" max="8" width="14" hidden="0" customWidth="1"/>
  </x:cols>
  <x:sheetData>
    <x:row r="1" ht="30" customHeight="1">
      <x:c r="A1" s="5" t="str">
        <x:v>Three-Year Bond — 5% yield</x:v>
      </x:c>
      <x:c r="B1" s="5"/>
      <x:c r="C1" s="5"/>
      <x:c r="D1" s="5"/>
      <x:c r="E1" s="5"/>
      <x:c r="F1" s="5"/>
      <x:c r="G1" s="5"/>
      <x:c r="H1" s="5"/>
    </x:row>
    <x:row r="2">
      <x:c r="A2" s="2"/>
      <x:c r="B2" s="2"/>
      <x:c r="C2" s="2"/>
      <x:c r="D2" s="2"/>
      <x:c r="E2" s="2"/>
      <x:c r="F2" s="2"/>
      <x:c r="G2" s="2"/>
      <x:c r="H2" s="2"/>
    </x:row>
    <x:row r="3">
      <x:c r="A3" s="8" t="str">
        <x:v>Canva M06 example · annual coupons · enter formulas in yellow cells · compare price with par</x:v>
      </x:c>
      <x:c r="B3" s="8"/>
      <x:c r="C3" s="8"/>
      <x:c r="D3" s="8"/>
      <x:c r="E3" s="8"/>
      <x:c r="F3" s="8"/>
      <x:c r="G3" s="8"/>
      <x:c r="H3" s="8"/>
    </x:row>
    <x:row r="4">
      <x:c r="A4" s="2"/>
      <x:c r="B4" s="2"/>
      <x:c r="C4" s="2"/>
      <x:c r="D4" s="2"/>
      <x:c r="E4" s="2"/>
      <x:c r="F4" s="2"/>
      <x:c r="G4" s="2"/>
      <x:c r="H4" s="2"/>
    </x:row>
    <x:row r="5" ht="22" customHeight="1">
      <x:c r="A5" s="27" t="str">
        <x:v>Given contract and market yield</x:v>
      </x:c>
      <x:c r="B5" s="27"/>
      <x:c r="C5" s="27"/>
      <x:c r="D5" s="27"/>
      <x:c r="E5" s="27"/>
      <x:c r="F5" s="27"/>
      <x:c r="G5" s="27"/>
      <x:c r="H5" s="27"/>
    </x:row>
    <x:row r="6" ht="27" customHeight="1">
      <x:c r="A6" s="71" t="str">
        <x:v>Face value ($)</x:v>
      </x:c>
      <x:c r="B6" s="74" t="n">
        <x:v>1000</x:v>
      </x:c>
      <x:c r="C6" s="2"/>
      <x:c r="D6" s="18" t="str">
        <x:v>Price the bond with Excel PV(rate, nper, pmt, fv). Use the yearly cash-flow table to check the result: calculate each promised payment, discount it at the market yield, and add its present value. Only the market yield changes across these examples.</x:v>
      </x:c>
      <x:c r="E6" s="19"/>
      <x:c r="F6" s="19"/>
      <x:c r="G6" s="19"/>
      <x:c r="H6" s="20"/>
    </x:row>
    <x:row r="7" ht="27" customHeight="1">
      <x:c r="A7" s="71" t="str">
        <x:v>Annual coupon rate</x:v>
      </x:c>
      <x:c r="B7" s="75" t="n">
        <x:v>0.05</x:v>
      </x:c>
      <x:c r="C7" s="2"/>
      <x:c r="D7" s="21"/>
      <x:c r="E7" s="22"/>
      <x:c r="F7" s="22"/>
      <x:c r="G7" s="22"/>
      <x:c r="H7" s="23"/>
    </x:row>
    <x:row r="8" ht="27" customHeight="1">
      <x:c r="A8" s="71" t="str">
        <x:v>Market yield (annual)</x:v>
      </x:c>
      <x:c r="B8" s="75" t="n">
        <x:v>0.05</x:v>
      </x:c>
      <x:c r="C8" s="2"/>
      <x:c r="D8" s="21"/>
      <x:c r="E8" s="22"/>
      <x:c r="F8" s="22"/>
      <x:c r="G8" s="22"/>
      <x:c r="H8" s="23"/>
    </x:row>
    <x:row r="9" ht="27" customHeight="1">
      <x:c r="A9" s="71" t="str">
        <x:v>Years to maturity</x:v>
      </x:c>
      <x:c r="B9" s="76" t="n">
        <x:v>3</x:v>
      </x:c>
      <x:c r="C9" s="2"/>
      <x:c r="D9" s="21"/>
      <x:c r="E9" s="22"/>
      <x:c r="F9" s="22"/>
      <x:c r="G9" s="22"/>
      <x:c r="H9" s="23"/>
    </x:row>
    <x:row r="10" ht="27" customHeight="1">
      <x:c r="A10" s="71" t="str">
        <x:v>Coupon payments per year</x:v>
      </x:c>
      <x:c r="B10" s="76" t="n">
        <x:v>1</x:v>
      </x:c>
      <x:c r="C10" s="2"/>
      <x:c r="D10" s="24"/>
      <x:c r="E10" s="25"/>
      <x:c r="F10" s="25"/>
      <x:c r="G10" s="25"/>
      <x:c r="H10" s="26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 ht="22" customHeight="1">
      <x:c r="A12" s="27" t="str">
        <x:v>Discount each promised cash flow</x:v>
      </x:c>
      <x:c r="B12" s="27"/>
      <x:c r="C12" s="27"/>
      <x:c r="D12" s="27"/>
      <x:c r="E12" s="27"/>
      <x:c r="F12" s="27"/>
      <x:c r="G12" s="27"/>
      <x:c r="H12" s="27"/>
    </x:row>
    <x:row r="13" ht="30" customHeight="1">
      <x:c r="A13" s="38" t="str">
        <x:v>Year</x:v>
      </x:c>
      <x:c r="B13" s="38" t="str">
        <x:v>Coupon ($)</x:v>
      </x:c>
      <x:c r="C13" s="38" t="str">
        <x:v>Principal ($)</x:v>
      </x:c>
      <x:c r="D13" s="38" t="str">
        <x:v>Total cash flow ($)</x:v>
      </x:c>
      <x:c r="E13" s="38" t="str">
        <x:v>Discount factor</x:v>
      </x:c>
      <x:c r="F13" s="38" t="str">
        <x:v>Present value ($)</x:v>
      </x:c>
      <x:c r="G13" s="2"/>
      <x:c r="H13" s="2"/>
    </x:row>
    <x:row r="14" ht="30" customHeight="1">
      <x:c r="A14" s="78" t="n">
        <x:v>1</x:v>
      </x:c>
      <x:c r="B14" s="82"/>
      <x:c r="C14" s="82"/>
      <x:c r="D14" s="82"/>
      <x:c r="E14" s="85"/>
      <x:c r="F14" s="82"/>
      <x:c r="G14" s="2"/>
      <x:c r="H14" s="2"/>
    </x:row>
    <x:row r="15" ht="30" customHeight="1">
      <x:c r="A15" s="78" t="n">
        <x:v>2</x:v>
      </x:c>
      <x:c r="B15" s="82"/>
      <x:c r="C15" s="82"/>
      <x:c r="D15" s="82"/>
      <x:c r="E15" s="85"/>
      <x:c r="F15" s="82"/>
      <x:c r="G15" s="2"/>
      <x:c r="H15" s="2"/>
    </x:row>
    <x:row r="16" ht="30" customHeight="1">
      <x:c r="A16" s="78" t="n">
        <x:v>3</x:v>
      </x:c>
      <x:c r="B16" s="82"/>
      <x:c r="C16" s="82"/>
      <x:c r="D16" s="82"/>
      <x:c r="E16" s="85"/>
      <x:c r="F16" s="8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 ht="22" customHeight="1">
      <x:c r="A18" s="27" t="str">
        <x:v>Bond price and interpretation</x:v>
      </x:c>
      <x:c r="B18" s="27"/>
      <x:c r="C18" s="27"/>
      <x:c r="D18" s="27"/>
      <x:c r="E18" s="27"/>
      <x:c r="F18" s="27"/>
      <x:c r="G18" s="27"/>
      <x:c r="H18" s="27"/>
    </x:row>
    <x:row r="19" ht="28" customHeight="1">
      <x:c r="A19" s="71" t="str">
        <x:v>Bond price — Excel PV function</x:v>
      </x:c>
      <x:c r="B19" s="82"/>
      <x:c r="C19" s="2"/>
      <x:c r="D19" s="2"/>
      <x:c r="E19" s="2"/>
      <x:c r="F19" s="2"/>
      <x:c r="G19" s="2"/>
      <x:c r="H19" s="2"/>
    </x:row>
    <x:row r="20" ht="28" customHeight="1">
      <x:c r="A20" s="71" t="str">
        <x:v>Sum of discounted cash flows</x:v>
      </x:c>
      <x:c r="B20" s="82"/>
      <x:c r="C20" s="2"/>
      <x:c r="D20" s="2"/>
      <x:c r="E20" s="2"/>
      <x:c r="F20" s="2"/>
      <x:c r="G20" s="2"/>
      <x:c r="H20" s="2"/>
    </x:row>
    <x:row r="21" ht="28" customHeight="1">
      <x:c r="A21" s="71" t="str">
        <x:v>Difference between the methods</x:v>
      </x:c>
      <x:c r="B21" s="82"/>
      <x:c r="C21" s="2"/>
      <x:c r="D21" s="2"/>
      <x:c r="E21" s="2"/>
      <x:c r="F21" s="2"/>
      <x:c r="G21" s="2"/>
      <x:c r="H21" s="2"/>
    </x:row>
    <x:row r="22" ht="28" customHeight="1">
      <x:c r="A22" s="71" t="str">
        <x:v>Price relative to par</x:v>
      </x:c>
      <x:c r="B22" s="88"/>
      <x:c r="C22" s="2"/>
      <x:c r="D22" s="2"/>
      <x:c r="E22" s="2"/>
      <x:c r="F22" s="2"/>
      <x:c r="G22" s="2"/>
      <x:c r="H22" s="2"/>
    </x:row>
    <x:row r="23" ht="28" customHeight="1">
      <x:c r="A23" s="71" t="str">
        <x:v>Premium / (discount) dollars</x:v>
      </x:c>
      <x:c r="B23" s="8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 ht="22" customHeight="1">
      <x:c r="A25" s="27" t="str">
        <x:v>Explain the price</x:v>
      </x:c>
      <x:c r="B25" s="27"/>
      <x:c r="C25" s="27"/>
      <x:c r="D25" s="27"/>
      <x:c r="E25" s="27"/>
      <x:c r="F25" s="27"/>
      <x:c r="G25" s="27"/>
      <x:c r="H25" s="27"/>
    </x:row>
    <x:row r="26" ht="26" customHeight="1">
      <x:c r="A26" s="88"/>
      <x:c r="B26" s="88"/>
      <x:c r="C26" s="88"/>
      <x:c r="D26" s="88"/>
      <x:c r="E26" s="88"/>
      <x:c r="F26" s="88"/>
      <x:c r="G26" s="88"/>
      <x:c r="H26" s="88"/>
    </x:row>
    <x:row r="27" ht="26" customHeight="1">
      <x:c r="A27" s="88"/>
      <x:c r="B27" s="88"/>
      <x:c r="C27" s="88"/>
      <x:c r="D27" s="88"/>
      <x:c r="E27" s="88"/>
      <x:c r="F27" s="88"/>
      <x:c r="G27" s="88"/>
      <x:c r="H27" s="88"/>
    </x:row>
    <x:row r="28" ht="26" customHeight="1">
      <x:c r="A28" s="88"/>
      <x:c r="B28" s="88"/>
      <x:c r="C28" s="88"/>
      <x:c r="D28" s="88"/>
      <x:c r="E28" s="88"/>
      <x:c r="F28" s="88"/>
      <x:c r="G28" s="88"/>
      <x:c r="H28" s="88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 ht="26" customHeight="1">
      <x:c r="A30" s="18" t="str">
        <x:v>After all three examples: compare the coupon and principal cash flows, then compare the discount factors and prices. What stays fixed, and what moves when market yield changes?</x:v>
      </x:c>
      <x:c r="B30" s="19"/>
      <x:c r="C30" s="19"/>
      <x:c r="D30" s="19"/>
      <x:c r="E30" s="19"/>
      <x:c r="F30" s="19"/>
      <x:c r="G30" s="19"/>
      <x:c r="H30" s="20"/>
    </x:row>
    <x:row r="31" ht="26" customHeight="1">
      <x:c r="A31" s="24"/>
      <x:c r="B31" s="25"/>
      <x:c r="C31" s="25"/>
      <x:c r="D31" s="25"/>
      <x:c r="E31" s="25"/>
      <x:c r="F31" s="25"/>
      <x:c r="G31" s="25"/>
      <x:c r="H31" s="26"/>
    </x:row>
    <x:row r="32">
      <x:c r="A32" s="2"/>
      <x:c r="B32" s="2"/>
      <x:c r="C32" s="2"/>
      <x:c r="D32" s="2"/>
      <x:c r="E32" s="2"/>
      <x:c r="F32" s="2"/>
      <x:c r="G32" s="2"/>
      <x:c r="H32" s="2"/>
    </x:row>
  </x:sheetData>
  <x:mergeCells>
    <x:mergeCell ref="A1:H1"/>
    <x:mergeCell ref="A3:H3"/>
    <x:mergeCell ref="A5:H5"/>
    <x:mergeCell ref="D6:H10"/>
    <x:mergeCell ref="A12:H12"/>
    <x:mergeCell ref="A18:H18"/>
    <x:mergeCell ref="A25:H25"/>
    <x:mergeCell ref="A26:H28"/>
    <x:mergeCell ref="A30:H3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22" hidden="0" customWidth="1"/>
    <x:col min="3" max="3" width="20" hidden="0" customWidth="1"/>
    <x:col min="4" max="4" width="25" hidden="0" customWidth="1"/>
    <x:col min="5" max="5" width="20" hidden="0" customWidth="1"/>
    <x:col min="6" max="6" width="23" hidden="0" customWidth="1"/>
    <x:col min="7" max="7" width="14" hidden="0" customWidth="1"/>
    <x:col min="8" max="8" width="14" hidden="0" customWidth="1"/>
  </x:cols>
  <x:sheetData>
    <x:row r="1" ht="30" customHeight="1">
      <x:c r="A1" s="5" t="str">
        <x:v>Three-Year Bond — 3% yield</x:v>
      </x:c>
      <x:c r="B1" s="5"/>
      <x:c r="C1" s="5"/>
      <x:c r="D1" s="5"/>
      <x:c r="E1" s="5"/>
      <x:c r="F1" s="5"/>
      <x:c r="G1" s="5"/>
      <x:c r="H1" s="5"/>
    </x:row>
    <x:row r="2">
      <x:c r="A2" s="2"/>
      <x:c r="B2" s="2"/>
      <x:c r="C2" s="2"/>
      <x:c r="D2" s="2"/>
      <x:c r="E2" s="2"/>
      <x:c r="F2" s="2"/>
      <x:c r="G2" s="2"/>
      <x:c r="H2" s="2"/>
    </x:row>
    <x:row r="3">
      <x:c r="A3" s="8" t="str">
        <x:v>Canva M06 example · annual coupons · enter formulas in yellow cells · compare price with par</x:v>
      </x:c>
      <x:c r="B3" s="8"/>
      <x:c r="C3" s="8"/>
      <x:c r="D3" s="8"/>
      <x:c r="E3" s="8"/>
      <x:c r="F3" s="8"/>
      <x:c r="G3" s="8"/>
      <x:c r="H3" s="8"/>
    </x:row>
    <x:row r="4">
      <x:c r="A4" s="2"/>
      <x:c r="B4" s="2"/>
      <x:c r="C4" s="2"/>
      <x:c r="D4" s="2"/>
      <x:c r="E4" s="2"/>
      <x:c r="F4" s="2"/>
      <x:c r="G4" s="2"/>
      <x:c r="H4" s="2"/>
    </x:row>
    <x:row r="5" ht="22" customHeight="1">
      <x:c r="A5" s="27" t="str">
        <x:v>Given contract and market yield</x:v>
      </x:c>
      <x:c r="B5" s="27"/>
      <x:c r="C5" s="27"/>
      <x:c r="D5" s="27"/>
      <x:c r="E5" s="27"/>
      <x:c r="F5" s="27"/>
      <x:c r="G5" s="27"/>
      <x:c r="H5" s="27"/>
    </x:row>
    <x:row r="6" ht="27" customHeight="1">
      <x:c r="A6" s="71" t="str">
        <x:v>Face value ($)</x:v>
      </x:c>
      <x:c r="B6" s="74" t="n">
        <x:v>1000</x:v>
      </x:c>
      <x:c r="C6" s="2"/>
      <x:c r="D6" s="18" t="str">
        <x:v>Price the bond with Excel PV(rate, nper, pmt, fv). Use the yearly cash-flow table to check the result: calculate each promised payment, discount it at the market yield, and add its present value. Only the market yield changes across these examples.</x:v>
      </x:c>
      <x:c r="E6" s="19"/>
      <x:c r="F6" s="19"/>
      <x:c r="G6" s="19"/>
      <x:c r="H6" s="20"/>
    </x:row>
    <x:row r="7" ht="27" customHeight="1">
      <x:c r="A7" s="71" t="str">
        <x:v>Annual coupon rate</x:v>
      </x:c>
      <x:c r="B7" s="75" t="n">
        <x:v>0.05</x:v>
      </x:c>
      <x:c r="C7" s="2"/>
      <x:c r="D7" s="21"/>
      <x:c r="E7" s="22"/>
      <x:c r="F7" s="22"/>
      <x:c r="G7" s="22"/>
      <x:c r="H7" s="23"/>
    </x:row>
    <x:row r="8" ht="27" customHeight="1">
      <x:c r="A8" s="71" t="str">
        <x:v>Market yield (annual)</x:v>
      </x:c>
      <x:c r="B8" s="75" t="n">
        <x:v>0.03</x:v>
      </x:c>
      <x:c r="C8" s="2"/>
      <x:c r="D8" s="21"/>
      <x:c r="E8" s="22"/>
      <x:c r="F8" s="22"/>
      <x:c r="G8" s="22"/>
      <x:c r="H8" s="23"/>
    </x:row>
    <x:row r="9" ht="27" customHeight="1">
      <x:c r="A9" s="71" t="str">
        <x:v>Years to maturity</x:v>
      </x:c>
      <x:c r="B9" s="76" t="n">
        <x:v>3</x:v>
      </x:c>
      <x:c r="C9" s="2"/>
      <x:c r="D9" s="21"/>
      <x:c r="E9" s="22"/>
      <x:c r="F9" s="22"/>
      <x:c r="G9" s="22"/>
      <x:c r="H9" s="23"/>
    </x:row>
    <x:row r="10" ht="27" customHeight="1">
      <x:c r="A10" s="71" t="str">
        <x:v>Coupon payments per year</x:v>
      </x:c>
      <x:c r="B10" s="76" t="n">
        <x:v>1</x:v>
      </x:c>
      <x:c r="C10" s="2"/>
      <x:c r="D10" s="24"/>
      <x:c r="E10" s="25"/>
      <x:c r="F10" s="25"/>
      <x:c r="G10" s="25"/>
      <x:c r="H10" s="26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 ht="22" customHeight="1">
      <x:c r="A12" s="27" t="str">
        <x:v>Discount each promised cash flow</x:v>
      </x:c>
      <x:c r="B12" s="27"/>
      <x:c r="C12" s="27"/>
      <x:c r="D12" s="27"/>
      <x:c r="E12" s="27"/>
      <x:c r="F12" s="27"/>
      <x:c r="G12" s="27"/>
      <x:c r="H12" s="27"/>
    </x:row>
    <x:row r="13" ht="30" customHeight="1">
      <x:c r="A13" s="38" t="str">
        <x:v>Year</x:v>
      </x:c>
      <x:c r="B13" s="38" t="str">
        <x:v>Coupon ($)</x:v>
      </x:c>
      <x:c r="C13" s="38" t="str">
        <x:v>Principal ($)</x:v>
      </x:c>
      <x:c r="D13" s="38" t="str">
        <x:v>Total cash flow ($)</x:v>
      </x:c>
      <x:c r="E13" s="38" t="str">
        <x:v>Discount factor</x:v>
      </x:c>
      <x:c r="F13" s="38" t="str">
        <x:v>Present value ($)</x:v>
      </x:c>
      <x:c r="G13" s="2"/>
      <x:c r="H13" s="2"/>
    </x:row>
    <x:row r="14" ht="30" customHeight="1">
      <x:c r="A14" s="78" t="n">
        <x:v>1</x:v>
      </x:c>
      <x:c r="B14" s="82"/>
      <x:c r="C14" s="82"/>
      <x:c r="D14" s="82"/>
      <x:c r="E14" s="85"/>
      <x:c r="F14" s="82"/>
      <x:c r="G14" s="2"/>
      <x:c r="H14" s="2"/>
    </x:row>
    <x:row r="15" ht="30" customHeight="1">
      <x:c r="A15" s="78" t="n">
        <x:v>2</x:v>
      </x:c>
      <x:c r="B15" s="82"/>
      <x:c r="C15" s="82"/>
      <x:c r="D15" s="82"/>
      <x:c r="E15" s="85"/>
      <x:c r="F15" s="82"/>
      <x:c r="G15" s="2"/>
      <x:c r="H15" s="2"/>
    </x:row>
    <x:row r="16" ht="30" customHeight="1">
      <x:c r="A16" s="78" t="n">
        <x:v>3</x:v>
      </x:c>
      <x:c r="B16" s="82"/>
      <x:c r="C16" s="82"/>
      <x:c r="D16" s="82"/>
      <x:c r="E16" s="85"/>
      <x:c r="F16" s="8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 ht="22" customHeight="1">
      <x:c r="A18" s="27" t="str">
        <x:v>Bond price and interpretation</x:v>
      </x:c>
      <x:c r="B18" s="27"/>
      <x:c r="C18" s="27"/>
      <x:c r="D18" s="27"/>
      <x:c r="E18" s="27"/>
      <x:c r="F18" s="27"/>
      <x:c r="G18" s="27"/>
      <x:c r="H18" s="27"/>
    </x:row>
    <x:row r="19" ht="28" customHeight="1">
      <x:c r="A19" s="71" t="str">
        <x:v>Bond price — Excel PV function</x:v>
      </x:c>
      <x:c r="B19" s="82"/>
      <x:c r="C19" s="2"/>
      <x:c r="D19" s="2"/>
      <x:c r="E19" s="2"/>
      <x:c r="F19" s="2"/>
      <x:c r="G19" s="2"/>
      <x:c r="H19" s="2"/>
    </x:row>
    <x:row r="20" ht="28" customHeight="1">
      <x:c r="A20" s="71" t="str">
        <x:v>Sum of discounted cash flows</x:v>
      </x:c>
      <x:c r="B20" s="82"/>
      <x:c r="C20" s="2"/>
      <x:c r="D20" s="2"/>
      <x:c r="E20" s="2"/>
      <x:c r="F20" s="2"/>
      <x:c r="G20" s="2"/>
      <x:c r="H20" s="2"/>
    </x:row>
    <x:row r="21" ht="28" customHeight="1">
      <x:c r="A21" s="71" t="str">
        <x:v>Difference between the methods</x:v>
      </x:c>
      <x:c r="B21" s="82"/>
      <x:c r="C21" s="2"/>
      <x:c r="D21" s="2"/>
      <x:c r="E21" s="2"/>
      <x:c r="F21" s="2"/>
      <x:c r="G21" s="2"/>
      <x:c r="H21" s="2"/>
    </x:row>
    <x:row r="22" ht="28" customHeight="1">
      <x:c r="A22" s="71" t="str">
        <x:v>Price relative to par</x:v>
      </x:c>
      <x:c r="B22" s="88"/>
      <x:c r="C22" s="2"/>
      <x:c r="D22" s="2"/>
      <x:c r="E22" s="2"/>
      <x:c r="F22" s="2"/>
      <x:c r="G22" s="2"/>
      <x:c r="H22" s="2"/>
    </x:row>
    <x:row r="23" ht="28" customHeight="1">
      <x:c r="A23" s="71" t="str">
        <x:v>Premium / (discount) dollars</x:v>
      </x:c>
      <x:c r="B23" s="8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 ht="22" customHeight="1">
      <x:c r="A25" s="27" t="str">
        <x:v>Explain the price</x:v>
      </x:c>
      <x:c r="B25" s="27"/>
      <x:c r="C25" s="27"/>
      <x:c r="D25" s="27"/>
      <x:c r="E25" s="27"/>
      <x:c r="F25" s="27"/>
      <x:c r="G25" s="27"/>
      <x:c r="H25" s="27"/>
    </x:row>
    <x:row r="26" ht="26" customHeight="1">
      <x:c r="A26" s="88"/>
      <x:c r="B26" s="88"/>
      <x:c r="C26" s="88"/>
      <x:c r="D26" s="88"/>
      <x:c r="E26" s="88"/>
      <x:c r="F26" s="88"/>
      <x:c r="G26" s="88"/>
      <x:c r="H26" s="88"/>
    </x:row>
    <x:row r="27" ht="26" customHeight="1">
      <x:c r="A27" s="88"/>
      <x:c r="B27" s="88"/>
      <x:c r="C27" s="88"/>
      <x:c r="D27" s="88"/>
      <x:c r="E27" s="88"/>
      <x:c r="F27" s="88"/>
      <x:c r="G27" s="88"/>
      <x:c r="H27" s="88"/>
    </x:row>
    <x:row r="28" ht="26" customHeight="1">
      <x:c r="A28" s="88"/>
      <x:c r="B28" s="88"/>
      <x:c r="C28" s="88"/>
      <x:c r="D28" s="88"/>
      <x:c r="E28" s="88"/>
      <x:c r="F28" s="88"/>
      <x:c r="G28" s="88"/>
      <x:c r="H28" s="88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 ht="26" customHeight="1">
      <x:c r="A30" s="18" t="str">
        <x:v>After all three examples: compare the coupon and principal cash flows, then compare the discount factors and prices. What stays fixed, and what moves when market yield changes?</x:v>
      </x:c>
      <x:c r="B30" s="19"/>
      <x:c r="C30" s="19"/>
      <x:c r="D30" s="19"/>
      <x:c r="E30" s="19"/>
      <x:c r="F30" s="19"/>
      <x:c r="G30" s="19"/>
      <x:c r="H30" s="20"/>
    </x:row>
    <x:row r="31" ht="26" customHeight="1">
      <x:c r="A31" s="24"/>
      <x:c r="B31" s="25"/>
      <x:c r="C31" s="25"/>
      <x:c r="D31" s="25"/>
      <x:c r="E31" s="25"/>
      <x:c r="F31" s="25"/>
      <x:c r="G31" s="25"/>
      <x:c r="H31" s="26"/>
    </x:row>
    <x:row r="32">
      <x:c r="A32" s="2"/>
      <x:c r="B32" s="2"/>
      <x:c r="C32" s="2"/>
      <x:c r="D32" s="2"/>
      <x:c r="E32" s="2"/>
      <x:c r="F32" s="2"/>
      <x:c r="G32" s="2"/>
      <x:c r="H32" s="2"/>
    </x:row>
  </x:sheetData>
  <x:mergeCells>
    <x:mergeCell ref="A1:H1"/>
    <x:mergeCell ref="A3:H3"/>
    <x:mergeCell ref="A5:H5"/>
    <x:mergeCell ref="D6:H10"/>
    <x:mergeCell ref="A12:H12"/>
    <x:mergeCell ref="A18:H18"/>
    <x:mergeCell ref="A25:H25"/>
    <x:mergeCell ref="A26:H28"/>
    <x:mergeCell ref="A30:H3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22" hidden="0" customWidth="1"/>
    <x:col min="3" max="3" width="20" hidden="0" customWidth="1"/>
    <x:col min="4" max="4" width="25" hidden="0" customWidth="1"/>
    <x:col min="5" max="5" width="20" hidden="0" customWidth="1"/>
    <x:col min="6" max="6" width="23" hidden="0" customWidth="1"/>
    <x:col min="7" max="7" width="14" hidden="0" customWidth="1"/>
    <x:col min="8" max="8" width="14" hidden="0" customWidth="1"/>
  </x:cols>
  <x:sheetData>
    <x:row r="1" ht="30" customHeight="1">
      <x:c r="A1" s="5" t="str">
        <x:v>Three-Year Bond — 7% yield</x:v>
      </x:c>
      <x:c r="B1" s="5"/>
      <x:c r="C1" s="5"/>
      <x:c r="D1" s="5"/>
      <x:c r="E1" s="5"/>
      <x:c r="F1" s="5"/>
      <x:c r="G1" s="5"/>
      <x:c r="H1" s="5"/>
    </x:row>
    <x:row r="2">
      <x:c r="A2" s="2"/>
      <x:c r="B2" s="2"/>
      <x:c r="C2" s="2"/>
      <x:c r="D2" s="2"/>
      <x:c r="E2" s="2"/>
      <x:c r="F2" s="2"/>
      <x:c r="G2" s="2"/>
      <x:c r="H2" s="2"/>
    </x:row>
    <x:row r="3">
      <x:c r="A3" s="8" t="str">
        <x:v>Canva M06 example · annual coupons · enter formulas in yellow cells · compare price with par</x:v>
      </x:c>
      <x:c r="B3" s="8"/>
      <x:c r="C3" s="8"/>
      <x:c r="D3" s="8"/>
      <x:c r="E3" s="8"/>
      <x:c r="F3" s="8"/>
      <x:c r="G3" s="8"/>
      <x:c r="H3" s="8"/>
    </x:row>
    <x:row r="4">
      <x:c r="A4" s="2"/>
      <x:c r="B4" s="2"/>
      <x:c r="C4" s="2"/>
      <x:c r="D4" s="2"/>
      <x:c r="E4" s="2"/>
      <x:c r="F4" s="2"/>
      <x:c r="G4" s="2"/>
      <x:c r="H4" s="2"/>
    </x:row>
    <x:row r="5" ht="22" customHeight="1">
      <x:c r="A5" s="27" t="str">
        <x:v>Given contract and market yield</x:v>
      </x:c>
      <x:c r="B5" s="27"/>
      <x:c r="C5" s="27"/>
      <x:c r="D5" s="27"/>
      <x:c r="E5" s="27"/>
      <x:c r="F5" s="27"/>
      <x:c r="G5" s="27"/>
      <x:c r="H5" s="27"/>
    </x:row>
    <x:row r="6" ht="27" customHeight="1">
      <x:c r="A6" s="71" t="str">
        <x:v>Face value ($)</x:v>
      </x:c>
      <x:c r="B6" s="74" t="n">
        <x:v>1000</x:v>
      </x:c>
      <x:c r="C6" s="2"/>
      <x:c r="D6" s="18" t="str">
        <x:v>Price the bond with Excel PV(rate, nper, pmt, fv). Use the yearly cash-flow table to check the result: calculate each promised payment, discount it at the market yield, and add its present value. Only the market yield changes across these examples.</x:v>
      </x:c>
      <x:c r="E6" s="19"/>
      <x:c r="F6" s="19"/>
      <x:c r="G6" s="19"/>
      <x:c r="H6" s="20"/>
    </x:row>
    <x:row r="7" ht="27" customHeight="1">
      <x:c r="A7" s="71" t="str">
        <x:v>Annual coupon rate</x:v>
      </x:c>
      <x:c r="B7" s="75" t="n">
        <x:v>0.05</x:v>
      </x:c>
      <x:c r="C7" s="2"/>
      <x:c r="D7" s="21"/>
      <x:c r="E7" s="22"/>
      <x:c r="F7" s="22"/>
      <x:c r="G7" s="22"/>
      <x:c r="H7" s="23"/>
    </x:row>
    <x:row r="8" ht="27" customHeight="1">
      <x:c r="A8" s="71" t="str">
        <x:v>Market yield (annual)</x:v>
      </x:c>
      <x:c r="B8" s="75" t="n">
        <x:v>0.07</x:v>
      </x:c>
      <x:c r="C8" s="2"/>
      <x:c r="D8" s="21"/>
      <x:c r="E8" s="22"/>
      <x:c r="F8" s="22"/>
      <x:c r="G8" s="22"/>
      <x:c r="H8" s="23"/>
    </x:row>
    <x:row r="9" ht="27" customHeight="1">
      <x:c r="A9" s="71" t="str">
        <x:v>Years to maturity</x:v>
      </x:c>
      <x:c r="B9" s="76" t="n">
        <x:v>3</x:v>
      </x:c>
      <x:c r="C9" s="2"/>
      <x:c r="D9" s="21"/>
      <x:c r="E9" s="22"/>
      <x:c r="F9" s="22"/>
      <x:c r="G9" s="22"/>
      <x:c r="H9" s="23"/>
    </x:row>
    <x:row r="10" ht="27" customHeight="1">
      <x:c r="A10" s="71" t="str">
        <x:v>Coupon payments per year</x:v>
      </x:c>
      <x:c r="B10" s="76" t="n">
        <x:v>1</x:v>
      </x:c>
      <x:c r="C10" s="2"/>
      <x:c r="D10" s="24"/>
      <x:c r="E10" s="25"/>
      <x:c r="F10" s="25"/>
      <x:c r="G10" s="25"/>
      <x:c r="H10" s="26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 ht="22" customHeight="1">
      <x:c r="A12" s="27" t="str">
        <x:v>Discount each promised cash flow</x:v>
      </x:c>
      <x:c r="B12" s="27"/>
      <x:c r="C12" s="27"/>
      <x:c r="D12" s="27"/>
      <x:c r="E12" s="27"/>
      <x:c r="F12" s="27"/>
      <x:c r="G12" s="27"/>
      <x:c r="H12" s="27"/>
    </x:row>
    <x:row r="13" ht="30" customHeight="1">
      <x:c r="A13" s="38" t="str">
        <x:v>Year</x:v>
      </x:c>
      <x:c r="B13" s="38" t="str">
        <x:v>Coupon ($)</x:v>
      </x:c>
      <x:c r="C13" s="38" t="str">
        <x:v>Principal ($)</x:v>
      </x:c>
      <x:c r="D13" s="38" t="str">
        <x:v>Total cash flow ($)</x:v>
      </x:c>
      <x:c r="E13" s="38" t="str">
        <x:v>Discount factor</x:v>
      </x:c>
      <x:c r="F13" s="38" t="str">
        <x:v>Present value ($)</x:v>
      </x:c>
      <x:c r="G13" s="2"/>
      <x:c r="H13" s="2"/>
    </x:row>
    <x:row r="14" ht="30" customHeight="1">
      <x:c r="A14" s="78" t="n">
        <x:v>1</x:v>
      </x:c>
      <x:c r="B14" s="82"/>
      <x:c r="C14" s="82"/>
      <x:c r="D14" s="82"/>
      <x:c r="E14" s="85"/>
      <x:c r="F14" s="82"/>
      <x:c r="G14" s="2"/>
      <x:c r="H14" s="2"/>
    </x:row>
    <x:row r="15" ht="30" customHeight="1">
      <x:c r="A15" s="78" t="n">
        <x:v>2</x:v>
      </x:c>
      <x:c r="B15" s="82"/>
      <x:c r="C15" s="82"/>
      <x:c r="D15" s="82"/>
      <x:c r="E15" s="85"/>
      <x:c r="F15" s="82"/>
      <x:c r="G15" s="2"/>
      <x:c r="H15" s="2"/>
    </x:row>
    <x:row r="16" ht="30" customHeight="1">
      <x:c r="A16" s="78" t="n">
        <x:v>3</x:v>
      </x:c>
      <x:c r="B16" s="82"/>
      <x:c r="C16" s="82"/>
      <x:c r="D16" s="82"/>
      <x:c r="E16" s="85"/>
      <x:c r="F16" s="8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 ht="22" customHeight="1">
      <x:c r="A18" s="27" t="str">
        <x:v>Bond price and interpretation</x:v>
      </x:c>
      <x:c r="B18" s="27"/>
      <x:c r="C18" s="27"/>
      <x:c r="D18" s="27"/>
      <x:c r="E18" s="27"/>
      <x:c r="F18" s="27"/>
      <x:c r="G18" s="27"/>
      <x:c r="H18" s="27"/>
    </x:row>
    <x:row r="19" ht="28" customHeight="1">
      <x:c r="A19" s="71" t="str">
        <x:v>Bond price — Excel PV function</x:v>
      </x:c>
      <x:c r="B19" s="82"/>
      <x:c r="C19" s="2"/>
      <x:c r="D19" s="2"/>
      <x:c r="E19" s="2"/>
      <x:c r="F19" s="2"/>
      <x:c r="G19" s="2"/>
      <x:c r="H19" s="2"/>
    </x:row>
    <x:row r="20" ht="28" customHeight="1">
      <x:c r="A20" s="71" t="str">
        <x:v>Sum of discounted cash flows</x:v>
      </x:c>
      <x:c r="B20" s="82"/>
      <x:c r="C20" s="2"/>
      <x:c r="D20" s="2"/>
      <x:c r="E20" s="2"/>
      <x:c r="F20" s="2"/>
      <x:c r="G20" s="2"/>
      <x:c r="H20" s="2"/>
    </x:row>
    <x:row r="21" ht="28" customHeight="1">
      <x:c r="A21" s="71" t="str">
        <x:v>Difference between the methods</x:v>
      </x:c>
      <x:c r="B21" s="82"/>
      <x:c r="C21" s="2"/>
      <x:c r="D21" s="2"/>
      <x:c r="E21" s="2"/>
      <x:c r="F21" s="2"/>
      <x:c r="G21" s="2"/>
      <x:c r="H21" s="2"/>
    </x:row>
    <x:row r="22" ht="28" customHeight="1">
      <x:c r="A22" s="71" t="str">
        <x:v>Price relative to par</x:v>
      </x:c>
      <x:c r="B22" s="88"/>
      <x:c r="C22" s="2"/>
      <x:c r="D22" s="2"/>
      <x:c r="E22" s="2"/>
      <x:c r="F22" s="2"/>
      <x:c r="G22" s="2"/>
      <x:c r="H22" s="2"/>
    </x:row>
    <x:row r="23" ht="28" customHeight="1">
      <x:c r="A23" s="71" t="str">
        <x:v>Premium / (discount) dollars</x:v>
      </x:c>
      <x:c r="B23" s="8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 ht="22" customHeight="1">
      <x:c r="A25" s="27" t="str">
        <x:v>Explain the price</x:v>
      </x:c>
      <x:c r="B25" s="27"/>
      <x:c r="C25" s="27"/>
      <x:c r="D25" s="27"/>
      <x:c r="E25" s="27"/>
      <x:c r="F25" s="27"/>
      <x:c r="G25" s="27"/>
      <x:c r="H25" s="27"/>
    </x:row>
    <x:row r="26" ht="26" customHeight="1">
      <x:c r="A26" s="88"/>
      <x:c r="B26" s="88"/>
      <x:c r="C26" s="88"/>
      <x:c r="D26" s="88"/>
      <x:c r="E26" s="88"/>
      <x:c r="F26" s="88"/>
      <x:c r="G26" s="88"/>
      <x:c r="H26" s="88"/>
    </x:row>
    <x:row r="27" ht="26" customHeight="1">
      <x:c r="A27" s="88"/>
      <x:c r="B27" s="88"/>
      <x:c r="C27" s="88"/>
      <x:c r="D27" s="88"/>
      <x:c r="E27" s="88"/>
      <x:c r="F27" s="88"/>
      <x:c r="G27" s="88"/>
      <x:c r="H27" s="88"/>
    </x:row>
    <x:row r="28" ht="26" customHeight="1">
      <x:c r="A28" s="88"/>
      <x:c r="B28" s="88"/>
      <x:c r="C28" s="88"/>
      <x:c r="D28" s="88"/>
      <x:c r="E28" s="88"/>
      <x:c r="F28" s="88"/>
      <x:c r="G28" s="88"/>
      <x:c r="H28" s="88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 ht="26" customHeight="1">
      <x:c r="A30" s="18" t="str">
        <x:v>After all three examples: compare the coupon and principal cash flows, then compare the discount factors and prices. What stays fixed, and what moves when market yield changes?</x:v>
      </x:c>
      <x:c r="B30" s="19"/>
      <x:c r="C30" s="19"/>
      <x:c r="D30" s="19"/>
      <x:c r="E30" s="19"/>
      <x:c r="F30" s="19"/>
      <x:c r="G30" s="19"/>
      <x:c r="H30" s="20"/>
    </x:row>
    <x:row r="31" ht="26" customHeight="1">
      <x:c r="A31" s="24"/>
      <x:c r="B31" s="25"/>
      <x:c r="C31" s="25"/>
      <x:c r="D31" s="25"/>
      <x:c r="E31" s="25"/>
      <x:c r="F31" s="25"/>
      <x:c r="G31" s="25"/>
      <x:c r="H31" s="26"/>
    </x:row>
    <x:row r="32">
      <x:c r="A32" s="2"/>
      <x:c r="B32" s="2"/>
      <x:c r="C32" s="2"/>
      <x:c r="D32" s="2"/>
      <x:c r="E32" s="2"/>
      <x:c r="F32" s="2"/>
      <x:c r="G32" s="2"/>
      <x:c r="H32" s="2"/>
    </x:row>
  </x:sheetData>
  <x:mergeCells>
    <x:mergeCell ref="A1:H1"/>
    <x:mergeCell ref="A3:H3"/>
    <x:mergeCell ref="A5:H5"/>
    <x:mergeCell ref="D6:H10"/>
    <x:mergeCell ref="A12:H12"/>
    <x:mergeCell ref="A18:H18"/>
    <x:mergeCell ref="A25:H25"/>
    <x:mergeCell ref="A26:H28"/>
    <x:mergeCell ref="A30:H3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44" hidden="0" customWidth="1"/>
    <x:col min="4" max="4" width="12" hidden="0" customWidth="1"/>
    <x:col min="5" max="5" width="34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5" t="str">
        <x:v>Meridian — Central Assumptions and Balanced Baseline</x:v>
      </x:c>
      <x:c r="B1" s="5"/>
      <x:c r="C1" s="5"/>
      <x:c r="D1" s="5"/>
      <x:c r="E1" s="5"/>
      <x:c r="F1" s="5"/>
      <x:c r="G1" s="5"/>
      <x:c r="H1" s="5"/>
    </x:row>
    <x:row r="2">
      <x:c r="A2" s="2"/>
      <x:c r="B2" s="2"/>
      <x:c r="C2" s="2"/>
      <x:c r="D2" s="2"/>
      <x:c r="E2" s="2"/>
      <x:c r="F2" s="2"/>
      <x:c r="G2" s="2"/>
      <x:c r="H2" s="2"/>
    </x:row>
    <x:row r="3">
      <x:c r="A3" s="8" t="str">
        <x:v>All scenario formulas must link here. Blue = given; yellow = student calculation. Fictional teaching case, FY 2025 baseline.</x:v>
      </x:c>
      <x:c r="B3" s="8"/>
      <x:c r="C3" s="8"/>
      <x:c r="D3" s="8"/>
      <x:c r="E3" s="8"/>
      <x:c r="F3" s="8"/>
      <x:c r="G3" s="8"/>
      <x:c r="H3" s="8"/>
    </x:row>
    <x:row r="4">
      <x:c r="A4" s="2"/>
      <x:c r="B4" s="2"/>
      <x:c r="C4" s="2"/>
      <x:c r="D4" s="2"/>
      <x:c r="E4" s="2"/>
      <x:c r="F4" s="2"/>
      <x:c r="G4" s="2"/>
      <x:c r="H4" s="2"/>
    </x:row>
    <x:row r="5" ht="22" customHeight="1">
      <x:c r="A5" s="27" t="str">
        <x:v>Baseline income statement and per-share data</x:v>
      </x:c>
      <x:c r="B5" s="27"/>
      <x:c r="C5" s="27"/>
      <x:c r="D5" s="27"/>
      <x:c r="E5" s="2"/>
      <x:c r="F5" s="2"/>
      <x:c r="G5" s="2"/>
      <x:c r="H5" s="2"/>
    </x:row>
    <x:row r="6" ht="27" customHeight="1">
      <x:c r="A6" s="38" t="str">
        <x:v>Income statement item</x:v>
      </x:c>
      <x:c r="B6" s="38" t="str">
        <x:v>FY 2025 ($000s)</x:v>
      </x:c>
      <x:c r="C6" s="38" t="str">
        <x:v>Student formula / definition</x:v>
      </x:c>
      <x:c r="D6" s="38" t="str">
        <x:v>Role</x:v>
      </x:c>
      <x:c r="E6" s="2"/>
      <x:c r="F6" s="2"/>
      <x:c r="G6" s="2"/>
      <x:c r="H6" s="2"/>
    </x:row>
    <x:row r="7" ht="27" customHeight="1">
      <x:c r="A7" s="2" t="str">
        <x:v>Revenue</x:v>
      </x:c>
      <x:c r="B7" s="76" t="n">
        <x:v>425000</x:v>
      </x:c>
      <x:c r="C7" s="33" t="str">
        <x:v>Given</x:v>
      </x:c>
      <x:c r="D7" s="33" t="str">
        <x:v>Input</x:v>
      </x:c>
      <x:c r="E7" s="2"/>
      <x:c r="F7" s="2"/>
      <x:c r="G7" s="2"/>
      <x:c r="H7" s="2"/>
    </x:row>
    <x:row r="8" ht="27" customHeight="1">
      <x:c r="A8" s="2" t="str">
        <x:v>Cost of Goods Sold</x:v>
      </x:c>
      <x:c r="B8" s="76" t="n">
        <x:v>272000</x:v>
      </x:c>
      <x:c r="C8" s="33" t="str">
        <x:v>Given</x:v>
      </x:c>
      <x:c r="D8" s="33" t="str">
        <x:v>Input</x:v>
      </x:c>
      <x:c r="E8" s="2"/>
      <x:c r="F8" s="2"/>
      <x:c r="G8" s="2"/>
      <x:c r="H8" s="2"/>
    </x:row>
    <x:row r="9" ht="27" customHeight="1">
      <x:c r="A9" s="2" t="str">
        <x:v>Gross Profit</x:v>
      </x:c>
      <x:c r="B9" s="91"/>
      <x:c r="C9" s="33" t="str">
        <x:v>Revenue − COGS</x:v>
      </x:c>
      <x:c r="D9" s="33" t="str">
        <x:v>Student</x:v>
      </x:c>
      <x:c r="E9" s="2"/>
      <x:c r="F9" s="2"/>
      <x:c r="G9" s="2"/>
      <x:c r="H9" s="2"/>
    </x:row>
    <x:row r="10" ht="27" customHeight="1">
      <x:c r="A10" s="2" t="str">
        <x:v>Selling, General &amp; Admin</x:v>
      </x:c>
      <x:c r="B10" s="76" t="n">
        <x:v>61000</x:v>
      </x:c>
      <x:c r="C10" s="33" t="str">
        <x:v>Given</x:v>
      </x:c>
      <x:c r="D10" s="33" t="str">
        <x:v>Input</x:v>
      </x:c>
      <x:c r="E10" s="2"/>
      <x:c r="F10" s="2"/>
      <x:c r="G10" s="2"/>
      <x:c r="H10" s="2"/>
    </x:row>
    <x:row r="11" ht="27" customHeight="1">
      <x:c r="A11" s="2" t="str">
        <x:v>Depreciation &amp; Amortization</x:v>
      </x:c>
      <x:c r="B11" s="76" t="n">
        <x:v>18500</x:v>
      </x:c>
      <x:c r="C11" s="33" t="str">
        <x:v>Given</x:v>
      </x:c>
      <x:c r="D11" s="33" t="str">
        <x:v>Input</x:v>
      </x:c>
      <x:c r="E11" s="2"/>
      <x:c r="F11" s="2"/>
      <x:c r="G11" s="2"/>
      <x:c r="H11" s="2"/>
    </x:row>
    <x:row r="12" ht="27" customHeight="1">
      <x:c r="A12" s="2" t="str">
        <x:v>EBIT (Operating Income)</x:v>
      </x:c>
      <x:c r="B12" s="91"/>
      <x:c r="C12" s="33" t="str">
        <x:v>Gross Profit − SG&amp;A − D&amp;A</x:v>
      </x:c>
      <x:c r="D12" s="33" t="str">
        <x:v>Student</x:v>
      </x:c>
      <x:c r="E12" s="2"/>
      <x:c r="F12" s="2"/>
      <x:c r="G12" s="2"/>
      <x:c r="H12" s="2"/>
    </x:row>
    <x:row r="13" ht="27" customHeight="1">
      <x:c r="A13" s="2" t="str">
        <x:v>Interest Expense</x:v>
      </x:c>
      <x:c r="B13" s="76" t="n">
        <x:v>9800</x:v>
      </x:c>
      <x:c r="C13" s="33" t="str">
        <x:v>Positive expense</x:v>
      </x:c>
      <x:c r="D13" s="33" t="str">
        <x:v>Input</x:v>
      </x:c>
      <x:c r="E13" s="2"/>
      <x:c r="F13" s="2"/>
      <x:c r="G13" s="2"/>
      <x:c r="H13" s="2"/>
    </x:row>
    <x:row r="14" ht="27" customHeight="1">
      <x:c r="A14" s="2" t="str">
        <x:v>EBT</x:v>
      </x:c>
      <x:c r="B14" s="91"/>
      <x:c r="C14" s="33" t="str">
        <x:v>EBIT − Interest Expense</x:v>
      </x:c>
      <x:c r="D14" s="33" t="str">
        <x:v>Student</x:v>
      </x:c>
      <x:c r="E14" s="2"/>
      <x:c r="F14" s="2"/>
      <x:c r="G14" s="2"/>
      <x:c r="H14" s="2"/>
    </x:row>
    <x:row r="15" ht="27" customHeight="1">
      <x:c r="A15" s="2" t="str">
        <x:v>Income Tax Rate</x:v>
      </x:c>
      <x:c r="B15" s="75" t="n">
        <x:v>0.25</x:v>
      </x:c>
      <x:c r="C15" s="33" t="str">
        <x:v>Applied to positive EBT</x:v>
      </x:c>
      <x:c r="D15" s="33" t="str">
        <x:v>Input</x:v>
      </x:c>
      <x:c r="E15" s="2"/>
      <x:c r="F15" s="2"/>
      <x:c r="G15" s="2"/>
      <x:c r="H15" s="2"/>
    </x:row>
    <x:row r="16" ht="27" customHeight="1">
      <x:c r="A16" s="2" t="str">
        <x:v>Income Tax Expense</x:v>
      </x:c>
      <x:c r="B16" s="91"/>
      <x:c r="C16" s="33" t="str">
        <x:v>Positive expense = MAX(EBT,0) × tax rate</x:v>
      </x:c>
      <x:c r="D16" s="33" t="str">
        <x:v>Student</x:v>
      </x:c>
      <x:c r="E16" s="2"/>
      <x:c r="F16" s="2"/>
      <x:c r="G16" s="2"/>
      <x:c r="H16" s="2"/>
    </x:row>
    <x:row r="17" ht="27" customHeight="1">
      <x:c r="A17" s="2" t="str">
        <x:v>Net Income</x:v>
      </x:c>
      <x:c r="B17" s="91"/>
      <x:c r="C17" s="33" t="str">
        <x:v>EBT − Income Tax Expense</x:v>
      </x:c>
      <x:c r="D17" s="33" t="str">
        <x:v>Student</x:v>
      </x:c>
      <x:c r="E17" s="2"/>
      <x:c r="F17" s="2"/>
      <x:c r="G17" s="2"/>
      <x:c r="H17" s="2"/>
    </x:row>
    <x:row r="18" ht="27" customHeight="1">
      <x:c r="A18" s="2" t="str">
        <x:v>Diluted Shares Outstanding (000s)</x:v>
      </x:c>
      <x:c r="B18" s="76" t="n">
        <x:v>50000</x:v>
      </x:c>
      <x:c r="C18" s="33" t="str">
        <x:v>No issuance in debt scenarios</x:v>
      </x:c>
      <x:c r="D18" s="33" t="str">
        <x:v>Input</x:v>
      </x:c>
      <x:c r="E18" s="2"/>
      <x:c r="F18" s="2"/>
      <x:c r="G18" s="2"/>
      <x:c r="H18" s="2"/>
    </x:row>
    <x:row r="19" ht="27" customHeight="1">
      <x:c r="A19" s="2" t="str">
        <x:v>EPS</x:v>
      </x:c>
      <x:c r="B19" s="94"/>
      <x:c r="C19" s="33" t="str">
        <x:v>Net Income ÷ diluted shares</x:v>
      </x:c>
      <x:c r="D19" s="33" t="str">
        <x:v>Student</x:v>
      </x:c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 ht="22" customHeight="1">
      <x:c r="A21" s="27" t="str">
        <x:v>Balanced baseline statement of financial position</x:v>
      </x:c>
      <x:c r="B21" s="27"/>
      <x:c r="C21" s="27"/>
      <x:c r="D21" s="27"/>
      <x:c r="E21" s="27"/>
      <x:c r="F21" s="27"/>
      <x:c r="G21" s="27"/>
      <x:c r="H21" s="27"/>
    </x:row>
    <x:row r="22" ht="28" customHeight="1">
      <x:c r="A22" s="38" t="str">
        <x:v>Assets</x:v>
      </x:c>
      <x:c r="B22" s="38" t="str">
        <x:v>FY 2025 ($000s)</x:v>
      </x:c>
      <x:c r="C22" s="38" t="str">
        <x:v>Source / rationale</x:v>
      </x:c>
      <x:c r="D22" s="38" t="str">
        <x:v>Role</x:v>
      </x:c>
      <x:c r="E22" s="38" t="str">
        <x:v>Liabilities &amp; Equity</x:v>
      </x:c>
      <x:c r="F22" s="38" t="str">
        <x:v>FY 2025 ($000s)</x:v>
      </x:c>
      <x:c r="G22" s="38" t="str">
        <x:v>Source / rationale</x:v>
      </x:c>
      <x:c r="H22" s="38" t="str">
        <x:v>Role</x:v>
      </x:c>
    </x:row>
    <x:row r="23" ht="28" customHeight="1">
      <x:c r="A23" s="2" t="str">
        <x:v>Cash &amp; Cash Equivalents</x:v>
      </x:c>
      <x:c r="B23" s="76" t="n">
        <x:v>32500</x:v>
      </x:c>
      <x:c r="C23" s="33" t="str">
        <x:v>Given</x:v>
      </x:c>
      <x:c r="D23" s="33" t="str">
        <x:v>Input</x:v>
      </x:c>
      <x:c r="E23" s="2" t="str">
        <x:v>Accounts Payable</x:v>
      </x:c>
      <x:c r="F23" s="76" t="n">
        <x:v>29400</x:v>
      </x:c>
      <x:c r="G23" s="33" t="str">
        <x:v>Given</x:v>
      </x:c>
      <x:c r="H23" s="33" t="str">
        <x:v>Input</x:v>
      </x:c>
    </x:row>
    <x:row r="24" ht="28" customHeight="1">
      <x:c r="A24" s="2" t="str">
        <x:v>Accounts Receivable</x:v>
      </x:c>
      <x:c r="B24" s="76" t="n">
        <x:v>58000</x:v>
      </x:c>
      <x:c r="C24" s="33" t="str">
        <x:v>Given</x:v>
      </x:c>
      <x:c r="D24" s="33" t="str">
        <x:v>Input</x:v>
      </x:c>
      <x:c r="E24" s="2" t="str">
        <x:v>Short-Term Debt</x:v>
      </x:c>
      <x:c r="F24" s="76" t="n">
        <x:v>45000</x:v>
      </x:c>
      <x:c r="G24" s="33" t="str">
        <x:v>Interest-bearing current debt</x:v>
      </x:c>
      <x:c r="H24" s="33" t="str">
        <x:v>Input</x:v>
      </x:c>
    </x:row>
    <x:row r="25" ht="28" customHeight="1">
      <x:c r="A25" s="2" t="str">
        <x:v>Inventory</x:v>
      </x:c>
      <x:c r="B25" s="76" t="n">
        <x:v>44200</x:v>
      </x:c>
      <x:c r="C25" s="33" t="str">
        <x:v>Given</x:v>
      </x:c>
      <x:c r="D25" s="33" t="str">
        <x:v>Input</x:v>
      </x:c>
      <x:c r="E25" s="2" t="str">
        <x:v>Other Current Liabilities</x:v>
      </x:c>
      <x:c r="F25" s="76" t="n">
        <x:v>13100</x:v>
      </x:c>
      <x:c r="G25" s="33" t="str">
        <x:v>Given</x:v>
      </x:c>
      <x:c r="H25" s="33" t="str">
        <x:v>Input</x:v>
      </x:c>
    </x:row>
    <x:row r="26" ht="28" customHeight="1">
      <x:c r="A26" s="2" t="str">
        <x:v>Other Current Assets</x:v>
      </x:c>
      <x:c r="B26" s="76" t="n">
        <x:v>8300</x:v>
      </x:c>
      <x:c r="C26" s="33" t="str">
        <x:v>Given</x:v>
      </x:c>
      <x:c r="D26" s="33" t="str">
        <x:v>Input</x:v>
      </x:c>
      <x:c r="E26" s="2" t="str">
        <x:v>Total Current Liabilities</x:v>
      </x:c>
      <x:c r="F26" s="91"/>
      <x:c r="G26" s="33" t="str">
        <x:v>Sum current liabilities</x:v>
      </x:c>
      <x:c r="H26" s="33" t="str">
        <x:v>Student</x:v>
      </x:c>
    </x:row>
    <x:row r="27" ht="28" customHeight="1">
      <x:c r="A27" s="2" t="str">
        <x:v>Total Current Assets</x:v>
      </x:c>
      <x:c r="B27" s="91"/>
      <x:c r="C27" s="33" t="str">
        <x:v>Sum current assets</x:v>
      </x:c>
      <x:c r="D27" s="33" t="str">
        <x:v>Student</x:v>
      </x:c>
      <x:c r="E27" s="2" t="str">
        <x:v>Existing Long-Term Debt</x:v>
      </x:c>
      <x:c r="F27" s="76" t="n">
        <x:v>110000</x:v>
      </x:c>
      <x:c r="G27" s="33" t="str">
        <x:v>Interest-bearing debt</x:v>
      </x:c>
      <x:c r="H27" s="33" t="str">
        <x:v>Input</x:v>
      </x:c>
    </x:row>
    <x:row r="28" ht="28" customHeight="1">
      <x:c r="A28" s="2" t="str">
        <x:v>Property, Plant &amp; Equipment (net)</x:v>
      </x:c>
      <x:c r="B28" s="76" t="n">
        <x:v>312000</x:v>
      </x:c>
      <x:c r="C28" s="33" t="str">
        <x:v>Given net carrying amount</x:v>
      </x:c>
      <x:c r="D28" s="33" t="str">
        <x:v>Input</x:v>
      </x:c>
      <x:c r="E28" s="2" t="str">
        <x:v>Deferred Tax Liability</x:v>
      </x:c>
      <x:c r="F28" s="76" t="n">
        <x:v>7200</x:v>
      </x:c>
      <x:c r="G28" s="33" t="str">
        <x:v>Given</x:v>
      </x:c>
      <x:c r="H28" s="33" t="str">
        <x:v>Input</x:v>
      </x:c>
    </x:row>
    <x:row r="29" ht="28" customHeight="1">
      <x:c r="A29" s="2" t="str">
        <x:v>Intangible Assets</x:v>
      </x:c>
      <x:c r="B29" s="76" t="n">
        <x:v>22000</x:v>
      </x:c>
      <x:c r="C29" s="33" t="str">
        <x:v>Given</x:v>
      </x:c>
      <x:c r="D29" s="33" t="str">
        <x:v>Input</x:v>
      </x:c>
      <x:c r="E29" s="2" t="str">
        <x:v>Other Long-Term Operating Liabilities</x:v>
      </x:c>
      <x:c r="F29" s="76" t="n">
        <x:v>61000</x:v>
      </x:c>
      <x:c r="G29" s="33" t="str">
        <x:v>Restored omitted non-debt line; lease, pension, and operating obligations</x:v>
      </x:c>
      <x:c r="H29" s="33" t="str">
        <x:v>Input</x:v>
      </x:c>
    </x:row>
    <x:row r="30" ht="28" customHeight="1">
      <x:c r="A30" s="2" t="str">
        <x:v>Other Long-Term Assets</x:v>
      </x:c>
      <x:c r="B30" s="76" t="n">
        <x:v>9500</x:v>
      </x:c>
      <x:c r="C30" s="33" t="str">
        <x:v>Given</x:v>
      </x:c>
      <x:c r="D30" s="33" t="str">
        <x:v>Input</x:v>
      </x:c>
      <x:c r="E30" s="2" t="str">
        <x:v>Total Liabilities</x:v>
      </x:c>
      <x:c r="F30" s="91"/>
      <x:c r="G30" s="33" t="str">
        <x:v>Current + all long-term liabilities</x:v>
      </x:c>
      <x:c r="H30" s="33" t="str">
        <x:v>Student</x:v>
      </x:c>
    </x:row>
    <x:row r="31" ht="28" customHeight="1">
      <x:c r="A31" s="2" t="str">
        <x:v>Total Assets</x:v>
      </x:c>
      <x:c r="B31" s="91"/>
      <x:c r="C31" s="33" t="str">
        <x:v>Current assets + all long-term assets</x:v>
      </x:c>
      <x:c r="D31" s="33" t="str">
        <x:v>Student</x:v>
      </x:c>
      <x:c r="E31" s="2" t="str">
        <x:v>Common Stock &amp; APIC</x:v>
      </x:c>
      <x:c r="F31" s="76" t="n">
        <x:v>85000</x:v>
      </x:c>
      <x:c r="G31" s="33" t="str">
        <x:v>Given</x:v>
      </x:c>
      <x:c r="H31" s="33" t="str">
        <x:v>Input</x:v>
      </x:c>
    </x:row>
    <x:row r="32" ht="28" customHeight="1">
      <x:c r="A32" s="2"/>
      <x:c r="B32" s="2"/>
      <x:c r="C32" s="2"/>
      <x:c r="D32" s="2"/>
      <x:c r="E32" s="2" t="str">
        <x:v>Retained Earnings</x:v>
      </x:c>
      <x:c r="F32" s="76" t="n">
        <x:v>135800</x:v>
      </x:c>
      <x:c r="G32" s="33" t="str">
        <x:v>Given</x:v>
      </x:c>
      <x:c r="H32" s="33" t="str">
        <x:v>Input</x:v>
      </x:c>
    </x:row>
    <x:row r="33" ht="28" customHeight="1">
      <x:c r="A33" s="2"/>
      <x:c r="B33" s="2"/>
      <x:c r="C33" s="2"/>
      <x:c r="D33" s="2"/>
      <x:c r="E33" s="2" t="str">
        <x:v>Total Equity</x:v>
      </x:c>
      <x:c r="F33" s="91"/>
      <x:c r="G33" s="33" t="str">
        <x:v>Common Stock &amp; APIC + Retained Earnings</x:v>
      </x:c>
      <x:c r="H33" s="33" t="str">
        <x:v>Student</x:v>
      </x:c>
    </x:row>
    <x:row r="34" ht="28" customHeight="1">
      <x:c r="A34" s="2"/>
      <x:c r="B34" s="2"/>
      <x:c r="C34" s="2"/>
      <x:c r="D34" s="2"/>
      <x:c r="E34" s="2" t="str">
        <x:v>Total Liabilities &amp; Equity</x:v>
      </x:c>
      <x:c r="F34" s="91"/>
      <x:c r="G34" s="33" t="str">
        <x:v>Total Liabilities + Total Equity</x:v>
      </x:c>
      <x:c r="H34" s="33" t="str">
        <x:v>Student</x:v>
      </x:c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 ht="22" customHeight="1">
      <x:c r="A36" s="27" t="str">
        <x:v>Bond, financing, and scenario assumptions</x:v>
      </x:c>
      <x:c r="B36" s="27"/>
      <x:c r="C36" s="27"/>
      <x:c r="D36" s="27"/>
      <x:c r="E36" s="27"/>
      <x:c r="F36" s="27"/>
      <x:c r="G36" s="27"/>
      <x:c r="H36" s="27"/>
    </x:row>
    <x:row r="37" ht="28" customHeight="1">
      <x:c r="A37" s="38" t="str">
        <x:v>Bond / financing input</x:v>
      </x:c>
      <x:c r="B37" s="38" t="str">
        <x:v>Value</x:v>
      </x:c>
      <x:c r="C37" s="38" t="str">
        <x:v>Unit / definition</x:v>
      </x:c>
      <x:c r="D37" s="38" t="str">
        <x:v>Role</x:v>
      </x:c>
      <x:c r="E37" s="38" t="str">
        <x:v>Scenario driver</x:v>
      </x:c>
      <x:c r="F37" s="38" t="str">
        <x:v>A — Refinance</x:v>
      </x:c>
      <x:c r="G37" s="38" t="str">
        <x:v>B — CapEx</x:v>
      </x:c>
      <x:c r="H37" s="38" t="str">
        <x:v>C — Mixed</x:v>
      </x:c>
    </x:row>
    <x:row r="38" ht="28" customHeight="1">
      <x:c r="A38" s="2" t="str">
        <x:v>Par Value per Bond</x:v>
      </x:c>
      <x:c r="B38" s="76" t="n">
        <x:v>1000</x:v>
      </x:c>
      <x:c r="C38" s="33" t="str">
        <x:v>$ per bond</x:v>
      </x:c>
      <x:c r="D38" s="33" t="str">
        <x:v>Input</x:v>
      </x:c>
      <x:c r="E38" s="33" t="str">
        <x:v>Refinancing Target ($000s)</x:v>
      </x:c>
      <x:c r="F38" s="76" t="n">
        <x:v>45000</x:v>
      </x:c>
      <x:c r="G38" s="76" t="n">
        <x:v>0</x:v>
      </x:c>
      <x:c r="H38" s="76" t="n">
        <x:v>45000</x:v>
      </x:c>
    </x:row>
    <x:row r="39" ht="28" customHeight="1">
      <x:c r="A39" s="2" t="str">
        <x:v>Number of Bonds Issued</x:v>
      </x:c>
      <x:c r="B39" s="76" t="n">
        <x:v>200000</x:v>
      </x:c>
      <x:c r="C39" s="33" t="str">
        <x:v>bonds</x:v>
      </x:c>
      <x:c r="D39" s="33" t="str">
        <x:v>Input</x:v>
      </x:c>
      <x:c r="E39" s="33" t="str">
        <x:v>Fixed CapEx Target ($000s)</x:v>
      </x:c>
      <x:c r="F39" s="76" t="n">
        <x:v>0</x:v>
      </x:c>
      <x:c r="G39" s="76" t="n">
        <x:v>0</x:v>
      </x:c>
      <x:c r="H39" s="76" t="n">
        <x:v>100000</x:v>
      </x:c>
    </x:row>
    <x:row r="40" ht="28" customHeight="1">
      <x:c r="A40" s="2" t="str">
        <x:v>Annual Coupon Rate</x:v>
      </x:c>
      <x:c r="B40" s="75" t="n">
        <x:v>0.055</x:v>
      </x:c>
      <x:c r="C40" s="33" t="str">
        <x:v>nominal annual</x:v>
      </x:c>
      <x:c r="D40" s="33" t="str">
        <x:v>Input</x:v>
      </x:c>
      <x:c r="E40" s="33" t="str">
        <x:v>Allocate Residual Net Proceeds to CapEx?</x:v>
      </x:c>
      <x:c r="F40" s="76" t="n">
        <x:v>0</x:v>
      </x:c>
      <x:c r="G40" s="76" t="n">
        <x:v>1</x:v>
      </x:c>
      <x:c r="H40" s="76" t="n">
        <x:v>0</x:v>
      </x:c>
    </x:row>
    <x:row r="41" ht="28" customHeight="1">
      <x:c r="A41" s="2" t="str">
        <x:v>Market YTM</x:v>
      </x:c>
      <x:c r="B41" s="75" t="n">
        <x:v>0.058</x:v>
      </x:c>
      <x:c r="C41" s="33" t="str">
        <x:v>nominal annual, semiannual compounding</x:v>
      </x:c>
      <x:c r="D41" s="33" t="str">
        <x:v>Input</x:v>
      </x:c>
      <x:c r="E41" s="33" t="str">
        <x:v>Revenue Growth</x:v>
      </x:c>
      <x:c r="F41" s="75" t="n">
        <x:v>0</x:v>
      </x:c>
      <x:c r="G41" s="75" t="n">
        <x:v>0.025</x:v>
      </x:c>
      <x:c r="H41" s="75" t="n">
        <x:v>0.015</x:v>
      </x:c>
    </x:row>
    <x:row r="42" ht="28" customHeight="1">
      <x:c r="A42" s="2" t="str">
        <x:v>Settlement Date</x:v>
      </x:c>
      <x:c r="B42" s="95" t="n">
        <x:v>46266</x:v>
      </x:c>
      <x:c r="C42" s="33" t="str">
        <x:v>coupon date; accrued interest = 0</x:v>
      </x:c>
      <x:c r="D42" s="33" t="str">
        <x:v>Input</x:v>
      </x:c>
      <x:c r="E42" s="33" t="str">
        <x:v>EBIT Growth</x:v>
      </x:c>
      <x:c r="F42" s="75" t="n">
        <x:v>0</x:v>
      </x:c>
      <x:c r="G42" s="75" t="n">
        <x:v>0.025</x:v>
      </x:c>
      <x:c r="H42" s="75" t="n">
        <x:v>0.012</x:v>
      </x:c>
    </x:row>
    <x:row r="43" ht="28" customHeight="1">
      <x:c r="A43" s="2" t="str">
        <x:v>Maturity Date</x:v>
      </x:c>
      <x:c r="B43" s="95" t="n">
        <x:v>49919</x:v>
      </x:c>
      <x:c r="C43" s="33" t="str">
        <x:v>10 years after settlement</x:v>
      </x:c>
      <x:c r="D43" s="33" t="str">
        <x:v>Input</x:v>
      </x:c>
      <x:c r="E43" s="33" t="str">
        <x:v>Incremental D&amp;A ($000s)</x:v>
      </x:c>
      <x:c r="F43" s="76" t="n">
        <x:v>0</x:v>
      </x:c>
      <x:c r="G43" s="76" t="n">
        <x:v>10000</x:v>
      </x:c>
      <x:c r="H43" s="76" t="n">
        <x:v>5000</x:v>
      </x:c>
    </x:row>
    <x:row r="44" ht="28" customHeight="1">
      <x:c r="A44" s="2" t="str">
        <x:v>Payment Frequency</x:v>
      </x:c>
      <x:c r="B44" s="76" t="n">
        <x:v>2</x:v>
      </x:c>
      <x:c r="C44" s="33" t="str">
        <x:v>payments per year</x:v>
      </x:c>
      <x:c r="D44" s="33" t="str">
        <x:v>Input</x:v>
      </x:c>
      <x:c r="E44" s="33" t="str">
        <x:v>Cash Retained Rule</x:v>
      </x:c>
      <x:c r="F44" s="99" t="str">
        <x:v>Residual</x:v>
      </x:c>
      <x:c r="G44" s="99" t="str">
        <x:v>None</x:v>
      </x:c>
      <x:c r="H44" s="99" t="str">
        <x:v>Residual</x:v>
      </x:c>
    </x:row>
    <x:row r="45" ht="28" customHeight="1">
      <x:c r="A45" s="2" t="str">
        <x:v>Day-Count Basis</x:v>
      </x:c>
      <x:c r="B45" s="76" t="n">
        <x:v>0</x:v>
      </x:c>
      <x:c r="C45" s="33" t="str">
        <x:v>0 = US 30/360</x:v>
      </x:c>
      <x:c r="D45" s="33" t="str">
        <x:v>Input</x:v>
      </x:c>
      <x:c r="E45" s="2"/>
      <x:c r="F45" s="2"/>
      <x:c r="G45" s="2"/>
      <x:c r="H45" s="2"/>
    </x:row>
    <x:row r="46" ht="28" customHeight="1">
      <x:c r="A46" s="2" t="str">
        <x:v>Issuance Cost Rate</x:v>
      </x:c>
      <x:c r="B46" s="75" t="n">
        <x:v>0.01</x:v>
      </x:c>
      <x:c r="C46" s="33" t="str">
        <x:v>% of gross proceeds</x:v>
      </x:c>
      <x:c r="D46" s="33" t="str">
        <x:v>Input</x:v>
      </x:c>
      <x:c r="E46" s="38" t="str">
        <x:v>Credit benchmark</x:v>
      </x:c>
      <x:c r="F46" s="38" t="str">
        <x:v>Threshold</x:v>
      </x:c>
      <x:c r="G46" s="38" t="str">
        <x:v>Direction</x:v>
      </x:c>
      <x:c r="H46" s="38" t="str">
        <x:v>Use</x:v>
      </x:c>
    </x:row>
    <x:row r="47" ht="28" customHeight="1">
      <x:c r="A47" s="2" t="str">
        <x:v>Observed Clean Price</x:v>
      </x:c>
      <x:c r="B47" s="74" t="n">
        <x:v>96.5</x:v>
      </x:c>
      <x:c r="C47" s="33" t="str">
        <x:v>$ per $100 of par; separate reverse-yield test</x:v>
      </x:c>
      <x:c r="D47" s="33" t="str">
        <x:v>Input</x:v>
      </x:c>
      <x:c r="E47" s="32" t="str">
        <x:v>Debt / Equity</x:v>
      </x:c>
      <x:c r="F47" s="100" t="n">
        <x:v>1.5</x:v>
      </x:c>
      <x:c r="G47" s="32" t="str">
        <x:v>≤</x:v>
      </x:c>
      <x:c r="H47" s="32" t="str">
        <x:v>Capacity</x:v>
      </x:c>
    </x:row>
    <x:row r="48" ht="28" customHeight="1">
      <x:c r="A48" s="2" t="str">
        <x:v>Short-Term Debt Rate</x:v>
      </x:c>
      <x:c r="B48" s="75" t="n">
        <x:v>0.085</x:v>
      </x:c>
      <x:c r="C48" s="33" t="str">
        <x:v>annual</x:v>
      </x:c>
      <x:c r="D48" s="33" t="str">
        <x:v>Input</x:v>
      </x:c>
      <x:c r="E48" s="32" t="str">
        <x:v>Debt / EBITDA</x:v>
      </x:c>
      <x:c r="F48" s="100" t="n">
        <x:v>3</x:v>
      </x:c>
      <x:c r="G48" s="32" t="str">
        <x:v>≤</x:v>
      </x:c>
      <x:c r="H48" s="32" t="str">
        <x:v>Capacity</x:v>
      </x:c>
    </x:row>
    <x:row r="49" ht="28" customHeight="1">
      <x:c r="A49" s="2" t="str">
        <x:v>Implied Existing LT Debt Rate</x:v>
      </x:c>
      <x:c r="B49" s="98"/>
      <x:c r="C49" s="33" t="str">
        <x:v>(Baseline interest − ST interest) ÷ existing LT debt</x:v>
      </x:c>
      <x:c r="D49" s="33" t="str">
        <x:v>Student</x:v>
      </x:c>
      <x:c r="E49" s="32" t="str">
        <x:v>Interest Coverage</x:v>
      </x:c>
      <x:c r="F49" s="100" t="n">
        <x:v>3</x:v>
      </x:c>
      <x:c r="G49" s="32" t="str">
        <x:v>≥</x:v>
      </x:c>
      <x:c r="H49" s="32" t="str">
        <x:v>Capacity</x:v>
      </x:c>
    </x:row>
    <x:row r="50" ht="28" customHeight="1">
      <x:c r="A50" s="2"/>
      <x:c r="B50" s="2"/>
      <x:c r="C50" s="2"/>
      <x:c r="D50" s="2"/>
      <x:c r="E50" s="32" t="str">
        <x:v>Net Debt / EBITDA</x:v>
      </x:c>
      <x:c r="F50" s="100" t="n">
        <x:v>2.5</x:v>
      </x:c>
      <x:c r="G50" s="32" t="str">
        <x:v>≤</x:v>
      </x:c>
      <x:c r="H50" s="32" t="str">
        <x:v>Decision</x:v>
      </x:c>
    </x:row>
    <x:row r="51" ht="28" customHeight="1">
      <x:c r="A51" s="2"/>
      <x:c r="B51" s="2"/>
      <x:c r="C51" s="2"/>
      <x:c r="D51" s="2"/>
      <x:c r="E51" s="32" t="str">
        <x:v>Current Ratio</x:v>
      </x:c>
      <x:c r="F51" s="100" t="n">
        <x:v>1.5</x:v>
      </x:c>
      <x:c r="G51" s="32" t="str">
        <x:v>≥</x:v>
      </x:c>
      <x:c r="H51" s="32" t="str">
        <x:v>Decision</x:v>
      </x:c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 ht="22" customHeight="1">
      <x:c r="A53" s="27" t="str">
        <x:v>Yield sensitivity inputs</x:v>
      </x:c>
      <x:c r="B53" s="27"/>
      <x:c r="C53" s="27"/>
      <x:c r="D53" s="27"/>
      <x:c r="E53" s="2"/>
      <x:c r="F53" s="2"/>
      <x:c r="G53" s="2"/>
      <x:c r="H53" s="2"/>
    </x:row>
    <x:row r="54">
      <x:c r="A54" s="102" t="str">
        <x:v>Rates Fall</x:v>
      </x:c>
      <x:c r="B54" s="75" t="n">
        <x:v>0.045</x:v>
      </x:c>
      <x:c r="C54" s="2"/>
      <x:c r="D54" s="2"/>
      <x:c r="E54" s="2"/>
      <x:c r="F54" s="2"/>
      <x:c r="G54" s="2"/>
      <x:c r="H54" s="2"/>
    </x:row>
    <x:row r="55">
      <x:c r="A55" s="102" t="str">
        <x:v>Par / Flat</x:v>
      </x:c>
      <x:c r="B55" s="75" t="n">
        <x:v>0.055</x:v>
      </x:c>
      <x:c r="C55" s="2"/>
      <x:c r="D55" s="2"/>
      <x:c r="E55" s="2"/>
      <x:c r="F55" s="2"/>
      <x:c r="G55" s="2"/>
      <x:c r="H55" s="2"/>
    </x:row>
    <x:row r="56">
      <x:c r="A56" s="102" t="str">
        <x:v>Base Case</x:v>
      </x:c>
      <x:c r="B56" s="75" t="n">
        <x:v>0.058</x:v>
      </x:c>
      <x:c r="C56" s="2"/>
      <x:c r="D56" s="2"/>
      <x:c r="E56" s="2"/>
      <x:c r="F56" s="2"/>
      <x:c r="G56" s="2"/>
      <x:c r="H56" s="2"/>
    </x:row>
    <x:row r="57">
      <x:c r="A57" s="102" t="str">
        <x:v>Rates Rise</x:v>
      </x:c>
      <x:c r="B57" s="75" t="n">
        <x:v>0.065</x:v>
      </x:c>
      <x:c r="C57" s="2"/>
      <x:c r="D57" s="2"/>
      <x:c r="E57" s="2"/>
      <x:c r="F57" s="2"/>
      <x:c r="G57" s="2"/>
      <x:c r="H57" s="2"/>
    </x:row>
    <x:row r="58">
      <x:c r="A58" s="102" t="str">
        <x:v>Stress Case</x:v>
      </x:c>
      <x:c r="B58" s="75" t="n">
        <x:v>0.075</x:v>
      </x:c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</x:sheetData>
  <x:mergeCells>
    <x:mergeCell ref="A1:H1"/>
    <x:mergeCell ref="A3:H3"/>
    <x:mergeCell ref="A5:D5"/>
    <x:mergeCell ref="A21:H21"/>
    <x:mergeCell ref="A36:H36"/>
    <x:mergeCell ref="A53:D5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8" hidden="0" customWidth="1"/>
    <x:col min="2" max="2" width="22" hidden="0" customWidth="1"/>
    <x:col min="3" max="3" width="44" hidden="0" customWidth="1"/>
    <x:col min="4" max="4" width="42" hidden="0" customWidth="1"/>
    <x:col min="5" max="5" width="21" hidden="0" customWidth="1"/>
    <x:col min="6" max="6" width="42" hidden="0" customWidth="1"/>
    <x:col min="7" max="7" width="12" hidden="0" customWidth="1"/>
    <x:col min="8" max="8" width="12" hidden="0" customWidth="1"/>
  </x:cols>
  <x:sheetData>
    <x:row r="1" ht="30" customHeight="1">
      <x:c r="A1" s="5" t="str">
        <x:v>Meridian — Bond Pricing, Yield, and Effective Interest</x:v>
      </x:c>
      <x:c r="B1" s="5"/>
      <x:c r="C1" s="5"/>
      <x:c r="D1" s="5"/>
      <x:c r="E1" s="5"/>
      <x:c r="F1" s="5"/>
      <x:c r="G1" s="5"/>
      <x:c r="H1" s="5"/>
    </x:row>
    <x:row r="2">
      <x:c r="A2" s="2"/>
      <x:c r="B2" s="2"/>
      <x:c r="C2" s="2"/>
      <x:c r="D2" s="2"/>
      <x:c r="E2" s="2"/>
      <x:c r="F2" s="2"/>
      <x:c r="G2" s="2"/>
      <x:c r="H2" s="2"/>
    </x:row>
    <x:row r="3">
      <x:c r="A3" s="106" t="str">
        <x:v>Use investor signs for valuation: price today is a cash outflow; coupons and principal are future inflows. Use issuer signs for proceeds and interest expense.</x:v>
      </x:c>
      <x:c r="B3" s="107"/>
      <x:c r="C3" s="107"/>
      <x:c r="D3" s="107"/>
      <x:c r="E3" s="107"/>
      <x:c r="F3" s="107"/>
      <x:c r="G3" s="107"/>
      <x:c r="H3" s="108"/>
    </x:row>
    <x:row r="4">
      <x:c r="A4" s="2"/>
      <x:c r="B4" s="2"/>
      <x:c r="C4" s="2"/>
      <x:c r="D4" s="2"/>
      <x:c r="E4" s="2"/>
      <x:c r="F4" s="2"/>
      <x:c r="G4" s="2"/>
      <x:c r="H4" s="2"/>
    </x:row>
    <x:row r="5" ht="22" customHeight="1">
      <x:c r="A5" s="27" t="str">
        <x:v>Linked bond assumptions</x:v>
      </x:c>
      <x:c r="B5" s="27"/>
      <x:c r="C5" s="27"/>
      <x:c r="D5" s="27"/>
      <x:c r="E5" s="2"/>
      <x:c r="F5" s="2"/>
      <x:c r="G5" s="2"/>
      <x:c r="H5" s="2"/>
    </x:row>
    <x:row r="6">
      <x:c r="A6" s="38" t="str">
        <x:v>Assumption</x:v>
      </x:c>
      <x:c r="B6" s="38" t="str">
        <x:v>Linked value</x:v>
      </x:c>
      <x:c r="C6" s="38" t="str">
        <x:v>Definition</x:v>
      </x:c>
      <x:c r="D6" s="2"/>
      <x:c r="E6" s="2"/>
      <x:c r="F6" s="2"/>
      <x:c r="G6" s="2"/>
      <x:c r="H6" s="2"/>
    </x:row>
    <x:row r="7">
      <x:c r="A7" s="32" t="str">
        <x:v>Par Value per Bond</x:v>
      </x:c>
      <x:c r="B7" s="111" t="n">
        <x:f>'1 Assumptions-Baseline'!B38</x:f>
        <x:v>1000</x:v>
      </x:c>
      <x:c r="C7" s="32" t="str">
        <x:v>$ per bond</x:v>
      </x:c>
      <x:c r="D7" s="2"/>
      <x:c r="E7" s="2"/>
      <x:c r="F7" s="2"/>
      <x:c r="G7" s="2"/>
      <x:c r="H7" s="2"/>
    </x:row>
    <x:row r="8">
      <x:c r="A8" s="32" t="str">
        <x:v>Number of Bonds</x:v>
      </x:c>
      <x:c r="B8" s="111" t="n">
        <x:f>'1 Assumptions-Baseline'!B39</x:f>
        <x:v>200000</x:v>
      </x:c>
      <x:c r="C8" s="32" t="str">
        <x:v>bonds</x:v>
      </x:c>
      <x:c r="D8" s="2"/>
      <x:c r="E8" s="2"/>
      <x:c r="F8" s="2"/>
      <x:c r="G8" s="2"/>
      <x:c r="H8" s="2"/>
    </x:row>
    <x:row r="9">
      <x:c r="A9" s="32" t="str">
        <x:v>Annual Coupon Rate</x:v>
      </x:c>
      <x:c r="B9" s="112" t="n">
        <x:f>'1 Assumptions-Baseline'!B40</x:f>
        <x:v>0.055</x:v>
      </x:c>
      <x:c r="C9" s="32" t="str">
        <x:v>nominal annual</x:v>
      </x:c>
      <x:c r="D9" s="2"/>
      <x:c r="E9" s="2"/>
      <x:c r="F9" s="2"/>
      <x:c r="G9" s="2"/>
      <x:c r="H9" s="2"/>
    </x:row>
    <x:row r="10">
      <x:c r="A10" s="32" t="str">
        <x:v>Market YTM</x:v>
      </x:c>
      <x:c r="B10" s="112" t="n">
        <x:f>'1 Assumptions-Baseline'!B41</x:f>
        <x:v>0.058</x:v>
      </x:c>
      <x:c r="C10" s="32" t="str">
        <x:v>nominal annual</x:v>
      </x:c>
      <x:c r="D10" s="2"/>
      <x:c r="E10" s="2"/>
      <x:c r="F10" s="2"/>
      <x:c r="G10" s="2"/>
      <x:c r="H10" s="2"/>
    </x:row>
    <x:row r="11">
      <x:c r="A11" s="32" t="str">
        <x:v>Settlement Date</x:v>
      </x:c>
      <x:c r="B11" s="113" t="n">
        <x:f>'1 Assumptions-Baseline'!B42</x:f>
        <x:v>46266</x:v>
      </x:c>
      <x:c r="C11" s="32" t="str">
        <x:v>coupon date</x:v>
      </x:c>
      <x:c r="D11" s="2"/>
      <x:c r="E11" s="2"/>
      <x:c r="F11" s="2"/>
      <x:c r="G11" s="2"/>
      <x:c r="H11" s="2"/>
    </x:row>
    <x:row r="12">
      <x:c r="A12" s="32" t="str">
        <x:v>Maturity Date</x:v>
      </x:c>
      <x:c r="B12" s="113" t="n">
        <x:f>'1 Assumptions-Baseline'!B43</x:f>
        <x:v>49919</x:v>
      </x:c>
      <x:c r="C12" s="32" t="str">
        <x:v>coupon date</x:v>
      </x:c>
      <x:c r="D12" s="2"/>
      <x:c r="E12" s="2"/>
      <x:c r="F12" s="2"/>
      <x:c r="G12" s="2"/>
      <x:c r="H12" s="2"/>
    </x:row>
    <x:row r="13">
      <x:c r="A13" s="32" t="str">
        <x:v>Payment Frequency</x:v>
      </x:c>
      <x:c r="B13" s="111" t="n">
        <x:f>'1 Assumptions-Baseline'!B44</x:f>
        <x:v>2</x:v>
      </x:c>
      <x:c r="C13" s="32" t="str">
        <x:v>periods per year</x:v>
      </x:c>
      <x:c r="D13" s="2"/>
      <x:c r="E13" s="2"/>
      <x:c r="F13" s="2"/>
      <x:c r="G13" s="2"/>
      <x:c r="H13" s="2"/>
    </x:row>
    <x:row r="14">
      <x:c r="A14" s="32" t="str">
        <x:v>Day-Count Basis</x:v>
      </x:c>
      <x:c r="B14" s="111" t="n">
        <x:f>'1 Assumptions-Baseline'!B45</x:f>
        <x:v>0</x:v>
      </x:c>
      <x:c r="C14" s="32" t="str">
        <x:v>0 = US 30/360</x:v>
      </x:c>
      <x:c r="D14" s="2"/>
      <x:c r="E14" s="2"/>
      <x:c r="F14" s="2"/>
      <x:c r="G14" s="2"/>
      <x:c r="H14" s="2"/>
    </x:row>
    <x:row r="15">
      <x:c r="A15" s="32" t="str">
        <x:v>Issuance Cost Rate</x:v>
      </x:c>
      <x:c r="B15" s="112" t="n">
        <x:f>'1 Assumptions-Baseline'!B46</x:f>
        <x:v>0.01</x:v>
      </x:c>
      <x:c r="C15" s="32" t="str">
        <x:v>% of gross proceeds</x:v>
      </x:c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 ht="22" customHeight="1">
      <x:c r="A17" s="27" t="str">
        <x:v>Student build — PV, PRICE, YIELD, RATE, proceeds, and effective interest</x:v>
      </x:c>
      <x:c r="B17" s="27"/>
      <x:c r="C17" s="27"/>
      <x:c r="D17" s="27"/>
      <x:c r="E17" s="27"/>
      <x:c r="F17" s="27"/>
      <x:c r="G17" s="27"/>
      <x:c r="H17" s="27"/>
    </x:row>
    <x:row r="18" ht="28" customHeight="1">
      <x:c r="A18" s="38" t="str">
        <x:v>Metric</x:v>
      </x:c>
      <x:c r="B18" s="38" t="str">
        <x:v>Student formula</x:v>
      </x:c>
      <x:c r="C18" s="38" t="str">
        <x:v>Required relationship</x:v>
      </x:c>
      <x:c r="D18" s="38" t="str">
        <x:v>Audit meaning</x:v>
      </x:c>
      <x:c r="E18" s="2"/>
      <x:c r="F18" s="2"/>
      <x:c r="G18" s="2"/>
      <x:c r="H18" s="2"/>
    </x:row>
    <x:row r="19" ht="28" customHeight="1">
      <x:c r="A19" s="2" t="str">
        <x:v>Coupon per Period ($ / bond)</x:v>
      </x:c>
      <x:c r="B19" s="82"/>
      <x:c r="C19" s="33" t="str">
        <x:v>Par × coupon rate ÷ frequency</x:v>
      </x:c>
      <x:c r="D19" s="33" t="str">
        <x:v>Contract cash flow</x:v>
      </x:c>
      <x:c r="E19" s="2"/>
      <x:c r="F19" s="2"/>
      <x:c r="G19" s="2"/>
      <x:c r="H19" s="2"/>
    </x:row>
    <x:row r="20" ht="28" customHeight="1">
      <x:c r="A20" s="2" t="str">
        <x:v>Market Yield per Period</x:v>
      </x:c>
      <x:c r="B20" s="98"/>
      <x:c r="C20" s="33" t="str">
        <x:v>YTM ÷ frequency</x:v>
      </x:c>
      <x:c r="D20" s="33" t="str">
        <x:v>Discount rate</x:v>
      </x:c>
      <x:c r="E20" s="2"/>
      <x:c r="F20" s="2"/>
      <x:c r="G20" s="2"/>
      <x:c r="H20" s="2"/>
    </x:row>
    <x:row r="21" ht="28" customHeight="1">
      <x:c r="A21" s="2" t="str">
        <x:v>Total Coupon Periods</x:v>
      </x:c>
      <x:c r="B21" s="91"/>
      <x:c r="C21" s="33" t="str">
        <x:v>Years × frequency, or dated equivalent</x:v>
      </x:c>
      <x:c r="D21" s="33" t="str">
        <x:v>Timing</x:v>
      </x:c>
      <x:c r="E21" s="2"/>
      <x:c r="F21" s="2"/>
      <x:c r="G21" s="2"/>
      <x:c r="H21" s="2"/>
    </x:row>
    <x:row r="22" ht="28" customHeight="1">
      <x:c r="A22" s="2" t="str">
        <x:v>Price per Bond — PV</x:v>
      </x:c>
      <x:c r="B22" s="82"/>
      <x:c r="C22" s="33" t="str">
        <x:v>Negative PV of investor inflows</x:v>
      </x:c>
      <x:c r="D22" s="33" t="str">
        <x:v>General TVM method</x:v>
      </x:c>
      <x:c r="E22" s="2"/>
      <x:c r="F22" s="2"/>
      <x:c r="G22" s="2"/>
      <x:c r="H22" s="2"/>
    </x:row>
    <x:row r="23" ht="28" customHeight="1">
      <x:c r="A23" s="2" t="str">
        <x:v>Price per Bond — PRICE</x:v>
      </x:c>
      <x:c r="B23" s="82"/>
      <x:c r="C23" s="33" t="str">
        <x:v>PRICE × par ÷ 100</x:v>
      </x:c>
      <x:c r="D23" s="33" t="str">
        <x:v>Dated bond method</x:v>
      </x:c>
      <x:c r="E23" s="2"/>
      <x:c r="F23" s="2"/>
      <x:c r="G23" s="2"/>
      <x:c r="H23" s="2"/>
    </x:row>
    <x:row r="24" ht="28" customHeight="1">
      <x:c r="A24" s="2" t="str">
        <x:v>PV vs PRICE Difference</x:v>
      </x:c>
      <x:c r="B24" s="82"/>
      <x:c r="C24" s="33" t="str">
        <x:v>PV price − PRICE price</x:v>
      </x:c>
      <x:c r="D24" s="33" t="str">
        <x:v>Should be zero on coupon date</x:v>
      </x:c>
      <x:c r="E24" s="2"/>
      <x:c r="F24" s="2"/>
      <x:c r="G24" s="2"/>
      <x:c r="H24" s="2"/>
    </x:row>
    <x:row r="25" ht="28" customHeight="1">
      <x:c r="A25" s="2" t="str">
        <x:v>Gross Offering Proceeds ($000s)</x:v>
      </x:c>
      <x:c r="B25" s="116"/>
      <x:c r="C25" s="33" t="str">
        <x:v>Price × bonds ÷ 1,000</x:v>
      </x:c>
      <x:c r="D25" s="33" t="str">
        <x:v>Cash source before fees</x:v>
      </x:c>
      <x:c r="E25" s="2"/>
      <x:c r="F25" s="2"/>
      <x:c r="G25" s="2"/>
      <x:c r="H25" s="2"/>
    </x:row>
    <x:row r="26" ht="28" customHeight="1">
      <x:c r="A26" s="2" t="str">
        <x:v>Issuance Costs ($000s)</x:v>
      </x:c>
      <x:c r="B26" s="116"/>
      <x:c r="C26" s="33" t="str">
        <x:v>Gross proceeds × issuance cost rate</x:v>
      </x:c>
      <x:c r="D26" s="33" t="str">
        <x:v>Cash use at closing</x:v>
      </x:c>
      <x:c r="E26" s="2"/>
      <x:c r="F26" s="2"/>
      <x:c r="G26" s="2"/>
      <x:c r="H26" s="2"/>
    </x:row>
    <x:row r="27" ht="28" customHeight="1">
      <x:c r="A27" s="2" t="str">
        <x:v>Net Proceeds / Initial Carrying Amount ($000s)</x:v>
      </x:c>
      <x:c r="B27" s="116"/>
      <x:c r="C27" s="33" t="str">
        <x:v>Gross proceeds − issuance costs</x:v>
      </x:c>
      <x:c r="D27" s="33" t="str">
        <x:v>Deployable cash and debt carrying value</x:v>
      </x:c>
      <x:c r="E27" s="2"/>
      <x:c r="F27" s="2"/>
      <x:c r="G27" s="2"/>
      <x:c r="H27" s="2"/>
    </x:row>
    <x:row r="28" ht="28" customHeight="1">
      <x:c r="A28" s="2" t="str">
        <x:v>Face Discount + Issuance Costs ($000s)</x:v>
      </x:c>
      <x:c r="B28" s="116"/>
      <x:c r="C28" s="33" t="str">
        <x:v>Face amount − initial carrying amount</x:v>
      </x:c>
      <x:c r="D28" s="33" t="str">
        <x:v>Contra-debt at closing</x:v>
      </x:c>
      <x:c r="E28" s="2"/>
      <x:c r="F28" s="2"/>
      <x:c r="G28" s="2"/>
      <x:c r="H28" s="2"/>
    </x:row>
    <x:row r="29" ht="28" customHeight="1">
      <x:c r="A29" s="2" t="str">
        <x:v>Annual Cash Coupon ($000s)</x:v>
      </x:c>
      <x:c r="B29" s="116"/>
      <x:c r="C29" s="33" t="str">
        <x:v>Face amount × coupon rate</x:v>
      </x:c>
      <x:c r="D29" s="33" t="str">
        <x:v>Cash paid; not full accounting interest</x:v>
      </x:c>
      <x:c r="E29" s="2"/>
      <x:c r="F29" s="2"/>
      <x:c r="G29" s="2"/>
      <x:c r="H29" s="2"/>
    </x:row>
    <x:row r="30" ht="28" customHeight="1">
      <x:c r="A30" s="2" t="str">
        <x:v>Observed Clean Price ($ per $100)</x:v>
      </x:c>
      <x:c r="B30" s="82"/>
      <x:c r="C30" s="33" t="str">
        <x:v>Link the separate observed quote</x:v>
      </x:c>
      <x:c r="D30" s="33" t="str">
        <x:v>Reverse-yield audit input</x:v>
      </x:c>
      <x:c r="E30" s="2"/>
      <x:c r="F30" s="2"/>
      <x:c r="G30" s="2"/>
      <x:c r="H30" s="2"/>
    </x:row>
    <x:row r="31" ht="28" customHeight="1">
      <x:c r="A31" s="2" t="str">
        <x:v>YIELD from Observed Price</x:v>
      </x:c>
      <x:c r="B31" s="98"/>
      <x:c r="C31" s="33" t="str">
        <x:v>YIELD using dated terms</x:v>
      </x:c>
      <x:c r="D31" s="33" t="str">
        <x:v>Nominal annual investor yield</x:v>
      </x:c>
      <x:c r="E31" s="2"/>
      <x:c r="F31" s="2"/>
      <x:c r="G31" s="2"/>
      <x:c r="H31" s="2"/>
    </x:row>
    <x:row r="32" ht="28" customHeight="1">
      <x:c r="A32" s="2" t="str">
        <x:v>RATE from Observed Price</x:v>
      </x:c>
      <x:c r="B32" s="98"/>
      <x:c r="C32" s="33" t="str">
        <x:v>RATE periodic result × frequency</x:v>
      </x:c>
      <x:c r="D32" s="33" t="str">
        <x:v>Independent reverse-yield method</x:v>
      </x:c>
      <x:c r="E32" s="2"/>
      <x:c r="F32" s="2"/>
      <x:c r="G32" s="2"/>
      <x:c r="H32" s="2"/>
    </x:row>
    <x:row r="33" ht="28" customHeight="1">
      <x:c r="A33" s="2" t="str">
        <x:v>Issuer EIR per Period</x:v>
      </x:c>
      <x:c r="B33" s="98"/>
      <x:c r="C33" s="33" t="str">
        <x:v>RATE using net proceeds as PV</x:v>
      </x:c>
      <x:c r="D33" s="33" t="str">
        <x:v>Includes discount and issuance costs</x:v>
      </x:c>
      <x:c r="E33" s="2"/>
      <x:c r="F33" s="2"/>
      <x:c r="G33" s="2"/>
      <x:c r="H33" s="2"/>
    </x:row>
    <x:row r="34" ht="28" customHeight="1">
      <x:c r="A34" s="2" t="str">
        <x:v>Issuer Nominal Annual EIR</x:v>
      </x:c>
      <x:c r="B34" s="98"/>
      <x:c r="C34" s="33" t="str">
        <x:v>Periodic issuer EIR × frequency</x:v>
      </x:c>
      <x:c r="D34" s="33" t="str">
        <x:v>All-in accounting rate</x:v>
      </x:c>
      <x:c r="E34" s="2"/>
      <x:c r="F34" s="2"/>
      <x:c r="G34" s="2"/>
      <x:c r="H34" s="2"/>
    </x:row>
    <x:row r="35" ht="28" customHeight="1">
      <x:c r="A35" s="2" t="str">
        <x:v>Period 1 Interest Expense ($000s)</x:v>
      </x:c>
      <x:c r="B35" s="116"/>
      <x:c r="C35" s="33" t="str">
        <x:v>Opening carrying value × periodic EIR</x:v>
      </x:c>
      <x:c r="D35" s="33" t="str">
        <x:v>Positive expense</x:v>
      </x:c>
      <x:c r="E35" s="2"/>
      <x:c r="F35" s="2"/>
      <x:c r="G35" s="2"/>
      <x:c r="H35" s="2"/>
    </x:row>
    <x:row r="36" ht="28" customHeight="1">
      <x:c r="A36" s="2" t="str">
        <x:v>Ending Carrying Value — Period 1</x:v>
      </x:c>
      <x:c r="B36" s="116"/>
      <x:c r="C36" s="33" t="str">
        <x:v>Opening carry + interest expense − cash coupon</x:v>
      </x:c>
      <x:c r="D36" s="33" t="str">
        <x:v>Debt accretes toward face</x:v>
      </x:c>
      <x:c r="E36" s="2"/>
      <x:c r="F36" s="2"/>
      <x:c r="G36" s="2"/>
      <x:c r="H36" s="2"/>
    </x:row>
    <x:row r="37" ht="28" customHeight="1">
      <x:c r="A37" s="2" t="str">
        <x:v>Period 2 Interest Expense ($000s)</x:v>
      </x:c>
      <x:c r="B37" s="116"/>
      <x:c r="C37" s="33" t="str">
        <x:v>Period 1 ending carry × periodic EIR</x:v>
      </x:c>
      <x:c r="D37" s="33" t="str">
        <x:v>Positive expense</x:v>
      </x:c>
      <x:c r="E37" s="2"/>
      <x:c r="F37" s="2"/>
      <x:c r="G37" s="2"/>
      <x:c r="H37" s="2"/>
    </x:row>
    <x:row r="38" ht="28" customHeight="1">
      <x:c r="A38" s="2" t="str">
        <x:v>Year 1 New-Bond Interest Expense ($000s)</x:v>
      </x:c>
      <x:c r="B38" s="116"/>
      <x:c r="C38" s="33" t="str">
        <x:v>Period 1 + Period 2 expense</x:v>
      </x:c>
      <x:c r="D38" s="33" t="str">
        <x:v>Used in scenario net income</x:v>
      </x:c>
      <x:c r="E38" s="2"/>
      <x:c r="F38" s="2"/>
      <x:c r="G38" s="2"/>
      <x:c r="H38" s="2"/>
    </x:row>
    <x:row r="39" ht="28" customHeight="1">
      <x:c r="A39" s="2" t="str">
        <x:v>Ending Carrying Value — Year 1</x:v>
      </x:c>
      <x:c r="B39" s="116"/>
      <x:c r="C39" s="33" t="str">
        <x:v>Period 1 ending carry + period 2 expense − cash coupon</x:v>
      </x:c>
      <x:c r="D39" s="33" t="str">
        <x:v>Debt roll-forward</x:v>
      </x:c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 ht="22" customHeight="1">
      <x:c r="A42" s="27" t="str">
        <x:v>Yield sensitivity — one copy-down PRICE formula</x:v>
      </x:c>
      <x:c r="B42" s="27"/>
      <x:c r="C42" s="27"/>
      <x:c r="D42" s="27"/>
      <x:c r="E42" s="27"/>
      <x:c r="F42" s="27"/>
      <x:c r="G42" s="2"/>
      <x:c r="H42" s="2"/>
    </x:row>
    <x:row r="43" ht="30" customHeight="1">
      <x:c r="A43" s="38" t="str">
        <x:v>Scenario</x:v>
      </x:c>
      <x:c r="B43" s="38" t="str">
        <x:v>Linked YTM</x:v>
      </x:c>
      <x:c r="C43" s="38" t="str">
        <x:v>Price per Bond</x:v>
      </x:c>
      <x:c r="D43" s="38" t="str">
        <x:v>Premium / (Discount)</x:v>
      </x:c>
      <x:c r="E43" s="38" t="str">
        <x:v>Gross Proceeds ($000s)</x:v>
      </x:c>
      <x:c r="F43" s="38" t="str">
        <x:v>Interpretation</x:v>
      </x:c>
      <x:c r="G43" s="2"/>
      <x:c r="H43" s="2"/>
    </x:row>
    <x:row r="44" ht="30" customHeight="1">
      <x:c r="A44" s="2" t="str">
        <x:v>Rates Fall</x:v>
      </x:c>
      <x:c r="B44" s="112" t="n">
        <x:f>'1 Assumptions-Baseline'!B54</x:f>
        <x:v>0.045</x:v>
      </x:c>
      <x:c r="C44" s="82"/>
      <x:c r="D44" s="82"/>
      <x:c r="E44" s="82"/>
      <x:c r="F44" s="117" t="str">
        <x:v>Coupon exceeds market yield → premium</x:v>
      </x:c>
      <x:c r="G44" s="2"/>
      <x:c r="H44" s="2"/>
    </x:row>
    <x:row r="45" ht="30" customHeight="1">
      <x:c r="A45" s="2" t="str">
        <x:v>Par / Flat</x:v>
      </x:c>
      <x:c r="B45" s="112" t="n">
        <x:f>'1 Assumptions-Baseline'!B55</x:f>
        <x:v>0.055</x:v>
      </x:c>
      <x:c r="C45" s="82"/>
      <x:c r="D45" s="82"/>
      <x:c r="E45" s="82"/>
      <x:c r="F45" s="117" t="str">
        <x:v>Coupon equals market yield → par</x:v>
      </x:c>
      <x:c r="G45" s="2"/>
      <x:c r="H45" s="2"/>
    </x:row>
    <x:row r="46" ht="30" customHeight="1">
      <x:c r="A46" s="2" t="str">
        <x:v>Base Case</x:v>
      </x:c>
      <x:c r="B46" s="112" t="n">
        <x:f>'1 Assumptions-Baseline'!B56</x:f>
        <x:v>0.058</x:v>
      </x:c>
      <x:c r="C46" s="82"/>
      <x:c r="D46" s="82"/>
      <x:c r="E46" s="82"/>
      <x:c r="F46" s="117" t="str">
        <x:v>Market yield exceeds coupon → discount</x:v>
      </x:c>
      <x:c r="G46" s="2"/>
      <x:c r="H46" s="2"/>
    </x:row>
    <x:row r="47" ht="30" customHeight="1">
      <x:c r="A47" s="2" t="str">
        <x:v>Rates Rise</x:v>
      </x:c>
      <x:c r="B47" s="112" t="n">
        <x:f>'1 Assumptions-Baseline'!B57</x:f>
        <x:v>0.065</x:v>
      </x:c>
      <x:c r="C47" s="82"/>
      <x:c r="D47" s="82"/>
      <x:c r="E47" s="82"/>
      <x:c r="F47" s="117" t="str">
        <x:v>Discount widens</x:v>
      </x:c>
      <x:c r="G47" s="2"/>
      <x:c r="H47" s="2"/>
    </x:row>
    <x:row r="48" ht="30" customHeight="1">
      <x:c r="A48" s="2" t="str">
        <x:v>Stress Case</x:v>
      </x:c>
      <x:c r="B48" s="112" t="n">
        <x:f>'1 Assumptions-Baseline'!B58</x:f>
        <x:v>0.075</x:v>
      </x:c>
      <x:c r="C48" s="82"/>
      <x:c r="D48" s="82"/>
      <x:c r="E48" s="82"/>
      <x:c r="F48" s="117" t="str">
        <x:v>Deep discount; funding shortfall grows</x:v>
      </x:c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61" t="str">
        <x:v>Reasonableness gate: coupon rate &gt; YTM implies premium, coupon rate = YTM implies par, and coupon rate &lt; YTM implies discount. The sensitivity table must move monotonically in the opposite direction from YTM.</x:v>
      </x:c>
      <x:c r="B50" s="62"/>
      <x:c r="C50" s="62"/>
      <x:c r="D50" s="62"/>
      <x:c r="E50" s="62"/>
      <x:c r="F50" s="62"/>
      <x:c r="G50" s="62"/>
      <x:c r="H50" s="63"/>
    </x:row>
    <x:row r="51">
      <x:c r="A51" s="64"/>
      <x:c r="B51" s="65"/>
      <x:c r="C51" s="65"/>
      <x:c r="D51" s="65"/>
      <x:c r="E51" s="65"/>
      <x:c r="F51" s="65"/>
      <x:c r="G51" s="65"/>
      <x:c r="H51" s="66"/>
    </x:row>
    <x:row r="52">
      <x:c r="A52" s="67"/>
      <x:c r="B52" s="68"/>
      <x:c r="C52" s="68"/>
      <x:c r="D52" s="68"/>
      <x:c r="E52" s="68"/>
      <x:c r="F52" s="68"/>
      <x:c r="G52" s="68"/>
      <x:c r="H52" s="69"/>
    </x:row>
  </x:sheetData>
  <x:mergeCells>
    <x:mergeCell ref="A1:H1"/>
    <x:mergeCell ref="A3:H3"/>
    <x:mergeCell ref="A5:D5"/>
    <x:mergeCell ref="A17:H17"/>
    <x:mergeCell ref="A42:F42"/>
    <x:mergeCell ref="A50:H5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22" hidden="0" customWidth="1"/>
    <x:col min="4" max="4" width="22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5" t="str">
        <x:v>Meridian — Sources, Uses, and Debt Roll-Forward</x:v>
      </x:c>
      <x:c r="B1" s="5"/>
      <x:c r="C1" s="5"/>
      <x:c r="D1" s="5"/>
      <x:c r="E1" s="5"/>
      <x:c r="F1" s="5"/>
      <x:c r="G1" s="5"/>
      <x:c r="H1" s="5"/>
    </x:row>
    <x:row r="2">
      <x:c r="A2" s="2"/>
      <x:c r="B2" s="2"/>
      <x:c r="C2" s="2"/>
      <x:c r="D2" s="2"/>
      <x:c r="E2" s="2"/>
      <x:c r="F2" s="2"/>
      <x:c r="G2" s="2"/>
      <x:c r="H2" s="2"/>
    </x:row>
    <x:row r="3">
      <x:c r="A3" s="106" t="str">
        <x:v>Every dollar of gross proceeds must be assigned exactly once. Discount and fees reduce cash received but do not reduce the promised face amount used in credit ratios.</x:v>
      </x:c>
      <x:c r="B3" s="107"/>
      <x:c r="C3" s="107"/>
      <x:c r="D3" s="107"/>
      <x:c r="E3" s="107"/>
      <x:c r="F3" s="107"/>
      <x:c r="G3" s="107"/>
      <x:c r="H3" s="108"/>
    </x:row>
    <x:row r="4">
      <x:c r="A4" s="2"/>
      <x:c r="B4" s="2"/>
      <x:c r="C4" s="2"/>
      <x:c r="D4" s="2"/>
      <x:c r="E4" s="2"/>
      <x:c r="F4" s="2"/>
      <x:c r="G4" s="2"/>
      <x:c r="H4" s="2"/>
    </x:row>
    <x:row r="5" ht="22" customHeight="1">
      <x:c r="A5" s="27" t="str">
        <x:v>Closing sources and uses</x:v>
      </x:c>
      <x:c r="B5" s="27"/>
      <x:c r="C5" s="27"/>
      <x:c r="D5" s="27"/>
      <x:c r="E5" s="27"/>
      <x:c r="F5" s="2"/>
      <x:c r="G5" s="2"/>
      <x:c r="H5" s="2"/>
    </x:row>
    <x:row r="6" ht="28" customHeight="1">
      <x:c r="A6" s="38" t="str">
        <x:v>Sources / Uses ($000s)</x:v>
      </x:c>
      <x:c r="B6" s="38" t="str">
        <x:v>A — Refinance</x:v>
      </x:c>
      <x:c r="C6" s="38" t="str">
        <x:v>B — CapEx</x:v>
      </x:c>
      <x:c r="D6" s="38" t="str">
        <x:v>C — Mixed</x:v>
      </x:c>
      <x:c r="E6" s="2"/>
      <x:c r="F6" s="2"/>
      <x:c r="G6" s="2"/>
      <x:c r="H6" s="2"/>
    </x:row>
    <x:row r="7" ht="28" customHeight="1">
      <x:c r="A7" s="120" t="str">
        <x:v>Gross Bond Proceeds</x:v>
      </x:c>
      <x:c r="B7" s="118" t="n">
        <x:f>'2 Bond Pricing'!$B$25</x:f>
        <x:v>0</x:v>
      </x:c>
      <x:c r="C7" s="118" t="n">
        <x:f>'2 Bond Pricing'!$B$25</x:f>
        <x:v>0</x:v>
      </x:c>
      <x:c r="D7" s="118" t="n">
        <x:f>'2 Bond Pricing'!$B$25</x:f>
        <x:v>0</x:v>
      </x:c>
      <x:c r="E7" s="2"/>
      <x:c r="F7" s="2"/>
      <x:c r="G7" s="2"/>
      <x:c r="H7" s="2"/>
    </x:row>
    <x:row r="8" ht="28" customHeight="1">
      <x:c r="A8" s="120" t="str"/>
      <x:c r="B8" s="2"/>
      <x:c r="C8" s="2"/>
      <x:c r="D8" s="2"/>
      <x:c r="E8" s="2"/>
      <x:c r="F8" s="2"/>
      <x:c r="G8" s="2"/>
      <x:c r="H8" s="2"/>
    </x:row>
    <x:row r="9" ht="28" customHeight="1">
      <x:c r="A9" s="120" t="str">
        <x:v>Issuance Costs</x:v>
      </x:c>
      <x:c r="B9" s="116"/>
      <x:c r="C9" s="116"/>
      <x:c r="D9" s="116"/>
      <x:c r="E9" s="2"/>
      <x:c r="F9" s="2"/>
      <x:c r="G9" s="2"/>
      <x:c r="H9" s="2"/>
    </x:row>
    <x:row r="10" ht="28" customHeight="1">
      <x:c r="A10" s="120" t="str">
        <x:v>Refinance Short-Term Debt</x:v>
      </x:c>
      <x:c r="B10" s="116"/>
      <x:c r="C10" s="116"/>
      <x:c r="D10" s="116"/>
      <x:c r="E10" s="2"/>
      <x:c r="F10" s="2"/>
      <x:c r="G10" s="2"/>
      <x:c r="H10" s="2"/>
    </x:row>
    <x:row r="11" ht="28" customHeight="1">
      <x:c r="A11" s="120" t="str">
        <x:v>Capital Expenditure</x:v>
      </x:c>
      <x:c r="B11" s="116"/>
      <x:c r="C11" s="116"/>
      <x:c r="D11" s="116"/>
      <x:c r="E11" s="2"/>
      <x:c r="F11" s="2"/>
      <x:c r="G11" s="2"/>
      <x:c r="H11" s="2"/>
    </x:row>
    <x:row r="12" ht="28" customHeight="1">
      <x:c r="A12" s="120" t="str">
        <x:v>Cash Retained</x:v>
      </x:c>
      <x:c r="B12" s="116"/>
      <x:c r="C12" s="116"/>
      <x:c r="D12" s="116"/>
      <x:c r="E12" s="2"/>
      <x:c r="F12" s="2"/>
      <x:c r="G12" s="2"/>
      <x:c r="H12" s="2"/>
    </x:row>
    <x:row r="13" ht="28" customHeight="1">
      <x:c r="A13" s="120" t="str">
        <x:v>Total Uses</x:v>
      </x:c>
      <x:c r="B13" s="116"/>
      <x:c r="C13" s="116"/>
      <x:c r="D13" s="116"/>
      <x:c r="E13" s="2"/>
      <x:c r="F13" s="2"/>
      <x:c r="G13" s="2"/>
      <x:c r="H13" s="2"/>
    </x:row>
    <x:row r="14" ht="28" customHeight="1">
      <x:c r="A14" s="120" t="str">
        <x:v>Sources − Uses Check</x:v>
      </x:c>
      <x:c r="B14" s="116"/>
      <x:c r="C14" s="116"/>
      <x:c r="D14" s="116"/>
      <x:c r="E14" s="2"/>
      <x:c r="F14" s="2"/>
      <x:c r="G14" s="2"/>
      <x:c r="H14" s="2"/>
    </x:row>
    <x:row r="15" ht="28" customHeight="1">
      <x:c r="A15" s="120" t="str"/>
      <x:c r="B15" s="2"/>
      <x:c r="C15" s="2"/>
      <x:c r="D15" s="2"/>
      <x:c r="E15" s="2"/>
      <x:c r="F15" s="2"/>
      <x:c r="G15" s="2"/>
      <x:c r="H15" s="2"/>
    </x:row>
    <x:row r="16" ht="28" customHeight="1">
      <x:c r="A16" s="120" t="str">
        <x:v>Net Proceeds</x:v>
      </x:c>
      <x:c r="B16" s="118" t="n">
        <x:f>'2 Bond Pricing'!$B$27</x:f>
        <x:v>0</x:v>
      </x:c>
      <x:c r="C16" s="118" t="n">
        <x:f>'2 Bond Pricing'!$B$27</x:f>
        <x:v>0</x:v>
      </x:c>
      <x:c r="D16" s="118" t="n">
        <x:f>'2 Bond Pricing'!$B$27</x:f>
        <x:v>0</x:v>
      </x:c>
      <x:c r="E16" s="2"/>
      <x:c r="F16" s="2"/>
      <x:c r="G16" s="2"/>
      <x:c r="H16" s="2"/>
    </x:row>
    <x:row r="17" ht="28" customHeight="1">
      <x:c r="A17" s="120" t="str">
        <x:v>Refi + CapEx + Cash Retained</x:v>
      </x:c>
      <x:c r="B17" s="116"/>
      <x:c r="C17" s="116"/>
      <x:c r="D17" s="116"/>
      <x:c r="E17" s="2"/>
      <x:c r="F17" s="2"/>
      <x:c r="G17" s="2"/>
      <x:c r="H17" s="2"/>
    </x:row>
    <x:row r="18" ht="28" customHeight="1">
      <x:c r="A18" s="120" t="str">
        <x:v>Net Proceeds − Deployment Check</x:v>
      </x:c>
      <x:c r="B18" s="116"/>
      <x:c r="C18" s="116"/>
      <x:c r="D18" s="116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 ht="22" customHeight="1">
      <x:c r="A20" s="27" t="str">
        <x:v>Debt face value, carrying value, and roll-forward</x:v>
      </x:c>
      <x:c r="B20" s="27"/>
      <x:c r="C20" s="27"/>
      <x:c r="D20" s="27"/>
      <x:c r="E20" s="27"/>
      <x:c r="F20" s="2"/>
      <x:c r="G20" s="2"/>
      <x:c r="H20" s="2"/>
    </x:row>
    <x:row r="21" ht="28" customHeight="1">
      <x:c r="A21" s="38" t="str">
        <x:v>Debt Bridge ($000s)</x:v>
      </x:c>
      <x:c r="B21" s="38" t="str">
        <x:v>A — Refinance</x:v>
      </x:c>
      <x:c r="C21" s="38" t="str">
        <x:v>B — CapEx</x:v>
      </x:c>
      <x:c r="D21" s="38" t="str">
        <x:v>C — Mixed</x:v>
      </x:c>
      <x:c r="E21" s="2"/>
      <x:c r="F21" s="2"/>
      <x:c r="G21" s="2"/>
      <x:c r="H21" s="2"/>
    </x:row>
    <x:row r="22" ht="28" customHeight="1">
      <x:c r="A22" s="120" t="str">
        <x:v>Beginning Short-Term Debt</x:v>
      </x:c>
      <x:c r="B22" s="118" t="n">
        <x:f>'1 Assumptions-Baseline'!$F$24</x:f>
        <x:v>45000</x:v>
      </x:c>
      <x:c r="C22" s="118" t="n">
        <x:f>'1 Assumptions-Baseline'!$F$24</x:f>
        <x:v>45000</x:v>
      </x:c>
      <x:c r="D22" s="118" t="n">
        <x:f>'1 Assumptions-Baseline'!$F$24</x:f>
        <x:v>45000</x:v>
      </x:c>
      <x:c r="E22" s="2"/>
      <x:c r="F22" s="2"/>
      <x:c r="G22" s="2"/>
      <x:c r="H22" s="2"/>
    </x:row>
    <x:row r="23" ht="28" customHeight="1">
      <x:c r="A23" s="120" t="str">
        <x:v>Refinancing Repayment</x:v>
      </x:c>
      <x:c r="B23" s="116"/>
      <x:c r="C23" s="116"/>
      <x:c r="D23" s="116"/>
      <x:c r="E23" s="2"/>
      <x:c r="F23" s="2"/>
      <x:c r="G23" s="2"/>
      <x:c r="H23" s="2"/>
    </x:row>
    <x:row r="24" ht="28" customHeight="1">
      <x:c r="A24" s="120" t="str">
        <x:v>Ending Short-Term Debt</x:v>
      </x:c>
      <x:c r="B24" s="116"/>
      <x:c r="C24" s="116"/>
      <x:c r="D24" s="116"/>
      <x:c r="E24" s="2"/>
      <x:c r="F24" s="2"/>
      <x:c r="G24" s="2"/>
      <x:c r="H24" s="2"/>
    </x:row>
    <x:row r="25" ht="28" customHeight="1">
      <x:c r="A25" s="120" t="str">
        <x:v>Beginning Existing LT Debt — Face</x:v>
      </x:c>
      <x:c r="B25" s="118" t="n">
        <x:f>'1 Assumptions-Baseline'!$F$27</x:f>
        <x:v>110000</x:v>
      </x:c>
      <x:c r="C25" s="118" t="n">
        <x:f>'1 Assumptions-Baseline'!$F$27</x:f>
        <x:v>110000</x:v>
      </x:c>
      <x:c r="D25" s="118" t="n">
        <x:f>'1 Assumptions-Baseline'!$F$27</x:f>
        <x:v>110000</x:v>
      </x:c>
      <x:c r="E25" s="2"/>
      <x:c r="F25" s="2"/>
      <x:c r="G25" s="2"/>
      <x:c r="H25" s="2"/>
    </x:row>
    <x:row r="26" ht="28" customHeight="1">
      <x:c r="A26" s="120" t="str">
        <x:v>New Bond — Face</x:v>
      </x:c>
      <x:c r="B26" s="116"/>
      <x:c r="C26" s="116"/>
      <x:c r="D26" s="116"/>
      <x:c r="E26" s="2"/>
      <x:c r="F26" s="2"/>
      <x:c r="G26" s="2"/>
      <x:c r="H26" s="2"/>
    </x:row>
    <x:row r="27" ht="28" customHeight="1">
      <x:c r="A27" s="120" t="str">
        <x:v>Ending Gross Face Debt</x:v>
      </x:c>
      <x:c r="B27" s="116"/>
      <x:c r="C27" s="116"/>
      <x:c r="D27" s="116"/>
      <x:c r="E27" s="2"/>
      <x:c r="F27" s="2"/>
      <x:c r="G27" s="2"/>
      <x:c r="H27" s="2"/>
    </x:row>
    <x:row r="28" ht="28" customHeight="1">
      <x:c r="A28" s="120" t="str">
        <x:v>New Bond — Initial Carrying Value</x:v>
      </x:c>
      <x:c r="B28" s="116"/>
      <x:c r="C28" s="116"/>
      <x:c r="D28" s="116"/>
      <x:c r="E28" s="2"/>
      <x:c r="F28" s="2"/>
      <x:c r="G28" s="2"/>
      <x:c r="H28" s="2"/>
    </x:row>
    <x:row r="29" ht="28" customHeight="1">
      <x:c r="A29" s="120" t="str">
        <x:v>Contra-Debt: Discount + Issuance Costs</x:v>
      </x:c>
      <x:c r="B29" s="116"/>
      <x:c r="C29" s="116"/>
      <x:c r="D29" s="116"/>
      <x:c r="E29" s="2"/>
      <x:c r="F29" s="2"/>
      <x:c r="G29" s="2"/>
      <x:c r="H29" s="2"/>
    </x:row>
    <x:row r="30" ht="28" customHeight="1">
      <x:c r="A30" s="120" t="str">
        <x:v>New Bond Face − Carrying − Contra Check</x:v>
      </x:c>
      <x:c r="B30" s="116"/>
      <x:c r="C30" s="116"/>
      <x:c r="D30" s="116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61" t="str">
        <x:v>Accounting rationale: the new bond is recorded at initial carrying value (gross proceeds less issuance costs). The difference between face value and carrying value is visible contra-debt, not missing cash. Credit ratios use ending gross face debt; the balance sheet uses carrying value.</x:v>
      </x:c>
      <x:c r="B32" s="62"/>
      <x:c r="C32" s="62"/>
      <x:c r="D32" s="62"/>
      <x:c r="E32" s="62"/>
      <x:c r="F32" s="62"/>
      <x:c r="G32" s="62"/>
      <x:c r="H32" s="63"/>
    </x:row>
    <x:row r="33">
      <x:c r="A33" s="64"/>
      <x:c r="B33" s="65"/>
      <x:c r="C33" s="65"/>
      <x:c r="D33" s="65"/>
      <x:c r="E33" s="65"/>
      <x:c r="F33" s="65"/>
      <x:c r="G33" s="65"/>
      <x:c r="H33" s="66"/>
    </x:row>
    <x:row r="34">
      <x:c r="A34" s="64"/>
      <x:c r="B34" s="65"/>
      <x:c r="C34" s="65"/>
      <x:c r="D34" s="65"/>
      <x:c r="E34" s="65"/>
      <x:c r="F34" s="65"/>
      <x:c r="G34" s="65"/>
      <x:c r="H34" s="66"/>
    </x:row>
    <x:row r="35">
      <x:c r="A35" s="67"/>
      <x:c r="B35" s="68"/>
      <x:c r="C35" s="68"/>
      <x:c r="D35" s="68"/>
      <x:c r="E35" s="68"/>
      <x:c r="F35" s="68"/>
      <x:c r="G35" s="68"/>
      <x:c r="H35" s="69"/>
    </x:row>
    <x:row r="36">
      <x:c r="A36" s="2"/>
      <x:c r="B36" s="2"/>
      <x:c r="C36" s="2"/>
      <x:c r="D36" s="2"/>
      <x:c r="E36" s="2"/>
      <x:c r="F36" s="2"/>
      <x:c r="G36" s="2"/>
      <x:c r="H36" s="2"/>
    </x:row>
  </x:sheetData>
  <x:mergeCells>
    <x:mergeCell ref="A1:H1"/>
    <x:mergeCell ref="A3:H3"/>
    <x:mergeCell ref="A5:E5"/>
    <x:mergeCell ref="A20:E20"/>
    <x:mergeCell ref="A32:H3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42" hidden="0" customWidth="1"/>
    <x:col min="8" max="8" width="12" hidden="0" customWidth="1"/>
  </x:cols>
  <x:sheetData>
    <x:row r="1" ht="30" customHeight="1">
      <x:c r="A1" s="5" t="str">
        <x:v>Meridian — Closing Balance Sheet, Year-1 Earnings, and Ratios</x:v>
      </x:c>
      <x:c r="B1" s="5"/>
      <x:c r="C1" s="5"/>
      <x:c r="D1" s="5"/>
      <x:c r="E1" s="5"/>
      <x:c r="F1" s="5"/>
      <x:c r="G1" s="5"/>
      <x:c r="H1" s="5"/>
    </x:row>
    <x:row r="2">
      <x:c r="A2" s="2"/>
      <x:c r="B2" s="2"/>
      <x:c r="C2" s="2"/>
      <x:c r="D2" s="2"/>
      <x:c r="E2" s="2"/>
      <x:c r="F2" s="2"/>
      <x:c r="G2" s="2"/>
      <x:c r="H2" s="2"/>
    </x:row>
    <x:row r="3">
      <x:c r="A3" s="106" t="str">
        <x:v>Timing discipline: the balance sheet is measured immediately after closing; the income statement and EPS show the first full year after closing. Closing equity is unchanged because no shares are issued and year-1 earnings have not yet accumulated.</x:v>
      </x:c>
      <x:c r="B3" s="107"/>
      <x:c r="C3" s="107"/>
      <x:c r="D3" s="107"/>
      <x:c r="E3" s="107"/>
      <x:c r="F3" s="107"/>
      <x:c r="G3" s="107"/>
      <x:c r="H3" s="108"/>
    </x:row>
    <x:row r="4">
      <x:c r="A4" s="2"/>
      <x:c r="B4" s="2"/>
      <x:c r="C4" s="2"/>
      <x:c r="D4" s="2"/>
      <x:c r="E4" s="2"/>
      <x:c r="F4" s="2"/>
      <x:c r="G4" s="2"/>
      <x:c r="H4" s="2"/>
    </x:row>
    <x:row r="5" ht="22" customHeight="1">
      <x:c r="A5" s="27" t="str">
        <x:v>Closing-date balance sheet</x:v>
      </x:c>
      <x:c r="B5" s="27"/>
      <x:c r="C5" s="27"/>
      <x:c r="D5" s="27"/>
      <x:c r="E5" s="27"/>
      <x:c r="F5" s="27"/>
      <x:c r="G5" s="2"/>
      <x:c r="H5" s="2"/>
    </x:row>
    <x:row r="6" ht="27" customHeight="1">
      <x:c r="A6" s="38" t="str">
        <x:v>Line Item ($000s)</x:v>
      </x:c>
      <x:c r="B6" s="38" t="str">
        <x:v>Baseline</x:v>
      </x:c>
      <x:c r="C6" s="38" t="str">
        <x:v>A — Refinance</x:v>
      </x:c>
      <x:c r="D6" s="38" t="str">
        <x:v>B — CapEx</x:v>
      </x:c>
      <x:c r="E6" s="38" t="str">
        <x:v>C — Mixed</x:v>
      </x:c>
      <x:c r="F6" s="2"/>
      <x:c r="G6" s="2"/>
      <x:c r="H6" s="2"/>
    </x:row>
    <x:row r="7" ht="27" customHeight="1">
      <x:c r="A7" s="2" t="str">
        <x:v>Cash &amp; Cash Equivalents</x:v>
      </x:c>
      <x:c r="B7" s="118" t="n">
        <x:f>'1 Assumptions-Baseline'!B23</x:f>
        <x:v>32500</x:v>
      </x:c>
      <x:c r="C7" s="116"/>
      <x:c r="D7" s="116"/>
      <x:c r="E7" s="116"/>
      <x:c r="F7" s="2"/>
      <x:c r="G7" s="2"/>
      <x:c r="H7" s="2"/>
    </x:row>
    <x:row r="8" ht="27" customHeight="1">
      <x:c r="A8" s="2" t="str">
        <x:v>Total Current Assets</x:v>
      </x:c>
      <x:c r="B8" s="118" t="n">
        <x:f>'1 Assumptions-Baseline'!B27</x:f>
        <x:v>0</x:v>
      </x:c>
      <x:c r="C8" s="116"/>
      <x:c r="D8" s="116"/>
      <x:c r="E8" s="116"/>
      <x:c r="F8" s="2"/>
      <x:c r="G8" s="2"/>
      <x:c r="H8" s="2"/>
    </x:row>
    <x:row r="9" ht="27" customHeight="1">
      <x:c r="A9" s="2" t="str">
        <x:v>PP&amp;E (net)</x:v>
      </x:c>
      <x:c r="B9" s="118" t="n">
        <x:f>'1 Assumptions-Baseline'!B28</x:f>
        <x:v>312000</x:v>
      </x:c>
      <x:c r="C9" s="116"/>
      <x:c r="D9" s="116"/>
      <x:c r="E9" s="116"/>
      <x:c r="F9" s="2"/>
      <x:c r="G9" s="2"/>
      <x:c r="H9" s="2"/>
    </x:row>
    <x:row r="10" ht="27" customHeight="1">
      <x:c r="A10" s="2" t="str">
        <x:v>Intangible Assets</x:v>
      </x:c>
      <x:c r="B10" s="118" t="n">
        <x:f>'1 Assumptions-Baseline'!B29</x:f>
        <x:v>22000</x:v>
      </x:c>
      <x:c r="C10" s="116"/>
      <x:c r="D10" s="116"/>
      <x:c r="E10" s="116"/>
      <x:c r="F10" s="2"/>
      <x:c r="G10" s="2"/>
      <x:c r="H10" s="2"/>
    </x:row>
    <x:row r="11" ht="27" customHeight="1">
      <x:c r="A11" s="2" t="str">
        <x:v>Other Long-Term Assets</x:v>
      </x:c>
      <x:c r="B11" s="118" t="n">
        <x:f>'1 Assumptions-Baseline'!B30</x:f>
        <x:v>9500</x:v>
      </x:c>
      <x:c r="C11" s="116"/>
      <x:c r="D11" s="116"/>
      <x:c r="E11" s="116"/>
      <x:c r="F11" s="2"/>
      <x:c r="G11" s="2"/>
      <x:c r="H11" s="2"/>
    </x:row>
    <x:row r="12" ht="27" customHeight="1">
      <x:c r="A12" s="128" t="str">
        <x:v>Total Assets</x:v>
      </x:c>
      <x:c r="B12" s="125" t="n">
        <x:f>'1 Assumptions-Baseline'!B31</x:f>
        <x:v>0</x:v>
      </x:c>
      <x:c r="C12" s="126"/>
      <x:c r="D12" s="126"/>
      <x:c r="E12" s="127"/>
      <x:c r="F12" s="2"/>
      <x:c r="G12" s="2"/>
      <x:c r="H12" s="2"/>
    </x:row>
    <x:row r="13" ht="27" customHeight="1">
      <x:c r="A13" s="2" t="str"/>
      <x:c r="B13" s="118"/>
      <x:c r="C13" s="116"/>
      <x:c r="D13" s="116"/>
      <x:c r="E13" s="116"/>
      <x:c r="F13" s="2"/>
      <x:c r="G13" s="2"/>
      <x:c r="H13" s="2"/>
    </x:row>
    <x:row r="14" ht="27" customHeight="1">
      <x:c r="A14" s="2" t="str">
        <x:v>Accounts Payable</x:v>
      </x:c>
      <x:c r="B14" s="118" t="n">
        <x:f>'1 Assumptions-Baseline'!F23</x:f>
        <x:v>29400</x:v>
      </x:c>
      <x:c r="C14" s="116"/>
      <x:c r="D14" s="116"/>
      <x:c r="E14" s="116"/>
      <x:c r="F14" s="2"/>
      <x:c r="G14" s="2"/>
      <x:c r="H14" s="2"/>
    </x:row>
    <x:row r="15" ht="27" customHeight="1">
      <x:c r="A15" s="2" t="str">
        <x:v>Short-Term Debt</x:v>
      </x:c>
      <x:c r="B15" s="118" t="n">
        <x:f>'1 Assumptions-Baseline'!F24</x:f>
        <x:v>45000</x:v>
      </x:c>
      <x:c r="C15" s="116"/>
      <x:c r="D15" s="116"/>
      <x:c r="E15" s="116"/>
      <x:c r="F15" s="2"/>
      <x:c r="G15" s="2"/>
      <x:c r="H15" s="2"/>
    </x:row>
    <x:row r="16" ht="27" customHeight="1">
      <x:c r="A16" s="2" t="str">
        <x:v>Other Current Liabilities</x:v>
      </x:c>
      <x:c r="B16" s="118" t="n">
        <x:f>'1 Assumptions-Baseline'!F25</x:f>
        <x:v>13100</x:v>
      </x:c>
      <x:c r="C16" s="116"/>
      <x:c r="D16" s="116"/>
      <x:c r="E16" s="116"/>
      <x:c r="F16" s="2"/>
      <x:c r="G16" s="2"/>
      <x:c r="H16" s="2"/>
    </x:row>
    <x:row r="17" ht="27" customHeight="1">
      <x:c r="A17" s="2" t="str">
        <x:v>Total Current Liabilities</x:v>
      </x:c>
      <x:c r="B17" s="118" t="n">
        <x:f>'1 Assumptions-Baseline'!F26</x:f>
        <x:v>0</x:v>
      </x:c>
      <x:c r="C17" s="116"/>
      <x:c r="D17" s="116"/>
      <x:c r="E17" s="116"/>
      <x:c r="F17" s="2"/>
      <x:c r="G17" s="2"/>
      <x:c r="H17" s="2"/>
    </x:row>
    <x:row r="18" ht="27" customHeight="1">
      <x:c r="A18" s="2" t="str">
        <x:v>Existing Long-Term Debt</x:v>
      </x:c>
      <x:c r="B18" s="118" t="n">
        <x:f>'1 Assumptions-Baseline'!F27</x:f>
        <x:v>110000</x:v>
      </x:c>
      <x:c r="C18" s="116"/>
      <x:c r="D18" s="116"/>
      <x:c r="E18" s="116"/>
      <x:c r="F18" s="2"/>
      <x:c r="G18" s="2"/>
      <x:c r="H18" s="2"/>
    </x:row>
    <x:row r="19" ht="27" customHeight="1">
      <x:c r="A19" s="2" t="str">
        <x:v>New Bond — Carrying Value</x:v>
      </x:c>
      <x:c r="B19" s="118" t="n">
        <x:v>0</x:v>
      </x:c>
      <x:c r="C19" s="116"/>
      <x:c r="D19" s="116"/>
      <x:c r="E19" s="116"/>
      <x:c r="F19" s="2"/>
      <x:c r="G19" s="2"/>
      <x:c r="H19" s="2"/>
    </x:row>
    <x:row r="20" ht="27" customHeight="1">
      <x:c r="A20" s="2" t="str">
        <x:v>Deferred Tax Liability</x:v>
      </x:c>
      <x:c r="B20" s="118" t="n">
        <x:f>'1 Assumptions-Baseline'!F28</x:f>
        <x:v>7200</x:v>
      </x:c>
      <x:c r="C20" s="116"/>
      <x:c r="D20" s="116"/>
      <x:c r="E20" s="116"/>
      <x:c r="F20" s="2"/>
      <x:c r="G20" s="2"/>
      <x:c r="H20" s="2"/>
    </x:row>
    <x:row r="21" ht="27" customHeight="1">
      <x:c r="A21" s="2" t="str">
        <x:v>Other Long-Term Operating Liabilities</x:v>
      </x:c>
      <x:c r="B21" s="118" t="n">
        <x:f>'1 Assumptions-Baseline'!F29</x:f>
        <x:v>61000</x:v>
      </x:c>
      <x:c r="C21" s="116"/>
      <x:c r="D21" s="116"/>
      <x:c r="E21" s="116"/>
      <x:c r="F21" s="2"/>
      <x:c r="G21" s="2"/>
      <x:c r="H21" s="2"/>
    </x:row>
    <x:row r="22" ht="27" customHeight="1">
      <x:c r="A22" s="128" t="str">
        <x:v>Total Liabilities</x:v>
      </x:c>
      <x:c r="B22" s="125" t="n">
        <x:f>'1 Assumptions-Baseline'!F30</x:f>
        <x:v>0</x:v>
      </x:c>
      <x:c r="C22" s="126"/>
      <x:c r="D22" s="126"/>
      <x:c r="E22" s="127"/>
      <x:c r="F22" s="2"/>
      <x:c r="G22" s="2"/>
      <x:c r="H22" s="2"/>
    </x:row>
    <x:row r="23" ht="27" customHeight="1">
      <x:c r="A23" s="2" t="str">
        <x:v>Common Stock &amp; APIC</x:v>
      </x:c>
      <x:c r="B23" s="118" t="n">
        <x:f>'1 Assumptions-Baseline'!F31</x:f>
        <x:v>85000</x:v>
      </x:c>
      <x:c r="C23" s="116"/>
      <x:c r="D23" s="116"/>
      <x:c r="E23" s="116"/>
      <x:c r="F23" s="2"/>
      <x:c r="G23" s="2"/>
      <x:c r="H23" s="2"/>
    </x:row>
    <x:row r="24" ht="27" customHeight="1">
      <x:c r="A24" s="2" t="str">
        <x:v>Retained Earnings</x:v>
      </x:c>
      <x:c r="B24" s="118" t="n">
        <x:f>'1 Assumptions-Baseline'!F32</x:f>
        <x:v>135800</x:v>
      </x:c>
      <x:c r="C24" s="116"/>
      <x:c r="D24" s="116"/>
      <x:c r="E24" s="116"/>
      <x:c r="F24" s="2"/>
      <x:c r="G24" s="2"/>
      <x:c r="H24" s="2"/>
    </x:row>
    <x:row r="25" ht="27" customHeight="1">
      <x:c r="A25" s="128" t="str">
        <x:v>Total Equity at Closing</x:v>
      </x:c>
      <x:c r="B25" s="125" t="n">
        <x:f>'1 Assumptions-Baseline'!F33</x:f>
        <x:v>0</x:v>
      </x:c>
      <x:c r="C25" s="126"/>
      <x:c r="D25" s="126"/>
      <x:c r="E25" s="127"/>
      <x:c r="F25" s="2"/>
      <x:c r="G25" s="2"/>
      <x:c r="H25" s="2"/>
    </x:row>
    <x:row r="26" ht="27" customHeight="1">
      <x:c r="A26" s="128" t="str">
        <x:v>Total Liabilities &amp; Equity</x:v>
      </x:c>
      <x:c r="B26" s="125" t="n">
        <x:f>'1 Assumptions-Baseline'!F34</x:f>
        <x:v>0</x:v>
      </x:c>
      <x:c r="C26" s="126"/>
      <x:c r="D26" s="126"/>
      <x:c r="E26" s="127"/>
      <x:c r="F26" s="2"/>
      <x:c r="G26" s="2"/>
      <x:c r="H26" s="2"/>
    </x:row>
    <x:row r="27" ht="27" customHeight="1">
      <x:c r="A27" s="128" t="str">
        <x:v>Balance Sheet Check</x:v>
      </x:c>
      <x:c r="B27" s="128"/>
      <x:c r="C27" s="126"/>
      <x:c r="D27" s="126"/>
      <x:c r="E27" s="127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 ht="22" customHeight="1">
      <x:c r="A29" s="27" t="str">
        <x:v>First full year after closing — positive expense convention</x:v>
      </x:c>
      <x:c r="B29" s="27"/>
      <x:c r="C29" s="27"/>
      <x:c r="D29" s="27"/>
      <x:c r="E29" s="27"/>
      <x:c r="F29" s="27"/>
      <x:c r="G29" s="2"/>
      <x:c r="H29" s="2"/>
    </x:row>
    <x:row r="30" ht="27" customHeight="1">
      <x:c r="A30" s="38" t="str">
        <x:v>Income Statement / Per Share</x:v>
      </x:c>
      <x:c r="B30" s="38" t="str">
        <x:v>Baseline</x:v>
      </x:c>
      <x:c r="C30" s="38" t="str">
        <x:v>A — Refinance</x:v>
      </x:c>
      <x:c r="D30" s="38" t="str">
        <x:v>B — CapEx</x:v>
      </x:c>
      <x:c r="E30" s="38" t="str">
        <x:v>C — Mixed</x:v>
      </x:c>
      <x:c r="F30" s="2"/>
      <x:c r="G30" s="2"/>
      <x:c r="H30" s="2"/>
    </x:row>
    <x:row r="31" ht="27" customHeight="1">
      <x:c r="A31" s="2" t="str">
        <x:v>Revenue</x:v>
      </x:c>
      <x:c r="B31" s="118" t="n">
        <x:f>'1 Assumptions-Baseline'!B7</x:f>
        <x:v>425000</x:v>
      </x:c>
      <x:c r="C31" s="116"/>
      <x:c r="D31" s="116"/>
      <x:c r="E31" s="116"/>
      <x:c r="F31" s="2"/>
      <x:c r="G31" s="2"/>
      <x:c r="H31" s="2"/>
    </x:row>
    <x:row r="32" ht="27" customHeight="1">
      <x:c r="A32" s="2" t="str">
        <x:v>EBIT</x:v>
      </x:c>
      <x:c r="B32" s="118" t="n">
        <x:f>'1 Assumptions-Baseline'!B12</x:f>
        <x:v>0</x:v>
      </x:c>
      <x:c r="C32" s="116"/>
      <x:c r="D32" s="116"/>
      <x:c r="E32" s="116"/>
      <x:c r="F32" s="2"/>
      <x:c r="G32" s="2"/>
      <x:c r="H32" s="2"/>
    </x:row>
    <x:row r="33" ht="27" customHeight="1">
      <x:c r="A33" s="2" t="str">
        <x:v>D&amp;A</x:v>
      </x:c>
      <x:c r="B33" s="118" t="n">
        <x:f>'1 Assumptions-Baseline'!B11</x:f>
        <x:v>18500</x:v>
      </x:c>
      <x:c r="C33" s="116"/>
      <x:c r="D33" s="116"/>
      <x:c r="E33" s="116"/>
      <x:c r="F33" s="2"/>
      <x:c r="G33" s="2"/>
      <x:c r="H33" s="2"/>
    </x:row>
    <x:row r="34" ht="27" customHeight="1">
      <x:c r="A34" s="128" t="str">
        <x:v>EBITDA</x:v>
      </x:c>
      <x:c r="B34" s="125" t="str">
        <x:f>IF(ISBLANK('1 Assumptions-Baseline'!B12),"",'1 Assumptions-Baseline'!B12+'1 Assumptions-Baseline'!B11)</x:f>
      </x:c>
      <x:c r="C34" s="126"/>
      <x:c r="D34" s="126"/>
      <x:c r="E34" s="127"/>
      <x:c r="F34" s="2"/>
      <x:c r="G34" s="2"/>
      <x:c r="H34" s="2"/>
    </x:row>
    <x:row r="35" ht="27" customHeight="1">
      <x:c r="A35" s="2" t="str">
        <x:v>Short-Term Debt Interest Expense</x:v>
      </x:c>
      <x:c r="B35" s="118" t="n">
        <x:f>'1 Assumptions-Baseline'!F24*'1 Assumptions-Baseline'!B48</x:f>
        <x:v>3825.0000000000005</x:v>
      </x:c>
      <x:c r="C35" s="116"/>
      <x:c r="D35" s="116"/>
      <x:c r="E35" s="116"/>
      <x:c r="F35" s="2"/>
      <x:c r="G35" s="2"/>
      <x:c r="H35" s="2"/>
    </x:row>
    <x:row r="36" ht="27" customHeight="1">
      <x:c r="A36" s="2" t="str">
        <x:v>Existing LT Debt Interest Expense</x:v>
      </x:c>
      <x:c r="B36" s="118" t="str">
        <x:f>IF(ISBLANK('1 Assumptions-Baseline'!B49),"",'1 Assumptions-Baseline'!F27*'1 Assumptions-Baseline'!B49)</x:f>
      </x:c>
      <x:c r="C36" s="116"/>
      <x:c r="D36" s="116"/>
      <x:c r="E36" s="116"/>
      <x:c r="F36" s="2"/>
      <x:c r="G36" s="2"/>
      <x:c r="H36" s="2"/>
    </x:row>
    <x:row r="37" ht="27" customHeight="1">
      <x:c r="A37" s="2" t="str">
        <x:v>New Bond Year-1 Interest Expense</x:v>
      </x:c>
      <x:c r="B37" s="118" t="n">
        <x:v>0</x:v>
      </x:c>
      <x:c r="C37" s="116"/>
      <x:c r="D37" s="116"/>
      <x:c r="E37" s="116"/>
      <x:c r="F37" s="2"/>
      <x:c r="G37" s="2"/>
      <x:c r="H37" s="2"/>
    </x:row>
    <x:row r="38" ht="27" customHeight="1">
      <x:c r="A38" s="128" t="str">
        <x:v>Total Interest Expense</x:v>
      </x:c>
      <x:c r="B38" s="125" t="str">
        <x:f>IF(COUNT(B35:B37)&lt;3,"",SUM(B35:B37))</x:f>
      </x:c>
      <x:c r="C38" s="126"/>
      <x:c r="D38" s="126"/>
      <x:c r="E38" s="127"/>
      <x:c r="F38" s="2"/>
      <x:c r="G38" s="2"/>
      <x:c r="H38" s="2"/>
    </x:row>
    <x:row r="39" ht="27" customHeight="1">
      <x:c r="A39" s="2" t="str">
        <x:v>EBT</x:v>
      </x:c>
      <x:c r="B39" s="118" t="n">
        <x:f>'1 Assumptions-Baseline'!B14</x:f>
        <x:v>0</x:v>
      </x:c>
      <x:c r="C39" s="116"/>
      <x:c r="D39" s="116"/>
      <x:c r="E39" s="116"/>
      <x:c r="F39" s="2"/>
      <x:c r="G39" s="2"/>
      <x:c r="H39" s="2"/>
    </x:row>
    <x:row r="40" ht="27" customHeight="1">
      <x:c r="A40" s="2" t="str">
        <x:v>Income Tax Expense</x:v>
      </x:c>
      <x:c r="B40" s="118" t="n">
        <x:f>'1 Assumptions-Baseline'!B16</x:f>
        <x:v>0</x:v>
      </x:c>
      <x:c r="C40" s="116"/>
      <x:c r="D40" s="116"/>
      <x:c r="E40" s="116"/>
      <x:c r="F40" s="2"/>
      <x:c r="G40" s="2"/>
      <x:c r="H40" s="2"/>
    </x:row>
    <x:row r="41" ht="27" customHeight="1">
      <x:c r="A41" s="128" t="str">
        <x:v>Net Income</x:v>
      </x:c>
      <x:c r="B41" s="125" t="n">
        <x:f>'1 Assumptions-Baseline'!B17</x:f>
        <x:v>0</x:v>
      </x:c>
      <x:c r="C41" s="126"/>
      <x:c r="D41" s="126"/>
      <x:c r="E41" s="127"/>
      <x:c r="F41" s="2"/>
      <x:c r="G41" s="2"/>
      <x:c r="H41" s="2"/>
    </x:row>
    <x:row r="42" ht="27" customHeight="1">
      <x:c r="A42" s="2" t="str">
        <x:v>Diluted Shares Outstanding (000s)</x:v>
      </x:c>
      <x:c r="B42" s="118" t="n">
        <x:f>'1 Assumptions-Baseline'!B18</x:f>
        <x:v>50000</x:v>
      </x:c>
      <x:c r="C42" s="91"/>
      <x:c r="D42" s="91"/>
      <x:c r="E42" s="91"/>
      <x:c r="F42" s="2"/>
      <x:c r="G42" s="2"/>
      <x:c r="H42" s="2"/>
    </x:row>
    <x:row r="43" ht="27" customHeight="1">
      <x:c r="A43" s="136" t="str">
        <x:v>EPS</x:v>
      </x:c>
      <x:c r="B43" s="133" t="n">
        <x:f>'1 Assumptions-Baseline'!B19</x:f>
        <x:v>0</x:v>
      </x:c>
      <x:c r="C43" s="134"/>
      <x:c r="D43" s="134"/>
      <x:c r="E43" s="135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 ht="22" customHeight="1">
      <x:c r="A46" s="27" t="str">
        <x:v>Credit and liquidity ratio comparison</x:v>
      </x:c>
      <x:c r="B46" s="27"/>
      <x:c r="C46" s="27"/>
      <x:c r="D46" s="27"/>
      <x:c r="E46" s="27"/>
      <x:c r="F46" s="27"/>
      <x:c r="G46" s="27"/>
      <x:c r="H46" s="2"/>
    </x:row>
    <x:row r="47" ht="28" customHeight="1">
      <x:c r="A47" s="38" t="str">
        <x:v>Metric</x:v>
      </x:c>
      <x:c r="B47" s="38" t="str">
        <x:v>Baseline</x:v>
      </x:c>
      <x:c r="C47" s="38" t="str">
        <x:v>A — Refinance</x:v>
      </x:c>
      <x:c r="D47" s="38" t="str">
        <x:v>B — CapEx</x:v>
      </x:c>
      <x:c r="E47" s="38" t="str">
        <x:v>C — Mixed</x:v>
      </x:c>
      <x:c r="F47" s="38" t="str">
        <x:v>Benchmark</x:v>
      </x:c>
      <x:c r="G47" s="38" t="str">
        <x:v>Interpretation</x:v>
      </x:c>
      <x:c r="H47" s="2"/>
    </x:row>
    <x:row r="48" ht="28" customHeight="1">
      <x:c r="A48" s="2" t="str">
        <x:v>Gross Face Debt ($000s)</x:v>
      </x:c>
      <x:c r="B48" s="116"/>
      <x:c r="C48" s="116"/>
      <x:c r="D48" s="116"/>
      <x:c r="E48" s="116"/>
      <x:c r="F48" s="117" t="str">
        <x:v>n/a</x:v>
      </x:c>
      <x:c r="G48" s="117" t="str">
        <x:v>Uses promised debt, not carrying value</x:v>
      </x:c>
      <x:c r="H48" s="2"/>
    </x:row>
    <x:row r="49" ht="28" customHeight="1">
      <x:c r="A49" s="2" t="str">
        <x:v>Debt / Equity</x:v>
      </x:c>
      <x:c r="B49" s="139"/>
      <x:c r="C49" s="139"/>
      <x:c r="D49" s="139"/>
      <x:c r="E49" s="139"/>
      <x:c r="F49" s="117" t="str">
        <x:v>≤ 1.50x</x:v>
      </x:c>
      <x:c r="G49" s="117" t="str">
        <x:v>Lower is stronger</x:v>
      </x:c>
      <x:c r="H49" s="2"/>
    </x:row>
    <x:row r="50" ht="28" customHeight="1">
      <x:c r="A50" s="2" t="str">
        <x:v>Debt / EBITDA</x:v>
      </x:c>
      <x:c r="B50" s="139"/>
      <x:c r="C50" s="139"/>
      <x:c r="D50" s="139"/>
      <x:c r="E50" s="139"/>
      <x:c r="F50" s="117" t="str">
        <x:v>≤ 3.00x</x:v>
      </x:c>
      <x:c r="G50" s="117" t="str">
        <x:v>Primary capacity constraint</x:v>
      </x:c>
      <x:c r="H50" s="2"/>
    </x:row>
    <x:row r="51" ht="28" customHeight="1">
      <x:c r="A51" s="2" t="str">
        <x:v>Interest Coverage</x:v>
      </x:c>
      <x:c r="B51" s="139"/>
      <x:c r="C51" s="139"/>
      <x:c r="D51" s="139"/>
      <x:c r="E51" s="139"/>
      <x:c r="F51" s="117" t="str">
        <x:v>≥ 3.00x</x:v>
      </x:c>
      <x:c r="G51" s="117" t="str">
        <x:v>EBIT ÷ positive interest expense</x:v>
      </x:c>
      <x:c r="H51" s="2"/>
    </x:row>
    <x:row r="52" ht="28" customHeight="1">
      <x:c r="A52" s="2" t="str">
        <x:v>Net Debt / EBITDA</x:v>
      </x:c>
      <x:c r="B52" s="139"/>
      <x:c r="C52" s="139"/>
      <x:c r="D52" s="139"/>
      <x:c r="E52" s="139"/>
      <x:c r="F52" s="117" t="str">
        <x:v>≤ 2.50x</x:v>
      </x:c>
      <x:c r="G52" s="117" t="str">
        <x:v>Cash retained reduces net debt</x:v>
      </x:c>
      <x:c r="H52" s="2"/>
    </x:row>
    <x:row r="53" ht="28" customHeight="1">
      <x:c r="A53" s="2" t="str">
        <x:v>Current Ratio</x:v>
      </x:c>
      <x:c r="B53" s="139"/>
      <x:c r="C53" s="139"/>
      <x:c r="D53" s="139"/>
      <x:c r="E53" s="139"/>
      <x:c r="F53" s="117" t="str">
        <x:v>≥ 1.50x</x:v>
      </x:c>
      <x:c r="G53" s="117" t="str">
        <x:v>Closing current assets ÷ current liabilities</x:v>
      </x:c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61" t="str">
        <x:v>Required interpretation: a scenario may rank best but still fail an absolute benchmark. Keep face debt and carrying debt distinct; include retained cash in net debt; and never improve net income by adding a positive interest expense.</x:v>
      </x:c>
      <x:c r="B55" s="62"/>
      <x:c r="C55" s="62"/>
      <x:c r="D55" s="62"/>
      <x:c r="E55" s="62"/>
      <x:c r="F55" s="62"/>
      <x:c r="G55" s="62"/>
      <x:c r="H55" s="63"/>
    </x:row>
    <x:row r="56">
      <x:c r="A56" s="64"/>
      <x:c r="B56" s="65"/>
      <x:c r="C56" s="65"/>
      <x:c r="D56" s="65"/>
      <x:c r="E56" s="65"/>
      <x:c r="F56" s="65"/>
      <x:c r="G56" s="65"/>
      <x:c r="H56" s="66"/>
    </x:row>
    <x:row r="57">
      <x:c r="A57" s="67"/>
      <x:c r="B57" s="68"/>
      <x:c r="C57" s="68"/>
      <x:c r="D57" s="68"/>
      <x:c r="E57" s="68"/>
      <x:c r="F57" s="68"/>
      <x:c r="G57" s="68"/>
      <x:c r="H57" s="69"/>
    </x:row>
    <x:row r="58">
      <x:c r="A58" s="2"/>
      <x:c r="B58" s="2"/>
      <x:c r="C58" s="2"/>
      <x:c r="D58" s="2"/>
      <x:c r="E58" s="2"/>
      <x:c r="F58" s="2"/>
      <x:c r="G58" s="2"/>
      <x:c r="H58" s="2"/>
    </x:row>
  </x:sheetData>
  <x:mergeCells>
    <x:mergeCell ref="A1:H1"/>
    <x:mergeCell ref="A3:H3"/>
    <x:mergeCell ref="A5:F5"/>
    <x:mergeCell ref="A29:F29"/>
    <x:mergeCell ref="A46:G46"/>
    <x:mergeCell ref="A55:H5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50" hidden="0" customWidth="1"/>
    <x:col min="5" max="5" width="45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5" t="str">
        <x:v>Meridian — Financing Capacity and CFO Recommendation</x:v>
      </x:c>
      <x:c r="B1" s="5"/>
      <x:c r="C1" s="5"/>
      <x:c r="D1" s="5"/>
      <x:c r="E1" s="5"/>
      <x:c r="F1" s="5"/>
      <x:c r="G1" s="5"/>
      <x:c r="H1" s="5"/>
    </x:row>
    <x:row r="2">
      <x:c r="A2" s="2"/>
      <x:c r="B2" s="2"/>
      <x:c r="C2" s="2"/>
      <x:c r="D2" s="2"/>
      <x:c r="E2" s="2"/>
      <x:c r="F2" s="2"/>
      <x:c r="G2" s="2"/>
      <x:c r="H2" s="2"/>
    </x:row>
    <x:row r="3">
      <x:c r="A3" s="106" t="str">
        <x:v>First identify the strongest full-size use of proceeds. Then calculate whether the $200M face amount is supportable under the stated guardrails.</x:v>
      </x:c>
      <x:c r="B3" s="107"/>
      <x:c r="C3" s="107"/>
      <x:c r="D3" s="107"/>
      <x:c r="E3" s="107"/>
      <x:c r="F3" s="107"/>
      <x:c r="G3" s="107"/>
      <x:c r="H3" s="108"/>
    </x:row>
    <x:row r="4">
      <x:c r="A4" s="2"/>
      <x:c r="B4" s="2"/>
      <x:c r="C4" s="2"/>
      <x:c r="D4" s="2"/>
      <x:c r="E4" s="2"/>
      <x:c r="F4" s="2"/>
      <x:c r="G4" s="2"/>
      <x:c r="H4" s="2"/>
    </x:row>
    <x:row r="5" ht="22" customHeight="1">
      <x:c r="A5" s="27" t="str">
        <x:v>Full-size scenario scorecard</x:v>
      </x:c>
      <x:c r="B5" s="27"/>
      <x:c r="C5" s="27"/>
      <x:c r="D5" s="27"/>
      <x:c r="E5" s="27"/>
      <x:c r="F5" s="27"/>
      <x:c r="G5" s="2"/>
      <x:c r="H5" s="2"/>
    </x:row>
    <x:row r="6" ht="30" customHeight="1">
      <x:c r="A6" s="38" t="str">
        <x:v>Metric</x:v>
      </x:c>
      <x:c r="B6" s="38" t="str">
        <x:v>A — Refinance</x:v>
      </x:c>
      <x:c r="C6" s="38" t="str">
        <x:v>B — CapEx</x:v>
      </x:c>
      <x:c r="D6" s="38" t="str">
        <x:v>C — Mixed</x:v>
      </x:c>
      <x:c r="E6" s="38" t="str">
        <x:v>Best full-size case and why</x:v>
      </x:c>
      <x:c r="F6" s="2"/>
      <x:c r="G6" s="2"/>
      <x:c r="H6" s="2"/>
    </x:row>
    <x:row r="7" ht="30" customHeight="1">
      <x:c r="A7" s="2" t="str">
        <x:v>Debt / Equity</x:v>
      </x:c>
      <x:c r="B7" s="139"/>
      <x:c r="C7" s="139"/>
      <x:c r="D7" s="139"/>
      <x:c r="E7" s="88"/>
      <x:c r="F7" s="2"/>
      <x:c r="G7" s="2"/>
      <x:c r="H7" s="2"/>
    </x:row>
    <x:row r="8" ht="30" customHeight="1">
      <x:c r="A8" s="2" t="str">
        <x:v>Debt / EBITDA</x:v>
      </x:c>
      <x:c r="B8" s="139"/>
      <x:c r="C8" s="139"/>
      <x:c r="D8" s="139"/>
      <x:c r="E8" s="88"/>
      <x:c r="F8" s="2"/>
      <x:c r="G8" s="2"/>
      <x:c r="H8" s="2"/>
    </x:row>
    <x:row r="9" ht="30" customHeight="1">
      <x:c r="A9" s="2" t="str">
        <x:v>Interest Coverage</x:v>
      </x:c>
      <x:c r="B9" s="139"/>
      <x:c r="C9" s="139"/>
      <x:c r="D9" s="139"/>
      <x:c r="E9" s="88"/>
      <x:c r="F9" s="2"/>
      <x:c r="G9" s="2"/>
      <x:c r="H9" s="2"/>
    </x:row>
    <x:row r="10" ht="30" customHeight="1">
      <x:c r="A10" s="2" t="str">
        <x:v>Net Debt / EBITDA</x:v>
      </x:c>
      <x:c r="B10" s="139"/>
      <x:c r="C10" s="139"/>
      <x:c r="D10" s="139"/>
      <x:c r="E10" s="88"/>
      <x:c r="F10" s="2"/>
      <x:c r="G10" s="2"/>
      <x:c r="H10" s="2"/>
    </x:row>
    <x:row r="11" ht="30" customHeight="1">
      <x:c r="A11" s="2" t="str">
        <x:v>Current Ratio</x:v>
      </x:c>
      <x:c r="B11" s="139"/>
      <x:c r="C11" s="139"/>
      <x:c r="D11" s="139"/>
      <x:c r="E11" s="88"/>
      <x:c r="F11" s="2"/>
      <x:c r="G11" s="2"/>
      <x:c r="H11" s="2"/>
    </x:row>
    <x:row r="12" ht="30" customHeight="1">
      <x:c r="A12" s="2" t="str">
        <x:v>EPS</x:v>
      </x:c>
      <x:c r="B12" s="94"/>
      <x:c r="C12" s="94"/>
      <x:c r="D12" s="94"/>
      <x:c r="E12" s="88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 ht="22" customHeight="1">
      <x:c r="A15" s="27" t="str">
        <x:v>Resize-and-stage capacity test — use Scenario C operating assumptions</x:v>
      </x:c>
      <x:c r="B15" s="27"/>
      <x:c r="C15" s="27"/>
      <x:c r="D15" s="27"/>
      <x:c r="E15" s="27"/>
      <x:c r="F15" s="27"/>
      <x:c r="G15" s="2"/>
      <x:c r="H15" s="2"/>
    </x:row>
    <x:row r="16" ht="28" customHeight="1">
      <x:c r="A16" s="38" t="str">
        <x:v>Capacity input / output</x:v>
      </x:c>
      <x:c r="B16" s="38" t="str">
        <x:v>Student formula</x:v>
      </x:c>
      <x:c r="C16" s="38" t="str">
        <x:v>Unit</x:v>
      </x:c>
      <x:c r="D16" s="38" t="str">
        <x:v>Required relationship</x:v>
      </x:c>
      <x:c r="E16" s="2"/>
      <x:c r="F16" s="2"/>
      <x:c r="G16" s="2"/>
      <x:c r="H16" s="2"/>
    </x:row>
    <x:row r="17" ht="28" customHeight="1">
      <x:c r="A17" s="120" t="str">
        <x:v>Scenario C EBITDA</x:v>
      </x:c>
      <x:c r="B17" s="116"/>
      <x:c r="C17" s="33" t="str">
        <x:v>$000s</x:v>
      </x:c>
      <x:c r="D17" s="33" t="str">
        <x:v>Link completed scenario model</x:v>
      </x:c>
      <x:c r="E17" s="2"/>
      <x:c r="F17" s="2"/>
      <x:c r="G17" s="2"/>
      <x:c r="H17" s="2"/>
    </x:row>
    <x:row r="18" ht="28" customHeight="1">
      <x:c r="A18" s="120" t="str">
        <x:v>Scenario C EBIT</x:v>
      </x:c>
      <x:c r="B18" s="116"/>
      <x:c r="C18" s="33" t="str">
        <x:v>$000s</x:v>
      </x:c>
      <x:c r="D18" s="33" t="str">
        <x:v>Link completed scenario model</x:v>
      </x:c>
      <x:c r="E18" s="2"/>
      <x:c r="F18" s="2"/>
      <x:c r="G18" s="2"/>
      <x:c r="H18" s="2"/>
    </x:row>
    <x:row r="19" ht="28" customHeight="1">
      <x:c r="A19" s="120" t="str">
        <x:v>Closing Equity</x:v>
      </x:c>
      <x:c r="B19" s="116"/>
      <x:c r="C19" s="33" t="str">
        <x:v>$000s</x:v>
      </x:c>
      <x:c r="D19" s="33" t="str">
        <x:v>Link completed scenario model</x:v>
      </x:c>
      <x:c r="E19" s="2"/>
      <x:c r="F19" s="2"/>
      <x:c r="G19" s="2"/>
      <x:c r="H19" s="2"/>
    </x:row>
    <x:row r="20" ht="28" customHeight="1">
      <x:c r="A20" s="120" t="str">
        <x:v>Remaining Pre-Existing Face Debt after Refi</x:v>
      </x:c>
      <x:c r="B20" s="116"/>
      <x:c r="C20" s="33" t="str">
        <x:v>$000s</x:v>
      </x:c>
      <x:c r="D20" s="33" t="str">
        <x:v>Ending ST debt + existing LT debt</x:v>
      </x:c>
      <x:c r="E20" s="2"/>
      <x:c r="F20" s="2"/>
      <x:c r="G20" s="2"/>
      <x:c r="H20" s="2"/>
    </x:row>
    <x:row r="21" ht="28" customHeight="1">
      <x:c r="A21" s="120" t="str"/>
      <x:c r="B21" s="116"/>
      <x:c r="C21" s="33" t="str"/>
      <x:c r="D21" s="33" t="str"/>
      <x:c r="E21" s="2"/>
      <x:c r="F21" s="2"/>
      <x:c r="G21" s="2"/>
      <x:c r="H21" s="2"/>
    </x:row>
    <x:row r="22" ht="28" customHeight="1">
      <x:c r="A22" s="120" t="str">
        <x:v>New Face Capacity — Debt / Equity</x:v>
      </x:c>
      <x:c r="B22" s="116"/>
      <x:c r="C22" s="33" t="str">
        <x:v>$000s</x:v>
      </x:c>
      <x:c r="D22" s="33" t="str">
        <x:v>D/E max × equity − remaining debt</x:v>
      </x:c>
      <x:c r="E22" s="2"/>
      <x:c r="F22" s="2"/>
      <x:c r="G22" s="2"/>
      <x:c r="H22" s="2"/>
    </x:row>
    <x:row r="23" ht="28" customHeight="1">
      <x:c r="A23" s="120" t="str">
        <x:v>New Face Capacity — Debt / EBITDA</x:v>
      </x:c>
      <x:c r="B23" s="116"/>
      <x:c r="C23" s="33" t="str">
        <x:v>$000s</x:v>
      </x:c>
      <x:c r="D23" s="33" t="str">
        <x:v>Debt/EBITDA max × EBITDA − remaining debt</x:v>
      </x:c>
      <x:c r="E23" s="2"/>
      <x:c r="F23" s="2"/>
      <x:c r="G23" s="2"/>
      <x:c r="H23" s="2"/>
    </x:row>
    <x:row r="24" ht="28" customHeight="1">
      <x:c r="A24" s="120" t="str">
        <x:v>New Face Capacity — Interest Coverage</x:v>
      </x:c>
      <x:c r="B24" s="116"/>
      <x:c r="C24" s="33" t="str">
        <x:v>$000s</x:v>
      </x:c>
      <x:c r="D24" s="33" t="str">
        <x:v>Interest headroom ÷ new-bond interest per $1 face</x:v>
      </x:c>
      <x:c r="E24" s="2"/>
      <x:c r="F24" s="2"/>
      <x:c r="G24" s="2"/>
      <x:c r="H24" s="2"/>
    </x:row>
    <x:row r="25" ht="28" customHeight="1">
      <x:c r="A25" s="120" t="str">
        <x:v>Recommended Maximum New Face Amount</x:v>
      </x:c>
      <x:c r="B25" s="116"/>
      <x:c r="C25" s="33" t="str">
        <x:v>$000s</x:v>
      </x:c>
      <x:c r="D25" s="33" t="str">
        <x:v>Minimum of the three positive capacity limits</x:v>
      </x:c>
      <x:c r="E25" s="2"/>
      <x:c r="F25" s="2"/>
      <x:c r="G25" s="2"/>
      <x:c r="H25" s="2"/>
    </x:row>
    <x:row r="26" ht="28" customHeight="1">
      <x:c r="A26" s="120" t="str"/>
      <x:c r="B26" s="116"/>
      <x:c r="C26" s="33" t="str"/>
      <x:c r="D26" s="33" t="str"/>
      <x:c r="E26" s="2"/>
      <x:c r="F26" s="2"/>
      <x:c r="G26" s="2"/>
      <x:c r="H26" s="2"/>
    </x:row>
    <x:row r="27" ht="28" customHeight="1">
      <x:c r="A27" s="120" t="str">
        <x:v>Gross Proceeds at Capacity</x:v>
      </x:c>
      <x:c r="B27" s="116"/>
      <x:c r="C27" s="33" t="str">
        <x:v>$000s</x:v>
      </x:c>
      <x:c r="D27" s="33" t="str">
        <x:v>Capacity face ÷ par × price per bond</x:v>
      </x:c>
      <x:c r="E27" s="2"/>
      <x:c r="F27" s="2"/>
      <x:c r="G27" s="2"/>
      <x:c r="H27" s="2"/>
    </x:row>
    <x:row r="28" ht="28" customHeight="1">
      <x:c r="A28" s="120" t="str">
        <x:v>Issuance Costs at Capacity</x:v>
      </x:c>
      <x:c r="B28" s="116"/>
      <x:c r="C28" s="33" t="str">
        <x:v>$000s</x:v>
      </x:c>
      <x:c r="D28" s="33" t="str">
        <x:v>Gross proceeds × issuance cost rate</x:v>
      </x:c>
      <x:c r="E28" s="2"/>
      <x:c r="F28" s="2"/>
      <x:c r="G28" s="2"/>
      <x:c r="H28" s="2"/>
    </x:row>
    <x:row r="29" ht="28" customHeight="1">
      <x:c r="A29" s="120" t="str">
        <x:v>Net Proceeds at Capacity</x:v>
      </x:c>
      <x:c r="B29" s="116"/>
      <x:c r="C29" s="33" t="str">
        <x:v>$000s</x:v>
      </x:c>
      <x:c r="D29" s="33" t="str">
        <x:v>Gross proceeds − issuance costs</x:v>
      </x:c>
      <x:c r="E29" s="2"/>
      <x:c r="F29" s="2"/>
      <x:c r="G29" s="2"/>
      <x:c r="H29" s="2"/>
    </x:row>
    <x:row r="30" ht="28" customHeight="1">
      <x:c r="A30" s="120" t="str">
        <x:v>Refinance Short-Term Debt</x:v>
      </x:c>
      <x:c r="B30" s="116"/>
      <x:c r="C30" s="33" t="str">
        <x:v>$000s</x:v>
      </x:c>
      <x:c r="D30" s="33" t="str">
        <x:v>Scenario C target</x:v>
      </x:c>
      <x:c r="E30" s="2"/>
      <x:c r="F30" s="2"/>
      <x:c r="G30" s="2"/>
      <x:c r="H30" s="2"/>
    </x:row>
    <x:row r="31" ht="28" customHeight="1">
      <x:c r="A31" s="120" t="str">
        <x:v>Staged CapEx</x:v>
      </x:c>
      <x:c r="B31" s="116"/>
      <x:c r="C31" s="33" t="str">
        <x:v>$000s</x:v>
      </x:c>
      <x:c r="D31" s="33" t="str">
        <x:v>Scenario C fixed target</x:v>
      </x:c>
      <x:c r="E31" s="2"/>
      <x:c r="F31" s="2"/>
      <x:c r="G31" s="2"/>
      <x:c r="H31" s="2"/>
    </x:row>
    <x:row r="32" ht="28" customHeight="1">
      <x:c r="A32" s="120" t="str">
        <x:v>Cash Retained</x:v>
      </x:c>
      <x:c r="B32" s="116"/>
      <x:c r="C32" s="33" t="str">
        <x:v>$000s</x:v>
      </x:c>
      <x:c r="D32" s="33" t="str">
        <x:v>Net proceeds − refinancing − capex</x:v>
      </x:c>
      <x:c r="E32" s="2"/>
      <x:c r="F32" s="2"/>
      <x:c r="G32" s="2"/>
      <x:c r="H32" s="2"/>
    </x:row>
    <x:row r="33" ht="28" customHeight="1">
      <x:c r="A33" s="120" t="str">
        <x:v>Total Uses</x:v>
      </x:c>
      <x:c r="B33" s="116"/>
      <x:c r="C33" s="33" t="str">
        <x:v>$000s</x:v>
      </x:c>
      <x:c r="D33" s="33" t="str">
        <x:v>Issuance costs + refinancing + capex + cash</x:v>
      </x:c>
      <x:c r="E33" s="2"/>
      <x:c r="F33" s="2"/>
      <x:c r="G33" s="2"/>
      <x:c r="H33" s="2"/>
    </x:row>
    <x:row r="34" ht="28" customHeight="1">
      <x:c r="A34" s="120" t="str">
        <x:v>Capacity Sources − Uses Check</x:v>
      </x:c>
      <x:c r="B34" s="116"/>
      <x:c r="C34" s="33" t="str">
        <x:v>$000s</x:v>
      </x:c>
      <x:c r="D34" s="33" t="str">
        <x:v>Gross proceeds − total uses</x:v>
      </x:c>
      <x:c r="E34" s="2"/>
      <x:c r="F34" s="2"/>
      <x:c r="G34" s="2"/>
      <x:c r="H34" s="2"/>
    </x:row>
    <x:row r="35" ht="28" customHeight="1">
      <x:c r="A35" s="120" t="str">
        <x:v>Debt / EBITDA at Capacity</x:v>
      </x:c>
      <x:c r="B35" s="139"/>
      <x:c r="C35" s="33" t="str">
        <x:v>x</x:v>
      </x:c>
      <x:c r="D35" s="33" t="str">
        <x:v>(Remaining debt + new face) ÷ EBITDA</x:v>
      </x:c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 ht="22" customHeight="1">
      <x:c r="A38" s="27" t="str">
        <x:v>CFO recommendation memo</x:v>
      </x:c>
      <x:c r="B38" s="27"/>
      <x:c r="C38" s="27"/>
      <x:c r="D38" s="27"/>
      <x:c r="E38" s="27"/>
      <x:c r="F38" s="27"/>
      <x:c r="G38" s="27"/>
      <x:c r="H38" s="27"/>
    </x:row>
    <x:row r="39" ht="26" customHeight="1">
      <x:c r="A39" s="143" t="str">
        <x:v>Recommendation: Choose the best full-size comparison, state whether the issue should be resized, and name the staged uses.</x:v>
      </x:c>
      <x:c r="B39" s="144"/>
      <x:c r="C39" s="144"/>
      <x:c r="D39" s="144"/>
      <x:c r="E39" s="144"/>
      <x:c r="F39" s="144"/>
      <x:c r="G39" s="144"/>
      <x:c r="H39" s="145"/>
    </x:row>
    <x:row r="40" ht="28" customHeight="1">
      <x:c r="A40" s="88"/>
      <x:c r="B40" s="88"/>
      <x:c r="C40" s="88"/>
      <x:c r="D40" s="88"/>
      <x:c r="E40" s="88"/>
      <x:c r="F40" s="88"/>
      <x:c r="G40" s="88"/>
      <x:c r="H40" s="88"/>
    </x:row>
    <x:row r="41" ht="28" customHeight="1">
      <x:c r="A41" s="88"/>
      <x:c r="B41" s="88"/>
      <x:c r="C41" s="88"/>
      <x:c r="D41" s="88"/>
      <x:c r="E41" s="88"/>
      <x:c r="F41" s="88"/>
      <x:c r="G41" s="88"/>
      <x:c r="H41" s="88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 ht="26" customHeight="1">
      <x:c r="A43" s="143" t="str">
        <x:v>Evidence: Cite bond price / proceeds, two ratios, the capacity amount, and one tie-out.</x:v>
      </x:c>
      <x:c r="B43" s="144"/>
      <x:c r="C43" s="144"/>
      <x:c r="D43" s="144"/>
      <x:c r="E43" s="144"/>
      <x:c r="F43" s="144"/>
      <x:c r="G43" s="144"/>
      <x:c r="H43" s="145"/>
    </x:row>
    <x:row r="44" ht="28" customHeight="1">
      <x:c r="A44" s="88"/>
      <x:c r="B44" s="88"/>
      <x:c r="C44" s="88"/>
      <x:c r="D44" s="88"/>
      <x:c r="E44" s="88"/>
      <x:c r="F44" s="88"/>
      <x:c r="G44" s="88"/>
      <x:c r="H44" s="88"/>
    </x:row>
    <x:row r="45" ht="28" customHeight="1">
      <x:c r="A45" s="88"/>
      <x:c r="B45" s="88"/>
      <x:c r="C45" s="88"/>
      <x:c r="D45" s="88"/>
      <x:c r="E45" s="88"/>
      <x:c r="F45" s="88"/>
      <x:c r="G45" s="88"/>
      <x:c r="H45" s="88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 ht="26" customHeight="1">
      <x:c r="A47" s="143" t="str">
        <x:v>Accounting rationale: Explain face debt versus carrying value and why interest expense lowers EBT and net income.</x:v>
      </x:c>
      <x:c r="B47" s="144"/>
      <x:c r="C47" s="144"/>
      <x:c r="D47" s="144"/>
      <x:c r="E47" s="144"/>
      <x:c r="F47" s="144"/>
      <x:c r="G47" s="144"/>
      <x:c r="H47" s="145"/>
    </x:row>
    <x:row r="48" ht="28" customHeight="1">
      <x:c r="A48" s="88"/>
      <x:c r="B48" s="88"/>
      <x:c r="C48" s="88"/>
      <x:c r="D48" s="88"/>
      <x:c r="E48" s="88"/>
      <x:c r="F48" s="88"/>
      <x:c r="G48" s="88"/>
      <x:c r="H48" s="88"/>
    </x:row>
    <x:row r="49" ht="28" customHeight="1">
      <x:c r="A49" s="88"/>
      <x:c r="B49" s="88"/>
      <x:c r="C49" s="88"/>
      <x:c r="D49" s="88"/>
      <x:c r="E49" s="88"/>
      <x:c r="F49" s="88"/>
      <x:c r="G49" s="88"/>
      <x:c r="H49" s="88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 ht="26" customHeight="1">
      <x:c r="A51" s="143" t="str">
        <x:v>Primary risk: Name the leverage, execution, or liquidity risk most likely to change the decision.</x:v>
      </x:c>
      <x:c r="B51" s="144"/>
      <x:c r="C51" s="144"/>
      <x:c r="D51" s="144"/>
      <x:c r="E51" s="144"/>
      <x:c r="F51" s="144"/>
      <x:c r="G51" s="144"/>
      <x:c r="H51" s="145"/>
    </x:row>
    <x:row r="52" ht="28" customHeight="1">
      <x:c r="A52" s="88"/>
      <x:c r="B52" s="88"/>
      <x:c r="C52" s="88"/>
      <x:c r="D52" s="88"/>
      <x:c r="E52" s="88"/>
      <x:c r="F52" s="88"/>
      <x:c r="G52" s="88"/>
      <x:c r="H52" s="88"/>
    </x:row>
    <x:row r="53" ht="28" customHeight="1">
      <x:c r="A53" s="88"/>
      <x:c r="B53" s="88"/>
      <x:c r="C53" s="88"/>
      <x:c r="D53" s="88"/>
      <x:c r="E53" s="88"/>
      <x:c r="F53" s="88"/>
      <x:c r="G53" s="88"/>
      <x:c r="H53" s="88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 ht="26" customHeight="1">
      <x:c r="A55" s="143" t="str">
        <x:v>Monitoring trigger: State a measurable threshold and the action management should take if breached.</x:v>
      </x:c>
      <x:c r="B55" s="144"/>
      <x:c r="C55" s="144"/>
      <x:c r="D55" s="144"/>
      <x:c r="E55" s="144"/>
      <x:c r="F55" s="144"/>
      <x:c r="G55" s="144"/>
      <x:c r="H55" s="145"/>
    </x:row>
    <x:row r="56" ht="28" customHeight="1">
      <x:c r="A56" s="88"/>
      <x:c r="B56" s="88"/>
      <x:c r="C56" s="88"/>
      <x:c r="D56" s="88"/>
      <x:c r="E56" s="88"/>
      <x:c r="F56" s="88"/>
      <x:c r="G56" s="88"/>
      <x:c r="H56" s="88"/>
    </x:row>
    <x:row r="57" ht="28" customHeight="1">
      <x:c r="A57" s="88"/>
      <x:c r="B57" s="88"/>
      <x:c r="C57" s="88"/>
      <x:c r="D57" s="88"/>
      <x:c r="E57" s="88"/>
      <x:c r="F57" s="88"/>
      <x:c r="G57" s="88"/>
      <x:c r="H57" s="88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</x:sheetData>
  <x:mergeCells>
    <x:mergeCell ref="A1:H1"/>
    <x:mergeCell ref="A3:H3"/>
    <x:mergeCell ref="A5:F5"/>
    <x:mergeCell ref="A15:F15"/>
    <x:mergeCell ref="A38:H38"/>
    <x:mergeCell ref="A39:H39"/>
    <x:mergeCell ref="A40:H41"/>
    <x:mergeCell ref="A43:H43"/>
    <x:mergeCell ref="A44:H45"/>
    <x:mergeCell ref="A47:H47"/>
    <x:mergeCell ref="A48:H49"/>
    <x:mergeCell ref="A51:H51"/>
    <x:mergeCell ref="A52:H53"/>
    <x:mergeCell ref="A55:H55"/>
    <x:mergeCell ref="A56:H57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8" hidden="0" customWidth="1"/>
    <x:col min="2" max="2" width="19" hidden="0" customWidth="1"/>
    <x:col min="3" max="3" width="19" hidden="0" customWidth="1"/>
    <x:col min="4" max="4" width="19" hidden="0" customWidth="1"/>
    <x:col min="5" max="5" width="14" hidden="0" customWidth="1"/>
    <x:col min="6" max="6" width="16" hidden="0" customWidth="1"/>
    <x:col min="7" max="7" width="45" hidden="0" customWidth="1"/>
  </x:cols>
  <x:sheetData>
    <x:row r="1" ht="30" customHeight="1">
      <x:c r="A1" s="5" t="str">
        <x:v>Meridian — Model Checks and Scenario Tie-Outs</x:v>
      </x:c>
      <x:c r="B1" s="5"/>
      <x:c r="C1" s="5"/>
      <x:c r="D1" s="5"/>
      <x:c r="E1" s="5"/>
      <x:c r="F1" s="5"/>
      <x:c r="G1" s="5"/>
    </x:row>
    <x:row r="2">
      <x:c r="A2" s="2"/>
      <x:c r="B2" s="2"/>
      <x:c r="C2" s="2"/>
      <x:c r="D2" s="2"/>
      <x:c r="E2" s="2"/>
      <x:c r="F2" s="2"/>
      <x:c r="G2" s="2"/>
    </x:row>
    <x:row r="3">
      <x:c r="A3" s="149" t="str">
        <x:v>MODEL STATUS</x:v>
      </x:c>
      <x:c r="B3" s="149" t="str">
        <x:f>IF(COUNTIF(F7:F39,"CHECK")&gt;0,"FAIL",IF(COUNTIF(F7:F39,"COMPLETE")&gt;0,"COMPLETE MODEL","PASS"))</x:f>
        <x:v>COMPLETE MODEL</x:v>
      </x:c>
      <x:c r="C3" s="149"/>
      <x:c r="D3" s="149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22" customHeight="1">
      <x:c r="A5" s="27" t="str">
        <x:v>One assertion per row — do not proceed while a completed row says CHECK</x:v>
      </x:c>
      <x:c r="B5" s="27"/>
      <x:c r="C5" s="27"/>
      <x:c r="D5" s="27"/>
      <x:c r="E5" s="27"/>
      <x:c r="F5" s="27"/>
      <x:c r="G5" s="27"/>
    </x:row>
    <x:row r="6" ht="27" customHeight="1">
      <x:c r="A6" s="38" t="str">
        <x:v>Check</x:v>
      </x:c>
      <x:c r="B6" s="38" t="str">
        <x:v>Actual</x:v>
      </x:c>
      <x:c r="C6" s="38" t="str">
        <x:v>Expected</x:v>
      </x:c>
      <x:c r="D6" s="38" t="str">
        <x:v>Difference</x:v>
      </x:c>
      <x:c r="E6" s="38" t="str">
        <x:v>Tolerance</x:v>
      </x:c>
      <x:c r="F6" s="38" t="str">
        <x:v>Status</x:v>
      </x:c>
      <x:c r="G6" s="38" t="str">
        <x:v>Where to fix / meaning</x:v>
      </x:c>
    </x:row>
    <x:row r="7" ht="27" customHeight="1">
      <x:c r="A7" s="2" t="str">
        <x:v>Baseline balance sheet</x:v>
      </x:c>
      <x:c r="B7" s="153" t="str">
        <x:f>IF(ISBLANK('1 Assumptions-Baseline'!B31),"",'1 Assumptions-Baseline'!B31)</x:f>
      </x:c>
      <x:c r="C7" s="153" t="str">
        <x:f>IF(ISBLANK('1 Assumptions-Baseline'!F34),"",'1 Assumptions-Baseline'!F34)</x:f>
      </x:c>
      <x:c r="D7" s="153" t="str">
        <x:f>IF(OR(NOT(ISNUMBER(B7)),NOT(ISNUMBER(C7))),"",B7-C7)</x:f>
      </x:c>
      <x:c r="E7" s="153" t="n">
        <x:v>0.1</x:v>
      </x:c>
      <x:c r="F7" s="32" t="str">
        <x:f>IF(OR(NOT(ISNUMBER(B7)),NOT(ISNUMBER(C7))),"COMPLETE",IF(ABS(D7)&lt;=E7,"OK","CHECK"))</x:f>
        <x:v>COMPLETE</x:v>
      </x:c>
      <x:c r="G7" s="33" t="str">
        <x:v>1 Assumptions-Baseline · Total Assets vs L+E</x:v>
      </x:c>
    </x:row>
    <x:row r="8" ht="27" customHeight="1">
      <x:c r="A8" s="2" t="str">
        <x:v>Baseline tax expense sign</x:v>
      </x:c>
      <x:c r="B8" s="153" t="n">
        <x:f>'1 Assumptions-Baseline'!B16</x:f>
        <x:v>0</x:v>
      </x:c>
      <x:c r="C8" s="153" t="str">
        <x:f>IF('1 Assumptions-Baseline'!B14="","",MAX('1 Assumptions-Baseline'!B14,0)*'1 Assumptions-Baseline'!B15)</x:f>
      </x:c>
      <x:c r="D8" s="153" t="str">
        <x:f>IF(OR(NOT(ISNUMBER(B8)),NOT(ISNUMBER(C8))),"",B8-C8)</x:f>
      </x:c>
      <x:c r="E8" s="153" t="n">
        <x:v>0.1</x:v>
      </x:c>
      <x:c r="F8" s="32" t="str">
        <x:f>IF(OR(NOT(ISNUMBER(B8)),NOT(ISNUMBER(C8))),"COMPLETE",IF(ABS(D8)&lt;=E8,"OK","CHECK"))</x:f>
        <x:v>COMPLETE</x:v>
      </x:c>
      <x:c r="G8" s="33" t="str">
        <x:v>Tax expense must be positive</x:v>
      </x:c>
    </x:row>
    <x:row r="9" ht="27" customHeight="1">
      <x:c r="A9" s="2" t="str">
        <x:v>Baseline net income</x:v>
      </x:c>
      <x:c r="B9" s="153" t="n">
        <x:f>'1 Assumptions-Baseline'!B17</x:f>
        <x:v>0</x:v>
      </x:c>
      <x:c r="C9" s="153" t="str">
        <x:f>IF(OR('1 Assumptions-Baseline'!B14="",'1 Assumptions-Baseline'!B16=""),"",'1 Assumptions-Baseline'!B14-'1 Assumptions-Baseline'!B16)</x:f>
      </x:c>
      <x:c r="D9" s="153" t="str">
        <x:f>IF(OR(NOT(ISNUMBER(B9)),NOT(ISNUMBER(C9))),"",B9-C9)</x:f>
      </x:c>
      <x:c r="E9" s="153" t="n">
        <x:v>0.1</x:v>
      </x:c>
      <x:c r="F9" s="32" t="str">
        <x:f>IF(OR(NOT(ISNUMBER(B9)),NOT(ISNUMBER(C9))),"COMPLETE",IF(ABS(D9)&lt;=E9,"OK","CHECK"))</x:f>
        <x:v>COMPLETE</x:v>
      </x:c>
      <x:c r="G9" s="33" t="str">
        <x:v>EBT − tax expense</x:v>
      </x:c>
    </x:row>
    <x:row r="10" ht="27" customHeight="1">
      <x:c r="A10" s="2" t="str">
        <x:v>Baseline EPS</x:v>
      </x:c>
      <x:c r="B10" s="153" t="n">
        <x:f>'1 Assumptions-Baseline'!B19</x:f>
        <x:v>0</x:v>
      </x:c>
      <x:c r="C10" s="153" t="str">
        <x:f>IF(OR('1 Assumptions-Baseline'!B17="",'1 Assumptions-Baseline'!B18=""),"",'1 Assumptions-Baseline'!B17/'1 Assumptions-Baseline'!B18)</x:f>
      </x:c>
      <x:c r="D10" s="153" t="str">
        <x:f>IF(OR(NOT(ISNUMBER(B10)),NOT(ISNUMBER(C10))),"",B10-C10)</x:f>
      </x:c>
      <x:c r="E10" s="153" t="n">
        <x:v>0.0001</x:v>
      </x:c>
      <x:c r="F10" s="32" t="str">
        <x:f>IF(OR(NOT(ISNUMBER(B10)),NOT(ISNUMBER(C10))),"COMPLETE",IF(ABS(D10)&lt;=E10,"OK","CHECK"))</x:f>
        <x:v>COMPLETE</x:v>
      </x:c>
      <x:c r="G10" s="33" t="str">
        <x:v>Net income ÷ shares</x:v>
      </x:c>
    </x:row>
    <x:row r="11" ht="27" customHeight="1">
      <x:c r="A11" s="2" t="str">
        <x:v>PV vs PRICE</x:v>
      </x:c>
      <x:c r="B11" s="153" t="str">
        <x:f>IF(ISBLANK('2 Bond Pricing'!B24),"",'2 Bond Pricing'!B24)</x:f>
      </x:c>
      <x:c r="C11" s="153" t="n">
        <x:f>0</x:f>
        <x:v>0</x:v>
      </x:c>
      <x:c r="D11" s="153" t="str">
        <x:f>IF(OR(NOT(ISNUMBER(B11)),NOT(ISNUMBER(C11))),"",B11-C11)</x:f>
      </x:c>
      <x:c r="E11" s="153" t="n">
        <x:v>0.01</x:v>
      </x:c>
      <x:c r="F11" s="32" t="str">
        <x:f>IF(OR(NOT(ISNUMBER(B11)),NOT(ISNUMBER(C11))),"COMPLETE",IF(ABS(D11)&lt;=E11,"OK","CHECK"))</x:f>
        <x:v>COMPLETE</x:v>
      </x:c>
      <x:c r="G11" s="33" t="str">
        <x:v>2 Bond Pricing · settlement is a coupon date</x:v>
      </x:c>
    </x:row>
    <x:row r="12" ht="27" customHeight="1">
      <x:c r="A12" s="2" t="str">
        <x:v>Gross proceeds calculation</x:v>
      </x:c>
      <x:c r="B12" s="153" t="n">
        <x:f>'2 Bond Pricing'!B25</x:f>
        <x:v>0</x:v>
      </x:c>
      <x:c r="C12" s="153" t="str">
        <x:f>IF('2 Bond Pricing'!B22="","",'2 Bond Pricing'!B22*'2 Bond Pricing'!B8/1000)</x:f>
      </x:c>
      <x:c r="D12" s="153" t="str">
        <x:f>IF(OR(NOT(ISNUMBER(B12)),NOT(ISNUMBER(C12))),"",B12-C12)</x:f>
      </x:c>
      <x:c r="E12" s="153" t="n">
        <x:v>0.1</x:v>
      </x:c>
      <x:c r="F12" s="32" t="str">
        <x:f>IF(OR(NOT(ISNUMBER(B12)),NOT(ISNUMBER(C12))),"COMPLETE",IF(ABS(D12)&lt;=E12,"OK","CHECK"))</x:f>
        <x:v>COMPLETE</x:v>
      </x:c>
      <x:c r="G12" s="33" t="str">
        <x:v>Price × bonds ÷ 1,000</x:v>
      </x:c>
    </x:row>
    <x:row r="13" ht="27" customHeight="1">
      <x:c r="A13" s="2" t="str">
        <x:v>Scenario A sources and uses</x:v>
      </x:c>
      <x:c r="B13" s="153" t="str">
        <x:f>IF(ISBLANK('3 Sources-Uses'!B14),"",'3 Sources-Uses'!B14)</x:f>
      </x:c>
      <x:c r="C13" s="153" t="n">
        <x:f>0</x:f>
        <x:v>0</x:v>
      </x:c>
      <x:c r="D13" s="153" t="str">
        <x:f>IF(OR(NOT(ISNUMBER(B13)),NOT(ISNUMBER(C13))),"",B13-C13)</x:f>
      </x:c>
      <x:c r="E13" s="153" t="n">
        <x:v>0.1</x:v>
      </x:c>
      <x:c r="F13" s="32" t="str">
        <x:f>IF(OR(NOT(ISNUMBER(B13)),NOT(ISNUMBER(C13))),"COMPLETE",IF(ABS(D13)&lt;=E13,"OK","CHECK"))</x:f>
        <x:v>COMPLETE</x:v>
      </x:c>
      <x:c r="G13" s="33" t="str">
        <x:v>3 Sources-Uses</x:v>
      </x:c>
    </x:row>
    <x:row r="14" ht="27" customHeight="1">
      <x:c r="A14" s="2" t="str">
        <x:v>Scenario B sources and uses</x:v>
      </x:c>
      <x:c r="B14" s="153" t="str">
        <x:f>IF(ISBLANK('3 Sources-Uses'!C14),"",'3 Sources-Uses'!C14)</x:f>
      </x:c>
      <x:c r="C14" s="153" t="n">
        <x:f>0</x:f>
        <x:v>0</x:v>
      </x:c>
      <x:c r="D14" s="153" t="str">
        <x:f>IF(OR(NOT(ISNUMBER(B14)),NOT(ISNUMBER(C14))),"",B14-C14)</x:f>
      </x:c>
      <x:c r="E14" s="153" t="n">
        <x:v>0.1</x:v>
      </x:c>
      <x:c r="F14" s="32" t="str">
        <x:f>IF(OR(NOT(ISNUMBER(B14)),NOT(ISNUMBER(C14))),"COMPLETE",IF(ABS(D14)&lt;=E14,"OK","CHECK"))</x:f>
        <x:v>COMPLETE</x:v>
      </x:c>
      <x:c r="G14" s="33" t="str">
        <x:v>3 Sources-Uses</x:v>
      </x:c>
    </x:row>
    <x:row r="15" ht="27" customHeight="1">
      <x:c r="A15" s="2" t="str">
        <x:v>Scenario C sources and uses</x:v>
      </x:c>
      <x:c r="B15" s="153" t="str">
        <x:f>IF(ISBLANK('3 Sources-Uses'!D14),"",'3 Sources-Uses'!D14)</x:f>
      </x:c>
      <x:c r="C15" s="153" t="n">
        <x:f>0</x:f>
        <x:v>0</x:v>
      </x:c>
      <x:c r="D15" s="153" t="str">
        <x:f>IF(OR(NOT(ISNUMBER(B15)),NOT(ISNUMBER(C15))),"",B15-C15)</x:f>
      </x:c>
      <x:c r="E15" s="153" t="n">
        <x:v>0.1</x:v>
      </x:c>
      <x:c r="F15" s="32" t="str">
        <x:f>IF(OR(NOT(ISNUMBER(B15)),NOT(ISNUMBER(C15))),"COMPLETE",IF(ABS(D15)&lt;=E15,"OK","CHECK"))</x:f>
        <x:v>COMPLETE</x:v>
      </x:c>
      <x:c r="G15" s="33" t="str">
        <x:v>3 Sources-Uses</x:v>
      </x:c>
    </x:row>
    <x:row r="16" ht="27" customHeight="1">
      <x:c r="A16" s="2" t="str">
        <x:v>Scenario A net proceeds deployed</x:v>
      </x:c>
      <x:c r="B16" s="153" t="str">
        <x:f>IF(ISBLANK('3 Sources-Uses'!B18),"",'3 Sources-Uses'!B18)</x:f>
      </x:c>
      <x:c r="C16" s="153" t="n">
        <x:f>0</x:f>
        <x:v>0</x:v>
      </x:c>
      <x:c r="D16" s="153" t="str">
        <x:f>IF(OR(NOT(ISNUMBER(B16)),NOT(ISNUMBER(C16))),"",B16-C16)</x:f>
      </x:c>
      <x:c r="E16" s="153" t="n">
        <x:v>0.1</x:v>
      </x:c>
      <x:c r="F16" s="32" t="str">
        <x:f>IF(OR(NOT(ISNUMBER(B16)),NOT(ISNUMBER(C16))),"COMPLETE",IF(ABS(D16)&lt;=E16,"OK","CHECK"))</x:f>
        <x:v>COMPLETE</x:v>
      </x:c>
      <x:c r="G16" s="33" t="str">
        <x:v>Refi + CapEx + cash retained</x:v>
      </x:c>
    </x:row>
    <x:row r="17" ht="27" customHeight="1">
      <x:c r="A17" s="2" t="str">
        <x:v>Scenario B net proceeds deployed</x:v>
      </x:c>
      <x:c r="B17" s="153" t="str">
        <x:f>IF(ISBLANK('3 Sources-Uses'!C18),"",'3 Sources-Uses'!C18)</x:f>
      </x:c>
      <x:c r="C17" s="153" t="n">
        <x:f>0</x:f>
        <x:v>0</x:v>
      </x:c>
      <x:c r="D17" s="153" t="str">
        <x:f>IF(OR(NOT(ISNUMBER(B17)),NOT(ISNUMBER(C17))),"",B17-C17)</x:f>
      </x:c>
      <x:c r="E17" s="153" t="n">
        <x:v>0.1</x:v>
      </x:c>
      <x:c r="F17" s="32" t="str">
        <x:f>IF(OR(NOT(ISNUMBER(B17)),NOT(ISNUMBER(C17))),"COMPLETE",IF(ABS(D17)&lt;=E17,"OK","CHECK"))</x:f>
        <x:v>COMPLETE</x:v>
      </x:c>
      <x:c r="G17" s="33" t="str">
        <x:v>Refi + CapEx + cash retained</x:v>
      </x:c>
    </x:row>
    <x:row r="18" ht="27" customHeight="1">
      <x:c r="A18" s="2" t="str">
        <x:v>Scenario C net proceeds deployed</x:v>
      </x:c>
      <x:c r="B18" s="153" t="str">
        <x:f>IF(ISBLANK('3 Sources-Uses'!D18),"",'3 Sources-Uses'!D18)</x:f>
      </x:c>
      <x:c r="C18" s="153" t="n">
        <x:f>0</x:f>
        <x:v>0</x:v>
      </x:c>
      <x:c r="D18" s="153" t="str">
        <x:f>IF(OR(NOT(ISNUMBER(B18)),NOT(ISNUMBER(C18))),"",B18-C18)</x:f>
      </x:c>
      <x:c r="E18" s="153" t="n">
        <x:v>0.1</x:v>
      </x:c>
      <x:c r="F18" s="32" t="str">
        <x:f>IF(OR(NOT(ISNUMBER(B18)),NOT(ISNUMBER(C18))),"COMPLETE",IF(ABS(D18)&lt;=E18,"OK","CHECK"))</x:f>
        <x:v>COMPLETE</x:v>
      </x:c>
      <x:c r="G18" s="33" t="str">
        <x:v>Refi + CapEx + cash retained</x:v>
      </x:c>
    </x:row>
    <x:row r="19" ht="27" customHeight="1">
      <x:c r="A19" s="2" t="str">
        <x:v>Scenario A debt face/carrying bridge</x:v>
      </x:c>
      <x:c r="B19" s="153" t="str">
        <x:f>IF(ISBLANK('3 Sources-Uses'!B30),"",'3 Sources-Uses'!B30)</x:f>
      </x:c>
      <x:c r="C19" s="153" t="n">
        <x:f>0</x:f>
        <x:v>0</x:v>
      </x:c>
      <x:c r="D19" s="153" t="str">
        <x:f>IF(OR(NOT(ISNUMBER(B19)),NOT(ISNUMBER(C19))),"",B19-C19)</x:f>
      </x:c>
      <x:c r="E19" s="153" t="n">
        <x:v>0.1</x:v>
      </x:c>
      <x:c r="F19" s="32" t="str">
        <x:f>IF(OR(NOT(ISNUMBER(B19)),NOT(ISNUMBER(C19))),"COMPLETE",IF(ABS(D19)&lt;=E19,"OK","CHECK"))</x:f>
        <x:v>COMPLETE</x:v>
      </x:c>
      <x:c r="G19" s="33" t="str">
        <x:v>Face − carrying − contra-debt</x:v>
      </x:c>
    </x:row>
    <x:row r="20" ht="27" customHeight="1">
      <x:c r="A20" s="2" t="str">
        <x:v>Scenario B debt face/carrying bridge</x:v>
      </x:c>
      <x:c r="B20" s="153" t="str">
        <x:f>IF(ISBLANK('3 Sources-Uses'!C30),"",'3 Sources-Uses'!C30)</x:f>
      </x:c>
      <x:c r="C20" s="153" t="n">
        <x:f>0</x:f>
        <x:v>0</x:v>
      </x:c>
      <x:c r="D20" s="153" t="str">
        <x:f>IF(OR(NOT(ISNUMBER(B20)),NOT(ISNUMBER(C20))),"",B20-C20)</x:f>
      </x:c>
      <x:c r="E20" s="153" t="n">
        <x:v>0.1</x:v>
      </x:c>
      <x:c r="F20" s="32" t="str">
        <x:f>IF(OR(NOT(ISNUMBER(B20)),NOT(ISNUMBER(C20))),"COMPLETE",IF(ABS(D20)&lt;=E20,"OK","CHECK"))</x:f>
        <x:v>COMPLETE</x:v>
      </x:c>
      <x:c r="G20" s="33" t="str">
        <x:v>Face − carrying − contra-debt</x:v>
      </x:c>
    </x:row>
    <x:row r="21" ht="27" customHeight="1">
      <x:c r="A21" s="2" t="str">
        <x:v>Scenario C debt face/carrying bridge</x:v>
      </x:c>
      <x:c r="B21" s="153" t="str">
        <x:f>IF(ISBLANK('3 Sources-Uses'!D30),"",'3 Sources-Uses'!D30)</x:f>
      </x:c>
      <x:c r="C21" s="153" t="n">
        <x:f>0</x:f>
        <x:v>0</x:v>
      </x:c>
      <x:c r="D21" s="153" t="str">
        <x:f>IF(OR(NOT(ISNUMBER(B21)),NOT(ISNUMBER(C21))),"",B21-C21)</x:f>
      </x:c>
      <x:c r="E21" s="153" t="n">
        <x:v>0.1</x:v>
      </x:c>
      <x:c r="F21" s="32" t="str">
        <x:f>IF(OR(NOT(ISNUMBER(B21)),NOT(ISNUMBER(C21))),"COMPLETE",IF(ABS(D21)&lt;=E21,"OK","CHECK"))</x:f>
        <x:v>COMPLETE</x:v>
      </x:c>
      <x:c r="G21" s="33" t="str">
        <x:v>Face − carrying − contra-debt</x:v>
      </x:c>
    </x:row>
    <x:row r="22" ht="27" customHeight="1">
      <x:c r="A22" s="2" t="str">
        <x:v>Scenario A balance sheet</x:v>
      </x:c>
      <x:c r="B22" s="153" t="str">
        <x:f>IF(ISBLANK('4 Scenario Impact'!C27),"",'4 Scenario Impact'!C27)</x:f>
      </x:c>
      <x:c r="C22" s="153" t="n">
        <x:f>0</x:f>
        <x:v>0</x:v>
      </x:c>
      <x:c r="D22" s="153" t="str">
        <x:f>IF(OR(NOT(ISNUMBER(B22)),NOT(ISNUMBER(C22))),"",B22-C22)</x:f>
      </x:c>
      <x:c r="E22" s="153" t="n">
        <x:v>0.1</x:v>
      </x:c>
      <x:c r="F22" s="32" t="str">
        <x:f>IF(OR(NOT(ISNUMBER(B22)),NOT(ISNUMBER(C22))),"COMPLETE",IF(ABS(D22)&lt;=E22,"OK","CHECK"))</x:f>
        <x:v>COMPLETE</x:v>
      </x:c>
      <x:c r="G22" s="33" t="str">
        <x:v>4 Scenario Impact</x:v>
      </x:c>
    </x:row>
    <x:row r="23" ht="27" customHeight="1">
      <x:c r="A23" s="2" t="str">
        <x:v>Scenario B balance sheet</x:v>
      </x:c>
      <x:c r="B23" s="153" t="str">
        <x:f>IF(ISBLANK('4 Scenario Impact'!D27),"",'4 Scenario Impact'!D27)</x:f>
      </x:c>
      <x:c r="C23" s="153" t="n">
        <x:f>0</x:f>
        <x:v>0</x:v>
      </x:c>
      <x:c r="D23" s="153" t="str">
        <x:f>IF(OR(NOT(ISNUMBER(B23)),NOT(ISNUMBER(C23))),"",B23-C23)</x:f>
      </x:c>
      <x:c r="E23" s="153" t="n">
        <x:v>0.1</x:v>
      </x:c>
      <x:c r="F23" s="32" t="str">
        <x:f>IF(OR(NOT(ISNUMBER(B23)),NOT(ISNUMBER(C23))),"COMPLETE",IF(ABS(D23)&lt;=E23,"OK","CHECK"))</x:f>
        <x:v>COMPLETE</x:v>
      </x:c>
      <x:c r="G23" s="33" t="str">
        <x:v>4 Scenario Impact</x:v>
      </x:c>
    </x:row>
    <x:row r="24" ht="27" customHeight="1">
      <x:c r="A24" s="2" t="str">
        <x:v>Scenario C balance sheet</x:v>
      </x:c>
      <x:c r="B24" s="153" t="str">
        <x:f>IF(ISBLANK('4 Scenario Impact'!E27),"",'4 Scenario Impact'!E27)</x:f>
      </x:c>
      <x:c r="C24" s="153" t="n">
        <x:f>0</x:f>
        <x:v>0</x:v>
      </x:c>
      <x:c r="D24" s="153" t="str">
        <x:f>IF(OR(NOT(ISNUMBER(B24)),NOT(ISNUMBER(C24))),"",B24-C24)</x:f>
      </x:c>
      <x:c r="E24" s="153" t="n">
        <x:v>0.1</x:v>
      </x:c>
      <x:c r="F24" s="32" t="str">
        <x:f>IF(OR(NOT(ISNUMBER(B24)),NOT(ISNUMBER(C24))),"COMPLETE",IF(ABS(D24)&lt;=E24,"OK","CHECK"))</x:f>
        <x:v>COMPLETE</x:v>
      </x:c>
      <x:c r="G24" s="33" t="str">
        <x:v>4 Scenario Impact</x:v>
      </x:c>
    </x:row>
    <x:row r="25" ht="27" customHeight="1">
      <x:c r="A25" s="2" t="str">
        <x:v>Scenario A ending ST debt</x:v>
      </x:c>
      <x:c r="B25" s="153" t="str">
        <x:f>IF(ISBLANK('3 Sources-Uses'!B24),"",'3 Sources-Uses'!B24)</x:f>
      </x:c>
      <x:c r="C25" s="153" t="str">
        <x:f>IF(OR(ISBLANK('3 Sources-Uses'!B22),ISBLANK('3 Sources-Uses'!B23)),"",'3 Sources-Uses'!B22-'3 Sources-Uses'!B23)</x:f>
      </x:c>
      <x:c r="D25" s="153" t="str">
        <x:f>IF(OR(NOT(ISNUMBER(B25)),NOT(ISNUMBER(C25))),"",B25-C25)</x:f>
      </x:c>
      <x:c r="E25" s="153" t="n">
        <x:v>0.1</x:v>
      </x:c>
      <x:c r="F25" s="32" t="str">
        <x:f>IF(OR(NOT(ISNUMBER(B25)),NOT(ISNUMBER(C25))),"COMPLETE",IF(ABS(D25)&lt;=E25,"OK","CHECK"))</x:f>
        <x:v>COMPLETE</x:v>
      </x:c>
      <x:c r="G25" s="33" t="str">
        <x:v>Beginning ST − refinancing</x:v>
      </x:c>
    </x:row>
    <x:row r="26" ht="27" customHeight="1">
      <x:c r="A26" s="2" t="str">
        <x:v>Scenario B ending ST debt</x:v>
      </x:c>
      <x:c r="B26" s="153" t="str">
        <x:f>IF(ISBLANK('3 Sources-Uses'!C24),"",'3 Sources-Uses'!C24)</x:f>
      </x:c>
      <x:c r="C26" s="153" t="str">
        <x:f>IF(OR(ISBLANK('3 Sources-Uses'!C22),ISBLANK('3 Sources-Uses'!C23)),"",'3 Sources-Uses'!C22-'3 Sources-Uses'!C23)</x:f>
      </x:c>
      <x:c r="D26" s="153" t="str">
        <x:f>IF(OR(NOT(ISNUMBER(B26)),NOT(ISNUMBER(C26))),"",B26-C26)</x:f>
      </x:c>
      <x:c r="E26" s="153" t="n">
        <x:v>0.1</x:v>
      </x:c>
      <x:c r="F26" s="32" t="str">
        <x:f>IF(OR(NOT(ISNUMBER(B26)),NOT(ISNUMBER(C26))),"COMPLETE",IF(ABS(D26)&lt;=E26,"OK","CHECK"))</x:f>
        <x:v>COMPLETE</x:v>
      </x:c>
      <x:c r="G26" s="33" t="str">
        <x:v>Beginning ST − refinancing</x:v>
      </x:c>
    </x:row>
    <x:row r="27" ht="27" customHeight="1">
      <x:c r="A27" s="2" t="str">
        <x:v>Scenario C ending ST debt</x:v>
      </x:c>
      <x:c r="B27" s="153" t="str">
        <x:f>IF(ISBLANK('3 Sources-Uses'!D24),"",'3 Sources-Uses'!D24)</x:f>
      </x:c>
      <x:c r="C27" s="153" t="str">
        <x:f>IF(OR(ISBLANK('3 Sources-Uses'!D22),ISBLANK('3 Sources-Uses'!D23)),"",'3 Sources-Uses'!D22-'3 Sources-Uses'!D23)</x:f>
      </x:c>
      <x:c r="D27" s="153" t="str">
        <x:f>IF(OR(NOT(ISNUMBER(B27)),NOT(ISNUMBER(C27))),"",B27-C27)</x:f>
      </x:c>
      <x:c r="E27" s="153" t="n">
        <x:v>0.1</x:v>
      </x:c>
      <x:c r="F27" s="32" t="str">
        <x:f>IF(OR(NOT(ISNUMBER(B27)),NOT(ISNUMBER(C27))),"COMPLETE",IF(ABS(D27)&lt;=E27,"OK","CHECK"))</x:f>
        <x:v>COMPLETE</x:v>
      </x:c>
      <x:c r="G27" s="33" t="str">
        <x:v>Beginning ST − refinancing</x:v>
      </x:c>
    </x:row>
    <x:row r="28" ht="27" customHeight="1">
      <x:c r="A28" s="2" t="str">
        <x:v>Scenario A total interest expense</x:v>
      </x:c>
      <x:c r="B28" s="153" t="n">
        <x:f>'4 Scenario Impact'!C38</x:f>
        <x:v>0</x:v>
      </x:c>
      <x:c r="C28" s="153" t="str">
        <x:f>IF(COUNT('4 Scenario Impact'!C35:C37)&lt;3,"",SUM('4 Scenario Impact'!C35:C37))</x:f>
      </x:c>
      <x:c r="D28" s="153" t="str">
        <x:f>IF(OR(NOT(ISNUMBER(B28)),NOT(ISNUMBER(C28))),"",B28-C28)</x:f>
      </x:c>
      <x:c r="E28" s="153" t="n">
        <x:v>0.1</x:v>
      </x:c>
      <x:c r="F28" s="32" t="str">
        <x:f>IF(OR(NOT(ISNUMBER(B28)),NOT(ISNUMBER(C28))),"COMPLETE",IF(ABS(D28)&lt;=E28,"OK","CHECK"))</x:f>
        <x:v>COMPLETE</x:v>
      </x:c>
      <x:c r="G28" s="33" t="str">
        <x:v>ST + existing LT + new bond</x:v>
      </x:c>
    </x:row>
    <x:row r="29" ht="27" customHeight="1">
      <x:c r="A29" s="2" t="str">
        <x:v>Scenario B total interest expense</x:v>
      </x:c>
      <x:c r="B29" s="153" t="n">
        <x:f>'4 Scenario Impact'!D38</x:f>
        <x:v>0</x:v>
      </x:c>
      <x:c r="C29" s="153" t="str">
        <x:f>IF(COUNT('4 Scenario Impact'!D35:D37)&lt;3,"",SUM('4 Scenario Impact'!D35:D37))</x:f>
      </x:c>
      <x:c r="D29" s="153" t="str">
        <x:f>IF(OR(NOT(ISNUMBER(B29)),NOT(ISNUMBER(C29))),"",B29-C29)</x:f>
      </x:c>
      <x:c r="E29" s="153" t="n">
        <x:v>0.1</x:v>
      </x:c>
      <x:c r="F29" s="32" t="str">
        <x:f>IF(OR(NOT(ISNUMBER(B29)),NOT(ISNUMBER(C29))),"COMPLETE",IF(ABS(D29)&lt;=E29,"OK","CHECK"))</x:f>
        <x:v>COMPLETE</x:v>
      </x:c>
      <x:c r="G29" s="33" t="str">
        <x:v>ST + existing LT + new bond</x:v>
      </x:c>
    </x:row>
    <x:row r="30" ht="27" customHeight="1">
      <x:c r="A30" s="2" t="str">
        <x:v>Scenario C total interest expense</x:v>
      </x:c>
      <x:c r="B30" s="153" t="n">
        <x:f>'4 Scenario Impact'!E38</x:f>
        <x:v>0</x:v>
      </x:c>
      <x:c r="C30" s="153" t="str">
        <x:f>IF(COUNT('4 Scenario Impact'!E35:E37)&lt;3,"",SUM('4 Scenario Impact'!E35:E37))</x:f>
      </x:c>
      <x:c r="D30" s="153" t="str">
        <x:f>IF(OR(NOT(ISNUMBER(B30)),NOT(ISNUMBER(C30))),"",B30-C30)</x:f>
      </x:c>
      <x:c r="E30" s="153" t="n">
        <x:v>0.1</x:v>
      </x:c>
      <x:c r="F30" s="32" t="str">
        <x:f>IF(OR(NOT(ISNUMBER(B30)),NOT(ISNUMBER(C30))),"COMPLETE",IF(ABS(D30)&lt;=E30,"OK","CHECK"))</x:f>
        <x:v>COMPLETE</x:v>
      </x:c>
      <x:c r="G30" s="33" t="str">
        <x:v>ST + existing LT + new bond</x:v>
      </x:c>
    </x:row>
    <x:row r="31" ht="27" customHeight="1">
      <x:c r="A31" s="2" t="str">
        <x:v>Scenario A net income</x:v>
      </x:c>
      <x:c r="B31" s="153" t="n">
        <x:f>'4 Scenario Impact'!C41</x:f>
        <x:v>0</x:v>
      </x:c>
      <x:c r="C31" s="153" t="str">
        <x:f>IF(OR('4 Scenario Impact'!C39="",'4 Scenario Impact'!C40=""),"",'4 Scenario Impact'!C39-'4 Scenario Impact'!C40)</x:f>
      </x:c>
      <x:c r="D31" s="153" t="str">
        <x:f>IF(OR(NOT(ISNUMBER(B31)),NOT(ISNUMBER(C31))),"",B31-C31)</x:f>
      </x:c>
      <x:c r="E31" s="153" t="n">
        <x:v>0.1</x:v>
      </x:c>
      <x:c r="F31" s="32" t="str">
        <x:f>IF(OR(NOT(ISNUMBER(B31)),NOT(ISNUMBER(C31))),"COMPLETE",IF(ABS(D31)&lt;=E31,"OK","CHECK"))</x:f>
        <x:v>COMPLETE</x:v>
      </x:c>
      <x:c r="G31" s="33" t="str">
        <x:v>EBIT − interest − positive tax expense</x:v>
      </x:c>
    </x:row>
    <x:row r="32" ht="27" customHeight="1">
      <x:c r="A32" s="2" t="str">
        <x:v>Scenario B net income</x:v>
      </x:c>
      <x:c r="B32" s="153" t="n">
        <x:f>'4 Scenario Impact'!D41</x:f>
        <x:v>0</x:v>
      </x:c>
      <x:c r="C32" s="153" t="str">
        <x:f>IF(OR('4 Scenario Impact'!D39="",'4 Scenario Impact'!D40=""),"",'4 Scenario Impact'!D39-'4 Scenario Impact'!D40)</x:f>
      </x:c>
      <x:c r="D32" s="153" t="str">
        <x:f>IF(OR(NOT(ISNUMBER(B32)),NOT(ISNUMBER(C32))),"",B32-C32)</x:f>
      </x:c>
      <x:c r="E32" s="153" t="n">
        <x:v>0.1</x:v>
      </x:c>
      <x:c r="F32" s="32" t="str">
        <x:f>IF(OR(NOT(ISNUMBER(B32)),NOT(ISNUMBER(C32))),"COMPLETE",IF(ABS(D32)&lt;=E32,"OK","CHECK"))</x:f>
        <x:v>COMPLETE</x:v>
      </x:c>
      <x:c r="G32" s="33" t="str">
        <x:v>EBIT − interest − positive tax expense</x:v>
      </x:c>
    </x:row>
    <x:row r="33" ht="27" customHeight="1">
      <x:c r="A33" s="2" t="str">
        <x:v>Scenario C net income</x:v>
      </x:c>
      <x:c r="B33" s="153" t="n">
        <x:f>'4 Scenario Impact'!E41</x:f>
        <x:v>0</x:v>
      </x:c>
      <x:c r="C33" s="153" t="str">
        <x:f>IF(OR('4 Scenario Impact'!E39="",'4 Scenario Impact'!E40=""),"",'4 Scenario Impact'!E39-'4 Scenario Impact'!E40)</x:f>
      </x:c>
      <x:c r="D33" s="153" t="str">
        <x:f>IF(OR(NOT(ISNUMBER(B33)),NOT(ISNUMBER(C33))),"",B33-C33)</x:f>
      </x:c>
      <x:c r="E33" s="153" t="n">
        <x:v>0.1</x:v>
      </x:c>
      <x:c r="F33" s="32" t="str">
        <x:f>IF(OR(NOT(ISNUMBER(B33)),NOT(ISNUMBER(C33))),"COMPLETE",IF(ABS(D33)&lt;=E33,"OK","CHECK"))</x:f>
        <x:v>COMPLETE</x:v>
      </x:c>
      <x:c r="G33" s="33" t="str">
        <x:v>EBIT − interest − positive tax expense</x:v>
      </x:c>
    </x:row>
    <x:row r="34" ht="27" customHeight="1">
      <x:c r="A34" s="2" t="str">
        <x:v>Scenario A closing equity unchanged</x:v>
      </x:c>
      <x:c r="B34" s="153" t="str">
        <x:f>IF(ISBLANK('4 Scenario Impact'!C25),"",'4 Scenario Impact'!C25)</x:f>
      </x:c>
      <x:c r="C34" s="153" t="n">
        <x:f>IF(ISBLANK('4 Scenario Impact'!B25),"",'4 Scenario Impact'!B25)</x:f>
        <x:v>0</x:v>
      </x:c>
      <x:c r="D34" s="153" t="str">
        <x:f>IF(OR(NOT(ISNUMBER(B34)),NOT(ISNUMBER(C34))),"",B34-C34)</x:f>
      </x:c>
      <x:c r="E34" s="153" t="n">
        <x:v>0.1</x:v>
      </x:c>
      <x:c r="F34" s="32" t="str">
        <x:f>IF(OR(NOT(ISNUMBER(B34)),NOT(ISNUMBER(C34))),"COMPLETE",IF(ABS(D34)&lt;=E34,"OK","CHECK"))</x:f>
        <x:v>COMPLETE</x:v>
      </x:c>
      <x:c r="G34" s="33" t="str">
        <x:v>No equity issuance; closing timing</x:v>
      </x:c>
    </x:row>
    <x:row r="35" ht="27" customHeight="1">
      <x:c r="A35" s="2" t="str">
        <x:v>Scenario B closing equity unchanged</x:v>
      </x:c>
      <x:c r="B35" s="153" t="str">
        <x:f>IF(ISBLANK('4 Scenario Impact'!D25),"",'4 Scenario Impact'!D25)</x:f>
      </x:c>
      <x:c r="C35" s="153" t="n">
        <x:f>IF(ISBLANK('4 Scenario Impact'!B25),"",'4 Scenario Impact'!B25)</x:f>
        <x:v>0</x:v>
      </x:c>
      <x:c r="D35" s="153" t="str">
        <x:f>IF(OR(NOT(ISNUMBER(B35)),NOT(ISNUMBER(C35))),"",B35-C35)</x:f>
      </x:c>
      <x:c r="E35" s="153" t="n">
        <x:v>0.1</x:v>
      </x:c>
      <x:c r="F35" s="32" t="str">
        <x:f>IF(OR(NOT(ISNUMBER(B35)),NOT(ISNUMBER(C35))),"COMPLETE",IF(ABS(D35)&lt;=E35,"OK","CHECK"))</x:f>
        <x:v>COMPLETE</x:v>
      </x:c>
      <x:c r="G35" s="33" t="str">
        <x:v>No equity issuance; closing timing</x:v>
      </x:c>
    </x:row>
    <x:row r="36" ht="27" customHeight="1">
      <x:c r="A36" s="2" t="str">
        <x:v>Scenario C closing equity unchanged</x:v>
      </x:c>
      <x:c r="B36" s="153" t="str">
        <x:f>IF(ISBLANK('4 Scenario Impact'!E25),"",'4 Scenario Impact'!E25)</x:f>
      </x:c>
      <x:c r="C36" s="153" t="n">
        <x:f>IF(ISBLANK('4 Scenario Impact'!B25),"",'4 Scenario Impact'!B25)</x:f>
        <x:v>0</x:v>
      </x:c>
      <x:c r="D36" s="153" t="str">
        <x:f>IF(OR(NOT(ISNUMBER(B36)),NOT(ISNUMBER(C36))),"",B36-C36)</x:f>
      </x:c>
      <x:c r="E36" s="153" t="n">
        <x:v>0.1</x:v>
      </x:c>
      <x:c r="F36" s="32" t="str">
        <x:f>IF(OR(NOT(ISNUMBER(B36)),NOT(ISNUMBER(C36))),"COMPLETE",IF(ABS(D36)&lt;=E36,"OK","CHECK"))</x:f>
        <x:v>COMPLETE</x:v>
      </x:c>
      <x:c r="G36" s="33" t="str">
        <x:v>No equity issuance; closing timing</x:v>
      </x:c>
    </x:row>
    <x:row r="37" ht="27" customHeight="1">
      <x:c r="A37" s="2" t="str">
        <x:v>YIELD vs RATE from observed price</x:v>
      </x:c>
      <x:c r="B37" s="154" t="str">
        <x:f>IF(ISBLANK('2 Bond Pricing'!B31),"",'2 Bond Pricing'!B31)</x:f>
      </x:c>
      <x:c r="C37" s="154" t="str">
        <x:f>IF(ISBLANK('2 Bond Pricing'!B32),"",'2 Bond Pricing'!B32)</x:f>
      </x:c>
      <x:c r="D37" s="154" t="str">
        <x:f>IF(OR(NOT(ISNUMBER(B37)),NOT(ISNUMBER(C37))),"",B37-C37)</x:f>
      </x:c>
      <x:c r="E37" s="154" t="n">
        <x:v>0.000001</x:v>
      </x:c>
      <x:c r="F37" s="32" t="str">
        <x:f>IF(OR(NOT(ISNUMBER(B37)),NOT(ISNUMBER(C37))),"COMPLETE",IF(ABS(D37)&lt;=E37,"OK","CHECK"))</x:f>
        <x:v>COMPLETE</x:v>
      </x:c>
      <x:c r="G37" s="33" t="str">
        <x:v>2 Bond Pricing · independent reverse-yield methods</x:v>
      </x:c>
    </x:row>
    <x:row r="38" ht="27" customHeight="1">
      <x:c r="A38" s="2" t="str">
        <x:v>Capacity sources and uses</x:v>
      </x:c>
      <x:c r="B38" s="153" t="str">
        <x:f>IF(ISBLANK('5 Capacity-Decision'!B34),"",'5 Capacity-Decision'!B34)</x:f>
      </x:c>
      <x:c r="C38" s="153" t="n">
        <x:f>0</x:f>
        <x:v>0</x:v>
      </x:c>
      <x:c r="D38" s="153" t="str">
        <x:f>IF(OR(NOT(ISNUMBER(B38)),NOT(ISNUMBER(C38))),"",B38-C38)</x:f>
      </x:c>
      <x:c r="E38" s="153" t="n">
        <x:v>0.1</x:v>
      </x:c>
      <x:c r="F38" s="32" t="str">
        <x:f>IF(OR(NOT(ISNUMBER(B38)),NOT(ISNUMBER(C38))),"COMPLETE",IF(ABS(D38)&lt;=E38,"OK","CHECK"))</x:f>
        <x:v>COMPLETE</x:v>
      </x:c>
      <x:c r="G38" s="33" t="str">
        <x:v>5 Capacity-Decision</x:v>
      </x:c>
    </x:row>
    <x:row r="39" ht="27" customHeight="1">
      <x:c r="A39" s="2" t="str">
        <x:v>Capacity Debt / EBITDA</x:v>
      </x:c>
      <x:c r="B39" s="155" t="str">
        <x:f>IF(ISBLANK('5 Capacity-Decision'!B35),"",'5 Capacity-Decision'!B35)</x:f>
      </x:c>
      <x:c r="C39" s="155" t="n">
        <x:f>'1 Assumptions-Baseline'!F48</x:f>
        <x:v>3</x:v>
      </x:c>
      <x:c r="D39" s="155" t="str">
        <x:f>IF(OR(NOT(ISNUMBER(B39)),NOT(ISNUMBER(C39))),"",B39-C39)</x:f>
      </x:c>
      <x:c r="E39" s="155" t="n">
        <x:v>0.0001</x:v>
      </x:c>
      <x:c r="F39" s="32" t="str">
        <x:f>IF(OR(NOT(ISNUMBER(B39)),NOT(ISNUMBER(C39))),"COMPLETE",IF(ABS(D39)&lt;=E39,"OK","CHECK"))</x:f>
        <x:v>COMPLETE</x:v>
      </x:c>
      <x:c r="G39" s="33" t="str">
        <x:v>Must equal the binding 3.00x guardrail</x:v>
      </x:c>
    </x:row>
    <x:row r="40">
      <x:c r="A40" s="2"/>
      <x:c r="B40" s="2"/>
      <x:c r="C40" s="2"/>
      <x:c r="D40" s="2"/>
      <x:c r="E40" s="2"/>
      <x:c r="F40" s="2"/>
      <x:c r="G40" s="2"/>
    </x:row>
    <x:row r="41">
      <x:c r="A41" s="61" t="str">
        <x:v>PASS means every required tie-out is complete within tolerance. It does not by itself prove the recommendation is economically sound; use the capacity analysis and explain the decision logic.</x:v>
      </x:c>
      <x:c r="B41" s="62"/>
      <x:c r="C41" s="62"/>
      <x:c r="D41" s="62"/>
      <x:c r="E41" s="62"/>
      <x:c r="F41" s="62"/>
      <x:c r="G41" s="63"/>
    </x:row>
    <x:row r="42">
      <x:c r="A42" s="64"/>
      <x:c r="B42" s="65"/>
      <x:c r="C42" s="65"/>
      <x:c r="D42" s="65"/>
      <x:c r="E42" s="65"/>
      <x:c r="F42" s="65"/>
      <x:c r="G42" s="66"/>
    </x:row>
    <x:row r="43">
      <x:c r="A43" s="64"/>
      <x:c r="B43" s="65"/>
      <x:c r="C43" s="65"/>
      <x:c r="D43" s="65"/>
      <x:c r="E43" s="65"/>
      <x:c r="F43" s="65"/>
      <x:c r="G43" s="66"/>
    </x:row>
    <x:row r="44">
      <x:c r="A44" s="67"/>
      <x:c r="B44" s="68"/>
      <x:c r="C44" s="68"/>
      <x:c r="D44" s="68"/>
      <x:c r="E44" s="68"/>
      <x:c r="F44" s="68"/>
      <x:c r="G44" s="69"/>
    </x:row>
  </x:sheetData>
  <x:mergeCells>
    <x:mergeCell ref="A1:G1"/>
    <x:mergeCell ref="B3:D3"/>
    <x:mergeCell ref="A5:G5"/>
    <x:mergeCell ref="A41:G44"/>
  </x:mergeCells>
  <x:conditionalFormatting sqref="F7:F39">
    <x:cfRule type="containsText" dxfId="0" priority="1" operator="containsText" text="OK"/>
    <x:cfRule type="containsText" dxfId="1" priority="2" operator="containsText" text="CHECK"/>
    <x:cfRule type="containsText" dxfId="2" priority="3" operator="containsText" text="COMPLETE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55" hidden="0" customWidth="1"/>
    <x:col min="3" max="3" width="28" hidden="0" customWidth="1"/>
    <x:col min="4" max="4" width="42" hidden="0" customWidth="1"/>
    <x:col min="5" max="5" width="16" hidden="0" customWidth="1"/>
    <x:col min="6" max="6" width="16" hidden="0" customWidth="1"/>
  </x:cols>
  <x:sheetData>
    <x:row r="1" ht="30" customHeight="1">
      <x:c r="A1" s="5" t="str">
        <x:v>Bond Valuation, Interest Rates, and YTM</x:v>
      </x:c>
      <x:c r="B1" s="5"/>
      <x:c r="C1" s="5"/>
      <x:c r="D1" s="5"/>
      <x:c r="E1" s="5"/>
      <x:c r="F1" s="5"/>
    </x:row>
    <x:row r="2">
      <x:c r="A2" s="2"/>
      <x:c r="B2" s="2"/>
      <x:c r="C2" s="2"/>
      <x:c r="D2" s="2"/>
      <x:c r="E2" s="2"/>
      <x:c r="F2" s="2"/>
    </x:row>
    <x:row r="3">
      <x:c r="A3" s="7" t="str">
        <x:v>BUS311 · valuation-m02-l01 · display module M06 · FactSet required · student starter</x:v>
      </x:c>
      <x:c r="B3" s="7"/>
      <x:c r="C3" s="7"/>
      <x:c r="D3" s="7"/>
      <x:c r="E3" s="7"/>
      <x:c r="F3" s="7"/>
    </x:row>
    <x:row r="4">
      <x:c r="A4" s="2"/>
      <x:c r="B4" s="2"/>
      <x:c r="C4" s="2"/>
      <x:c r="D4" s="2"/>
      <x:c r="E4" s="2"/>
      <x:c r="F4" s="2"/>
    </x:row>
    <x:row r="5">
      <x:c r="A5" s="38" t="str">
        <x:v>Step</x:v>
      </x:c>
      <x:c r="B5" s="38" t="str">
        <x:v>Required workflow</x:v>
      </x:c>
      <x:c r="C5" s="2"/>
      <x:c r="D5" s="2"/>
      <x:c r="E5" s="2"/>
      <x:c r="F5" s="2"/>
    </x:row>
    <x:row r="6" ht="26" customHeight="1">
      <x:c r="A6" s="32" t="n">
        <x:v>1</x:v>
      </x:c>
      <x:c r="B6" s="32" t="str">
        <x:v>Read the lesson pre-reading and confirm FactSet access.</x:v>
      </x:c>
      <x:c r="C6" s="2"/>
      <x:c r="D6" s="2"/>
      <x:c r="E6" s="2"/>
      <x:c r="F6" s="2"/>
    </x:row>
    <x:row r="7" ht="26" customHeight="1">
      <x:c r="A7" s="32" t="n">
        <x:v>2</x:v>
      </x:c>
      <x:c r="B7" s="32" t="str">
        <x:v>Enter or verify source values; keep units and periods consistent.</x:v>
      </x:c>
      <x:c r="C7" s="2"/>
      <x:c r="D7" s="2"/>
      <x:c r="E7" s="2"/>
      <x:c r="F7" s="2"/>
    </x:row>
    <x:row r="8" ht="26" customHeight="1">
      <x:c r="A8" s="32" t="n">
        <x:v>3</x:v>
      </x:c>
      <x:c r="B8" s="32" t="str">
        <x:v>Document any live FactSet field, period, units, currency, and retrieval date below.</x:v>
      </x:c>
      <x:c r="C8" s="2"/>
      <x:c r="D8" s="2"/>
      <x:c r="E8" s="2"/>
      <x:c r="F8" s="2"/>
    </x:row>
    <x:row r="9" ht="26" customHeight="1">
      <x:c r="A9" s="32" t="n">
        <x:v>4</x:v>
      </x:c>
      <x:c r="B9" s="32" t="str">
        <x:v>Complete calculations with visible, auditable Excel formulas.</x:v>
      </x:c>
      <x:c r="C9" s="2"/>
      <x:c r="D9" s="2"/>
      <x:c r="E9" s="2"/>
      <x:c r="F9" s="2"/>
    </x:row>
    <x:row r="10" ht="26" customHeight="1">
      <x:c r="A10" s="32" t="n">
        <x:v>5</x:v>
      </x:c>
      <x:c r="B10" s="32" t="str">
        <x:v>Use the Checks sheet before stating a recommendation.</x:v>
      </x:c>
      <x:c r="C10" s="2"/>
      <x:c r="D10" s="2"/>
      <x:c r="E10" s="2"/>
      <x:c r="F10" s="2"/>
    </x:row>
    <x:row r="11">
      <x:c r="A11" s="2"/>
      <x:c r="B11" s="2"/>
      <x:c r="C11" s="2"/>
      <x:c r="D11" s="2"/>
      <x:c r="E11" s="2"/>
      <x:c r="F11" s="2"/>
    </x:row>
    <x:row r="12">
      <x:c r="A12" s="38" t="str">
        <x:v>FactSet input</x:v>
      </x:c>
      <x:c r="B12" s="38" t="str">
        <x:v>Field / definition</x:v>
      </x:c>
      <x:c r="C12" s="38" t="str">
        <x:v>Period / units</x:v>
      </x:c>
      <x:c r="D12" s="38" t="str">
        <x:v>Source note</x:v>
      </x:c>
      <x:c r="E12" s="2"/>
      <x:c r="F12" s="2"/>
    </x:row>
    <x:row r="13" ht="28" customHeight="1">
      <x:c r="A13" s="2" t="str">
        <x:v>Company identifier</x:v>
      </x:c>
      <x:c r="B13" s="88"/>
      <x:c r="C13" s="88"/>
      <x:c r="D13" s="88"/>
      <x:c r="E13" s="2"/>
      <x:c r="F13" s="2"/>
    </x:row>
    <x:row r="14" ht="28" customHeight="1">
      <x:c r="A14" s="2" t="str">
        <x:v>Market or price input</x:v>
      </x:c>
      <x:c r="B14" s="88"/>
      <x:c r="C14" s="88"/>
      <x:c r="D14" s="88"/>
      <x:c r="E14" s="2"/>
      <x:c r="F14" s="2"/>
    </x:row>
    <x:row r="15" ht="28" customHeight="1">
      <x:c r="A15" s="2" t="str">
        <x:v>Financial statement input</x:v>
      </x:c>
      <x:c r="B15" s="88"/>
      <x:c r="C15" s="88"/>
      <x:c r="D15" s="88"/>
      <x:c r="E15" s="2"/>
      <x:c r="F15" s="2"/>
    </x:row>
    <x:row r="16" ht="28" customHeight="1">
      <x:c r="A16" s="2" t="str">
        <x:v>Risk or discount-rate input</x:v>
      </x:c>
      <x:c r="B16" s="88"/>
      <x:c r="C16" s="88"/>
      <x:c r="D16" s="88"/>
      <x:c r="E16" s="2"/>
      <x:c r="F16" s="2"/>
    </x:row>
    <x:row r="17" ht="28" customHeight="1">
      <x:c r="A17" s="2" t="str">
        <x:v>Comparison-company input</x:v>
      </x:c>
      <x:c r="B17" s="88"/>
      <x:c r="C17" s="88"/>
      <x:c r="D17" s="88"/>
      <x:c r="E17" s="2"/>
      <x:c r="F17" s="2"/>
    </x:row>
    <x:row r="18">
      <x:c r="A18" s="2"/>
      <x:c r="B18" s="2"/>
      <x:c r="C18" s="2"/>
      <x:c r="D18" s="2"/>
      <x:c r="E18" s="2"/>
      <x:c r="F18" s="2"/>
    </x:row>
    <x:row r="19">
      <x:c r="A19" s="38" t="str">
        <x:v>Decision output</x:v>
      </x:c>
      <x:c r="B19" s="38" t="str">
        <x:v>Response</x:v>
      </x:c>
      <x:c r="C19" s="2"/>
      <x:c r="D19" s="2"/>
      <x:c r="E19" s="2"/>
      <x:c r="F19" s="2"/>
    </x:row>
    <x:row r="20" ht="30" customHeight="1">
      <x:c r="A20" s="2" t="str">
        <x:v>Recommendation</x:v>
      </x:c>
      <x:c r="B20" s="88"/>
      <x:c r="C20" s="2"/>
      <x:c r="D20" s="2"/>
      <x:c r="E20" s="2"/>
      <x:c r="F20" s="2"/>
    </x:row>
    <x:row r="21" ht="30" customHeight="1">
      <x:c r="A21" s="2" t="str">
        <x:v>Evidence from the model</x:v>
      </x:c>
      <x:c r="B21" s="88"/>
      <x:c r="C21" s="2"/>
      <x:c r="D21" s="2"/>
      <x:c r="E21" s="2"/>
      <x:c r="F21" s="2"/>
    </x:row>
    <x:row r="22" ht="30" customHeight="1">
      <x:c r="A22" s="2" t="str">
        <x:v>Primary risk or limitation</x:v>
      </x:c>
      <x:c r="B22" s="88"/>
      <x:c r="C22" s="2"/>
      <x:c r="D22" s="2"/>
      <x:c r="E22" s="2"/>
      <x:c r="F22" s="2"/>
    </x:row>
    <x:row r="23" ht="30" customHeight="1">
      <x:c r="A23" s="2" t="str">
        <x:v>Monitoring trigger</x:v>
      </x:c>
      <x:c r="B23" s="88"/>
      <x:c r="C23" s="2"/>
      <x:c r="D23" s="2"/>
      <x:c r="E23" s="2"/>
      <x:c r="F23" s="2"/>
    </x:row>
    <x:row r="24">
      <x:c r="A24" s="2"/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</x:sheetData>
  <x:mergeCells>
    <x:mergeCell ref="A1:F1"/>
    <x:mergeCell ref="A3:F3"/>
  </x:mergeCells>
  <x:pageMargins left="0.7" right="0.7" top="0.75" bottom="0.75" header="0.3" footer="0.3"/>
</x:worksheet>
</file>