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7 - Valuing Stocks/"/>
    </mc:Choice>
  </mc:AlternateContent>
  <xr:revisionPtr revIDLastSave="427" documentId="8_{AA708C60-BF4B-4767-AB34-E8D5117F0D80}" xr6:coauthVersionLast="47" xr6:coauthVersionMax="47" xr10:uidLastSave="{8ED989A3-E153-4102-AF55-03C2A954A398}"/>
  <bookViews>
    <workbookView minimized="1" xWindow="1065" yWindow="2190" windowWidth="19200" windowHeight="10155" firstSheet="1" activeTab="1" xr2:uid="{C90CAE8A-A0E8-4ACE-80B2-C5BCA02F0CCB}"/>
  </bookViews>
  <sheets>
    <sheet name="__FDSCACHE__" sheetId="3" state="veryHidden" r:id="rId1"/>
    <sheet name="DDM" sheetId="1" r:id="rId2"/>
    <sheet name="JNJ" sheetId="5" r:id="rId3"/>
    <sheet name="Linked DDM" sheetId="4" r:id="rId4"/>
    <sheet name="Factset Information" sheetId="2" r:id="rId5"/>
    <sheet name="Test" sheetId="6" r:id="rId6"/>
  </sheets>
  <definedNames>
    <definedName name="Currency">'Factset Information'!$C$7</definedName>
    <definedName name="End_Date">'Factset Information'!$E$7</definedName>
    <definedName name="Identifier">'Factset Information'!$C$6</definedName>
    <definedName name="solver_adj" localSheetId="2" hidden="1">JNJ!$B$31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JNJ!$B$33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155.97</definedName>
    <definedName name="solver_ver" localSheetId="2" hidden="1">3</definedName>
    <definedName name="Start_Date">'Factset Information'!$E$6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 a="1"/>
  <c r="H1" i="2" s="1"/>
  <c r="F11" i="2" a="1"/>
  <c r="F11" i="2" s="1"/>
  <c r="E11" i="2" a="1"/>
  <c r="E11" i="2" s="1"/>
  <c r="D11" i="2" a="1"/>
  <c r="D11" i="2" s="1"/>
  <c r="C11" i="2" a="1"/>
  <c r="C11" i="2" s="1"/>
  <c r="B11" i="2" a="1"/>
  <c r="B11" i="2" s="1"/>
  <c r="M11" i="2" s="1" a="1"/>
  <c r="F1" i="2" a="1"/>
  <c r="F1" i="2" s="1"/>
  <c r="E1" i="2" s="1"/>
  <c r="B2" i="2"/>
  <c r="A18" i="4" s="1"/>
  <c r="J2" i="1"/>
  <c r="J3" i="1"/>
  <c r="J8" i="1" s="1"/>
  <c r="J9" i="1" s="1"/>
  <c r="C6" i="1"/>
  <c r="D6" i="1" s="1"/>
  <c r="C5" i="1"/>
  <c r="K25" i="4"/>
  <c r="K24" i="4"/>
  <c r="L24" i="4" s="1"/>
  <c r="K23" i="4"/>
  <c r="L23" i="4" s="1"/>
  <c r="K22" i="4"/>
  <c r="L22" i="4" s="1"/>
  <c r="K21" i="4"/>
  <c r="L21" i="4" s="1"/>
  <c r="B29" i="5"/>
  <c r="C23" i="5"/>
  <c r="C24" i="5"/>
  <c r="C25" i="5"/>
  <c r="C26" i="5"/>
  <c r="C27" i="5"/>
  <c r="E5" i="5"/>
  <c r="E6" i="5" s="1"/>
  <c r="D5" i="5"/>
  <c r="D6" i="5" s="1"/>
  <c r="C5" i="5"/>
  <c r="C6" i="5" s="1"/>
  <c r="B5" i="5"/>
  <c r="F5" i="5"/>
  <c r="A20" i="4"/>
  <c r="A21" i="4"/>
  <c r="A22" i="4"/>
  <c r="A23" i="4"/>
  <c r="A24" i="4"/>
  <c r="A19" i="4"/>
  <c r="D14" i="1"/>
  <c r="D7" i="1"/>
  <c r="C7" i="1"/>
  <c r="C8" i="1"/>
  <c r="C9" i="1"/>
  <c r="C10" i="1"/>
  <c r="C11" i="1"/>
  <c r="C12" i="1"/>
  <c r="C13" i="1"/>
  <c r="C14" i="1"/>
  <c r="D8" i="1"/>
  <c r="D13" i="1"/>
  <c r="H7" i="2"/>
  <c r="H6" i="2"/>
  <c r="J11" i="2" l="1" a="1"/>
  <c r="A27" i="4" s="1"/>
  <c r="M11" i="2"/>
  <c r="B20" i="4"/>
  <c r="B6" i="4" s="1"/>
  <c r="C6" i="4" s="1"/>
  <c r="C20" i="4"/>
  <c r="D20" i="4" s="1"/>
  <c r="B21" i="4"/>
  <c r="B7" i="4" s="1"/>
  <c r="C7" i="4" s="1"/>
  <c r="C21" i="4"/>
  <c r="D21" i="4" s="1"/>
  <c r="B22" i="4"/>
  <c r="B8" i="4" s="1"/>
  <c r="C8" i="4" s="1"/>
  <c r="C22" i="4"/>
  <c r="D22" i="4" s="1"/>
  <c r="B23" i="4"/>
  <c r="B9" i="4" s="1"/>
  <c r="C9" i="4" s="1"/>
  <c r="C23" i="4"/>
  <c r="B24" i="4"/>
  <c r="B10" i="4" s="1"/>
  <c r="C10" i="4" s="1"/>
  <c r="C24" i="4"/>
  <c r="B19" i="4"/>
  <c r="B5" i="4" s="1"/>
  <c r="C5" i="4" s="1"/>
  <c r="D5" i="4" s="1"/>
  <c r="C19" i="4"/>
  <c r="D19" i="4" s="1"/>
  <c r="D5" i="1"/>
  <c r="B33" i="5"/>
  <c r="F6" i="5"/>
  <c r="D26" i="5"/>
  <c r="D25" i="5"/>
  <c r="D24" i="5"/>
  <c r="D23" i="5"/>
  <c r="A3" i="4"/>
  <c r="D11" i="1"/>
  <c r="D12" i="1"/>
  <c r="D9" i="1"/>
  <c r="D10" i="1"/>
  <c r="J11" i="2" l="1"/>
  <c r="A25" i="4" s="1"/>
  <c r="A26" i="4"/>
  <c r="C27" i="4"/>
  <c r="B27" i="4"/>
  <c r="B13" i="4" s="1"/>
  <c r="C13" i="4" s="1"/>
  <c r="D23" i="4"/>
  <c r="D9" i="4"/>
  <c r="D8" i="4"/>
  <c r="D6" i="4"/>
  <c r="D7" i="4"/>
  <c r="B36" i="5"/>
  <c r="B37" i="5"/>
  <c r="K3" i="4"/>
  <c r="K8" i="4" s="1"/>
  <c r="K9" i="4" s="1"/>
  <c r="J3" i="4"/>
  <c r="J8" i="4" s="1"/>
  <c r="J9" i="4" s="1"/>
  <c r="L3" i="4"/>
  <c r="L8" i="4" s="1"/>
  <c r="L9" i="4" s="1"/>
  <c r="C25" i="4" l="1"/>
  <c r="B25" i="4"/>
  <c r="B11" i="4" s="1"/>
  <c r="C11" i="4" s="1"/>
  <c r="C26" i="4"/>
  <c r="D26" i="4" s="1"/>
  <c r="B26" i="4"/>
  <c r="B12" i="4" s="1"/>
  <c r="C12" i="4" s="1"/>
  <c r="D12" i="4" s="1"/>
  <c r="D24" i="4" l="1"/>
  <c r="D25" i="4"/>
  <c r="D11" i="4"/>
  <c r="D10" i="4"/>
  <c r="H1" i="6" l="1" a="1"/>
  <c r="A2" i="6" a="1"/>
  <c r="C2" i="6" a="1"/>
  <c r="B2" i="6" a="1"/>
  <c r="E2" i="6" a="1"/>
  <c r="E2" i="6"/>
  <c r="D2" i="6" a="1"/>
  <c r="B2" i="6"/>
  <c r="C2" i="6"/>
  <c r="K1" i="6" a="1"/>
  <c r="D2" i="6"/>
  <c r="K1" i="6"/>
  <c r="H1" i="6"/>
  <c r="A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Bevitts</author>
  </authors>
  <commentList>
    <comment ref="A1" authorId="0" shapeId="0" xr:uid="{461AAEC1-9023-424C-9FC8-DCF0899B3FC5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Timestamp="1741355255"&gt;&lt;FQL&gt;&lt;Q&gt;CAT^FCA_DIVIDEND_TYPE_R(,-10FY,,"CASH_DIST","DIVTYPE_TEXT",,'')&lt;/Q&gt;&lt;R&gt;41&lt;/R&gt;&lt;C&gt;1&lt;/C&gt;&lt;D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xsi:type="xsd:string"&gt;Ordinary&lt;/D&gt;&lt;/FQL&gt;&lt;FQL&gt;&lt;Q&gt;CAT^JULIAN(FCA_EVENT_DATE_R(,-10FY,,"CASH_DIST","RECDATE",,,''))&lt;/Q&gt;&lt;R&gt;41&lt;/R&gt;&lt;C&gt;1&lt;/C&gt;&lt;D xsi:type="xsd:long"&gt;45678&lt;/D&gt;&lt;D xsi:type="xsd:long"&gt;45586&lt;/D&gt;&lt;D xsi:type="xsd:long"&gt;45495&lt;/D&gt;&lt;D xsi:type="xsd:long"&gt;45404&lt;/D&gt;&lt;D xsi:type="xsd:long"&gt;45313&lt;/D&gt;&lt;D xsi:type="xsd:long"&gt;45222&lt;/D&gt;&lt;D xsi:type="xsd:long"&gt;45127&lt;/D&gt;&lt;D xsi:type="xsd:long"&gt;45040&lt;/D&gt;&lt;D xsi:type="xsd:long"&gt;44946&lt;/D&gt;&lt;D xsi:type="xsd:long"&gt;44858&lt;/D&gt;&lt;D xsi:type="xsd:long"&gt;44762&lt;/D&gt;&lt;D xsi:type="xsd:long"&gt;44676&lt;/D&gt;&lt;D xsi:type="xsd:long"&gt;44581&lt;/D&gt;&lt;D xsi:type="xsd:long"&gt;44494&lt;/D&gt;&lt;D xsi:type="xsd:long"&gt;44397&lt;/D&gt;&lt;D xsi:type="xsd:long"&gt;44312&lt;/D&gt;&lt;D xsi:type="xsd:long"&gt;44216&lt;/D&gt;&lt;D xsi:type="xsd:long"&gt;44130&lt;/D&gt;&lt;D xsi:type="xsd:long"&gt;44032&lt;/D&gt;&lt;D xsi:type="xsd:long"&gt;43941&lt;/D&gt;&lt;D xsi:type="xsd:long"&gt;43851&lt;/D&gt;&lt;D xsi:type="xsd:long"&gt;43759&lt;/D&gt;&lt;D xsi:type="xsd:long"&gt;43668&lt;/D&gt;&lt;D xsi:type="xsd:long"&gt;43577&lt;/D&gt;&lt;D xsi:type="xsd:long"&gt;43487&lt;/D&gt;&lt;D xsi:type="xsd:long"&gt;43395&lt;/D&gt;&lt;D xsi:type="xsd:long"&gt;43301&lt;/D&gt;&lt;D xsi:type="xsd:long"&gt;43213&lt;/D&gt;&lt;D xsi:type="xsd:long"&gt;43122&lt;/D&gt;&lt;D xsi:type="xsd:long"&gt;43031&lt;/D&gt;&lt;D xsi:type="xsd:long"&gt;42936&lt;/D&gt;&lt;D xsi:type="xsd:long"&gt;42849&lt;/D&gt;&lt;D xsi:type="xsd:long"&gt;42755&lt;/D&gt;&lt;D xsi:type="xsd:long"&gt;42667&lt;/D&gt;&lt;D xsi:type="xsd:long"&gt;42571&lt;/D&gt;&lt;D xsi:type="xsd:long"&gt;42485&lt;/D&gt;&lt;D xsi:type="xsd:long"&gt;42389&lt;/D&gt;&lt;D xsi:type="xsd:long"&gt;42303&lt;/D&gt;&lt;D xsi:type="xsd:long"&gt;42205&lt;/D&gt;&lt;D xsi:type="xsd:long"&gt;42114&lt;/D&gt;&lt;D xsi:type="xsd:long"&gt;42024&lt;/D&gt;&lt;/FQL&gt;&lt;FQL&gt;&lt;Q&gt;CAT^JULIAN(FCA_EVENT_DATE_R(,-10FY,,"CASH_DIST","PAYDATE",,,''))&lt;/Q&gt;&lt;R&gt;41&lt;/R&gt;&lt;C&gt;1&lt;/C&gt;&lt;D xsi:type="xsd:long"&gt;45708&lt;/D&gt;&lt;D xsi:type="xsd:long"&gt;45616&lt;/D&gt;&lt;D xsi:type="xsd:long"&gt;45524&lt;/D&gt;&lt;D xsi:type="xsd:long"&gt;45432&lt;/D&gt;&lt;D xsi:type="xsd:long"&gt;45342&lt;/D&gt;&lt;D xsi:type="xsd:long"&gt;45250&lt;/D&gt;&lt;D xsi:type="xsd:long"&gt;45156&lt;/D&gt;&lt;D xsi:type="xsd:long"&gt;45065&lt;/D&gt;&lt;D xsi:type="xsd:long"&gt;44974&lt;/D&gt;&lt;D xsi:type="xsd:long"&gt;44883&lt;/D&gt;&lt;D xsi:type="xsd:long"&gt;44792&lt;/D&gt;&lt;D xsi:type="xsd:long"&gt;44701&lt;/D&gt;&lt;D xsi:type="xsd:long"&gt;44610&lt;/D&gt;&lt;D xsi:type="xsd:long"&gt;44519&lt;/D&gt;&lt;D xsi:type="xsd:long"&gt;44428&lt;/D&gt;&lt;D xsi:type="xsd:long"&gt;44336&lt;/D&gt;&lt;D xsi:type="xsd:long"&gt;44246&lt;/D&gt;&lt;D xsi:type="xsd:long"&gt;44155&lt;/D&gt;&lt;D xsi:type="xsd:long"&gt;44063&lt;/D&gt;&lt;D xsi:type="xsd:long"&gt;43971&lt;/D&gt;&lt;D xsi:type="xsd:long"&gt;43881&lt;/D&gt;&lt;D xsi:type="xsd:long"&gt;43789&lt;/D&gt;&lt;D xsi:type="xsd:long"&gt;43697&lt;/D&gt;&lt;D xsi:type="xsd:long"&gt;43605&lt;/D&gt;&lt;D xsi:type="xsd:long"&gt;43516&lt;/D&gt;&lt;D xsi:type="xsd:long"&gt;43424&lt;/D&gt;&lt;D xsi:type="xsd:long"&gt;43332&lt;/D&gt;&lt;D xsi:type="xsd:long"&gt;43239&lt;/D&gt;&lt;D xsi:type="xsd:long"&gt;43151&lt;/D&gt;&lt;D xsi:type="xsd:long"&gt;43059&lt;/D&gt;&lt;D xsi:type="xsd:long"&gt;42966&lt;/D&gt;&lt;D xsi:type="xsd:long"&gt;42875&lt;/D&gt;&lt;D xsi:type="xsd:long"&gt;42784&lt;/D&gt;&lt;D xsi:type="xsd:long"&gt;42693&lt;/D&gt;&lt;D xsi:type="xsd:long"&gt;42602&lt;/D&gt;&lt;D xsi:type="xsd:long"&gt;42510&lt;/D&gt;&lt;D xsi:type="xsd:long"&gt;42420&lt;/D&gt;&lt;D xsi:type="xsd:long"&gt;42328&lt;/D&gt;&lt;D xsi:type="xsd:long"&gt;42236&lt;/D&gt;&lt;D xsi:type="xsd:long"&gt;42144&lt;/D&gt;&lt;D xsi:type="xsd:long"&gt;42055&lt;/D&gt;&lt;/FQL&gt;&lt;FQL&gt;&lt;Q&gt;CAT^FCA_EVENT_AMOUNT_R(,-10FY,,LOCAL,"CASH_DIST","AMT_DEF",,,,'')&lt;/Q&gt;&lt;R&gt;41&lt;/R&gt;&lt;C&gt;1&lt;/C&gt;&lt;D xsi:type="xsd:double"&gt;1.41&lt;/D&gt;&lt;D xsi:type="xsd:double"&gt;1.41&lt;/D&gt;&lt;D xsi:type="xsd:double"&gt;1.41&lt;/D&gt;&lt;D xsi:type="xsd:double"&gt;1.3&lt;/D&gt;&lt;D xsi:type="xsd:double"&gt;1.3&lt;/D&gt;&lt;D xsi:type="xsd:double"&gt;1.3&lt;/D&gt;&lt;D xsi:type="xsd:double"&gt;1.3&lt;/D&gt;&lt;D xsi:type="xsd:double"&gt;1.2&lt;/D&gt;&lt;D xsi:type="xsd:double"&gt;1.2&lt;/D&gt;&lt;D xsi:type="xsd:double"&gt;1.2&lt;/D&gt;&lt;D xsi:type="xsd:double"&gt;1.2&lt;/D&gt;&lt;D xsi:type="xsd:double"&gt;1.11&lt;/D&gt;&lt;D xsi:type="xsd:double"&gt;1.11&lt;/D&gt;&lt;D xsi:type="xsd:double"&gt;1.11&lt;/D&gt;&lt;D xsi:type="xsd:double"&gt;1.11&lt;/D&gt;&lt;D xsi:type="xsd:double"&gt;1.03&lt;/D&gt;&lt;D xsi:type="xsd:double"&gt;1.03&lt;/D&gt;&lt;D xsi:type="xsd:double"&gt;1.03&lt;/D&gt;&lt;D xsi:type="xsd:double"&gt;1.03&lt;/D&gt;&lt;D xsi:type="xsd:double"&gt;1.03&lt;/D&gt;&lt;D xsi:type="xsd:double"&gt;1.03&lt;/D&gt;&lt;D xsi:type="xsd:double"&gt;1.03&lt;/D&gt;&lt;D xsi:type="xsd:double"&gt;1.03&lt;/D&gt;&lt;D xsi:type="xsd:double"&gt;0.86&lt;/D&gt;&lt;D xsi:type="xsd:double"&gt;0.86&lt;/D&gt;&lt;D xsi:type="xsd:double"&gt;0.86&lt;/D&gt;&lt;D xsi:type="xsd:double"&gt;0.86&lt;/D&gt;&lt;D xsi:type="xsd:double"&gt;0.78&lt;/D&gt;&lt;D xsi:type="xsd:double"&gt;0.78&lt;/D&gt;&lt;D xsi:type="xsd:double"&gt;0.78&lt;/D&gt;&lt;D xsi:type="xsd:double"&gt;0.78&lt;/D&gt;&lt;D xsi:type="xsd:double"&gt;0.77&lt;/D&gt;&lt;D xsi:type="xsd:double"&gt;0.77&lt;/D&gt;&lt;D xsi:type="xsd:double"&gt;0.77&lt;/D&gt;&lt;D xsi:type="xsd:double"&gt;0.77&lt;/D&gt;&lt;D xsi:type="xsd:double"&gt;0.77&lt;/D&gt;&lt;D xsi:type="xsd:double"&gt;0.77&lt;/D&gt;&lt;D xsi:type="xsd:double"&gt;0.77&lt;/D&gt;&lt;D xsi:type="xsd:double"&gt;0.77&lt;/D&gt;&lt;D xsi:type="xsd:double"&gt;0.7&lt;/D&gt;&lt;D xsi:type="xsd:double"&gt;0.7&lt;/D&gt;&lt;/FQL&gt;&lt;FQL&gt;&lt;Q&gt;CAT^JULIAN(FCA_EVENT_DATE_R(,-10FY,,"CASH_DIST","EXDATE",,,''))&lt;/Q&gt;&lt;R&gt;41&lt;/R&gt;&lt;C&gt;1&lt;/C&gt;&lt;D xsi:type="xsd:long"&gt;45678&lt;/D&gt;&lt;D xsi:type="xsd:long"&gt;45586&lt;/D&gt;&lt;D xsi:type="xsd:long"&gt;45495&lt;/D&gt;&lt;D xsi:type="xsd:long"&gt;45401&lt;/D&gt;&lt;D xsi:type="xsd:long"&gt;45310&lt;/D&gt;&lt;D xsi:type="xsd:long"&gt;45219&lt;/D&gt;&lt;D xsi:type="xsd:long"&gt;45126&lt;/D&gt;&lt;D xsi:type="xsd:long"&gt;45037&lt;/D&gt;&lt;D xsi:type="xsd:long"&gt;44945&lt;/D&gt;&lt;D xsi:type="xsd:long"&gt;44855&lt;/D&gt;&lt;D xsi:type="xsd:long"&gt;44761&lt;/D&gt;&lt;D xsi:type="xsd:long"&gt;44673&lt;/D&gt;&lt;D xsi:type="xsd:long"&gt;44580&lt;/D&gt;&lt;D xsi:type="xsd:long"&gt;44491&lt;/D&gt;&lt;D xsi:type="xsd:long"&gt;44396&lt;/D&gt;&lt;D xsi:type="xsd:long"&gt;44309&lt;/D&gt;&lt;D xsi:type="xsd:long"&gt;44215&lt;/D&gt;&lt;D xsi:type="xsd:long"&gt;44127&lt;/D&gt;&lt;D xsi:type="xsd:long"&gt;44029&lt;/D&gt;&lt;D xsi:type="xsd:long"&gt;43938&lt;/D&gt;&lt;D xsi:type="xsd:long"&gt;43847&lt;/D&gt;&lt;D xsi:type="xsd:long"&gt;43756&lt;/D&gt;&lt;D xsi:type="xsd:long"&gt;43665&lt;/D&gt;&lt;D xsi:type="xsd:long"&gt;43573&lt;/D&gt;&lt;D xsi:type="xsd:long"&gt;43483&lt;/D&gt;&lt;D xsi:type="xsd:long"&gt;43392&lt;/D&gt;&lt;D xsi:type="xsd:long"&gt;43300&lt;/D&gt;&lt;D xsi:type="xsd:long"&gt;43210&lt;/D&gt;&lt;D xsi:type="xsd:long"&gt;43119&lt;/D&gt;&lt;D xsi:type="xsd:long"&gt;43028&lt;/D&gt;&lt;D xsi:type="xsd:long"&gt;42934&lt;/D&gt;&lt;D xsi:type="xsd:long"&gt;42845&lt;/D&gt;&lt;D xsi:type="xsd:long"&gt;42753&lt;/D&gt;&lt;D xsi:type="xsd:long"&gt;42663&lt;/D&gt;&lt;D xsi:type="xsd:long"&gt;42569&lt;/D&gt;&lt;D xsi:type="xsd:long"&gt;42481&lt;/D&gt;&lt;D xsi:type="xsd:long"&gt;42384&lt;/D&gt;&lt;D xsi:type="xsd:long"&gt;42299&lt;/D&gt;&lt;D xsi:type="xsd:long"&gt;42201&lt;/D&gt;&lt;D xsi:type="xsd:long"&gt;42110&lt;/D&gt;&lt;D xsi:type="xsd:long"&gt;42019&lt;/D&gt;&lt;/FQL&gt;&lt;FQL&gt;&lt;Q&gt;DUMMY^JULIAN(TODAY)&lt;/Q&gt;&lt;R&gt;1&lt;/R&gt;&lt;C&gt;1&lt;/C&gt;&lt;D xsi:type="xsd:long"&gt;45722&lt;/D&gt;&lt;/FQL&gt;&lt;FQL&gt;&lt;Q&gt;CAT^FCA_DIVIDEND_TYPE_R(,-10FY,,"CASH_DIST","DIVTYPE_TEXT",,'EXCL_SPEC_DIV')&lt;/Q&gt;&lt;R&gt;41&lt;/R&gt;&lt;C&gt;1&lt;/C&gt;&lt;D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xsi:type="xsd:string"&gt;Ordinary&lt;/D&gt;&lt;/FQL&gt;&lt;FQL&gt;&lt;Q&gt;CAT^JULIAN(FCA_EVENT_DATE_R(,-10FY,,"CASH_DIST","RECDATE",,,'EXCL_SPEC_DIV'))&lt;/Q&gt;&lt;R&gt;41&lt;/R&gt;&lt;C&gt;1&lt;/C&gt;&lt;D xsi:type="xsd:long"&gt;45678&lt;/D&gt;&lt;D xsi:type="xsd:long"&gt;45586&lt;/D&gt;&lt;D xsi:type="xsd:long"&gt;45495&lt;/D&gt;&lt;D xsi:type="xsd:long"&gt;45404&lt;/D&gt;&lt;D xsi:type="xsd:long"&gt;45313&lt;/D&gt;&lt;D xsi:type="xsd:long"&gt;45222&lt;/D&gt;&lt;D xsi:type="xsd:long"&gt;45127&lt;/D&gt;&lt;D xsi:type="xsd:long"&gt;45040&lt;/D&gt;&lt;D xsi:type="xsd:long"&gt;44946&lt;/D&gt;&lt;D xsi:type="xsd:long"&gt;44858&lt;/D&gt;&lt;D xsi:type="xsd:long"&gt;44762&lt;/D&gt;&lt;D xsi:type="xsd:long"&gt;44676&lt;/D&gt;&lt;D xsi:type="xsd:long"&gt;44581&lt;/D&gt;&lt;D xsi:type="xsd:long"&gt;44494&lt;/D&gt;&lt;D xsi:type="xsd:long"&gt;44397&lt;/D&gt;&lt;D xsi:type="xsd:long"&gt;44312&lt;/D&gt;&lt;D xsi:type="xsd:long"&gt;44216&lt;/D&gt;&lt;D xsi:type="xsd:long"&gt;44130&lt;/D&gt;&lt;D xsi:type="xsd:long"&gt;44032&lt;/D&gt;&lt;D xsi:type="xsd:long"&gt;43941&lt;/D&gt;&lt;D xsi:type="xsd:long"&gt;43851&lt;/D&gt;&lt;D xsi:type="xsd:long"&gt;43759&lt;/D&gt;&lt;D xsi:type="xsd:long"&gt;43668&lt;/D&gt;&lt;D xsi:type="xsd:long"&gt;43577&lt;/D&gt;&lt;D xsi:type="xsd:long"&gt;43487&lt;/D&gt;&lt;D xsi:type="xsd:long"&gt;43395&lt;/D&gt;&lt;D xsi:type="xsd:long"&gt;43301&lt;/D&gt;&lt;D xsi:type="xsd:long"&gt;43213&lt;/D&gt;&lt;D xsi:type="xsd:long"&gt;43122&lt;/D&gt;&lt;D xsi:type="xsd:long"&gt;43031&lt;/D&gt;&lt;D xsi:type="xsd:long"&gt;42936&lt;/D&gt;&lt;D xsi:type="xsd:long"&gt;42849&lt;/D&gt;&lt;D xsi:type="xsd:long"&gt;42755&lt;/D&gt;&lt;D xsi:type="xsd:long"&gt;42667&lt;/D&gt;&lt;D xsi:type="xsd:long"&gt;42571&lt;/D&gt;&lt;D xsi:type="xsd:long"&gt;42485&lt;/D&gt;&lt;D xsi:type="xsd:long"&gt;42389&lt;/D&gt;&lt;D xsi:type="xsd:long"&gt;42303&lt;/D&gt;&lt;D xsi:type="xsd:long"&gt;42205&lt;/D&gt;&lt;D xsi:type="xsd:long"&gt;42114&lt;/D&gt;&lt;D xsi:type="xsd:long"&gt;42024&lt;/D&gt;&lt;/FQL&gt;&lt;FQL&gt;&lt;Q&gt;CAT^JULIAN(FCA_EVENT_DATE_R(,-10FY,,"CASH_DIST","PAYDATE",,,'EXCL_SPEC_DIV'))&lt;/Q&gt;&lt;R&gt;41&lt;/R&gt;&lt;C&gt;1&lt;/C&gt;&lt;D xsi:type="xsd:long"&gt;45708&lt;/D&gt;&lt;D xsi:type="xsd:long"&gt;45616&lt;/D&gt;&lt;D xsi:type="xsd:long"&gt;45524&lt;/D&gt;&lt;D xsi:type="xsd:long"&gt;45432&lt;/D&gt;&lt;D xsi:type="xsd:long"&gt;45342&lt;/D&gt;&lt;D xsi:type="xsd:long"&gt;45250&lt;/D&gt;&lt;D xsi:type="xsd:long"&gt;45156&lt;/D&gt;&lt;D xsi:type="xsd:long"&gt;45065&lt;/D&gt;&lt;D xsi:type="xsd:long"&gt;44974&lt;/D&gt;&lt;D xsi:type="xsd:long"&gt;44883&lt;/D&gt;&lt;D xsi:type="xsd:long"&gt;44792&lt;/D&gt;&lt;D xsi:type="xsd:long"&gt;44701&lt;/D&gt;&lt;D xsi:type="xsd:long"&gt;44610&lt;/D&gt;&lt;D xsi:type="xsd:long"&gt;44519&lt;/D&gt;&lt;D xsi:type="xsd:long"&gt;44428&lt;/D&gt;&lt;D xsi:type="xsd:long"&gt;44336&lt;/D&gt;&lt;D xsi:type="xsd:long"&gt;44246&lt;/D&gt;&lt;D xsi:type="xsd:long"&gt;44155&lt;/D&gt;&lt;D xsi:type="xsd:long"&gt;44063&lt;/D&gt;&lt;D xsi:type="xsd:long"&gt;43971&lt;/D&gt;&lt;D xsi:type="xsd:long"&gt;43881&lt;/D&gt;&lt;D xsi:type="xsd:long"&gt;43789&lt;/D&gt;&lt;D xsi:type="xsd:long"&gt;43697&lt;/D&gt;&lt;D xsi:type="xsd:long"&gt;43605&lt;/D&gt;&lt;D xsi:type="xsd:long"&gt;43516&lt;/D&gt;&lt;D xsi:type="xsd:long"&gt;43424&lt;/D&gt;&lt;D xsi:type="xsd:long"&gt;43332&lt;/D&gt;&lt;D xsi:type="xsd:long"&gt;43239&lt;/D&gt;&lt;D xsi:type="xsd:long"&gt;43151&lt;/D&gt;&lt;D xsi:type="xsd:long"&gt;43059&lt;/D&gt;&lt;D xsi:type="xsd:long"&gt;42966&lt;/D&gt;&lt;D xsi:type="xsd:long"&gt;42875&lt;/D&gt;&lt;D xsi:type="xsd:long"&gt;42784&lt;/D&gt;&lt;D xsi:type="xsd:long"&gt;42693&lt;/D&gt;&lt;D xsi:type="xsd:long"&gt;42602&lt;/D&gt;&lt;D xsi:type="xsd:long"&gt;42510&lt;/D&gt;&lt;D xsi:type="xsd:long"&gt;42420&lt;/D&gt;&lt;D xsi:type="xsd:long"&gt;42328&lt;/D&gt;&lt;D xsi:type="xsd:long"&gt;42236&lt;/D&gt;&lt;D xsi:type="xsd:long"&gt;42144&lt;/D&gt;&lt;D xsi:type="xsd:long"&gt;42055&lt;/D&gt;&lt;/FQL&gt;&lt;FQL&gt;&lt;Q&gt;CAT^FCA_EVENT_AMOUNT_R(,-10FY,,LOCAL,"CASH_DIST","AMT_DEF",,UNSPLIT,,'EXCL_SPEC_DIV')&lt;/Q&gt;&lt;R&gt;41&lt;/R&gt;&lt;C&gt;1&lt;/C&gt;&lt;D xsi:type="xsd:double"&gt;1.41&lt;/D&gt;&lt;D xsi:type="xsd:double"&gt;1.41&lt;/D&gt;&lt;D xsi:type="xsd:double"&gt;1.41&lt;/D&gt;&lt;D xsi:type="xsd:double"&gt;1.3&lt;/D&gt;&lt;D xsi:type="xsd:double"&gt;1.3&lt;/D&gt;&lt;D xsi:type="xsd:double"&gt;1.3&lt;/D&gt;&lt;D xsi:type="xsd:double"&gt;1.3&lt;/D&gt;&lt;D xsi:type="xsd:double"&gt;1.2&lt;/D&gt;&lt;D xsi:type="xsd:double"&gt;1.2&lt;/D&gt;&lt;D xsi:type="xsd:double"&gt;1.2&lt;/D&gt;&lt;D xsi:type="xsd:double"&gt;1.2&lt;/D&gt;&lt;D xsi:type="xsd:double"&gt;1.11&lt;/D&gt;&lt;D xsi:type="xsd:double"&gt;1.11&lt;/D&gt;&lt;D xsi:type="xsd:double"&gt;1.11&lt;/D&gt;&lt;D xsi:type="xsd:double"&gt;1.11&lt;/D&gt;&lt;D xsi:type="xsd:double"&gt;1.03&lt;/D&gt;&lt;D xsi:type="xsd:double"&gt;1.03&lt;/D&gt;&lt;D xsi:type="xsd:double"&gt;1.03&lt;/D&gt;&lt;D xsi:type="xsd:double"&gt;1.03&lt;/D&gt;&lt;D xsi:type="xsd:double"&gt;1.03&lt;/D&gt;&lt;D xsi:type="xsd:double"&gt;1.03&lt;/D&gt;&lt;D xsi:type="xsd:double"&gt;1.03&lt;/D&gt;&lt;D xsi:type="xsd:double"&gt;1.03&lt;/D&gt;&lt;D xsi:type="xsd:double"&gt;0.86&lt;/D&gt;&lt;D xsi:type="xsd:double"&gt;0.86&lt;/D&gt;&lt;D xsi:type="xsd:double"&gt;0.86&lt;/D&gt;&lt;D xsi:type="xsd:double"&gt;0.86&lt;/D&gt;&lt;D xsi:type="xsd:double"&gt;0.78&lt;/D&gt;&lt;D xsi:type="xsd:double"&gt;0.78&lt;/D&gt;&lt;D xsi:type="xsd:double"&gt;0.78&lt;/D&gt;&lt;D xsi:type="xsd:double"&gt;0.78&lt;/D&gt;&lt;D xsi:type="xsd:double"&gt;0.77&lt;/D&gt;&lt;D xsi:type="xsd:double"&gt;0.77&lt;/D&gt;&lt;D xsi:type="xsd:double"&gt;0.77&lt;/D&gt;&lt;D xsi:type="xsd:double"&gt;0.77&lt;/D&gt;&lt;D xsi:type="xsd:double"&gt;0.77&lt;/D&gt;&lt;D xsi:type="xsd:double"&gt;0.77&lt;/D&gt;&lt;D xsi:type="xsd:double"&gt;0.77&lt;/D&gt;&lt;D xsi:type="xsd:double"&gt;0.77&lt;/D&gt;&lt;D xsi:type="xsd:double"&gt;0.7&lt;/D&gt;&lt;D xsi:type="xsd:double"&gt;0.7&lt;/D&gt;&lt;/FQL&gt;&lt;FQL&gt;&lt;Q&gt;CAT^JULIAN(FCA_EVENT_DATE_R(,-10FY,,"CASH_DIST","EXDATE",,,'EXCL_SPEC_DIV'))&lt;/Q&gt;&lt;R&gt;41&lt;/R&gt;&lt;C&gt;1&lt;/C&gt;&lt;D xsi:type="xsd:long"&gt;45678&lt;/D&gt;&lt;D xsi:type="xsd:long"&gt;45586&lt;/D&gt;&lt;D xsi:type="xsd:long"&gt;45495&lt;/D&gt;&lt;D xsi:type="xsd:long"&gt;45401&lt;/D&gt;&lt;D xsi:type="xsd:long"&gt;45310&lt;/D&gt;&lt;D xsi:type="xsd:long"&gt;45219&lt;/D&gt;&lt;D xsi:type="xsd:long"&gt;45126&lt;/D&gt;&lt;D xsi:type="xsd:long"&gt;45037&lt;/D&gt;&lt;D xsi:type="xsd:long"&gt;44945&lt;/D&gt;&lt;D xsi:type="xsd:long"&gt;44855&lt;/D&gt;&lt;D xsi:type="xsd:long"&gt;44761&lt;/D&gt;&lt;D xsi:type="xsd:long"&gt;44673&lt;/D&gt;&lt;D xsi:type="xsd:long"&gt;44580&lt;/D&gt;&lt;D xsi:type="xsd:long"&gt;44491&lt;/D&gt;&lt;D xsi:type="xsd:long"&gt;44396&lt;/D&gt;&lt;D xsi:type="xsd:long"&gt;44309&lt;/D&gt;&lt;D xsi:type="xsd:long"&gt;44215&lt;/D&gt;&lt;D xsi:type="xsd:long"&gt;44127&lt;/D&gt;&lt;D xsi:type="xsd:long"&gt;44029&lt;/D&gt;&lt;D xsi:type="xsd:long"&gt;43938&lt;/D&gt;&lt;D xsi:type="xsd:long"&gt;43847&lt;/D&gt;&lt;D xsi:type="xsd:long"&gt;43756&lt;/D&gt;&lt;D xsi:type="xsd:long"&gt;43665&lt;/D&gt;&lt;D xsi:type="xsd:long"&gt;43573&lt;/D&gt;&lt;D xsi:type="xsd:long"&gt;43483&lt;/D&gt;&lt;D xsi:type="xsd:long"&gt;43392&lt;/D&gt;&lt;D xsi:type="xsd:long"&gt;43300&lt;/D&gt;&lt;D xsi:type="xsd:long"&gt;43210&lt;/D&gt;&lt;D xsi:type="xsd:long"&gt;43119&lt;/D&gt;&lt;D xsi:type="xsd:long"&gt;43028&lt;/D&gt;&lt;D xsi:type="xsd:long"&gt;42934&lt;/D&gt;&lt;D xsi:type="xsd:long"&gt;42845&lt;/D&gt;&lt;D xsi:type="xsd:long"&gt;42753&lt;/D&gt;&lt;D xsi:type="xsd:long"&gt;42663&lt;/D&gt;&lt;D xsi:type="xsd:long"&gt;42569&lt;/D&gt;&lt;D xsi:type="xsd:long"&gt;42481&lt;/D&gt;&lt;D xsi:type="xsd:long"&gt;42384&lt;/D&gt;&lt;D xsi:type="xsd:long"&gt;42299&lt;/D&gt;&lt;D xsi:type="xsd:long"&gt;42201&lt;/D&gt;&lt;D xsi:type="xsd:long"&gt;42110&lt;/D&gt;&lt;D xsi:type="xsd:long"&gt;42019&lt;/D&gt;&lt;/FQL&gt;&lt;FQL&gt;&lt;Q&gt;CAT^CS_EVENT_DATEJ_N("ER",1)&lt;/Q&gt;&lt;R&gt;1&lt;/R&gt;&lt;C&gt;1&lt;/C&gt;&lt;D xsi:type="xsd:long"&gt;45771&lt;/D&gt;&lt;/FQL&gt;&lt;FQL&gt;&lt;Q&gt;CAT^FG_COMPANY_NAME&lt;/Q&gt;&lt;R&gt;1&lt;/R&gt;&lt;C&gt;1&lt;/C&gt;&lt;D xsi:type="xsd:string"&gt;Caterpillar Inc.&lt;/D&gt;&lt;/FQL&gt;&lt;/Schema&gt;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<sst xmlns="http://schemas.openxmlformats.org/spreadsheetml/2006/main" count="97" uniqueCount="66">
  <si>
    <t>Dividend Discount Model</t>
  </si>
  <si>
    <t>Last Refresh:</t>
  </si>
  <si>
    <t>Input</t>
  </si>
  <si>
    <t>Identifier</t>
  </si>
  <si>
    <t>Start Date</t>
  </si>
  <si>
    <t>Exclude Special Dividend</t>
  </si>
  <si>
    <t>Currency</t>
  </si>
  <si>
    <t>Local</t>
  </si>
  <si>
    <t>End Date</t>
  </si>
  <si>
    <t>Split</t>
  </si>
  <si>
    <t>Not Split Adjusted</t>
  </si>
  <si>
    <t>Ex Date</t>
  </si>
  <si>
    <t>Dividend Amount</t>
  </si>
  <si>
    <t>Pay Date</t>
  </si>
  <si>
    <t xml:space="preserve">Record Date </t>
  </si>
  <si>
    <t>Dividend Type</t>
  </si>
  <si>
    <t>Yes</t>
  </si>
  <si>
    <t>This sheet contains FactSet XML data for use with this workbook's =FDS codes.  Modifying the worksheet's contents may damage the workbook's =FDS functionality.</t>
  </si>
  <si>
    <t>Year</t>
  </si>
  <si>
    <t>2020</t>
  </si>
  <si>
    <t>2021</t>
  </si>
  <si>
    <t>2022</t>
  </si>
  <si>
    <t>2023</t>
  </si>
  <si>
    <t>2024</t>
  </si>
  <si>
    <t>Annual Dividend</t>
  </si>
  <si>
    <t>2019</t>
  </si>
  <si>
    <t>2018</t>
  </si>
  <si>
    <t>2017</t>
  </si>
  <si>
    <t>2016</t>
  </si>
  <si>
    <t>2015</t>
  </si>
  <si>
    <t>-10FY</t>
  </si>
  <si>
    <t>Quarterly Dividend</t>
  </si>
  <si>
    <t>Growth Rate</t>
  </si>
  <si>
    <t>Growth (g)</t>
  </si>
  <si>
    <t>Required Return ®</t>
  </si>
  <si>
    <t>Actual Price</t>
  </si>
  <si>
    <t>DDM Price</t>
  </si>
  <si>
    <t>Overvalued or Undervalued</t>
  </si>
  <si>
    <t>price= (D1/(r-g)</t>
  </si>
  <si>
    <t>Linked Dividend From FactSet</t>
  </si>
  <si>
    <t>9 yrs</t>
  </si>
  <si>
    <t>Growth (g) - Average</t>
  </si>
  <si>
    <t>5yr</t>
  </si>
  <si>
    <t>3yr</t>
  </si>
  <si>
    <t>Yearly Dividend</t>
  </si>
  <si>
    <t>Growth</t>
  </si>
  <si>
    <t>QtrlyDividend Payout</t>
  </si>
  <si>
    <t>Average Growth</t>
  </si>
  <si>
    <t>Expected Growth (g)</t>
  </si>
  <si>
    <t xml:space="preserve">Discount Rate -r </t>
  </si>
  <si>
    <t>Instrinsic Value</t>
  </si>
  <si>
    <t>Current Price</t>
  </si>
  <si>
    <t>Upside $$</t>
  </si>
  <si>
    <t>Upside %</t>
  </si>
  <si>
    <t>Company XYZ</t>
  </si>
  <si>
    <t>Years in Growth Rate Average</t>
  </si>
  <si>
    <t>Steps:</t>
  </si>
  <si>
    <t>Find the Annualized Dividend</t>
  </si>
  <si>
    <t>Calulate the year -over -year dividend growth rate</t>
  </si>
  <si>
    <t>Find the overall growth rate (g) by taking a nine year average</t>
  </si>
  <si>
    <t>Using a required return of 9.00% - Determine the DDM instrinsic value?</t>
  </si>
  <si>
    <t>Is company XYZ under or over valued if the current market price is $45.71</t>
  </si>
  <si>
    <t>Price= D0*(1+g)/(r-g)</t>
  </si>
  <si>
    <t>Groupby Function</t>
  </si>
  <si>
    <t>Pivotby Function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</si>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</sst>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dd\-mmm\-yyyy"/>
    <numFmt numFmtId="166" formatCode="[$-409]h:mm:ss\ AM/PM;@"/>
    <numFmt numFmtId="167" formatCode="[$-F800]dddd\,\ mmmm\ dd\,\ yyyy"/>
    <numFmt numFmtId="168" formatCode="0.0%"/>
    <numFmt numFmtId="169" formatCode="_(&quot;$&quot;* #,##0.00000_);_(&quot;$&quot;* \(#,##0.000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0" tint="-0.34998626667073579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1"/>
      <color rgb="FF800080"/>
      <name val="Arial"/>
      <family val="2"/>
    </font>
    <font>
      <b/>
      <sz val="9"/>
      <color theme="1"/>
      <name val="Arial"/>
      <family val="2"/>
    </font>
    <font>
      <sz val="9"/>
      <color rgb="FF800080"/>
      <name val="Arial"/>
      <family val="2"/>
    </font>
    <font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2" borderId="1">
      <alignment horizontal="right" vertical="center" indent="1"/>
    </xf>
    <xf numFmtId="0" fontId="6" fillId="0" borderId="0"/>
    <xf numFmtId="0" fontId="10" fillId="4" borderId="0" applyNumberFormat="0" applyFont="0" applyBorder="0" applyAlignment="0" applyProtection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164" fontId="3" fillId="0" borderId="0" xfId="3" applyNumberFormat="1" applyFont="1" applyFill="1" applyBorder="1"/>
    <xf numFmtId="0" fontId="4" fillId="0" borderId="0" xfId="0" applyFont="1" applyAlignment="1">
      <alignment horizontal="left" vertical="center" indent="2"/>
    </xf>
    <xf numFmtId="165" fontId="4" fillId="0" borderId="0" xfId="4" applyNumberFormat="1" applyFont="1" applyFill="1" applyBorder="1" applyAlignment="1">
      <alignment horizontal="left" vertical="center"/>
    </xf>
    <xf numFmtId="165" fontId="4" fillId="0" borderId="0" xfId="4" applyNumberFormat="1" applyFont="1" applyFill="1" applyBorder="1" applyAlignment="1">
      <alignment horizontal="right" vertical="center"/>
    </xf>
    <xf numFmtId="0" fontId="3" fillId="0" borderId="0" xfId="0" applyFont="1"/>
    <xf numFmtId="0" fontId="7" fillId="3" borderId="0" xfId="5" applyFont="1" applyFill="1" applyAlignment="1">
      <alignment vertical="center"/>
    </xf>
    <xf numFmtId="0" fontId="8" fillId="3" borderId="0" xfId="5" applyFont="1" applyFill="1" applyAlignment="1">
      <alignment vertical="center"/>
    </xf>
    <xf numFmtId="0" fontId="9" fillId="3" borderId="0" xfId="5" applyFont="1" applyFill="1" applyAlignment="1">
      <alignment vertical="center"/>
    </xf>
    <xf numFmtId="0" fontId="8" fillId="3" borderId="0" xfId="5" applyFont="1" applyFill="1" applyAlignment="1">
      <alignment horizontal="left" vertical="center" indent="1"/>
    </xf>
    <xf numFmtId="0" fontId="3" fillId="0" borderId="0" xfId="6" applyFont="1" applyFill="1" applyBorder="1"/>
    <xf numFmtId="0" fontId="11" fillId="0" borderId="0" xfId="0" applyFont="1"/>
    <xf numFmtId="0" fontId="3" fillId="0" borderId="2" xfId="6" applyFont="1" applyFill="1" applyBorder="1"/>
    <xf numFmtId="0" fontId="3" fillId="0" borderId="3" xfId="6" applyFont="1" applyFill="1" applyBorder="1"/>
    <xf numFmtId="0" fontId="3" fillId="0" borderId="4" xfId="6" applyFont="1" applyFill="1" applyBorder="1"/>
    <xf numFmtId="0" fontId="12" fillId="0" borderId="5" xfId="0" applyFont="1" applyBorder="1"/>
    <xf numFmtId="0" fontId="13" fillId="5" borderId="0" xfId="3" applyNumberFormat="1" applyFont="1" applyFill="1" applyBorder="1" applyAlignment="1">
      <alignment horizontal="left"/>
    </xf>
    <xf numFmtId="0" fontId="14" fillId="0" borderId="0" xfId="6" applyNumberFormat="1" applyFont="1" applyFill="1" applyBorder="1"/>
    <xf numFmtId="14" fontId="13" fillId="5" borderId="0" xfId="3" quotePrefix="1" applyNumberFormat="1" applyFont="1" applyFill="1" applyBorder="1" applyAlignment="1">
      <alignment horizontal="left"/>
    </xf>
    <xf numFmtId="0" fontId="12" fillId="0" borderId="0" xfId="0" applyFont="1"/>
    <xf numFmtId="0" fontId="15" fillId="0" borderId="6" xfId="6" applyNumberFormat="1" applyFont="1" applyFill="1" applyBorder="1"/>
    <xf numFmtId="0" fontId="14" fillId="0" borderId="5" xfId="6" applyNumberFormat="1" applyFont="1" applyFill="1" applyBorder="1"/>
    <xf numFmtId="0" fontId="12" fillId="0" borderId="7" xfId="0" applyFont="1" applyBorder="1"/>
    <xf numFmtId="49" fontId="16" fillId="0" borderId="8" xfId="0" applyNumberFormat="1" applyFont="1" applyBorder="1" applyAlignment="1">
      <alignment horizontal="center" vertical="center"/>
    </xf>
    <xf numFmtId="0" fontId="3" fillId="0" borderId="8" xfId="6" applyFont="1" applyFill="1" applyBorder="1"/>
    <xf numFmtId="0" fontId="3" fillId="0" borderId="8" xfId="6" applyNumberFormat="1" applyFont="1" applyFill="1" applyBorder="1"/>
    <xf numFmtId="0" fontId="3" fillId="0" borderId="9" xfId="6" applyFont="1" applyFill="1" applyBorder="1"/>
    <xf numFmtId="49" fontId="16" fillId="0" borderId="0" xfId="0" applyNumberFormat="1" applyFont="1" applyAlignment="1">
      <alignment horizontal="center" vertical="center"/>
    </xf>
    <xf numFmtId="0" fontId="3" fillId="0" borderId="0" xfId="6" applyNumberFormat="1" applyFont="1" applyFill="1" applyBorder="1"/>
    <xf numFmtId="0" fontId="3" fillId="0" borderId="0" xfId="0" applyFont="1" applyAlignment="1">
      <alignment horizontal="center" vertical="center" wrapText="1"/>
    </xf>
    <xf numFmtId="0" fontId="12" fillId="6" borderId="0" xfId="7" applyFont="1" applyFill="1" applyAlignment="1">
      <alignment horizontal="center" vertical="center" wrapText="1"/>
    </xf>
    <xf numFmtId="0" fontId="3" fillId="0" borderId="0" xfId="0" applyFont="1" applyAlignment="1">
      <alignment horizontal="right"/>
    </xf>
    <xf numFmtId="14" fontId="9" fillId="0" borderId="0" xfId="0" applyNumberFormat="1" applyFont="1" applyAlignment="1">
      <alignment horizontal="center"/>
    </xf>
    <xf numFmtId="4" fontId="9" fillId="0" borderId="0" xfId="2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9" fillId="0" borderId="0" xfId="6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4" fontId="13" fillId="5" borderId="0" xfId="3" applyNumberFormat="1" applyFont="1" applyFill="1" applyBorder="1" applyAlignment="1">
      <alignment horizontal="left"/>
    </xf>
    <xf numFmtId="0" fontId="15" fillId="0" borderId="0" xfId="6" applyNumberFormat="1" applyFont="1" applyFill="1" applyBorder="1" applyAlignment="1">
      <alignment horizontal="center"/>
    </xf>
    <xf numFmtId="167" fontId="3" fillId="0" borderId="0" xfId="6" applyNumberFormat="1" applyFont="1" applyFill="1" applyBorder="1"/>
    <xf numFmtId="167" fontId="9" fillId="0" borderId="0" xfId="6" applyNumberFormat="1" applyFont="1" applyFill="1" applyBorder="1"/>
    <xf numFmtId="44" fontId="0" fillId="0" borderId="0" xfId="0" applyNumberForma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8" fontId="0" fillId="0" borderId="0" xfId="2" applyNumberFormat="1" applyFont="1"/>
    <xf numFmtId="10" fontId="0" fillId="0" borderId="0" xfId="2" applyNumberFormat="1" applyFont="1"/>
    <xf numFmtId="10" fontId="0" fillId="0" borderId="0" xfId="0" applyNumberFormat="1"/>
    <xf numFmtId="8" fontId="0" fillId="0" borderId="0" xfId="0" applyNumberFormat="1"/>
    <xf numFmtId="168" fontId="0" fillId="0" borderId="0" xfId="0" applyNumberFormat="1"/>
    <xf numFmtId="169" fontId="0" fillId="0" borderId="0" xfId="0" applyNumberFormat="1"/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44" fontId="0" fillId="0" borderId="0" xfId="1" applyFont="1"/>
    <xf numFmtId="14" fontId="12" fillId="6" borderId="0" xfId="7" applyNumberFormat="1" applyFont="1" applyFill="1" applyAlignment="1">
      <alignment horizontal="center" vertical="center" wrapText="1"/>
    </xf>
    <xf numFmtId="14" fontId="0" fillId="0" borderId="0" xfId="0" applyNumberFormat="1"/>
    <xf numFmtId="44" fontId="3" fillId="0" borderId="0" xfId="1" applyFont="1" applyAlignment="1">
      <alignment horizontal="right"/>
    </xf>
    <xf numFmtId="0" fontId="18" fillId="7" borderId="0" xfId="0" applyFont="1" applyFill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8">
    <cellStyle name="Background" xfId="6" xr:uid="{6262B0D7-6D5D-45B0-9B67-AD5EBFF9B704}"/>
    <cellStyle name="Comma 2" xfId="3" xr:uid="{56AB2C68-C8F8-4AC9-91D9-59305F391729}"/>
    <cellStyle name="Currency" xfId="1" builtinId="4"/>
    <cellStyle name="FactSet header" xfId="4" xr:uid="{2F217F5E-813E-4D3B-8C4C-54B654A0105F}"/>
    <cellStyle name="Normal" xfId="0" builtinId="0"/>
    <cellStyle name="Normal 2" xfId="5" xr:uid="{F1216DA6-3725-4CBE-A199-2C4079FDB1A9}"/>
    <cellStyle name="Normal 2 2" xfId="7" xr:uid="{3698E4B4-BC07-457E-BC3B-F2256585067B}"/>
    <cellStyle name="Percent" xfId="2" builtinId="5"/>
  </cellStyles>
  <dxfs count="7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1</v>
  </rv>
  <rv s="1">
    <v>Ex Date</v>
    <v>2</v>
    <v>69</v>
    <v>5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argument" t="s"/>
    <k n="errorType" t="i"/>
    <k n="iftab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1849-F5FB-48E4-8B6A-B4E87AD85B83}">
  <dimension ref="A1:B1"/>
  <sheetViews>
    <sheetView workbookViewId="0"/>
  </sheetViews>
  <sheetFormatPr defaultRowHeight="15" x14ac:dyDescent="0.25"/>
  <sheetData>
    <row r="1" spans="1:2" x14ac:dyDescent="0.25">
      <c r="B1" t="s">
        <v>17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B8ED-73DA-45B6-90A1-C3A0360041E6}">
  <dimension ref="A1:M23"/>
  <sheetViews>
    <sheetView tabSelected="1" workbookViewId="0">
      <selection activeCell="M18" sqref="M18"/>
    </sheetView>
  </sheetViews>
  <sheetFormatPr defaultRowHeight="15" x14ac:dyDescent="0.25"/>
  <cols>
    <col min="1" max="1" width="11.5703125" customWidth="1"/>
    <col min="2" max="2" width="19.140625" customWidth="1"/>
    <col min="3" max="3" width="12.7109375" customWidth="1"/>
    <col min="4" max="4" width="10.28515625" customWidth="1"/>
    <col min="6" max="6" width="10" bestFit="1" customWidth="1"/>
    <col min="9" max="9" width="23.7109375" customWidth="1"/>
    <col min="10" max="10" width="18.7109375" customWidth="1"/>
  </cols>
  <sheetData>
    <row r="1" spans="1:13" ht="15.75" thickBot="1" x14ac:dyDescent="0.3"/>
    <row r="2" spans="1:13" ht="15.75" thickBot="1" x14ac:dyDescent="0.3">
      <c r="A2" s="63" t="s">
        <v>0</v>
      </c>
      <c r="B2" s="64"/>
      <c r="C2" s="64"/>
      <c r="D2" s="64"/>
      <c r="E2" s="64"/>
      <c r="F2" s="65"/>
      <c r="H2" t="s">
        <v>55</v>
      </c>
      <c r="J2" s="1">
        <f>COUNT(D6:D14)</f>
        <v>9</v>
      </c>
    </row>
    <row r="3" spans="1:13" ht="15.75" thickBot="1" x14ac:dyDescent="0.3">
      <c r="A3" s="66" t="s">
        <v>54</v>
      </c>
      <c r="B3" s="66"/>
      <c r="C3" s="66"/>
      <c r="D3" s="66"/>
      <c r="E3" s="66"/>
      <c r="F3" s="66"/>
      <c r="H3" t="s">
        <v>33</v>
      </c>
      <c r="J3" s="54">
        <f>AVERAGE(D5:D14)</f>
        <v>6.4541964475715849E-2</v>
      </c>
      <c r="K3" s="54"/>
    </row>
    <row r="4" spans="1:13" ht="15.75" thickBot="1" x14ac:dyDescent="0.3">
      <c r="A4" s="47" t="s">
        <v>18</v>
      </c>
      <c r="B4" s="48" t="s">
        <v>31</v>
      </c>
      <c r="C4" s="48" t="s">
        <v>24</v>
      </c>
      <c r="D4" s="48" t="s">
        <v>32</v>
      </c>
      <c r="E4" s="48"/>
      <c r="F4" s="49"/>
      <c r="H4" t="s">
        <v>34</v>
      </c>
      <c r="J4" s="52">
        <v>0.09</v>
      </c>
    </row>
    <row r="5" spans="1:13" x14ac:dyDescent="0.25">
      <c r="A5" s="1">
        <v>2024</v>
      </c>
      <c r="B5" s="46">
        <v>0.42</v>
      </c>
      <c r="C5" s="46">
        <f t="shared" ref="C5:C14" si="0">B5*4</f>
        <v>1.68</v>
      </c>
      <c r="D5" s="50">
        <f t="shared" ref="D5:D6" si="1">(C5-C6)/C6</f>
        <v>7.6923076923076844E-2</v>
      </c>
    </row>
    <row r="6" spans="1:13" x14ac:dyDescent="0.25">
      <c r="A6" s="1">
        <v>2023</v>
      </c>
      <c r="B6" s="46">
        <v>0.39</v>
      </c>
      <c r="C6" s="46">
        <f t="shared" si="0"/>
        <v>1.56</v>
      </c>
      <c r="D6" s="50">
        <f t="shared" si="1"/>
        <v>6.8493150684931572E-2</v>
      </c>
      <c r="H6" t="s">
        <v>35</v>
      </c>
      <c r="J6" s="53">
        <v>45.71</v>
      </c>
    </row>
    <row r="7" spans="1:13" x14ac:dyDescent="0.25">
      <c r="A7" s="1" t="s">
        <v>21</v>
      </c>
      <c r="B7" s="46">
        <v>0.36499999999999999</v>
      </c>
      <c r="C7" s="46">
        <f t="shared" si="0"/>
        <v>1.46</v>
      </c>
      <c r="D7" s="50">
        <f>(C7-C8)/C8</f>
        <v>5.0359712230215875E-2</v>
      </c>
      <c r="E7" s="54"/>
      <c r="F7" s="55"/>
    </row>
    <row r="8" spans="1:13" x14ac:dyDescent="0.25">
      <c r="A8" s="1" t="s">
        <v>20</v>
      </c>
      <c r="B8" s="46">
        <v>0.34749999999999998</v>
      </c>
      <c r="C8" s="46">
        <f t="shared" si="0"/>
        <v>1.39</v>
      </c>
      <c r="D8" s="50">
        <f t="shared" ref="D8:D14" si="2">(C8-C9)/C9</f>
        <v>5.3030303030302907E-2</v>
      </c>
      <c r="E8" s="54"/>
      <c r="H8" t="s">
        <v>36</v>
      </c>
      <c r="J8" s="46">
        <f>C7/(J4-J3)</f>
        <v>57.349279704135917</v>
      </c>
      <c r="K8" t="s">
        <v>38</v>
      </c>
      <c r="M8" t="s">
        <v>62</v>
      </c>
    </row>
    <row r="9" spans="1:13" x14ac:dyDescent="0.25">
      <c r="A9" s="1" t="s">
        <v>19</v>
      </c>
      <c r="B9" s="46">
        <v>0.33</v>
      </c>
      <c r="C9" s="46">
        <f t="shared" si="0"/>
        <v>1.32</v>
      </c>
      <c r="D9" s="50">
        <f t="shared" si="2"/>
        <v>4.7619047619047658E-2</v>
      </c>
      <c r="E9" s="54"/>
      <c r="H9" t="s">
        <v>37</v>
      </c>
      <c r="J9" t="str">
        <f>IF(J8&gt;J6,"Undervalued","Overvalued")</f>
        <v>Undervalued</v>
      </c>
    </row>
    <row r="10" spans="1:13" x14ac:dyDescent="0.25">
      <c r="A10" s="1" t="s">
        <v>25</v>
      </c>
      <c r="B10" s="46">
        <v>0.315</v>
      </c>
      <c r="C10" s="46">
        <f t="shared" si="0"/>
        <v>1.26</v>
      </c>
      <c r="D10" s="50">
        <f t="shared" si="2"/>
        <v>5.0000000000000044E-2</v>
      </c>
      <c r="E10" s="54"/>
    </row>
    <row r="11" spans="1:13" x14ac:dyDescent="0.25">
      <c r="A11" s="1" t="s">
        <v>26</v>
      </c>
      <c r="B11" s="46">
        <v>0.3</v>
      </c>
      <c r="C11" s="46">
        <f t="shared" si="0"/>
        <v>1.2</v>
      </c>
      <c r="D11" s="50">
        <f t="shared" si="2"/>
        <v>0.10091743119266043</v>
      </c>
      <c r="E11" s="54"/>
    </row>
    <row r="12" spans="1:13" x14ac:dyDescent="0.25">
      <c r="A12" s="1" t="s">
        <v>27</v>
      </c>
      <c r="B12" s="46">
        <v>0.27250000000000002</v>
      </c>
      <c r="C12" s="46">
        <f t="shared" si="0"/>
        <v>1.0900000000000001</v>
      </c>
      <c r="D12" s="50">
        <f t="shared" si="2"/>
        <v>4.8076923076923121E-2</v>
      </c>
      <c r="E12" s="54"/>
    </row>
    <row r="13" spans="1:13" x14ac:dyDescent="0.25">
      <c r="A13" s="1" t="s">
        <v>28</v>
      </c>
      <c r="B13" s="46">
        <v>0.26</v>
      </c>
      <c r="C13" s="46">
        <f t="shared" si="0"/>
        <v>1.04</v>
      </c>
      <c r="D13" s="50">
        <f t="shared" si="2"/>
        <v>8.3333333333333412E-2</v>
      </c>
      <c r="E13" s="54"/>
    </row>
    <row r="14" spans="1:13" x14ac:dyDescent="0.25">
      <c r="A14" s="1" t="s">
        <v>29</v>
      </c>
      <c r="B14" s="46">
        <v>0.24</v>
      </c>
      <c r="C14" s="46">
        <f t="shared" si="0"/>
        <v>0.96</v>
      </c>
      <c r="D14" s="50">
        <f t="shared" si="2"/>
        <v>6.6666666666666596E-2</v>
      </c>
      <c r="E14" s="54"/>
    </row>
    <row r="15" spans="1:13" x14ac:dyDescent="0.25">
      <c r="A15" s="1"/>
      <c r="B15" s="46">
        <v>0.23</v>
      </c>
      <c r="C15" s="46">
        <v>0.9</v>
      </c>
      <c r="D15" s="51"/>
    </row>
    <row r="18" spans="1:2" x14ac:dyDescent="0.25">
      <c r="A18" t="s">
        <v>56</v>
      </c>
    </row>
    <row r="19" spans="1:2" x14ac:dyDescent="0.25">
      <c r="A19">
        <v>1</v>
      </c>
      <c r="B19" t="s">
        <v>57</v>
      </c>
    </row>
    <row r="20" spans="1:2" x14ac:dyDescent="0.25">
      <c r="A20">
        <v>2</v>
      </c>
      <c r="B20" t="s">
        <v>58</v>
      </c>
    </row>
    <row r="21" spans="1:2" x14ac:dyDescent="0.25">
      <c r="A21">
        <v>3</v>
      </c>
      <c r="B21" t="s">
        <v>59</v>
      </c>
    </row>
    <row r="22" spans="1:2" x14ac:dyDescent="0.25">
      <c r="A22">
        <v>4</v>
      </c>
      <c r="B22" t="s">
        <v>60</v>
      </c>
    </row>
    <row r="23" spans="1:2" x14ac:dyDescent="0.25">
      <c r="A23">
        <v>5</v>
      </c>
      <c r="B23" t="s">
        <v>61</v>
      </c>
    </row>
  </sheetData>
  <mergeCells count="2">
    <mergeCell ref="A2:F2"/>
    <mergeCell ref="A3:F3"/>
  </mergeCells>
  <conditionalFormatting sqref="J9">
    <cfRule type="cellIs" dxfId="6" priority="1" operator="equal">
      <formula>"Overvalued"</formula>
    </cfRule>
    <cfRule type="cellIs" dxfId="5" priority="2" operator="equal">
      <formula>"Undervalued"</formula>
    </cfRule>
  </conditionalFormatting>
  <pageMargins left="0.7" right="0.7" top="0.75" bottom="0.75" header="0.3" footer="0.3"/>
  <ignoredErrors>
    <ignoredError sqref="A7:A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2899-BE01-4F11-9B28-B384E9144226}">
  <dimension ref="A3:F37"/>
  <sheetViews>
    <sheetView workbookViewId="0">
      <selection activeCell="B4" sqref="B4"/>
    </sheetView>
  </sheetViews>
  <sheetFormatPr defaultRowHeight="15" x14ac:dyDescent="0.25"/>
  <cols>
    <col min="1" max="1" width="25.140625" customWidth="1"/>
  </cols>
  <sheetData>
    <row r="3" spans="1:6" x14ac:dyDescent="0.25">
      <c r="A3" t="s">
        <v>18</v>
      </c>
      <c r="B3" s="1">
        <v>2018</v>
      </c>
      <c r="C3" s="1">
        <v>2019</v>
      </c>
      <c r="D3" s="1">
        <v>2020</v>
      </c>
      <c r="E3" s="1">
        <v>2021</v>
      </c>
      <c r="F3" s="1">
        <v>2022</v>
      </c>
    </row>
    <row r="4" spans="1:6" x14ac:dyDescent="0.25">
      <c r="A4" t="s">
        <v>46</v>
      </c>
      <c r="B4" s="56">
        <v>0.9</v>
      </c>
      <c r="C4" s="56">
        <v>0.95</v>
      </c>
      <c r="D4" s="56">
        <v>1.01</v>
      </c>
      <c r="E4" s="56">
        <v>1.06</v>
      </c>
      <c r="F4" s="56">
        <v>1.1299999999999999</v>
      </c>
    </row>
    <row r="5" spans="1:6" x14ac:dyDescent="0.25">
      <c r="A5" t="s">
        <v>44</v>
      </c>
      <c r="B5" s="56">
        <f t="shared" ref="B5:E5" si="0">B4*4</f>
        <v>3.6</v>
      </c>
      <c r="C5" s="56">
        <f t="shared" si="0"/>
        <v>3.8</v>
      </c>
      <c r="D5" s="56">
        <f t="shared" si="0"/>
        <v>4.04</v>
      </c>
      <c r="E5" s="56">
        <f t="shared" si="0"/>
        <v>4.24</v>
      </c>
      <c r="F5" s="56">
        <f>F4*4</f>
        <v>4.5199999999999996</v>
      </c>
    </row>
    <row r="6" spans="1:6" x14ac:dyDescent="0.25">
      <c r="A6" t="s">
        <v>45</v>
      </c>
      <c r="B6" s="1"/>
      <c r="C6" s="57">
        <f t="shared" ref="C6:E6" si="1">(C5-B5)/B5</f>
        <v>5.5555555555555483E-2</v>
      </c>
      <c r="D6" s="57">
        <f t="shared" si="1"/>
        <v>6.3157894736842163E-2</v>
      </c>
      <c r="E6" s="57">
        <f t="shared" si="1"/>
        <v>4.9504950495049549E-2</v>
      </c>
      <c r="F6" s="57">
        <f>(F5-E5)/E5</f>
        <v>6.603773584905645E-2</v>
      </c>
    </row>
    <row r="22" spans="1:4" x14ac:dyDescent="0.25">
      <c r="A22" t="s">
        <v>18</v>
      </c>
      <c r="B22" t="s">
        <v>46</v>
      </c>
      <c r="C22" t="s">
        <v>44</v>
      </c>
      <c r="D22" t="s">
        <v>45</v>
      </c>
    </row>
    <row r="23" spans="1:4" x14ac:dyDescent="0.25">
      <c r="A23" s="1">
        <v>2022</v>
      </c>
      <c r="B23" s="56">
        <v>1.1299999999999999</v>
      </c>
      <c r="C23" s="56">
        <f>B23*4</f>
        <v>4.5199999999999996</v>
      </c>
      <c r="D23" s="57">
        <f>(C23-C24)/C24</f>
        <v>6.603773584905645E-2</v>
      </c>
    </row>
    <row r="24" spans="1:4" x14ac:dyDescent="0.25">
      <c r="A24" s="1">
        <v>2021</v>
      </c>
      <c r="B24" s="56">
        <v>1.06</v>
      </c>
      <c r="C24" s="56">
        <f>B24*4</f>
        <v>4.24</v>
      </c>
      <c r="D24" s="57">
        <f>(C24-C25)/C25</f>
        <v>4.9504950495049549E-2</v>
      </c>
    </row>
    <row r="25" spans="1:4" x14ac:dyDescent="0.25">
      <c r="A25" s="1">
        <v>2020</v>
      </c>
      <c r="B25" s="56">
        <v>1.01</v>
      </c>
      <c r="C25" s="56">
        <f>B25*4</f>
        <v>4.04</v>
      </c>
      <c r="D25" s="57">
        <f>(C25-C26)/C26</f>
        <v>6.3157894736842163E-2</v>
      </c>
    </row>
    <row r="26" spans="1:4" x14ac:dyDescent="0.25">
      <c r="A26" s="1">
        <v>2019</v>
      </c>
      <c r="B26" s="56">
        <v>0.95</v>
      </c>
      <c r="C26" s="56">
        <f>B26*4</f>
        <v>3.8</v>
      </c>
      <c r="D26" s="57">
        <f>(C26-C27)/C27</f>
        <v>5.5555555555555483E-2</v>
      </c>
    </row>
    <row r="27" spans="1:4" x14ac:dyDescent="0.25">
      <c r="A27" s="1">
        <v>2018</v>
      </c>
      <c r="B27" s="56">
        <v>0.9</v>
      </c>
      <c r="C27" s="56">
        <f>B27*4</f>
        <v>3.6</v>
      </c>
      <c r="D27" s="1"/>
    </row>
    <row r="29" spans="1:4" x14ac:dyDescent="0.25">
      <c r="A29" t="s">
        <v>47</v>
      </c>
      <c r="B29" s="52">
        <f>AVERAGE(D23:D26)</f>
        <v>5.8564034159125908E-2</v>
      </c>
    </row>
    <row r="30" spans="1:4" x14ac:dyDescent="0.25">
      <c r="A30" t="s">
        <v>48</v>
      </c>
      <c r="B30" s="52">
        <v>5.5E-2</v>
      </c>
    </row>
    <row r="31" spans="1:4" x14ac:dyDescent="0.25">
      <c r="A31" t="s">
        <v>49</v>
      </c>
      <c r="B31" s="52">
        <v>0.08</v>
      </c>
    </row>
    <row r="33" spans="1:2" x14ac:dyDescent="0.25">
      <c r="A33" t="s">
        <v>50</v>
      </c>
      <c r="B33" s="53">
        <f>F5*(1+B30)/(B31-B30)</f>
        <v>190.74399999999997</v>
      </c>
    </row>
    <row r="34" spans="1:2" x14ac:dyDescent="0.25">
      <c r="A34" t="s">
        <v>51</v>
      </c>
      <c r="B34" s="58">
        <v>155.97</v>
      </c>
    </row>
    <row r="36" spans="1:2" x14ac:dyDescent="0.25">
      <c r="A36" t="s">
        <v>52</v>
      </c>
      <c r="B36" s="53">
        <f>B33-B34</f>
        <v>34.773999999999972</v>
      </c>
    </row>
    <row r="37" spans="1:2" x14ac:dyDescent="0.25">
      <c r="A37" t="s">
        <v>53</v>
      </c>
      <c r="B37" s="51">
        <f>B33/B34-1</f>
        <v>0.22295313201256639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16A6-BAF4-4BCE-BD4A-2081C9413246}">
  <dimension ref="A1:N28"/>
  <sheetViews>
    <sheetView workbookViewId="0">
      <selection activeCell="H30" sqref="H30"/>
    </sheetView>
  </sheetViews>
  <sheetFormatPr defaultRowHeight="15" x14ac:dyDescent="0.25"/>
  <cols>
    <col min="1" max="1" width="11.5703125" customWidth="1"/>
    <col min="2" max="2" width="21" customWidth="1"/>
    <col min="3" max="3" width="18.42578125" customWidth="1"/>
    <col min="4" max="4" width="17.7109375" customWidth="1"/>
    <col min="9" max="9" width="17.5703125" customWidth="1"/>
    <col min="10" max="10" width="19.7109375" customWidth="1"/>
    <col min="11" max="11" width="13.7109375" customWidth="1"/>
    <col min="12" max="12" width="13.5703125" customWidth="1"/>
  </cols>
  <sheetData>
    <row r="1" spans="1:14" ht="15.75" thickBot="1" x14ac:dyDescent="0.3"/>
    <row r="2" spans="1:14" ht="15.75" thickBot="1" x14ac:dyDescent="0.3">
      <c r="A2" s="63" t="s">
        <v>0</v>
      </c>
      <c r="B2" s="64"/>
      <c r="C2" s="64"/>
      <c r="D2" s="64"/>
      <c r="E2" s="64"/>
      <c r="F2" s="65"/>
      <c r="J2" s="1" t="s">
        <v>40</v>
      </c>
      <c r="K2" s="1" t="s">
        <v>42</v>
      </c>
      <c r="L2" s="1" t="s">
        <v>43</v>
      </c>
      <c r="M2" s="1"/>
    </row>
    <row r="3" spans="1:14" ht="15.75" thickBot="1" x14ac:dyDescent="0.3">
      <c r="A3" s="66" t="str">
        <f>'Factset Information'!B2</f>
        <v>Distributed Dividend for Caterpillar Inc. (CAT)</v>
      </c>
      <c r="B3" s="66"/>
      <c r="C3" s="66"/>
      <c r="D3" s="66"/>
      <c r="E3" s="66"/>
      <c r="F3" s="66"/>
      <c r="H3" t="s">
        <v>41</v>
      </c>
      <c r="J3" s="52" t="e">
        <f>AVERAGE(D5:D13)</f>
        <v>#REF!</v>
      </c>
      <c r="K3" s="52" t="e">
        <f>AVERAGE(D5:D9)</f>
        <v>#REF!</v>
      </c>
      <c r="L3" s="52" t="e">
        <f>AVERAGE(D5:D7)</f>
        <v>#REF!</v>
      </c>
    </row>
    <row r="4" spans="1:14" ht="15.75" thickBot="1" x14ac:dyDescent="0.3">
      <c r="A4" s="47" t="s">
        <v>18</v>
      </c>
      <c r="B4" s="48" t="s">
        <v>31</v>
      </c>
      <c r="C4" s="48" t="s">
        <v>24</v>
      </c>
      <c r="D4" s="48" t="s">
        <v>32</v>
      </c>
      <c r="E4" s="48"/>
      <c r="F4" s="49"/>
      <c r="H4" t="s">
        <v>34</v>
      </c>
      <c r="J4" s="52">
        <v>0.09</v>
      </c>
      <c r="K4" s="52">
        <v>0.09</v>
      </c>
      <c r="L4" s="52">
        <v>0.09</v>
      </c>
    </row>
    <row r="5" spans="1:14" x14ac:dyDescent="0.25">
      <c r="A5" s="1" t="s">
        <v>23</v>
      </c>
      <c r="B5" s="46" t="e">
        <f>B19</f>
        <v>#REF!</v>
      </c>
      <c r="C5" s="46" t="e">
        <f>B5*4</f>
        <v>#REF!</v>
      </c>
      <c r="D5" s="51" t="e">
        <f>(C5-C6)/C6</f>
        <v>#REF!</v>
      </c>
    </row>
    <row r="6" spans="1:14" x14ac:dyDescent="0.25">
      <c r="A6" s="1" t="s">
        <v>22</v>
      </c>
      <c r="B6" s="46" t="e">
        <f t="shared" ref="B6:B13" si="0">B20</f>
        <v>#REF!</v>
      </c>
      <c r="C6" s="46" t="e">
        <f t="shared" ref="C6:C13" si="1">B6*4</f>
        <v>#REF!</v>
      </c>
      <c r="D6" s="51" t="e">
        <f t="shared" ref="D6:D12" si="2">(C6-C7)/C7</f>
        <v>#REF!</v>
      </c>
      <c r="H6" t="s">
        <v>35</v>
      </c>
      <c r="J6" s="53">
        <v>343.95</v>
      </c>
      <c r="K6" s="53">
        <v>343.95</v>
      </c>
      <c r="L6" s="53">
        <v>343.95</v>
      </c>
    </row>
    <row r="7" spans="1:14" x14ac:dyDescent="0.25">
      <c r="A7" s="1" t="s">
        <v>21</v>
      </c>
      <c r="B7" s="46" t="e">
        <f t="shared" si="0"/>
        <v>#REF!</v>
      </c>
      <c r="C7" s="46" t="e">
        <f t="shared" si="1"/>
        <v>#REF!</v>
      </c>
      <c r="D7" s="51" t="e">
        <f t="shared" si="2"/>
        <v>#REF!</v>
      </c>
    </row>
    <row r="8" spans="1:14" x14ac:dyDescent="0.25">
      <c r="A8" s="1" t="s">
        <v>20</v>
      </c>
      <c r="B8" s="46" t="e">
        <f t="shared" si="0"/>
        <v>#REF!</v>
      </c>
      <c r="C8" s="46" t="e">
        <f t="shared" si="1"/>
        <v>#REF!</v>
      </c>
      <c r="D8" s="51" t="e">
        <f t="shared" si="2"/>
        <v>#REF!</v>
      </c>
      <c r="H8" t="s">
        <v>36</v>
      </c>
      <c r="J8" s="46" t="e">
        <f>($C$5*(1+J3))/(J4-J3)</f>
        <v>#REF!</v>
      </c>
      <c r="K8" s="46" t="e">
        <f t="shared" ref="K8:L8" si="3">($C$5*(1+K3))/(K4-K3)</f>
        <v>#REF!</v>
      </c>
      <c r="L8" s="46" t="e">
        <f t="shared" si="3"/>
        <v>#REF!</v>
      </c>
      <c r="N8" t="s">
        <v>38</v>
      </c>
    </row>
    <row r="9" spans="1:14" x14ac:dyDescent="0.25">
      <c r="A9" s="1" t="s">
        <v>19</v>
      </c>
      <c r="B9" s="46" t="e">
        <f t="shared" si="0"/>
        <v>#REF!</v>
      </c>
      <c r="C9" s="46" t="e">
        <f t="shared" si="1"/>
        <v>#REF!</v>
      </c>
      <c r="D9" s="51" t="e">
        <f t="shared" si="2"/>
        <v>#REF!</v>
      </c>
      <c r="H9" t="s">
        <v>37</v>
      </c>
      <c r="J9" t="e">
        <f>IF(J8&gt;J6,"Undervalued","Overvalued")</f>
        <v>#REF!</v>
      </c>
      <c r="K9" t="e">
        <f t="shared" ref="K9:L9" si="4">IF(K8&gt;K6,"Undervalued","Overvalued")</f>
        <v>#REF!</v>
      </c>
      <c r="L9" t="e">
        <f t="shared" si="4"/>
        <v>#REF!</v>
      </c>
    </row>
    <row r="10" spans="1:14" x14ac:dyDescent="0.25">
      <c r="A10" s="1" t="s">
        <v>25</v>
      </c>
      <c r="B10" s="46" t="e">
        <f t="shared" si="0"/>
        <v>#REF!</v>
      </c>
      <c r="C10" s="46" t="e">
        <f t="shared" si="1"/>
        <v>#REF!</v>
      </c>
      <c r="D10" s="51" t="e">
        <f t="shared" si="2"/>
        <v>#REF!</v>
      </c>
    </row>
    <row r="11" spans="1:14" x14ac:dyDescent="0.25">
      <c r="A11" s="1" t="s">
        <v>26</v>
      </c>
      <c r="B11" s="46" t="e">
        <f t="shared" si="0"/>
        <v>#REF!</v>
      </c>
      <c r="C11" s="46" t="e">
        <f t="shared" si="1"/>
        <v>#REF!</v>
      </c>
      <c r="D11" s="51" t="e">
        <f t="shared" si="2"/>
        <v>#REF!</v>
      </c>
    </row>
    <row r="12" spans="1:14" x14ac:dyDescent="0.25">
      <c r="A12" s="1" t="s">
        <v>27</v>
      </c>
      <c r="B12" s="46" t="e">
        <f t="shared" si="0"/>
        <v>#REF!</v>
      </c>
      <c r="C12" s="46" t="e">
        <f t="shared" si="1"/>
        <v>#REF!</v>
      </c>
      <c r="D12" s="51" t="e">
        <f t="shared" si="2"/>
        <v>#REF!</v>
      </c>
    </row>
    <row r="13" spans="1:14" x14ac:dyDescent="0.25">
      <c r="A13" s="1" t="s">
        <v>28</v>
      </c>
      <c r="B13" s="46" t="e">
        <f t="shared" si="0"/>
        <v>#REF!</v>
      </c>
      <c r="C13" s="46" t="e">
        <f t="shared" si="1"/>
        <v>#REF!</v>
      </c>
      <c r="D13" s="51"/>
    </row>
    <row r="14" spans="1:14" x14ac:dyDescent="0.25">
      <c r="A14" s="1"/>
      <c r="B14" s="46"/>
      <c r="C14" s="46"/>
      <c r="D14" s="51"/>
    </row>
    <row r="15" spans="1:14" x14ac:dyDescent="0.25">
      <c r="A15" s="1"/>
      <c r="B15" s="46"/>
      <c r="C15" s="46"/>
      <c r="D15" s="51"/>
    </row>
    <row r="17" spans="1:12" x14ac:dyDescent="0.25">
      <c r="A17" s="1" t="s">
        <v>39</v>
      </c>
    </row>
    <row r="18" spans="1:12" x14ac:dyDescent="0.25">
      <c r="A18" t="str">
        <f>'Factset Information'!B2</f>
        <v>Distributed Dividend for Caterpillar Inc. (CAT)</v>
      </c>
    </row>
    <row r="19" spans="1:12" x14ac:dyDescent="0.25">
      <c r="A19">
        <f>'Factset Information'!J5</f>
        <v>0</v>
      </c>
      <c r="B19" s="46" t="e">
        <f>GETPIVOTDATA("Dividend Amount",'Factset Information'!$J$3,"Quarters (Ex Date)",4,"Years (Ex Date)",A19)</f>
        <v>#REF!</v>
      </c>
      <c r="C19" s="46" t="e">
        <f>GETPIVOTDATA("Dividend Amount",'Factset Information'!$J$3,"Years (Ex Date)",A19)</f>
        <v>#REF!</v>
      </c>
      <c r="D19" s="51" t="e">
        <f>(C19-C20)/C20</f>
        <v>#REF!</v>
      </c>
    </row>
    <row r="20" spans="1:12" x14ac:dyDescent="0.25">
      <c r="A20">
        <f>'Factset Information'!J6</f>
        <v>0</v>
      </c>
      <c r="B20" s="46" t="e">
        <f>GETPIVOTDATA("Dividend Amount",'Factset Information'!$J$3,"Quarters (Ex Date)",4,"Years (Ex Date)",A20)</f>
        <v>#REF!</v>
      </c>
      <c r="C20" s="46" t="e">
        <f>GETPIVOTDATA("Dividend Amount",'Factset Information'!$J$3,"Years (Ex Date)",A20)</f>
        <v>#REF!</v>
      </c>
      <c r="D20" s="51" t="e">
        <f t="shared" ref="D20:D26" si="5">(C20-C21)/C21</f>
        <v>#REF!</v>
      </c>
      <c r="I20" t="s">
        <v>18</v>
      </c>
      <c r="J20" t="s">
        <v>46</v>
      </c>
      <c r="K20" t="s">
        <v>44</v>
      </c>
      <c r="L20" t="s">
        <v>45</v>
      </c>
    </row>
    <row r="21" spans="1:12" x14ac:dyDescent="0.25">
      <c r="A21">
        <f>'Factset Information'!J7</f>
        <v>0</v>
      </c>
      <c r="B21" s="46" t="e">
        <f>GETPIVOTDATA("Dividend Amount",'Factset Information'!$J$3,"Quarters (Ex Date)",4,"Years (Ex Date)",A21)</f>
        <v>#REF!</v>
      </c>
      <c r="C21" s="46" t="e">
        <f>GETPIVOTDATA("Dividend Amount",'Factset Information'!$J$3,"Years (Ex Date)",A21)</f>
        <v>#REF!</v>
      </c>
      <c r="D21" s="51" t="e">
        <f t="shared" si="5"/>
        <v>#REF!</v>
      </c>
      <c r="I21" s="1">
        <v>2022</v>
      </c>
      <c r="J21" s="56">
        <v>1.1299999999999999</v>
      </c>
      <c r="K21" s="56">
        <f>J21*4</f>
        <v>4.5199999999999996</v>
      </c>
      <c r="L21" s="57">
        <f>(K21-K22)/K22</f>
        <v>6.603773584905645E-2</v>
      </c>
    </row>
    <row r="22" spans="1:12" x14ac:dyDescent="0.25">
      <c r="A22">
        <f>'Factset Information'!J8</f>
        <v>0</v>
      </c>
      <c r="B22" s="46" t="e">
        <f>GETPIVOTDATA("Dividend Amount",'Factset Information'!$J$3,"Quarters (Ex Date)",4,"Years (Ex Date)",A22)</f>
        <v>#REF!</v>
      </c>
      <c r="C22" s="46" t="e">
        <f>GETPIVOTDATA("Dividend Amount",'Factset Information'!$J$3,"Years (Ex Date)",A22)</f>
        <v>#REF!</v>
      </c>
      <c r="D22" s="51" t="e">
        <f t="shared" si="5"/>
        <v>#REF!</v>
      </c>
      <c r="I22" s="1">
        <v>2021</v>
      </c>
      <c r="J22" s="56">
        <v>1.06</v>
      </c>
      <c r="K22" s="56">
        <f>J22*4</f>
        <v>4.24</v>
      </c>
      <c r="L22" s="57">
        <f>(K22-K23)/K23</f>
        <v>4.9504950495049549E-2</v>
      </c>
    </row>
    <row r="23" spans="1:12" x14ac:dyDescent="0.25">
      <c r="A23">
        <f>'Factset Information'!J9</f>
        <v>0</v>
      </c>
      <c r="B23" s="46" t="e">
        <f>GETPIVOTDATA("Dividend Amount",'Factset Information'!$J$3,"Quarters (Ex Date)",4,"Years (Ex Date)",A23)</f>
        <v>#REF!</v>
      </c>
      <c r="C23" s="46" t="e">
        <f>GETPIVOTDATA("Dividend Amount",'Factset Information'!$J$3,"Years (Ex Date)",A23)</f>
        <v>#REF!</v>
      </c>
      <c r="D23" s="51" t="e">
        <f t="shared" si="5"/>
        <v>#REF!</v>
      </c>
      <c r="I23" s="1">
        <v>2020</v>
      </c>
      <c r="J23" s="56">
        <v>1.01</v>
      </c>
      <c r="K23" s="56">
        <f>J23*4</f>
        <v>4.04</v>
      </c>
      <c r="L23" s="57">
        <f>(K23-K24)/K24</f>
        <v>6.3157894736842163E-2</v>
      </c>
    </row>
    <row r="24" spans="1:12" x14ac:dyDescent="0.25">
      <c r="A24" t="str">
        <f>'Factset Information'!J10</f>
        <v>Groupby Function</v>
      </c>
      <c r="B24" s="46" t="e">
        <f>GETPIVOTDATA("Dividend Amount",'Factset Information'!$J$3,"Quarters (Ex Date)",4,"Years (Ex Date)",A24)</f>
        <v>#REF!</v>
      </c>
      <c r="C24" s="46" t="e">
        <f>GETPIVOTDATA("Dividend Amount",'Factset Information'!$J$3,"Years (Ex Date)",A24)</f>
        <v>#REF!</v>
      </c>
      <c r="D24" s="51" t="e">
        <f t="shared" si="5"/>
        <v>#REF!</v>
      </c>
      <c r="I24" s="1">
        <v>2019</v>
      </c>
      <c r="J24" s="56">
        <v>0.95</v>
      </c>
      <c r="K24" s="56">
        <f>J24*4</f>
        <v>3.8</v>
      </c>
      <c r="L24" s="57">
        <f>(K24-K25)/K25</f>
        <v>5.5555555555555483E-2</v>
      </c>
    </row>
    <row r="25" spans="1:12" x14ac:dyDescent="0.25">
      <c r="A25" t="e" vm="1">
        <f>'Factset Information'!J11</f>
        <v>#VALUE!</v>
      </c>
      <c r="B25" s="46" t="e">
        <f>GETPIVOTDATA("Dividend Amount",'Factset Information'!$J$3,"Quarters (Ex Date)",4,"Years (Ex Date)",A25)</f>
        <v>#REF!</v>
      </c>
      <c r="C25" s="46" t="e">
        <f>GETPIVOTDATA("Dividend Amount",'Factset Information'!$J$3,"Years (Ex Date)",A25)</f>
        <v>#REF!</v>
      </c>
      <c r="D25" s="51" t="e">
        <f t="shared" si="5"/>
        <v>#REF!</v>
      </c>
      <c r="I25" s="1">
        <v>2018</v>
      </c>
      <c r="J25" s="56">
        <v>0.9</v>
      </c>
      <c r="K25" s="56">
        <f>J25*4</f>
        <v>3.6</v>
      </c>
      <c r="L25" s="1"/>
    </row>
    <row r="26" spans="1:12" x14ac:dyDescent="0.25">
      <c r="A26">
        <f>'Factset Information'!J12</f>
        <v>2025</v>
      </c>
      <c r="B26" s="46" t="e">
        <f>GETPIVOTDATA("Dividend Amount",'Factset Information'!$J$3,"Quarters (Ex Date)",4,"Years (Ex Date)",A26)</f>
        <v>#REF!</v>
      </c>
      <c r="C26" s="46" t="e">
        <f>GETPIVOTDATA("Dividend Amount",'Factset Information'!$J$3,"Years (Ex Date)",A26)</f>
        <v>#REF!</v>
      </c>
      <c r="D26" s="51" t="e">
        <f t="shared" si="5"/>
        <v>#REF!</v>
      </c>
    </row>
    <row r="27" spans="1:12" x14ac:dyDescent="0.25">
      <c r="A27">
        <f>'Factset Information'!J13</f>
        <v>2024</v>
      </c>
      <c r="B27" s="46" t="e">
        <f>GETPIVOTDATA("Dividend Amount",'Factset Information'!$J$3,"Quarters (Ex Date)",4,"Years (Ex Date)",A27)</f>
        <v>#REF!</v>
      </c>
      <c r="C27" s="46" t="e">
        <f>GETPIVOTDATA("Dividend Amount",'Factset Information'!$J$3,"Years (Ex Date)",A27)</f>
        <v>#REF!</v>
      </c>
      <c r="D27" s="51"/>
    </row>
    <row r="28" spans="1:12" x14ac:dyDescent="0.25">
      <c r="B28" s="46"/>
      <c r="C28" s="46"/>
      <c r="D28" s="51"/>
    </row>
  </sheetData>
  <mergeCells count="2">
    <mergeCell ref="A2:F2"/>
    <mergeCell ref="A3:F3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F60B-1C84-4665-B2E4-A174814F2A27}">
  <dimension ref="A1:T60"/>
  <sheetViews>
    <sheetView workbookViewId="0">
      <selection activeCell="K12" sqref="K12"/>
    </sheetView>
  </sheetViews>
  <sheetFormatPr defaultColWidth="9.140625" defaultRowHeight="12" x14ac:dyDescent="0.2"/>
  <cols>
    <col min="1" max="1" width="10.5703125" style="32" customWidth="1"/>
    <col min="2" max="2" width="14.140625" style="39" customWidth="1"/>
    <col min="3" max="3" width="15.7109375" style="40" customWidth="1"/>
    <col min="4" max="5" width="15.7109375" style="41" customWidth="1"/>
    <col min="6" max="6" width="20.85546875" style="41" customWidth="1"/>
    <col min="7" max="7" width="25" style="41" customWidth="1"/>
    <col min="8" max="8" width="15.7109375" style="41" customWidth="1"/>
    <col min="9" max="9" width="9.140625" style="32"/>
    <col min="10" max="10" width="13.42578125" style="32" bestFit="1" customWidth="1"/>
    <col min="11" max="11" width="18.85546875" style="32" customWidth="1"/>
    <col min="12" max="12" width="7.28515625" style="32" customWidth="1"/>
    <col min="13" max="13" width="9.7109375" style="32" customWidth="1"/>
    <col min="14" max="14" width="12.5703125" style="32" customWidth="1"/>
    <col min="15" max="15" width="29.42578125" style="32" bestFit="1" customWidth="1"/>
    <col min="16" max="16" width="15.85546875" style="32" bestFit="1" customWidth="1"/>
    <col min="17" max="17" width="29.42578125" style="32" bestFit="1" customWidth="1"/>
    <col min="18" max="18" width="15.85546875" style="32" bestFit="1" customWidth="1"/>
    <col min="19" max="19" width="34.5703125" style="32" bestFit="1" customWidth="1"/>
    <col min="20" max="20" width="20.85546875" style="32" bestFit="1" customWidth="1"/>
    <col min="21" max="16384" width="9.140625" style="32"/>
  </cols>
  <sheetData>
    <row r="1" spans="1:20" s="2" customFormat="1" ht="15" customHeight="1" x14ac:dyDescent="0.2">
      <c r="E1" s="3" t="str">
        <f>IF(LEN(F1)&gt;0,"Next rpt date: ","")</f>
        <v xml:space="preserve">Next rpt date: </v>
      </c>
      <c r="F1" s="4" cm="1">
        <f t="array" ref="F1">_xll.FDSB(Identifier,"CS_EVENT_DATEJ_N(""ER"",1)")</f>
        <v>45771</v>
      </c>
      <c r="G1" s="5" t="s">
        <v>1</v>
      </c>
      <c r="H1" s="4" cm="1">
        <f t="array" ref="H1">_xll.FDSB("dummy","julian(today)")</f>
        <v>45722</v>
      </c>
    </row>
    <row r="2" spans="1:20" s="10" customFormat="1" ht="15" x14ac:dyDescent="0.2">
      <c r="A2" s="6"/>
      <c r="B2" s="7" t="str">
        <f>"Distributed Dividend for "&amp; _xll.FDSC("-",C6,"FG_COMPANY_NAME")&amp;" ("&amp;UPPER(C6)&amp;")"</f>
        <v>Distributed Dividend for Caterpillar Inc. (CAT)</v>
      </c>
      <c r="C2" s="8"/>
      <c r="D2" s="9"/>
      <c r="G2" s="9"/>
      <c r="H2" s="9"/>
    </row>
    <row r="3" spans="1:20" s="11" customFormat="1" ht="15" customHeight="1" x14ac:dyDescent="0.25">
      <c r="J3"/>
      <c r="K3"/>
      <c r="L3"/>
    </row>
    <row r="4" spans="1:20" s="11" customFormat="1" ht="15" x14ac:dyDescent="0.25">
      <c r="B4" s="12" t="s">
        <v>2</v>
      </c>
      <c r="J4"/>
      <c r="K4"/>
      <c r="L4"/>
    </row>
    <row r="5" spans="1:20" s="11" customFormat="1" ht="15" x14ac:dyDescent="0.25">
      <c r="B5" s="13"/>
      <c r="C5" s="14"/>
      <c r="D5" s="14"/>
      <c r="E5" s="14"/>
      <c r="F5" s="14"/>
      <c r="G5" s="14"/>
      <c r="H5" s="15"/>
      <c r="J5"/>
      <c r="K5"/>
      <c r="L5"/>
    </row>
    <row r="6" spans="1:20" s="11" customFormat="1" ht="15" x14ac:dyDescent="0.25">
      <c r="B6" s="16" t="s">
        <v>3</v>
      </c>
      <c r="C6" s="17" t="s">
        <v>65</v>
      </c>
      <c r="D6" s="18" t="s">
        <v>4</v>
      </c>
      <c r="E6" s="19" t="s">
        <v>30</v>
      </c>
      <c r="F6" s="20" t="s">
        <v>5</v>
      </c>
      <c r="G6" s="17" t="s">
        <v>16</v>
      </c>
      <c r="H6" s="21" t="str">
        <f>IF(G6="Yes","EXCL_SPEC_DIV","")</f>
        <v>EXCL_SPEC_DIV</v>
      </c>
      <c r="J6"/>
      <c r="K6"/>
      <c r="L6"/>
    </row>
    <row r="7" spans="1:20" s="11" customFormat="1" ht="15" x14ac:dyDescent="0.25">
      <c r="B7" s="22" t="s">
        <v>6</v>
      </c>
      <c r="C7" s="17" t="s">
        <v>7</v>
      </c>
      <c r="D7" s="18" t="s">
        <v>8</v>
      </c>
      <c r="E7" s="42"/>
      <c r="F7" s="20" t="s">
        <v>9</v>
      </c>
      <c r="G7" s="17" t="s">
        <v>10</v>
      </c>
      <c r="H7" s="21" t="str">
        <f>IF(G7="Split Adjusted","SPLIT","UNSPLIT")</f>
        <v>UNSPLIT</v>
      </c>
      <c r="J7"/>
      <c r="K7"/>
      <c r="L7"/>
    </row>
    <row r="8" spans="1:20" s="11" customFormat="1" ht="15" x14ac:dyDescent="0.25">
      <c r="B8" s="23"/>
      <c r="C8" s="24"/>
      <c r="D8" s="25"/>
      <c r="E8" s="26"/>
      <c r="F8" s="25"/>
      <c r="G8" s="25"/>
      <c r="H8" s="27"/>
      <c r="J8"/>
      <c r="K8"/>
      <c r="L8"/>
    </row>
    <row r="9" spans="1:20" s="11" customFormat="1" ht="15" x14ac:dyDescent="0.25">
      <c r="B9" s="20"/>
      <c r="C9" s="28"/>
      <c r="E9" s="29"/>
      <c r="J9"/>
      <c r="K9"/>
      <c r="L9"/>
    </row>
    <row r="10" spans="1:20" s="30" customFormat="1" ht="24" customHeight="1" x14ac:dyDescent="0.25">
      <c r="B10" s="31" t="s">
        <v>11</v>
      </c>
      <c r="C10" s="31" t="s">
        <v>12</v>
      </c>
      <c r="D10" s="31" t="s">
        <v>13</v>
      </c>
      <c r="E10" s="31" t="s">
        <v>14</v>
      </c>
      <c r="F10" s="31" t="s">
        <v>15</v>
      </c>
      <c r="G10" s="43"/>
      <c r="J10" s="67" t="s">
        <v>63</v>
      </c>
      <c r="K10" s="67"/>
      <c r="L10"/>
      <c r="M10" s="67" t="s">
        <v>64</v>
      </c>
      <c r="N10" s="67"/>
    </row>
    <row r="11" spans="1:20" ht="15" x14ac:dyDescent="0.25">
      <c r="B11" s="33" cm="1">
        <f t="array" ref="B11:B51">_xll.FDSC("",Identifier,"Julian(FCA_EVENT_DATE_R("&amp;End_Date&amp;","&amp;Start_Date&amp;",,""CASH_DIST"",""EXDATE"",,,'"&amp;$H$6&amp;"'))")</f>
        <v>45678</v>
      </c>
      <c r="C11" s="34" cm="1">
        <f t="array" ref="C11:C51">_xll.FDSC("",Identifier,"FCA_EVENT_AMOUNT_R("&amp;End_Date&amp;","&amp;Start_Date&amp;",,"&amp;Currency&amp;",""CASH_DIST"",""AMT_DEF"",,"&amp;$H$7&amp;",,'"&amp;$H$6&amp;"')")</f>
        <v>1.41</v>
      </c>
      <c r="D11" s="33" cm="1">
        <f t="array" ref="D11:D51">_xll.FDSC("",Identifier,"Julian(FCA_EVENT_DATE_R("&amp;End_Date&amp;","&amp;Start_Date&amp;",,""CASH_DIST"",""PAYDATE"",,,'"&amp;$H$6&amp;"'))")</f>
        <v>45708</v>
      </c>
      <c r="E11" s="33" cm="1">
        <f t="array" ref="E11:E51">_xll.FDSC("",Identifier,"JULIAN(FCA_EVENT_DATE_R("&amp;End_Date&amp;","&amp;Start_Date&amp;",,""CASH_DIST"",""RECDATE"",,,'"&amp;$H$6&amp;"'))")</f>
        <v>45678</v>
      </c>
      <c r="F11" s="37" t="str" cm="1">
        <f t="array" ref="F11:F51">_xll.FDSB(Identifier,"FCA_DIVIDEND_TYPE_R("&amp;End_Date&amp;","&amp;Start_Date&amp;",,""CASH_DIST"",""DIVTYPE_TEXT"",,'"&amp;$H$6&amp;"') ")</f>
        <v>Ordinary</v>
      </c>
      <c r="G11" s="45"/>
      <c r="H11" s="32"/>
      <c r="J11" s="31" t="e" cm="1" vm="2">
        <f t="array" ref="J11:K22">_xlfn.GROUPBY(YEAR(B10:B60),C10:C60,_xleta.SUM,3,0,-1,C10:C60&lt;&gt;"")</f>
        <v>#VALUE!</v>
      </c>
      <c r="K11" s="31" t="str">
        <v>Dividend Amount</v>
      </c>
      <c r="L11"/>
      <c r="M11" s="62" t="str" cm="1">
        <f t="array" ref="M11:N22">_xlfn.PIVOTBY(YEAR(B10:B60),F10:F60,C10:C60,_xleta.SUM,1,0,-1,0,,B10:B60&lt;&gt;"")</f>
        <v/>
      </c>
      <c r="N11" s="62" t="str">
        <v>Ordinary</v>
      </c>
      <c r="O11"/>
      <c r="P11"/>
      <c r="Q11"/>
      <c r="R11"/>
      <c r="S11"/>
      <c r="T11"/>
    </row>
    <row r="12" spans="1:20" ht="15" customHeight="1" x14ac:dyDescent="0.25">
      <c r="B12" s="33">
        <v>45586</v>
      </c>
      <c r="C12" s="34">
        <v>1.41</v>
      </c>
      <c r="D12" s="33">
        <v>45616</v>
      </c>
      <c r="E12" s="33">
        <v>45586</v>
      </c>
      <c r="F12" s="37" t="str">
        <v>Ordinary</v>
      </c>
      <c r="G12" s="44"/>
      <c r="H12" s="32"/>
      <c r="J12">
        <v>2025</v>
      </c>
      <c r="K12" s="58">
        <v>1.41</v>
      </c>
      <c r="L12"/>
      <c r="M12">
        <v>2025</v>
      </c>
      <c r="N12" s="58">
        <v>1.41</v>
      </c>
      <c r="O12"/>
      <c r="P12"/>
      <c r="Q12"/>
      <c r="R12"/>
      <c r="S12"/>
      <c r="T12"/>
    </row>
    <row r="13" spans="1:20" ht="15" customHeight="1" x14ac:dyDescent="0.25">
      <c r="B13" s="33">
        <v>45495</v>
      </c>
      <c r="C13" s="34">
        <v>1.41</v>
      </c>
      <c r="D13" s="33">
        <v>45524</v>
      </c>
      <c r="E13" s="33">
        <v>45495</v>
      </c>
      <c r="F13" s="37" t="str">
        <v>Ordinary</v>
      </c>
      <c r="G13" s="11"/>
      <c r="H13" s="32"/>
      <c r="J13">
        <v>2024</v>
      </c>
      <c r="K13" s="58">
        <v>5.42</v>
      </c>
      <c r="L13"/>
      <c r="M13">
        <v>2024</v>
      </c>
      <c r="N13" s="58">
        <v>5.42</v>
      </c>
      <c r="O13"/>
      <c r="P13"/>
      <c r="Q13"/>
      <c r="R13"/>
      <c r="S13"/>
      <c r="T13"/>
    </row>
    <row r="14" spans="1:20" ht="15" customHeight="1" x14ac:dyDescent="0.25">
      <c r="B14" s="33">
        <v>45401</v>
      </c>
      <c r="C14" s="34">
        <v>1.3</v>
      </c>
      <c r="D14" s="33">
        <v>45432</v>
      </c>
      <c r="E14" s="33">
        <v>45404</v>
      </c>
      <c r="F14" s="37" t="str">
        <v>Ordinary</v>
      </c>
      <c r="G14" s="11"/>
      <c r="H14" s="32"/>
      <c r="J14">
        <v>2023</v>
      </c>
      <c r="K14" s="58">
        <v>5</v>
      </c>
      <c r="L14"/>
      <c r="M14">
        <v>2023</v>
      </c>
      <c r="N14" s="58">
        <v>5</v>
      </c>
      <c r="O14"/>
      <c r="P14"/>
      <c r="Q14"/>
      <c r="R14"/>
      <c r="S14"/>
      <c r="T14"/>
    </row>
    <row r="15" spans="1:20" ht="15" customHeight="1" x14ac:dyDescent="0.25">
      <c r="B15" s="33">
        <v>45310</v>
      </c>
      <c r="C15" s="34">
        <v>1.3</v>
      </c>
      <c r="D15" s="33">
        <v>45342</v>
      </c>
      <c r="E15" s="33">
        <v>45313</v>
      </c>
      <c r="F15" s="35" t="str">
        <v>Ordinary</v>
      </c>
      <c r="G15" s="11"/>
      <c r="H15" s="32"/>
      <c r="J15">
        <v>2022</v>
      </c>
      <c r="K15" s="58">
        <v>4.62</v>
      </c>
      <c r="L15"/>
      <c r="M15">
        <v>2022</v>
      </c>
      <c r="N15" s="58">
        <v>4.62</v>
      </c>
      <c r="O15"/>
      <c r="P15"/>
      <c r="Q15"/>
      <c r="R15"/>
      <c r="S15"/>
      <c r="T15"/>
    </row>
    <row r="16" spans="1:20" ht="15" customHeight="1" x14ac:dyDescent="0.25">
      <c r="B16" s="33">
        <v>45219</v>
      </c>
      <c r="C16" s="34">
        <v>1.3</v>
      </c>
      <c r="D16" s="33">
        <v>45250</v>
      </c>
      <c r="E16" s="33">
        <v>45222</v>
      </c>
      <c r="F16" s="35" t="str">
        <v>Ordinary</v>
      </c>
      <c r="G16" s="11"/>
      <c r="H16" s="32"/>
      <c r="J16">
        <v>2021</v>
      </c>
      <c r="K16" s="58">
        <v>4.28</v>
      </c>
      <c r="L16"/>
      <c r="M16">
        <v>2021</v>
      </c>
      <c r="N16" s="58">
        <v>4.28</v>
      </c>
      <c r="O16"/>
      <c r="P16"/>
      <c r="Q16"/>
      <c r="R16"/>
      <c r="S16"/>
      <c r="T16"/>
    </row>
    <row r="17" spans="2:20" ht="15" customHeight="1" x14ac:dyDescent="0.25">
      <c r="B17" s="33">
        <v>45126</v>
      </c>
      <c r="C17" s="34">
        <v>1.3</v>
      </c>
      <c r="D17" s="33">
        <v>45156</v>
      </c>
      <c r="E17" s="33">
        <v>45127</v>
      </c>
      <c r="F17" s="35" t="str">
        <v>Ordinary</v>
      </c>
      <c r="G17" s="11"/>
      <c r="H17" s="32"/>
      <c r="J17">
        <v>2020</v>
      </c>
      <c r="K17" s="58">
        <v>4.12</v>
      </c>
      <c r="M17">
        <v>2020</v>
      </c>
      <c r="N17" s="58">
        <v>4.12</v>
      </c>
      <c r="O17"/>
      <c r="P17"/>
      <c r="Q17"/>
      <c r="R17"/>
      <c r="S17"/>
      <c r="T17"/>
    </row>
    <row r="18" spans="2:20" ht="15" customHeight="1" x14ac:dyDescent="0.25">
      <c r="B18" s="33">
        <v>45037</v>
      </c>
      <c r="C18" s="34">
        <v>1.2</v>
      </c>
      <c r="D18" s="33">
        <v>45065</v>
      </c>
      <c r="E18" s="33">
        <v>45040</v>
      </c>
      <c r="F18" s="35" t="str">
        <v>Ordinary</v>
      </c>
      <c r="G18" s="11"/>
      <c r="H18" s="32"/>
      <c r="J18">
        <v>2019</v>
      </c>
      <c r="K18" s="58">
        <v>3.78</v>
      </c>
      <c r="M18">
        <v>2019</v>
      </c>
      <c r="N18" s="58">
        <v>3.78</v>
      </c>
      <c r="O18"/>
      <c r="P18"/>
      <c r="Q18"/>
      <c r="R18"/>
      <c r="S18"/>
      <c r="T18"/>
    </row>
    <row r="19" spans="2:20" ht="15" customHeight="1" x14ac:dyDescent="0.25">
      <c r="B19" s="33">
        <v>44945</v>
      </c>
      <c r="C19" s="34">
        <v>1.2</v>
      </c>
      <c r="D19" s="33">
        <v>44974</v>
      </c>
      <c r="E19" s="33">
        <v>44946</v>
      </c>
      <c r="F19" s="35" t="str">
        <v>Ordinary</v>
      </c>
      <c r="G19" s="11"/>
      <c r="H19" s="32"/>
      <c r="J19">
        <v>2018</v>
      </c>
      <c r="K19" s="58">
        <v>3.2800000000000002</v>
      </c>
      <c r="M19">
        <v>2018</v>
      </c>
      <c r="N19" s="58">
        <v>3.2800000000000002</v>
      </c>
      <c r="O19"/>
      <c r="P19"/>
      <c r="Q19"/>
      <c r="R19"/>
      <c r="S19"/>
      <c r="T19"/>
    </row>
    <row r="20" spans="2:20" ht="15" customHeight="1" x14ac:dyDescent="0.25">
      <c r="B20" s="33">
        <v>44855</v>
      </c>
      <c r="C20" s="34">
        <v>1.2</v>
      </c>
      <c r="D20" s="33">
        <v>44883</v>
      </c>
      <c r="E20" s="33">
        <v>44858</v>
      </c>
      <c r="F20" s="35" t="str">
        <v>Ordinary</v>
      </c>
      <c r="G20" s="11"/>
      <c r="H20" s="32"/>
      <c r="J20">
        <v>2017</v>
      </c>
      <c r="K20" s="58">
        <v>3.1</v>
      </c>
      <c r="M20">
        <v>2017</v>
      </c>
      <c r="N20" s="58">
        <v>3.1</v>
      </c>
      <c r="O20"/>
      <c r="P20"/>
      <c r="Q20"/>
      <c r="R20"/>
      <c r="S20"/>
      <c r="T20"/>
    </row>
    <row r="21" spans="2:20" ht="15" customHeight="1" x14ac:dyDescent="0.25">
      <c r="B21" s="33">
        <v>44761</v>
      </c>
      <c r="C21" s="34">
        <v>1.2</v>
      </c>
      <c r="D21" s="33">
        <v>44792</v>
      </c>
      <c r="E21" s="33">
        <v>44762</v>
      </c>
      <c r="F21" s="35" t="str">
        <v>Ordinary</v>
      </c>
      <c r="G21" s="11"/>
      <c r="H21" s="32"/>
      <c r="J21">
        <v>2016</v>
      </c>
      <c r="K21" s="58">
        <v>3.08</v>
      </c>
      <c r="M21">
        <v>2016</v>
      </c>
      <c r="N21" s="58">
        <v>3.08</v>
      </c>
      <c r="O21"/>
      <c r="P21"/>
      <c r="Q21"/>
      <c r="R21"/>
      <c r="S21"/>
      <c r="T21"/>
    </row>
    <row r="22" spans="2:20" ht="15" customHeight="1" x14ac:dyDescent="0.25">
      <c r="B22" s="33">
        <v>44673</v>
      </c>
      <c r="C22" s="34">
        <v>1.1100000000000001</v>
      </c>
      <c r="D22" s="33">
        <v>44701</v>
      </c>
      <c r="E22" s="33">
        <v>44676</v>
      </c>
      <c r="F22" s="35" t="str">
        <v>Ordinary</v>
      </c>
      <c r="G22" s="11"/>
      <c r="H22" s="32"/>
      <c r="J22">
        <v>2015</v>
      </c>
      <c r="K22" s="61">
        <v>2.9400000000000004</v>
      </c>
      <c r="M22">
        <v>2015</v>
      </c>
      <c r="N22" s="58">
        <v>2.9400000000000004</v>
      </c>
      <c r="O22"/>
      <c r="P22"/>
      <c r="Q22"/>
      <c r="R22"/>
      <c r="S22"/>
      <c r="T22"/>
    </row>
    <row r="23" spans="2:20" ht="15" customHeight="1" x14ac:dyDescent="0.25">
      <c r="B23" s="33">
        <v>44580</v>
      </c>
      <c r="C23" s="34">
        <v>1.1100000000000001</v>
      </c>
      <c r="D23" s="33">
        <v>44610</v>
      </c>
      <c r="E23" s="33">
        <v>44581</v>
      </c>
      <c r="F23" s="35" t="str">
        <v>Ordinary</v>
      </c>
      <c r="G23" s="11"/>
      <c r="H23" s="32"/>
      <c r="J23"/>
      <c r="K23" s="61"/>
      <c r="M23"/>
      <c r="N23" s="58"/>
      <c r="O23"/>
      <c r="P23"/>
      <c r="Q23"/>
      <c r="R23"/>
      <c r="S23"/>
      <c r="T23"/>
    </row>
    <row r="24" spans="2:20" ht="15" x14ac:dyDescent="0.25">
      <c r="B24" s="33">
        <v>44491</v>
      </c>
      <c r="C24" s="34">
        <v>1.1100000000000001</v>
      </c>
      <c r="D24" s="33">
        <v>44519</v>
      </c>
      <c r="E24" s="33">
        <v>44494</v>
      </c>
      <c r="F24" s="35" t="str">
        <v>Ordinary</v>
      </c>
      <c r="G24" s="11"/>
      <c r="H24" s="32"/>
      <c r="M24"/>
      <c r="N24"/>
      <c r="O24"/>
      <c r="P24"/>
      <c r="Q24"/>
      <c r="R24"/>
      <c r="S24"/>
      <c r="T24"/>
    </row>
    <row r="25" spans="2:20" ht="15" x14ac:dyDescent="0.25">
      <c r="B25" s="33">
        <v>44396</v>
      </c>
      <c r="C25" s="34">
        <v>1.1100000000000001</v>
      </c>
      <c r="D25" s="33">
        <v>44428</v>
      </c>
      <c r="E25" s="33">
        <v>44397</v>
      </c>
      <c r="F25" s="36" t="str">
        <v>Ordinary</v>
      </c>
      <c r="G25" s="35"/>
      <c r="H25" s="11"/>
      <c r="J25"/>
      <c r="K25"/>
      <c r="L25"/>
      <c r="M25"/>
      <c r="N25"/>
      <c r="O25"/>
      <c r="P25"/>
      <c r="Q25"/>
      <c r="R25"/>
      <c r="S25"/>
      <c r="T25"/>
    </row>
    <row r="26" spans="2:20" ht="15" x14ac:dyDescent="0.25">
      <c r="B26" s="33">
        <v>44309</v>
      </c>
      <c r="C26" s="34">
        <v>1.03</v>
      </c>
      <c r="D26" s="33">
        <v>44336</v>
      </c>
      <c r="E26" s="33">
        <v>44312</v>
      </c>
      <c r="F26" s="36" t="str">
        <v>Ordinary</v>
      </c>
      <c r="G26" s="35"/>
      <c r="H26" s="11"/>
      <c r="J26"/>
      <c r="K26"/>
      <c r="L26"/>
    </row>
    <row r="27" spans="2:20" ht="15" x14ac:dyDescent="0.25">
      <c r="B27" s="33">
        <v>44215</v>
      </c>
      <c r="C27" s="34">
        <v>1.03</v>
      </c>
      <c r="D27" s="33">
        <v>44246</v>
      </c>
      <c r="E27" s="33">
        <v>44216</v>
      </c>
      <c r="F27" s="36" t="str">
        <v>Ordinary</v>
      </c>
      <c r="G27" s="35"/>
      <c r="H27" s="11"/>
      <c r="J27"/>
      <c r="K27"/>
      <c r="L27"/>
    </row>
    <row r="28" spans="2:20" ht="15" x14ac:dyDescent="0.25">
      <c r="B28" s="33">
        <v>44127</v>
      </c>
      <c r="C28" s="34">
        <v>1.03</v>
      </c>
      <c r="D28" s="33">
        <v>44155</v>
      </c>
      <c r="E28" s="33">
        <v>44130</v>
      </c>
      <c r="F28" s="36" t="str">
        <v>Ordinary</v>
      </c>
      <c r="G28" s="35"/>
      <c r="H28" s="11"/>
      <c r="J28"/>
      <c r="K28"/>
      <c r="L28"/>
    </row>
    <row r="29" spans="2:20" ht="15" x14ac:dyDescent="0.25">
      <c r="B29" s="33">
        <v>44029</v>
      </c>
      <c r="C29" s="34">
        <v>1.03</v>
      </c>
      <c r="D29" s="33">
        <v>44063</v>
      </c>
      <c r="E29" s="33">
        <v>44032</v>
      </c>
      <c r="F29" s="36" t="str">
        <v>Ordinary</v>
      </c>
      <c r="G29" s="35"/>
      <c r="H29" s="11"/>
      <c r="J29"/>
      <c r="K29"/>
    </row>
    <row r="30" spans="2:20" ht="15" x14ac:dyDescent="0.25">
      <c r="B30" s="33">
        <v>43938</v>
      </c>
      <c r="C30" s="34">
        <v>1.03</v>
      </c>
      <c r="D30" s="33">
        <v>43971</v>
      </c>
      <c r="E30" s="33">
        <v>43941</v>
      </c>
      <c r="F30" s="36" t="str">
        <v>Ordinary</v>
      </c>
      <c r="G30" s="35"/>
      <c r="H30" s="11"/>
      <c r="J30"/>
      <c r="K30"/>
    </row>
    <row r="31" spans="2:20" ht="15" x14ac:dyDescent="0.25">
      <c r="B31" s="33">
        <v>43847</v>
      </c>
      <c r="C31" s="34">
        <v>1.03</v>
      </c>
      <c r="D31" s="33">
        <v>43881</v>
      </c>
      <c r="E31" s="33">
        <v>43851</v>
      </c>
      <c r="F31" s="36" t="str">
        <v>Ordinary</v>
      </c>
      <c r="G31" s="35"/>
      <c r="H31" s="11"/>
      <c r="J31"/>
      <c r="K31"/>
    </row>
    <row r="32" spans="2:20" ht="15" x14ac:dyDescent="0.25">
      <c r="B32" s="33">
        <v>43756</v>
      </c>
      <c r="C32" s="34">
        <v>1.03</v>
      </c>
      <c r="D32" s="33">
        <v>43789</v>
      </c>
      <c r="E32" s="33">
        <v>43759</v>
      </c>
      <c r="F32" s="36" t="str">
        <v>Ordinary</v>
      </c>
      <c r="G32" s="35"/>
      <c r="H32" s="11"/>
      <c r="J32"/>
      <c r="K32"/>
    </row>
    <row r="33" spans="2:11" ht="15" x14ac:dyDescent="0.25">
      <c r="B33" s="33">
        <v>43665</v>
      </c>
      <c r="C33" s="34">
        <v>1.03</v>
      </c>
      <c r="D33" s="33">
        <v>43697</v>
      </c>
      <c r="E33" s="33">
        <v>43668</v>
      </c>
      <c r="F33" s="36" t="str">
        <v>Ordinary</v>
      </c>
      <c r="G33" s="35"/>
      <c r="H33" s="11"/>
      <c r="J33"/>
      <c r="K33"/>
    </row>
    <row r="34" spans="2:11" ht="15" x14ac:dyDescent="0.25">
      <c r="B34" s="33">
        <v>43573</v>
      </c>
      <c r="C34" s="34">
        <v>0.86</v>
      </c>
      <c r="D34" s="33">
        <v>43605</v>
      </c>
      <c r="E34" s="33">
        <v>43577</v>
      </c>
      <c r="F34" s="36" t="str">
        <v>Ordinary</v>
      </c>
      <c r="G34" s="35"/>
      <c r="H34" s="11"/>
      <c r="J34"/>
      <c r="K34"/>
    </row>
    <row r="35" spans="2:11" ht="15" x14ac:dyDescent="0.25">
      <c r="B35" s="33">
        <v>43483</v>
      </c>
      <c r="C35" s="34">
        <v>0.86</v>
      </c>
      <c r="D35" s="33">
        <v>43516</v>
      </c>
      <c r="E35" s="33">
        <v>43487</v>
      </c>
      <c r="F35" s="36" t="str">
        <v>Ordinary</v>
      </c>
      <c r="G35" s="35"/>
      <c r="H35" s="11"/>
      <c r="J35"/>
      <c r="K35"/>
    </row>
    <row r="36" spans="2:11" ht="15" x14ac:dyDescent="0.25">
      <c r="B36" s="33">
        <v>43392</v>
      </c>
      <c r="C36" s="34">
        <v>0.86</v>
      </c>
      <c r="D36" s="33">
        <v>43424</v>
      </c>
      <c r="E36" s="33">
        <v>43395</v>
      </c>
      <c r="F36" s="36" t="str">
        <v>Ordinary</v>
      </c>
      <c r="G36" s="35"/>
      <c r="H36" s="11"/>
      <c r="J36"/>
      <c r="K36"/>
    </row>
    <row r="37" spans="2:11" ht="15" customHeight="1" x14ac:dyDescent="0.25">
      <c r="B37" s="33">
        <v>43300</v>
      </c>
      <c r="C37" s="34">
        <v>0.86</v>
      </c>
      <c r="D37" s="33">
        <v>43332</v>
      </c>
      <c r="E37" s="33">
        <v>43301</v>
      </c>
      <c r="F37" s="36" t="str">
        <v>Ordinary</v>
      </c>
      <c r="G37" s="35"/>
      <c r="H37" s="11"/>
      <c r="J37"/>
      <c r="K37"/>
    </row>
    <row r="38" spans="2:11" ht="15" customHeight="1" x14ac:dyDescent="0.25">
      <c r="B38" s="33">
        <v>43210</v>
      </c>
      <c r="C38" s="34">
        <v>0.78</v>
      </c>
      <c r="D38" s="33">
        <v>43239</v>
      </c>
      <c r="E38" s="33">
        <v>43213</v>
      </c>
      <c r="F38" s="36" t="str">
        <v>Ordinary</v>
      </c>
      <c r="G38" s="35"/>
      <c r="H38" s="11"/>
      <c r="J38"/>
      <c r="K38"/>
    </row>
    <row r="39" spans="2:11" ht="15" customHeight="1" x14ac:dyDescent="0.25">
      <c r="B39" s="33">
        <v>43119</v>
      </c>
      <c r="C39" s="34">
        <v>0.78</v>
      </c>
      <c r="D39" s="33">
        <v>43151</v>
      </c>
      <c r="E39" s="33">
        <v>43122</v>
      </c>
      <c r="F39" s="36" t="str">
        <v>Ordinary</v>
      </c>
      <c r="G39" s="35"/>
      <c r="H39" s="11"/>
      <c r="J39"/>
      <c r="K39"/>
    </row>
    <row r="40" spans="2:11" ht="15" customHeight="1" x14ac:dyDescent="0.25">
      <c r="B40" s="33">
        <v>43028</v>
      </c>
      <c r="C40" s="34">
        <v>0.78</v>
      </c>
      <c r="D40" s="33">
        <v>43059</v>
      </c>
      <c r="E40" s="33">
        <v>43031</v>
      </c>
      <c r="F40" s="36" t="str">
        <v>Ordinary</v>
      </c>
      <c r="G40" s="35"/>
      <c r="H40" s="11"/>
      <c r="J40"/>
      <c r="K40"/>
    </row>
    <row r="41" spans="2:11" ht="15" customHeight="1" x14ac:dyDescent="0.25">
      <c r="B41" s="33">
        <v>42934</v>
      </c>
      <c r="C41" s="34">
        <v>0.78</v>
      </c>
      <c r="D41" s="33">
        <v>42966</v>
      </c>
      <c r="E41" s="33">
        <v>42936</v>
      </c>
      <c r="F41" s="36" t="str">
        <v>Ordinary</v>
      </c>
      <c r="G41" s="35"/>
      <c r="H41" s="11"/>
      <c r="J41"/>
      <c r="K41"/>
    </row>
    <row r="42" spans="2:11" ht="15" customHeight="1" x14ac:dyDescent="0.25">
      <c r="B42" s="33">
        <v>42845</v>
      </c>
      <c r="C42" s="34">
        <v>0.77</v>
      </c>
      <c r="D42" s="33">
        <v>42875</v>
      </c>
      <c r="E42" s="33">
        <v>42849</v>
      </c>
      <c r="F42" s="36" t="str">
        <v>Ordinary</v>
      </c>
      <c r="G42" s="35"/>
      <c r="H42" s="11"/>
      <c r="J42"/>
      <c r="K42"/>
    </row>
    <row r="43" spans="2:11" ht="15" customHeight="1" x14ac:dyDescent="0.25">
      <c r="B43" s="33">
        <v>42753</v>
      </c>
      <c r="C43" s="34">
        <v>0.77</v>
      </c>
      <c r="D43" s="33">
        <v>42784</v>
      </c>
      <c r="E43" s="33">
        <v>42755</v>
      </c>
      <c r="F43" s="36" t="str">
        <v>Ordinary</v>
      </c>
      <c r="G43" s="35"/>
      <c r="H43" s="11"/>
      <c r="J43"/>
      <c r="K43"/>
    </row>
    <row r="44" spans="2:11" ht="15" customHeight="1" x14ac:dyDescent="0.25">
      <c r="B44" s="33">
        <v>42663</v>
      </c>
      <c r="C44" s="34">
        <v>0.77</v>
      </c>
      <c r="D44" s="33">
        <v>42693</v>
      </c>
      <c r="E44" s="33">
        <v>42667</v>
      </c>
      <c r="F44" s="36" t="str">
        <v>Ordinary</v>
      </c>
      <c r="G44" s="35"/>
      <c r="H44" s="11"/>
      <c r="J44"/>
      <c r="K44"/>
    </row>
    <row r="45" spans="2:11" ht="15" customHeight="1" x14ac:dyDescent="0.25">
      <c r="B45" s="33">
        <v>42569</v>
      </c>
      <c r="C45" s="34">
        <v>0.77</v>
      </c>
      <c r="D45" s="33">
        <v>42602</v>
      </c>
      <c r="E45" s="33">
        <v>42571</v>
      </c>
      <c r="F45" s="36" t="str">
        <v>Ordinary</v>
      </c>
      <c r="G45" s="35"/>
      <c r="H45" s="11"/>
      <c r="J45"/>
      <c r="K45"/>
    </row>
    <row r="46" spans="2:11" ht="15" customHeight="1" x14ac:dyDescent="0.25">
      <c r="B46" s="33">
        <v>42481</v>
      </c>
      <c r="C46" s="34">
        <v>0.77</v>
      </c>
      <c r="D46" s="33">
        <v>42510</v>
      </c>
      <c r="E46" s="33">
        <v>42485</v>
      </c>
      <c r="F46" s="36" t="str">
        <v>Ordinary</v>
      </c>
      <c r="G46" s="35"/>
      <c r="H46" s="11"/>
      <c r="J46"/>
      <c r="K46"/>
    </row>
    <row r="47" spans="2:11" ht="15" customHeight="1" x14ac:dyDescent="0.25">
      <c r="B47" s="33">
        <v>42384</v>
      </c>
      <c r="C47" s="34">
        <v>0.77</v>
      </c>
      <c r="D47" s="33">
        <v>42420</v>
      </c>
      <c r="E47" s="33">
        <v>42389</v>
      </c>
      <c r="F47" s="36" t="str">
        <v>Ordinary</v>
      </c>
      <c r="G47" s="35"/>
      <c r="H47" s="11"/>
      <c r="J47"/>
      <c r="K47"/>
    </row>
    <row r="48" spans="2:11" ht="15" customHeight="1" x14ac:dyDescent="0.25">
      <c r="B48" s="33">
        <v>42299</v>
      </c>
      <c r="C48" s="34">
        <v>0.77</v>
      </c>
      <c r="D48" s="33">
        <v>42328</v>
      </c>
      <c r="E48" s="33">
        <v>42303</v>
      </c>
      <c r="F48" s="36" t="str">
        <v>Ordinary</v>
      </c>
      <c r="G48" s="35"/>
      <c r="H48" s="11"/>
      <c r="J48"/>
      <c r="K48"/>
    </row>
    <row r="49" spans="2:11" ht="15" customHeight="1" x14ac:dyDescent="0.25">
      <c r="B49" s="33">
        <v>42201</v>
      </c>
      <c r="C49" s="34">
        <v>0.77</v>
      </c>
      <c r="D49" s="33">
        <v>42236</v>
      </c>
      <c r="E49" s="33">
        <v>42205</v>
      </c>
      <c r="F49" s="36" t="str">
        <v>Ordinary</v>
      </c>
      <c r="G49" s="35"/>
      <c r="H49" s="11"/>
      <c r="J49"/>
      <c r="K49"/>
    </row>
    <row r="50" spans="2:11" ht="15" customHeight="1" x14ac:dyDescent="0.25">
      <c r="B50" s="33">
        <v>42110</v>
      </c>
      <c r="C50" s="34">
        <v>0.7</v>
      </c>
      <c r="D50" s="33">
        <v>42144</v>
      </c>
      <c r="E50" s="33">
        <v>42114</v>
      </c>
      <c r="F50" s="36" t="str">
        <v>Ordinary</v>
      </c>
      <c r="G50" s="35"/>
      <c r="H50" s="11"/>
      <c r="J50"/>
      <c r="K50"/>
    </row>
    <row r="51" spans="2:11" ht="15" customHeight="1" x14ac:dyDescent="0.25">
      <c r="B51" s="33">
        <v>42019</v>
      </c>
      <c r="C51" s="34">
        <v>0.7</v>
      </c>
      <c r="D51" s="33">
        <v>42055</v>
      </c>
      <c r="E51" s="33">
        <v>42024</v>
      </c>
      <c r="F51" s="36" t="str">
        <v>Ordinary</v>
      </c>
      <c r="G51" s="35"/>
      <c r="H51" s="11"/>
      <c r="J51"/>
      <c r="K51"/>
    </row>
    <row r="52" spans="2:11" ht="15" customHeight="1" x14ac:dyDescent="0.2">
      <c r="B52" s="33"/>
      <c r="C52" s="34"/>
      <c r="D52" s="33"/>
      <c r="E52" s="33"/>
      <c r="F52" s="36"/>
      <c r="G52" s="35"/>
      <c r="H52" s="35"/>
    </row>
    <row r="53" spans="2:11" ht="15" customHeight="1" x14ac:dyDescent="0.2">
      <c r="B53" s="33"/>
      <c r="C53" s="34"/>
      <c r="D53" s="33"/>
      <c r="E53" s="33"/>
      <c r="F53" s="36"/>
      <c r="G53" s="35"/>
      <c r="H53" s="35"/>
    </row>
    <row r="54" spans="2:11" ht="15" customHeight="1" x14ac:dyDescent="0.2">
      <c r="B54" s="33"/>
      <c r="C54" s="34"/>
      <c r="D54" s="33"/>
      <c r="E54" s="33"/>
      <c r="F54" s="36"/>
      <c r="G54" s="35"/>
      <c r="H54" s="35"/>
    </row>
    <row r="55" spans="2:11" x14ac:dyDescent="0.2">
      <c r="B55" s="33"/>
      <c r="C55" s="34"/>
      <c r="D55" s="33"/>
      <c r="E55" s="33"/>
      <c r="F55" s="36"/>
      <c r="G55" s="35"/>
      <c r="H55" s="35"/>
    </row>
    <row r="56" spans="2:11" x14ac:dyDescent="0.2">
      <c r="B56" s="33"/>
      <c r="C56" s="34"/>
      <c r="D56" s="33"/>
      <c r="E56" s="33"/>
      <c r="F56" s="36"/>
      <c r="G56" s="35"/>
      <c r="H56" s="38"/>
    </row>
    <row r="57" spans="2:11" x14ac:dyDescent="0.2">
      <c r="B57" s="33"/>
      <c r="C57" s="34"/>
      <c r="D57" s="33"/>
      <c r="E57" s="33"/>
      <c r="F57" s="36"/>
      <c r="G57" s="35"/>
      <c r="H57" s="38"/>
    </row>
    <row r="58" spans="2:11" x14ac:dyDescent="0.2">
      <c r="B58" s="33"/>
      <c r="C58" s="34"/>
      <c r="D58" s="33"/>
      <c r="E58" s="33"/>
      <c r="F58" s="36"/>
      <c r="G58" s="35"/>
      <c r="H58" s="38"/>
    </row>
    <row r="59" spans="2:11" x14ac:dyDescent="0.2">
      <c r="B59" s="33"/>
      <c r="C59" s="34"/>
      <c r="D59" s="33"/>
      <c r="E59" s="33"/>
      <c r="F59" s="36"/>
      <c r="G59" s="35"/>
      <c r="H59" s="38"/>
    </row>
    <row r="60" spans="2:11" x14ac:dyDescent="0.2">
      <c r="B60" s="33"/>
      <c r="C60" s="34"/>
      <c r="D60" s="33"/>
      <c r="E60" s="33"/>
      <c r="F60" s="36"/>
      <c r="G60" s="35"/>
      <c r="H60" s="38"/>
    </row>
  </sheetData>
  <mergeCells count="2">
    <mergeCell ref="J10:K10"/>
    <mergeCell ref="M10:N10"/>
  </mergeCells>
  <conditionalFormatting sqref="F11:F24 B11:E60">
    <cfRule type="expression" dxfId="4" priority="1">
      <formula>AND(MOD(ROW(),2)=0,LEN(B$10)&gt;0,LEN($B11)&gt;0)</formula>
    </cfRule>
  </conditionalFormatting>
  <conditionalFormatting sqref="F25:F60">
    <cfRule type="expression" dxfId="3" priority="5">
      <formula>AND(MOD(ROW(),2)=0,LEN(#REF!)&gt;0,LEN($B25)&gt;0)</formula>
    </cfRule>
  </conditionalFormatting>
  <conditionalFormatting sqref="G25:G51 G52:H60">
    <cfRule type="expression" dxfId="2" priority="4">
      <formula>AND(MOD(ROW(),2)=0,LEN(F$10)&gt;0,LEN($B25)&gt;0)</formula>
    </cfRule>
  </conditionalFormatting>
  <dataValidations disablePrompts="1" count="3">
    <dataValidation type="list" allowBlank="1" showInputMessage="1" showErrorMessage="1" sqref="G7" xr:uid="{7B9E30A5-4735-423E-A189-222D5669DC22}">
      <formula1>"Split Adjusted, Not Split Adjusted"</formula1>
    </dataValidation>
    <dataValidation allowBlank="1" showInputMessage="1" showErrorMessage="1" prompt="CAN suffix will aggregate across All Canadian Exchanges." sqref="B6 B8:B9 F6" xr:uid="{4517DF94-8CEF-48D2-8AFA-3C7937E07F15}"/>
    <dataValidation type="list" allowBlank="1" showInputMessage="1" showErrorMessage="1" sqref="G6" xr:uid="{F6A18BD1-818C-4CD9-9232-057D03C98782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EE35-44F2-465E-9DC2-4FA64A80C2B3}">
  <dimension ref="A1:N42"/>
  <sheetViews>
    <sheetView workbookViewId="0">
      <selection activeCell="H2" sqref="H2"/>
    </sheetView>
  </sheetViews>
  <sheetFormatPr defaultRowHeight="15" x14ac:dyDescent="0.25"/>
  <cols>
    <col min="1" max="1" width="13.42578125" style="60" customWidth="1"/>
    <col min="3" max="3" width="14" customWidth="1"/>
    <col min="4" max="4" width="12.140625" customWidth="1"/>
    <col min="8" max="8" width="13.28515625" customWidth="1"/>
    <col min="9" max="9" width="18.140625" customWidth="1"/>
    <col min="11" max="11" width="13" customWidth="1"/>
    <col min="12" max="12" width="12.42578125" customWidth="1"/>
  </cols>
  <sheetData>
    <row r="1" spans="1:14" ht="24" x14ac:dyDescent="0.25">
      <c r="A1" s="59" t="s">
        <v>11</v>
      </c>
      <c r="B1" s="31" t="s">
        <v>12</v>
      </c>
      <c r="C1" s="31" t="s">
        <v>13</v>
      </c>
      <c r="D1" s="31" t="s">
        <v>14</v>
      </c>
      <c r="E1" s="31" t="s">
        <v>15</v>
      </c>
      <c r="H1" s="31" t="e" cm="1" vm="2">
        <f t="array" aca="1" ref="H1:I12" ca="1">_xlfn.GROUPBY(YEAR(A:A),B:B,_xleta.SUM,3,0,-1,A:A&lt;&gt;"")</f>
        <v>#VALUE!</v>
      </c>
      <c r="I1" s="31" t="str">
        <f ca="1"/>
        <v>Dividend Amount</v>
      </c>
      <c r="K1" t="str" cm="1">
        <f t="array" aca="1" ref="K1:L12" ca="1">_xlfn.PIVOTBY(YEAR(A2:A41),E2:E41,B2:B41,_xleta.SUM,,0,-1,0,,,)</f>
        <v/>
      </c>
      <c r="L1" t="str">
        <f ca="1"/>
        <v>Ordinary</v>
      </c>
    </row>
    <row r="2" spans="1:14" x14ac:dyDescent="0.25">
      <c r="A2" s="33" cm="1">
        <f t="array" aca="1" ref="A2:A42" ca="1">_xll.FDSC("",Identifier,"Julian(FCA_EVENT_DATE_R("&amp;End_Date&amp;","&amp;Start_Date&amp;",,""CASH_DIST"",""EXDATE"",,,'"&amp;$H$6&amp;"'))")</f>
        <v>45678</v>
      </c>
      <c r="B2" s="34" cm="1">
        <f t="array" aca="1" ref="B2:B42" ca="1">_xll.FDSC("",Identifier,"FCA_EVENT_AMOUNT_R("&amp;End_Date&amp;","&amp;Start_Date&amp;",,"&amp;Currency&amp;",""CASH_DIST"",""AMT_DEF"",,"&amp;$H$7&amp;",,'"&amp;$H$6&amp;"')")</f>
        <v>1.41</v>
      </c>
      <c r="C2" s="33" cm="1">
        <f t="array" aca="1" ref="C2:C42" ca="1">_xll.FDSC("",Identifier,"Julian(FCA_EVENT_DATE_R("&amp;End_Date&amp;","&amp;Start_Date&amp;",,""CASH_DIST"",""PAYDATE"",,,'"&amp;$H$6&amp;"'))")</f>
        <v>45708</v>
      </c>
      <c r="D2" s="33" cm="1">
        <f t="array" aca="1" ref="D2:D42" ca="1">_xll.FDSC("",Identifier,"JULIAN(FCA_EVENT_DATE_R("&amp;End_Date&amp;","&amp;Start_Date&amp;",,""CASH_DIST"",""RECDATE"",,,'"&amp;$H$6&amp;"'))")</f>
        <v>45678</v>
      </c>
      <c r="E2" s="37" t="str" cm="1">
        <f t="array" aca="1" ref="E2:E42" ca="1">_xll.FDSB(Identifier,"FCA_DIVIDEND_TYPE_R("&amp;End_Date&amp;","&amp;Start_Date&amp;",,""CASH_DIST"",""DIVTYPE_TEXT"",,'"&amp;$H$6&amp;"') ")</f>
        <v>Ordinary</v>
      </c>
      <c r="H2">
        <f ca="1"/>
        <v>2025</v>
      </c>
      <c r="I2" s="58">
        <f ca="1"/>
        <v>1.41</v>
      </c>
      <c r="K2">
        <f ca="1"/>
        <v>2025</v>
      </c>
      <c r="L2" s="58">
        <f ca="1"/>
        <v>1.41</v>
      </c>
      <c r="M2" s="58"/>
      <c r="N2" s="58"/>
    </row>
    <row r="3" spans="1:14" x14ac:dyDescent="0.25">
      <c r="A3" s="33">
        <f ca="1"/>
        <v>45586</v>
      </c>
      <c r="B3" s="34">
        <f ca="1"/>
        <v>1.41</v>
      </c>
      <c r="C3" s="33">
        <f ca="1"/>
        <v>45616</v>
      </c>
      <c r="D3" s="33">
        <f ca="1"/>
        <v>45586</v>
      </c>
      <c r="E3" s="37" t="str">
        <f ca="1"/>
        <v>Ordinary</v>
      </c>
      <c r="H3">
        <f ca="1"/>
        <v>2024</v>
      </c>
      <c r="I3" s="58">
        <f ca="1"/>
        <v>5.42</v>
      </c>
      <c r="K3">
        <f ca="1"/>
        <v>2024</v>
      </c>
      <c r="L3" s="58">
        <f ca="1"/>
        <v>5.42</v>
      </c>
      <c r="M3" s="58"/>
      <c r="N3" s="58"/>
    </row>
    <row r="4" spans="1:14" x14ac:dyDescent="0.25">
      <c r="A4" s="33">
        <f ca="1"/>
        <v>45495</v>
      </c>
      <c r="B4" s="34">
        <f ca="1"/>
        <v>1.41</v>
      </c>
      <c r="C4" s="33">
        <f ca="1"/>
        <v>45524</v>
      </c>
      <c r="D4" s="33">
        <f ca="1"/>
        <v>45495</v>
      </c>
      <c r="E4" s="37" t="str">
        <f ca="1"/>
        <v>Ordinary</v>
      </c>
      <c r="H4">
        <f ca="1"/>
        <v>2023</v>
      </c>
      <c r="I4" s="58">
        <f ca="1"/>
        <v>5</v>
      </c>
      <c r="K4">
        <f ca="1"/>
        <v>2023</v>
      </c>
      <c r="L4" s="58">
        <f ca="1"/>
        <v>5</v>
      </c>
      <c r="M4" s="58"/>
      <c r="N4" s="58"/>
    </row>
    <row r="5" spans="1:14" x14ac:dyDescent="0.25">
      <c r="A5" s="33">
        <f ca="1"/>
        <v>45401</v>
      </c>
      <c r="B5" s="34">
        <f ca="1"/>
        <v>1.3</v>
      </c>
      <c r="C5" s="33">
        <f ca="1"/>
        <v>45432</v>
      </c>
      <c r="D5" s="33">
        <f ca="1"/>
        <v>45404</v>
      </c>
      <c r="E5" s="37" t="str">
        <f ca="1"/>
        <v>Ordinary</v>
      </c>
      <c r="H5">
        <f ca="1"/>
        <v>2022</v>
      </c>
      <c r="I5" s="58">
        <f ca="1"/>
        <v>4.62</v>
      </c>
      <c r="K5">
        <f ca="1"/>
        <v>2022</v>
      </c>
      <c r="L5" s="58">
        <f ca="1"/>
        <v>4.62</v>
      </c>
      <c r="M5" s="58"/>
      <c r="N5" s="58"/>
    </row>
    <row r="6" spans="1:14" x14ac:dyDescent="0.25">
      <c r="A6" s="33">
        <f ca="1"/>
        <v>45310</v>
      </c>
      <c r="B6" s="34">
        <f ca="1"/>
        <v>1.3</v>
      </c>
      <c r="C6" s="33">
        <f ca="1"/>
        <v>45342</v>
      </c>
      <c r="D6" s="33">
        <f ca="1"/>
        <v>45313</v>
      </c>
      <c r="E6" s="35" t="str">
        <f ca="1"/>
        <v>Ordinary</v>
      </c>
      <c r="H6">
        <f ca="1"/>
        <v>2021</v>
      </c>
      <c r="I6" s="58">
        <f ca="1"/>
        <v>4.28</v>
      </c>
      <c r="K6">
        <f ca="1"/>
        <v>2021</v>
      </c>
      <c r="L6" s="58">
        <f ca="1"/>
        <v>4.28</v>
      </c>
      <c r="M6" s="58"/>
      <c r="N6" s="58"/>
    </row>
    <row r="7" spans="1:14" x14ac:dyDescent="0.25">
      <c r="A7" s="33">
        <f ca="1"/>
        <v>45219</v>
      </c>
      <c r="B7" s="34">
        <f ca="1"/>
        <v>1.3</v>
      </c>
      <c r="C7" s="33">
        <f ca="1"/>
        <v>45250</v>
      </c>
      <c r="D7" s="33">
        <f ca="1"/>
        <v>45222</v>
      </c>
      <c r="E7" s="35" t="str">
        <f ca="1"/>
        <v>Ordinary</v>
      </c>
      <c r="H7">
        <f ca="1"/>
        <v>2020</v>
      </c>
      <c r="I7" s="58">
        <f ca="1"/>
        <v>4.12</v>
      </c>
      <c r="K7">
        <f ca="1"/>
        <v>2020</v>
      </c>
      <c r="L7" s="58">
        <f ca="1"/>
        <v>4.12</v>
      </c>
      <c r="M7" s="58"/>
      <c r="N7" s="58"/>
    </row>
    <row r="8" spans="1:14" x14ac:dyDescent="0.25">
      <c r="A8" s="33">
        <f ca="1"/>
        <v>45126</v>
      </c>
      <c r="B8" s="34">
        <f ca="1"/>
        <v>1.3</v>
      </c>
      <c r="C8" s="33">
        <f ca="1"/>
        <v>45156</v>
      </c>
      <c r="D8" s="33">
        <f ca="1"/>
        <v>45127</v>
      </c>
      <c r="E8" s="35" t="str">
        <f ca="1"/>
        <v>Ordinary</v>
      </c>
      <c r="H8">
        <f ca="1"/>
        <v>2019</v>
      </c>
      <c r="I8" s="58">
        <f ca="1"/>
        <v>3.78</v>
      </c>
      <c r="K8">
        <f ca="1"/>
        <v>2019</v>
      </c>
      <c r="L8" s="58">
        <f ca="1"/>
        <v>3.78</v>
      </c>
      <c r="M8" s="58"/>
      <c r="N8" s="58"/>
    </row>
    <row r="9" spans="1:14" x14ac:dyDescent="0.25">
      <c r="A9" s="33">
        <f ca="1"/>
        <v>45037</v>
      </c>
      <c r="B9" s="34">
        <f ca="1"/>
        <v>1.2</v>
      </c>
      <c r="C9" s="33">
        <f ca="1"/>
        <v>45065</v>
      </c>
      <c r="D9" s="33">
        <f ca="1"/>
        <v>45040</v>
      </c>
      <c r="E9" s="35" t="str">
        <f ca="1"/>
        <v>Ordinary</v>
      </c>
      <c r="H9">
        <f ca="1"/>
        <v>2018</v>
      </c>
      <c r="I9" s="58">
        <f ca="1"/>
        <v>3.2800000000000002</v>
      </c>
      <c r="K9">
        <f ca="1"/>
        <v>2018</v>
      </c>
      <c r="L9" s="58">
        <f ca="1"/>
        <v>3.2800000000000002</v>
      </c>
      <c r="M9" s="58"/>
      <c r="N9" s="58"/>
    </row>
    <row r="10" spans="1:14" x14ac:dyDescent="0.25">
      <c r="A10" s="33">
        <f ca="1"/>
        <v>44945</v>
      </c>
      <c r="B10" s="34">
        <f ca="1"/>
        <v>1.2</v>
      </c>
      <c r="C10" s="33">
        <f ca="1"/>
        <v>44974</v>
      </c>
      <c r="D10" s="33">
        <f ca="1"/>
        <v>44946</v>
      </c>
      <c r="E10" s="35" t="str">
        <f ca="1"/>
        <v>Ordinary</v>
      </c>
      <c r="H10">
        <f ca="1"/>
        <v>2017</v>
      </c>
      <c r="I10" s="58">
        <f ca="1"/>
        <v>3.1</v>
      </c>
      <c r="K10">
        <f ca="1"/>
        <v>2017</v>
      </c>
      <c r="L10" s="58">
        <f ca="1"/>
        <v>3.1</v>
      </c>
      <c r="M10" s="58"/>
      <c r="N10" s="58"/>
    </row>
    <row r="11" spans="1:14" x14ac:dyDescent="0.25">
      <c r="A11" s="33">
        <f ca="1"/>
        <v>44855</v>
      </c>
      <c r="B11" s="34">
        <f ca="1"/>
        <v>1.2</v>
      </c>
      <c r="C11" s="33">
        <f ca="1"/>
        <v>44883</v>
      </c>
      <c r="D11" s="33">
        <f ca="1"/>
        <v>44858</v>
      </c>
      <c r="E11" s="35" t="str">
        <f ca="1"/>
        <v>Ordinary</v>
      </c>
      <c r="H11">
        <f ca="1"/>
        <v>2016</v>
      </c>
      <c r="I11" s="58">
        <f ca="1"/>
        <v>3.08</v>
      </c>
      <c r="K11">
        <f ca="1"/>
        <v>2016</v>
      </c>
      <c r="L11" s="58">
        <f ca="1"/>
        <v>3.08</v>
      </c>
      <c r="M11" s="58"/>
      <c r="N11" s="58"/>
    </row>
    <row r="12" spans="1:14" x14ac:dyDescent="0.25">
      <c r="A12" s="33">
        <f ca="1"/>
        <v>44761</v>
      </c>
      <c r="B12" s="34">
        <f ca="1"/>
        <v>1.2</v>
      </c>
      <c r="C12" s="33">
        <f ca="1"/>
        <v>44792</v>
      </c>
      <c r="D12" s="33">
        <f ca="1"/>
        <v>44762</v>
      </c>
      <c r="E12" s="35" t="str">
        <f ca="1"/>
        <v>Ordinary</v>
      </c>
      <c r="H12">
        <f ca="1"/>
        <v>2015</v>
      </c>
      <c r="I12" s="61">
        <f ca="1"/>
        <v>2.9400000000000004</v>
      </c>
      <c r="K12">
        <f ca="1"/>
        <v>2015</v>
      </c>
      <c r="L12" s="58">
        <f ca="1"/>
        <v>2.2400000000000002</v>
      </c>
      <c r="M12" s="58"/>
      <c r="N12" s="58"/>
    </row>
    <row r="13" spans="1:14" x14ac:dyDescent="0.25">
      <c r="A13" s="33">
        <f ca="1"/>
        <v>44673</v>
      </c>
      <c r="B13" s="34">
        <f ca="1"/>
        <v>1.1100000000000001</v>
      </c>
      <c r="C13" s="33">
        <f ca="1"/>
        <v>44701</v>
      </c>
      <c r="D13" s="33">
        <f ca="1"/>
        <v>44676</v>
      </c>
      <c r="E13" s="35" t="str">
        <f ca="1"/>
        <v>Ordinary</v>
      </c>
      <c r="L13" s="58"/>
      <c r="M13" s="58"/>
      <c r="N13" s="58"/>
    </row>
    <row r="14" spans="1:14" x14ac:dyDescent="0.25">
      <c r="A14" s="33">
        <f ca="1"/>
        <v>44580</v>
      </c>
      <c r="B14" s="34">
        <f ca="1"/>
        <v>1.1100000000000001</v>
      </c>
      <c r="C14" s="33">
        <f ca="1"/>
        <v>44610</v>
      </c>
      <c r="D14" s="33">
        <f ca="1"/>
        <v>44581</v>
      </c>
      <c r="E14" s="35" t="str">
        <f ca="1"/>
        <v>Ordinary</v>
      </c>
    </row>
    <row r="15" spans="1:14" x14ac:dyDescent="0.25">
      <c r="A15" s="33">
        <f ca="1"/>
        <v>44491</v>
      </c>
      <c r="B15" s="34">
        <f ca="1"/>
        <v>1.1100000000000001</v>
      </c>
      <c r="C15" s="33">
        <f ca="1"/>
        <v>44519</v>
      </c>
      <c r="D15" s="33">
        <f ca="1"/>
        <v>44494</v>
      </c>
      <c r="E15" s="35" t="str">
        <f ca="1"/>
        <v>Ordinary</v>
      </c>
    </row>
    <row r="16" spans="1:14" x14ac:dyDescent="0.25">
      <c r="A16" s="33">
        <f ca="1"/>
        <v>44396</v>
      </c>
      <c r="B16" s="34">
        <f ca="1"/>
        <v>1.1100000000000001</v>
      </c>
      <c r="C16" s="33">
        <f ca="1"/>
        <v>44428</v>
      </c>
      <c r="D16" s="33">
        <f ca="1"/>
        <v>44397</v>
      </c>
      <c r="E16" s="36" t="str">
        <f ca="1"/>
        <v>Ordinary</v>
      </c>
    </row>
    <row r="17" spans="1:5" x14ac:dyDescent="0.25">
      <c r="A17" s="33">
        <f ca="1"/>
        <v>44309</v>
      </c>
      <c r="B17" s="34">
        <f ca="1"/>
        <v>1.03</v>
      </c>
      <c r="C17" s="33">
        <f ca="1"/>
        <v>44336</v>
      </c>
      <c r="D17" s="33">
        <f ca="1"/>
        <v>44312</v>
      </c>
      <c r="E17" s="36" t="str">
        <f ca="1"/>
        <v>Ordinary</v>
      </c>
    </row>
    <row r="18" spans="1:5" x14ac:dyDescent="0.25">
      <c r="A18" s="33">
        <f ca="1"/>
        <v>44215</v>
      </c>
      <c r="B18" s="34">
        <f ca="1"/>
        <v>1.03</v>
      </c>
      <c r="C18" s="33">
        <f ca="1"/>
        <v>44246</v>
      </c>
      <c r="D18" s="33">
        <f ca="1"/>
        <v>44216</v>
      </c>
      <c r="E18" s="36" t="str">
        <f ca="1"/>
        <v>Ordinary</v>
      </c>
    </row>
    <row r="19" spans="1:5" x14ac:dyDescent="0.25">
      <c r="A19" s="33">
        <f ca="1"/>
        <v>44127</v>
      </c>
      <c r="B19" s="34">
        <f ca="1"/>
        <v>1.03</v>
      </c>
      <c r="C19" s="33">
        <f ca="1"/>
        <v>44155</v>
      </c>
      <c r="D19" s="33">
        <f ca="1"/>
        <v>44130</v>
      </c>
      <c r="E19" s="36" t="str">
        <f ca="1"/>
        <v>Ordinary</v>
      </c>
    </row>
    <row r="20" spans="1:5" x14ac:dyDescent="0.25">
      <c r="A20" s="33">
        <f ca="1"/>
        <v>44029</v>
      </c>
      <c r="B20" s="34">
        <f ca="1"/>
        <v>1.03</v>
      </c>
      <c r="C20" s="33">
        <f ca="1"/>
        <v>44063</v>
      </c>
      <c r="D20" s="33">
        <f ca="1"/>
        <v>44032</v>
      </c>
      <c r="E20" s="36" t="str">
        <f ca="1"/>
        <v>Ordinary</v>
      </c>
    </row>
    <row r="21" spans="1:5" x14ac:dyDescent="0.25">
      <c r="A21" s="33">
        <f ca="1"/>
        <v>43938</v>
      </c>
      <c r="B21" s="34">
        <f ca="1"/>
        <v>1.03</v>
      </c>
      <c r="C21" s="33">
        <f ca="1"/>
        <v>43971</v>
      </c>
      <c r="D21" s="33">
        <f ca="1"/>
        <v>43941</v>
      </c>
      <c r="E21" s="36" t="str">
        <f ca="1"/>
        <v>Ordinary</v>
      </c>
    </row>
    <row r="22" spans="1:5" x14ac:dyDescent="0.25">
      <c r="A22" s="33">
        <f ca="1"/>
        <v>43847</v>
      </c>
      <c r="B22" s="34">
        <f ca="1"/>
        <v>1.03</v>
      </c>
      <c r="C22" s="33">
        <f ca="1"/>
        <v>43881</v>
      </c>
      <c r="D22" s="33">
        <f ca="1"/>
        <v>43851</v>
      </c>
      <c r="E22" s="36" t="str">
        <f ca="1"/>
        <v>Ordinary</v>
      </c>
    </row>
    <row r="23" spans="1:5" x14ac:dyDescent="0.25">
      <c r="A23" s="33">
        <f ca="1"/>
        <v>43756</v>
      </c>
      <c r="B23" s="34">
        <f ca="1"/>
        <v>1.03</v>
      </c>
      <c r="C23" s="33">
        <f ca="1"/>
        <v>43789</v>
      </c>
      <c r="D23" s="33">
        <f ca="1"/>
        <v>43759</v>
      </c>
      <c r="E23" s="36" t="str">
        <f ca="1"/>
        <v>Ordinary</v>
      </c>
    </row>
    <row r="24" spans="1:5" x14ac:dyDescent="0.25">
      <c r="A24" s="33">
        <f ca="1"/>
        <v>43665</v>
      </c>
      <c r="B24" s="34">
        <f ca="1"/>
        <v>1.03</v>
      </c>
      <c r="C24" s="33">
        <f ca="1"/>
        <v>43697</v>
      </c>
      <c r="D24" s="33">
        <f ca="1"/>
        <v>43668</v>
      </c>
      <c r="E24" s="36" t="str">
        <f ca="1"/>
        <v>Ordinary</v>
      </c>
    </row>
    <row r="25" spans="1:5" x14ac:dyDescent="0.25">
      <c r="A25" s="33">
        <f ca="1"/>
        <v>43573</v>
      </c>
      <c r="B25" s="34">
        <f ca="1"/>
        <v>0.86</v>
      </c>
      <c r="C25" s="33">
        <f ca="1"/>
        <v>43605</v>
      </c>
      <c r="D25" s="33">
        <f ca="1"/>
        <v>43577</v>
      </c>
      <c r="E25" s="36" t="str">
        <f ca="1"/>
        <v>Ordinary</v>
      </c>
    </row>
    <row r="26" spans="1:5" x14ac:dyDescent="0.25">
      <c r="A26" s="33">
        <f ca="1"/>
        <v>43483</v>
      </c>
      <c r="B26" s="34">
        <f ca="1"/>
        <v>0.86</v>
      </c>
      <c r="C26" s="33">
        <f ca="1"/>
        <v>43516</v>
      </c>
      <c r="D26" s="33">
        <f ca="1"/>
        <v>43487</v>
      </c>
      <c r="E26" s="36" t="str">
        <f ca="1"/>
        <v>Ordinary</v>
      </c>
    </row>
    <row r="27" spans="1:5" x14ac:dyDescent="0.25">
      <c r="A27" s="33">
        <f ca="1"/>
        <v>43392</v>
      </c>
      <c r="B27" s="34">
        <f ca="1"/>
        <v>0.86</v>
      </c>
      <c r="C27" s="33">
        <f ca="1"/>
        <v>43424</v>
      </c>
      <c r="D27" s="33">
        <f ca="1"/>
        <v>43395</v>
      </c>
      <c r="E27" s="36" t="str">
        <f ca="1"/>
        <v>Ordinary</v>
      </c>
    </row>
    <row r="28" spans="1:5" x14ac:dyDescent="0.25">
      <c r="A28" s="33">
        <f ca="1"/>
        <v>43300</v>
      </c>
      <c r="B28" s="34">
        <f ca="1"/>
        <v>0.86</v>
      </c>
      <c r="C28" s="33">
        <f ca="1"/>
        <v>43332</v>
      </c>
      <c r="D28" s="33">
        <f ca="1"/>
        <v>43301</v>
      </c>
      <c r="E28" s="36" t="str">
        <f ca="1"/>
        <v>Ordinary</v>
      </c>
    </row>
    <row r="29" spans="1:5" x14ac:dyDescent="0.25">
      <c r="A29" s="33">
        <f ca="1"/>
        <v>43210</v>
      </c>
      <c r="B29" s="34">
        <f ca="1"/>
        <v>0.78</v>
      </c>
      <c r="C29" s="33">
        <f ca="1"/>
        <v>43239</v>
      </c>
      <c r="D29" s="33">
        <f ca="1"/>
        <v>43213</v>
      </c>
      <c r="E29" s="36" t="str">
        <f ca="1"/>
        <v>Ordinary</v>
      </c>
    </row>
    <row r="30" spans="1:5" x14ac:dyDescent="0.25">
      <c r="A30" s="33">
        <f ca="1"/>
        <v>43119</v>
      </c>
      <c r="B30" s="34">
        <f ca="1"/>
        <v>0.78</v>
      </c>
      <c r="C30" s="33">
        <f ca="1"/>
        <v>43151</v>
      </c>
      <c r="D30" s="33">
        <f ca="1"/>
        <v>43122</v>
      </c>
      <c r="E30" s="36" t="str">
        <f ca="1"/>
        <v>Ordinary</v>
      </c>
    </row>
    <row r="31" spans="1:5" x14ac:dyDescent="0.25">
      <c r="A31" s="33">
        <f ca="1"/>
        <v>43028</v>
      </c>
      <c r="B31" s="34">
        <f ca="1"/>
        <v>0.78</v>
      </c>
      <c r="C31" s="33">
        <f ca="1"/>
        <v>43059</v>
      </c>
      <c r="D31" s="33">
        <f ca="1"/>
        <v>43031</v>
      </c>
      <c r="E31" s="36" t="str">
        <f ca="1"/>
        <v>Ordinary</v>
      </c>
    </row>
    <row r="32" spans="1:5" x14ac:dyDescent="0.25">
      <c r="A32" s="33">
        <f ca="1"/>
        <v>42934</v>
      </c>
      <c r="B32" s="34">
        <f ca="1"/>
        <v>0.78</v>
      </c>
      <c r="C32" s="33">
        <f ca="1"/>
        <v>42966</v>
      </c>
      <c r="D32" s="33">
        <f ca="1"/>
        <v>42936</v>
      </c>
      <c r="E32" s="36" t="str">
        <f ca="1"/>
        <v>Ordinary</v>
      </c>
    </row>
    <row r="33" spans="1:5" x14ac:dyDescent="0.25">
      <c r="A33" s="33">
        <f ca="1"/>
        <v>42845</v>
      </c>
      <c r="B33" s="34">
        <f ca="1"/>
        <v>0.77</v>
      </c>
      <c r="C33" s="33">
        <f ca="1"/>
        <v>42875</v>
      </c>
      <c r="D33" s="33">
        <f ca="1"/>
        <v>42849</v>
      </c>
      <c r="E33" s="36" t="str">
        <f ca="1"/>
        <v>Ordinary</v>
      </c>
    </row>
    <row r="34" spans="1:5" x14ac:dyDescent="0.25">
      <c r="A34" s="33">
        <f ca="1"/>
        <v>42753</v>
      </c>
      <c r="B34" s="34">
        <f ca="1"/>
        <v>0.77</v>
      </c>
      <c r="C34" s="33">
        <f ca="1"/>
        <v>42784</v>
      </c>
      <c r="D34" s="33">
        <f ca="1"/>
        <v>42755</v>
      </c>
      <c r="E34" s="36" t="str">
        <f ca="1"/>
        <v>Ordinary</v>
      </c>
    </row>
    <row r="35" spans="1:5" x14ac:dyDescent="0.25">
      <c r="A35" s="33">
        <f ca="1"/>
        <v>42663</v>
      </c>
      <c r="B35" s="34">
        <f ca="1"/>
        <v>0.77</v>
      </c>
      <c r="C35" s="33">
        <f ca="1"/>
        <v>42693</v>
      </c>
      <c r="D35" s="33">
        <f ca="1"/>
        <v>42667</v>
      </c>
      <c r="E35" s="36" t="str">
        <f ca="1"/>
        <v>Ordinary</v>
      </c>
    </row>
    <row r="36" spans="1:5" x14ac:dyDescent="0.25">
      <c r="A36" s="33">
        <f ca="1"/>
        <v>42569</v>
      </c>
      <c r="B36" s="34">
        <f ca="1"/>
        <v>0.77</v>
      </c>
      <c r="C36" s="33">
        <f ca="1"/>
        <v>42602</v>
      </c>
      <c r="D36" s="33">
        <f ca="1"/>
        <v>42571</v>
      </c>
      <c r="E36" s="36" t="str">
        <f ca="1"/>
        <v>Ordinary</v>
      </c>
    </row>
    <row r="37" spans="1:5" x14ac:dyDescent="0.25">
      <c r="A37" s="33">
        <f ca="1"/>
        <v>42481</v>
      </c>
      <c r="B37" s="34">
        <f ca="1"/>
        <v>0.77</v>
      </c>
      <c r="C37" s="33">
        <f ca="1"/>
        <v>42510</v>
      </c>
      <c r="D37" s="33">
        <f ca="1"/>
        <v>42485</v>
      </c>
      <c r="E37" s="36" t="str">
        <f ca="1"/>
        <v>Ordinary</v>
      </c>
    </row>
    <row r="38" spans="1:5" x14ac:dyDescent="0.25">
      <c r="A38" s="33">
        <f ca="1"/>
        <v>42384</v>
      </c>
      <c r="B38" s="34">
        <f ca="1"/>
        <v>0.77</v>
      </c>
      <c r="C38" s="33">
        <f ca="1"/>
        <v>42420</v>
      </c>
      <c r="D38" s="33">
        <f ca="1"/>
        <v>42389</v>
      </c>
      <c r="E38" s="36" t="str">
        <f ca="1"/>
        <v>Ordinary</v>
      </c>
    </row>
    <row r="39" spans="1:5" x14ac:dyDescent="0.25">
      <c r="A39" s="33">
        <f ca="1"/>
        <v>42299</v>
      </c>
      <c r="B39" s="34">
        <f ca="1"/>
        <v>0.77</v>
      </c>
      <c r="C39" s="33">
        <f ca="1"/>
        <v>42328</v>
      </c>
      <c r="D39" s="33">
        <f ca="1"/>
        <v>42303</v>
      </c>
      <c r="E39" s="36" t="str">
        <f ca="1"/>
        <v>Ordinary</v>
      </c>
    </row>
    <row r="40" spans="1:5" x14ac:dyDescent="0.25">
      <c r="A40" s="33">
        <f ca="1"/>
        <v>42201</v>
      </c>
      <c r="B40" s="34">
        <f ca="1"/>
        <v>0.77</v>
      </c>
      <c r="C40" s="33">
        <f ca="1"/>
        <v>42236</v>
      </c>
      <c r="D40" s="33">
        <f ca="1"/>
        <v>42205</v>
      </c>
      <c r="E40" s="36" t="str">
        <f ca="1"/>
        <v>Ordinary</v>
      </c>
    </row>
    <row r="41" spans="1:5" x14ac:dyDescent="0.25">
      <c r="A41" s="33">
        <f ca="1"/>
        <v>42110</v>
      </c>
      <c r="B41" s="34">
        <f ca="1"/>
        <v>0.7</v>
      </c>
      <c r="C41" s="33">
        <f ca="1"/>
        <v>42144</v>
      </c>
      <c r="D41" s="33">
        <f ca="1"/>
        <v>42114</v>
      </c>
      <c r="E41" s="36" t="str">
        <f ca="1"/>
        <v>Ordinary</v>
      </c>
    </row>
    <row r="42" spans="1:5" x14ac:dyDescent="0.25">
      <c r="A42" s="60">
        <f ca="1"/>
        <v>42019</v>
      </c>
      <c r="B42">
        <f ca="1"/>
        <v>0.7</v>
      </c>
      <c r="C42">
        <f ca="1"/>
        <v>42055</v>
      </c>
      <c r="D42">
        <f ca="1"/>
        <v>42024</v>
      </c>
      <c r="E42" t="str">
        <f ca="1"/>
        <v>Ordinary</v>
      </c>
    </row>
  </sheetData>
  <conditionalFormatting sqref="E2:E15 A2:D41">
    <cfRule type="expression" dxfId="1" priority="1">
      <formula>AND(MOD(ROW(),2)=0,LEN(A$10)&gt;0,LEN($B2)&gt;0)</formula>
    </cfRule>
  </conditionalFormatting>
  <conditionalFormatting sqref="E16:E41">
    <cfRule type="expression" dxfId="0" priority="2">
      <formula>AND(MOD(ROW(),2)=0,LEN(#REF!)&gt;0,LEN($B16)&gt;0)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41355255"><![CDATA[{"CAT^FCA_DIVIDEND_TYPE_R(,-10FY,,\"CASH_DIST\",\"DIVTYPE_TEXT\",,'')":[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],"CAT^JULIAN(FCA_EVENT_DATE_R(,-10FY,,\"CASH_DIST\",\"RECDATE\",,,''))":[45678,45586,45495,45404,45313,45222,45127,45040,44946,44858,44762,44676,44581,44494,44397,44312,44216,44130,44032,43941,43851,43759,43668,43577,43487,43395,43301,43213,43122,43031,42936,42849,42755,42667,42571,42485,42389,42303,42205,42114,42024],"CAT^JULIAN(FCA_EVENT_DATE_R(,-10FY,,\"CASH_DIST\",\"PAYDATE\",,,''))":[45708,45616,45524,45432,45342,45250,45156,45065,44974,44883,44792,44701,44610,44519,44428,44336,44246,44155,44063,43971,43881,43789,43697,43605,43516,43424,43332,43239,43151,43059,42966,42875,42784,42693,42602,42510,42420,42328,42236,42144,42055],"CAT^FCA_EVENT_AMOUNT_R(,-10FY,,LOCAL,\"CASH_DIST\",\"AMT_DEF\",,,,'')":[1.41,1.41,1.41,1.3,1.3,1.3,1.3,1.2,1.2,1.2,1.2,1.11,1.11,1.11,1.11,1.03,1.03,1.03,1.03,1.03,1.03,1.03,1.03,0.86,0.86,0.86,0.86,0.78,0.78,0.78,0.78,0.77,0.77,0.77,0.77,0.77,0.77,0.77,0.77,0.7,0.7],"CAT^JULIAN(FCA_EVENT_DATE_R(,-10FY,,\"CASH_DIST\",\"EXDATE\",,,''))":[45678,45586,45495,45401,45310,45219,45126,45037,44945,44855,44761,44673,44580,44491,44396,44309,44215,44127,44029,43938,43847,43756,43665,43573,43483,43392,43300,43210,43119,43028,42934,42845,42753,42663,42569,42481,42384,42299,42201,42110,42019],"DUMMY^JULIAN(TODAY)":45722,"CAT^FCA_DIVIDEND_TYPE_R(,-10FY,,\"CASH_DIST\",\"DIVTYPE_TEXT\",,'EXCL_SPEC_DIV')":[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],"CAT^JULIAN(FCA_EVENT_DATE_R(,-10FY,,\"CASH_DIST\",\"RECDATE\",,,'EXCL_SPEC_DIV'))":[45678,45586,45495,45404,45313,45222,45127,45040,44946,44858,44762,44676,44581,44494,44397,44312,44216,44130,44032,43941,43851,43759,43668,43577,43487,43395,43301,43213,43122,43031,42936,42849,42755,42667,42571,42485,42389,42303,42205,42114,42024],"CAT^JULIAN(FCA_EVENT_DATE_R(,-10FY,,\"CASH_DIST\",\"PAYDATE\",,,'EXCL_SPEC_DIV'))":[45708,45616,45524,45432,45342,45250,45156,45065,44974,44883,44792,44701,44610,44519,44428,44336,44246,44155,44063,43971,43881,43789,43697,43605,43516,43424,43332,43239,43151,43059,42966,42875,42784,42693,42602,42510,42420,42328,42236,42144,42055],"CAT^FCA_EVENT_AMOUNT_R(,-10FY,,LOCAL,\"CASH_DIST\",\"AMT_DEF\",,UNSPLIT,,'EXCL_SPEC_DIV')":[1.41,1.41,1.41,1.3,1.3,1.3,1.3,1.2,1.2,1.2,1.2,1.11,1.11,1.11,1.11,1.03,1.03,1.03,1.03,1.03,1.03,1.03,1.03,0.86,0.86,0.86,0.86,0.78,0.78,0.78,0.78,0.77,0.77,0.77,0.77,0.77,0.77,0.77,0.77,0.7,0.7],"CAT^JULIAN(FCA_EVENT_DATE_R(,-10FY,,\"CASH_DIST\",\"EXDATE\",,,'EXCL_SPEC_DIV'))":[45678,45586,45495,45401,45310,45219,45126,45037,44945,44855,44761,44673,44580,44491,44396,44309,44215,44127,44029,43938,43847,43756,43665,43573,43483,43392,43300,43210,43119,43028,42934,42845,42753,42663,42569,42481,42384,42299,42201,42110,42019],"CAT^CS_EVENT_DATEJ_N(\"ER\",1)":45771,"CAT^FG_COMPANY_NAME":"Caterpillar Inc."}]]></FdsFormulaCache>
</file>

<file path=customXml/itemProps1.xml><?xml version="1.0" encoding="utf-8"?>
<ds:datastoreItem xmlns:ds="http://schemas.openxmlformats.org/officeDocument/2006/customXml" ds:itemID="{B85C144D-2C9E-43CD-B2DE-8BF05ED0A8A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DDM</vt:lpstr>
      <vt:lpstr>JNJ</vt:lpstr>
      <vt:lpstr>Linked DDM</vt:lpstr>
      <vt:lpstr>Factset Information</vt:lpstr>
      <vt:lpstr>Test</vt:lpstr>
      <vt:lpstr>Currency</vt:lpstr>
      <vt:lpstr>End_Date</vt:lpstr>
      <vt:lpstr>Identifier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2025-03-02T15:15:01Z</dcterms:created>
  <dcterms:modified xsi:type="dcterms:W3CDTF">2026-03-04T00:15:55Z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