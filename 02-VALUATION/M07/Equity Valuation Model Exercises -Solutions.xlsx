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6"/>
  <workbookPr defaultThemeVersion="202300"/>
  <mc:AlternateContent xmlns:mc="http://schemas.openxmlformats.org/markup-compatibility/2006">
    <mc:Choice Requires="x15">
      <x15ac:absPath xmlns:x15ac="http://schemas.microsoft.com/office/spreadsheetml/2010/11/ac" url="https://mailendicott-my.sharepoint.com/personal/bevitts_endicott_edu/Documents/BUS311 Corporate Finance/BME - FA25- Teaching Materials - Brealey/Chapter 7 - Valuing Stocks/"/>
    </mc:Choice>
  </mc:AlternateContent>
  <xr:revisionPtr revIDLastSave="80" documentId="8_{2EAFC4BB-7464-4530-B176-53F0AB262C71}" xr6:coauthVersionLast="47" xr6:coauthVersionMax="47" xr10:uidLastSave="{C95394DC-403B-48E6-88CD-721043BA5CDE}"/>
  <bookViews>
    <workbookView minimized="1" xWindow="1410" yWindow="2535" windowWidth="19200" windowHeight="10155" tabRatio="772" firstSheet="1" activeTab="7" xr2:uid="{C90CAE8A-A0E8-4ACE-80B2-C5BCA02F0CCB}"/>
  </bookViews>
  <sheets>
    <sheet name="__FDSCACHE__" sheetId="3" state="veryHidden" r:id="rId1"/>
    <sheet name="DDM" sheetId="1" r:id="rId2"/>
    <sheet name="Average &amp; Geometric Returns" sheetId="9" r:id="rId3"/>
    <sheet name="Dividend Yield" sheetId="15" r:id="rId4"/>
    <sheet name="EPS and Net Income" sheetId="11" r:id="rId5"/>
    <sheet name="PE Model" sheetId="6" r:id="rId6"/>
    <sheet name="PS Model" sheetId="7" r:id="rId7"/>
    <sheet name="Returns Formulas" sheetId="18" r:id="rId8"/>
    <sheet name="Sheet1" sheetId="20" r:id="rId9"/>
    <sheet name="Test Question" sheetId="19" r:id="rId10"/>
  </sheets>
  <definedNames>
    <definedName name="Currency">#REF!</definedName>
    <definedName name="End_Date">#REF!</definedName>
    <definedName name="Identifier">#REF!</definedName>
    <definedName name="Start_Date">#REF!</definedName>
  </definedNames>
  <calcPr calcId="191029" iterateDelta="1E-4"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5" l="1"/>
  <c r="F6" i="1"/>
  <c r="F7" i="1"/>
  <c r="F8" i="1"/>
  <c r="F9" i="1"/>
  <c r="F10" i="1"/>
  <c r="F11" i="1"/>
  <c r="F12" i="1"/>
  <c r="F13" i="1"/>
  <c r="F14" i="1"/>
  <c r="F5" i="1"/>
  <c r="C5" i="19"/>
  <c r="C6" i="19"/>
  <c r="D5" i="19" s="1"/>
  <c r="C7" i="19"/>
  <c r="D6" i="19" s="1"/>
  <c r="C8" i="19"/>
  <c r="D7" i="19" s="1"/>
  <c r="D17" i="7"/>
  <c r="D16" i="7"/>
  <c r="C14" i="1"/>
  <c r="D14" i="1" s="1"/>
  <c r="C13" i="1"/>
  <c r="D13" i="1" s="1"/>
  <c r="C12" i="1"/>
  <c r="D12" i="1" s="1"/>
  <c r="C11" i="1"/>
  <c r="D11" i="1" s="1"/>
  <c r="C10" i="1"/>
  <c r="D10" i="1" s="1"/>
  <c r="C9" i="1"/>
  <c r="D9" i="1" s="1"/>
  <c r="C8" i="1"/>
  <c r="D8" i="1" s="1"/>
  <c r="C7" i="1"/>
  <c r="C6" i="1"/>
  <c r="D6" i="1" s="1"/>
  <c r="C5" i="1"/>
  <c r="A23" i="9"/>
  <c r="C23" i="9"/>
  <c r="B19" i="9"/>
  <c r="B20" i="9"/>
  <c r="B21" i="9"/>
  <c r="B18" i="9"/>
  <c r="B23" i="9" s="1"/>
  <c r="A6" i="9"/>
  <c r="D24" i="6"/>
  <c r="D13" i="6"/>
  <c r="D12" i="6"/>
  <c r="D33" i="15"/>
  <c r="E11" i="9" a="1"/>
  <c r="E11" i="9" s="1"/>
  <c r="G10" i="9" a="1"/>
  <c r="G10" i="9" s="1"/>
  <c r="G19" i="15"/>
  <c r="G17" i="15"/>
  <c r="D17" i="15"/>
  <c r="E10" i="9"/>
  <c r="G23" i="11"/>
  <c r="G21" i="11"/>
  <c r="G19" i="11"/>
  <c r="G17" i="11"/>
  <c r="D17" i="11"/>
  <c r="C17" i="7"/>
  <c r="C16" i="7"/>
  <c r="C13" i="6"/>
  <c r="C12" i="6"/>
  <c r="D5" i="1" l="1"/>
  <c r="J3" i="19"/>
  <c r="J8" i="19" s="1"/>
  <c r="D7" i="1"/>
  <c r="D19" i="15"/>
  <c r="D21" i="11"/>
  <c r="D23" i="11" s="1"/>
  <c r="D19" i="11"/>
  <c r="J2" i="1" l="1"/>
  <c r="J3" i="1"/>
  <c r="J8" i="1" s="1"/>
  <c r="J9" i="1" s="1"/>
  <c r="J9" i="19"/>
  <c r="J2"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Bevitts</author>
  </authors>
  <commentList>
    <comment ref="A1" authorId="0" shapeId="0" xr:uid="{79880010-1080-4461-9C43-18567F24E497}">
      <text>
        <r>
          <rPr>
            <b/>
            <sz val="9"/>
            <color indexed="81"/>
            <rFont val="Tahoma"/>
            <family val="2"/>
          </rPr>
          <t>&lt;?xml version="1.0" encoding="utf-8"?&gt;&lt;Schema xmlns:xsd="http://www.w3.org/2001/XMLSchema" xmlns:xsi="http://www.w3.org/2001/XMLSchema-instance" Version="2" Timestamp="1740936484"&gt;&lt;FQL&gt;&lt;Q&gt;DUMMY^JULIAN(TODAY)&lt;/Q&gt;&lt;R&gt;1&lt;/R&gt;&lt;C&gt;1&lt;/C&gt;&lt;D xsi:type="xsd:long"&gt;45718&lt;/D&gt;&lt;/FQL&gt;&lt;FQL&gt;&lt;Q&gt;JNJ^FCA_DIVIDEND_TYPE_R(,-10FY,,"CASH_DIST","DIVTYPE_TEXT",,'EXCL_SPEC_DIV')&lt;/Q&gt;&lt;R&gt;41&lt;/R&gt;&lt;C&gt;1&lt;/C&gt;&lt;D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xsi:type="xsd:string"&gt;Ordinary&lt;/D&gt;&lt;D xsi:type="xsd:string"&gt;Ordinary&lt;/D&gt;&lt;/FQL&gt;&lt;FQL&gt;&lt;Q&gt;JNJ^JULIAN(FCA_EVENT_DATE_R(,-10FY,,"CASH_DIST","RECDATE",,,'EXCL_SPEC_DIV'))&lt;/Q&gt;&lt;R&gt;41&lt;/R&gt;&lt;C&gt;1&lt;/C&gt;&lt;D xsi:type="xsd:long"&gt;45706&lt;/D&gt;&lt;D xsi:type="xsd:long"&gt;45622&lt;/D&gt;&lt;D xsi:type="xsd:long"&gt;45531&lt;/D&gt;&lt;D xsi:type="xsd:long"&gt;45433&lt;/D&gt;&lt;D xsi:type="xsd:long"&gt;45342&lt;/D&gt;&lt;D xsi:type="xsd:long"&gt;45251&lt;/D&gt;&lt;D xsi:type="xsd:long"&gt;45166&lt;/D&gt;&lt;D xsi:type="xsd:long"&gt;45069&lt;/D&gt;&lt;D xsi:type="xsd:long"&gt;44978&lt;/D&gt;&lt;D xsi:type="xsd:long"&gt;44887&lt;/D&gt;&lt;D xsi:type="xsd:long"&gt;44796&lt;/D&gt;&lt;D xsi:type="xsd:long"&gt;44705&lt;/D&gt;&lt;D xsi:type="xsd:long"&gt;44614&lt;/D&gt;&lt;D xsi:type="xsd:long"&gt;44523&lt;/D&gt;&lt;D xsi:type="xsd:long"&gt;44432&lt;/D&gt;&lt;D xsi:type="xsd:long"&gt;44341&lt;/D&gt;&lt;D xsi:type="xsd:long"&gt;44250&lt;/D&gt;&lt;D xsi:type="xsd:long"&gt;44159&lt;/D&gt;&lt;D xsi:type="xsd:long"&gt;44068&lt;/D&gt;&lt;D xsi:type="xsd:long"&gt;43977&lt;/D&gt;&lt;D xsi:type="xsd:long"&gt;43886&lt;/D&gt;&lt;D xsi:type="xsd:long"&gt;43795&lt;/D&gt;&lt;D xsi:type="xsd:long"&gt;43704&lt;/D&gt;&lt;D xsi:type="xsd:long"&gt;43613&lt;/D&gt;&lt;D xsi:type="xsd:long"&gt;43522&lt;/D&gt;&lt;D xsi:type="xsd:long"&gt;43431&lt;/D&gt;&lt;D xsi:type="xsd:long"&gt;43340&lt;/D&gt;&lt;D xsi:type="xsd:long"&gt;43249&lt;/D&gt;&lt;D xsi:type="xsd:long"&gt;43158&lt;/D&gt;&lt;D xsi:type="xsd:long"&gt;43067&lt;/D&gt;&lt;D xsi:type="xsd:long"&gt;42976&lt;/D&gt;&lt;D xsi:type="xsd:long"&gt;42885&lt;/D&gt;&lt;D xsi:type="xsd:long"&gt;42794&lt;/D&gt;&lt;D xsi:type="xsd:long"&gt;42696&lt;/D&gt;&lt;D xsi:type="xsd:long"&gt;42605&lt;/D&gt;&lt;D xsi:type="xsd:long"&gt;42514&lt;/D&gt;&lt;D xsi:type="xsd:long"&gt;42423&lt;/D&gt;&lt;D xsi:type="xsd:long"&gt;42332&lt;/D&gt;&lt;D xsi:type="xsd:long"&gt;42241&lt;/D&gt;&lt;D xsi:type="xsd:long"&gt;42150&lt;/D&gt;&lt;D xsi:type="xsd:long"&gt;42059&lt;/D&gt;&lt;/FQL&gt;&lt;FQL&gt;&lt;Q&gt;JNJ^JULIAN(FCA_EVENT_DATE_R(,-10FY,,"CASH_DIST","PAYDATE",,,'EXCL_SPEC_DIV'))&lt;/Q&gt;&lt;R&gt;41&lt;/R&gt;&lt;C&gt;1&lt;/C&gt;&lt;D xsi:type="xsd:long"&gt;45720&lt;/D&gt;&lt;D xsi:type="xsd:long"&gt;45636&lt;/D&gt;&lt;D xsi:type="xsd:long"&gt;45545&lt;/D&gt;&lt;D xsi:type="xsd:long"&gt;45447&lt;/D&gt;&lt;D xsi:type="xsd:long"&gt;45356&lt;/D&gt;&lt;D xsi:type="xsd:long"&gt;45265&lt;/D&gt;&lt;D xsi:type="xsd:long"&gt;45176&lt;/D&gt;&lt;D xsi:type="xsd:long"&gt;45083&lt;/D&gt;&lt;D xsi:type="xsd:long"&gt;44992&lt;/D&gt;&lt;D xsi:type="xsd:long"&gt;44901&lt;/D&gt;&lt;D xsi:type="xsd:long"&gt;44810&lt;/D&gt;&lt;D xsi:type="xsd:long"&gt;44719&lt;/D&gt;&lt;D xsi:type="xsd:long"&gt;44628&lt;/D&gt;&lt;D xsi:type="xsd:long"&gt;44537&lt;/D&gt;&lt;D xsi:type="xsd:long"&gt;44446&lt;/D&gt;&lt;D xsi:type="xsd:long"&gt;44355&lt;/D&gt;&lt;D xsi:type="xsd:long"&gt;44264&lt;/D&gt;&lt;D xsi:type="xsd:long"&gt;44173&lt;/D&gt;&lt;D xsi:type="xsd:long"&gt;44082&lt;/D&gt;&lt;D xsi:type="xsd:long"&gt;43991&lt;/D&gt;&lt;D xsi:type="xsd:long"&gt;43900&lt;/D&gt;&lt;D xsi:type="xsd:long"&gt;43809&lt;/D&gt;&lt;D xsi:type="xsd:long"&gt;43718&lt;/D&gt;&lt;D xsi:type="xsd:long"&gt;43627&lt;/D&gt;&lt;D xsi:type="xsd:long"&gt;43536&lt;/D&gt;&lt;D xsi:type="xsd:long"&gt;43445&lt;/D&gt;&lt;D xsi:type="xsd:long"&gt;43354&lt;/D&gt;&lt;D xsi:type="xsd:long"&gt;43263&lt;/D&gt;&lt;D xsi:type="xsd:long"&gt;43172&lt;/D&gt;&lt;D xsi:type="xsd:long"&gt;43081&lt;/D&gt;&lt;D xsi:type="xsd:long"&gt;42990&lt;/D&gt;&lt;D xsi:type="xsd:long"&gt;42899&lt;/D&gt;&lt;D xsi:type="xsd:long"&gt;42808&lt;/D&gt;&lt;D xsi:type="xsd:long"&gt;42710&lt;/D&gt;&lt;D xsi:type="xsd:long"&gt;42619&lt;/D&gt;&lt;D xsi:type="xsd:long"&gt;42528&lt;/D&gt;&lt;D xsi:type="xsd:long"&gt;42437&lt;/D&gt;&lt;D xsi:type="xsd:long"&gt;42346&lt;/D&gt;&lt;D xsi:type="xsd:long"&gt;42255&lt;/D&gt;&lt;D xsi:type="xsd:long"&gt;42164&lt;/D&gt;&lt;D xsi:type="xsd:long"&gt;42073&lt;/D&gt;&lt;/FQL&gt;&lt;FQL&gt;&lt;Q&gt;JNJ^FCA_EVENT_AMOUNT_R(,-10FY,,LOCAL,"CASH_DIST","AMT_DEF",,UNSPLIT,,'EXCL_SPEC_DIV')&lt;/Q&gt;&lt;R&gt;41&lt;/R&gt;&lt;C&gt;1&lt;/C&gt;&lt;D xsi:type="xsd:double"&gt;1.24&lt;/D&gt;&lt;D xsi:type="xsd:double"&gt;1.24&lt;/D&gt;&lt;D xsi:type="xsd:double"&gt;1.24&lt;/D&gt;&lt;D xsi:type="xsd:double"&gt;1.24&lt;/D&gt;&lt;D xsi:type="xsd:double"&gt;1.19&lt;/D&gt;&lt;D xsi:type="xsd:double"&gt;1.19&lt;/D&gt;&lt;D xsi:type="xsd:double"&gt;1.19&lt;/D&gt;&lt;D xsi:type="xsd:double"&gt;1.19&lt;/D&gt;&lt;D xsi:type="xsd:double"&gt;1.13&lt;/D&gt;&lt;D xsi:type="xsd:double"&gt;1.13&lt;/D&gt;&lt;D xsi:type="xsd:double"&gt;1.13&lt;/D&gt;&lt;D xsi:type="xsd:double"&gt;1.13&lt;/D&gt;&lt;D xsi:type="xsd:double"&gt;1.06&lt;/D&gt;&lt;D xsi:type="xsd:double"&gt;1.06&lt;/D&gt;&lt;D xsi:type="xsd:double"&gt;1.06&lt;/D&gt;&lt;D xsi:type="xsd:double"&gt;1.06&lt;/D&gt;&lt;D xsi:type="xsd:double"&gt;1.01&lt;/D&gt;&lt;D xsi:type="xsd:double"&gt;1.01&lt;/D&gt;&lt;D xsi:type="xsd:double"&gt;1.01&lt;/D&gt;&lt;D xsi:type="xsd:double"&gt;1.01&lt;/D&gt;&lt;D xsi:type="xsd:double"&gt;0.95&lt;/D&gt;&lt;D xsi:type="xsd:double"&gt;0.95&lt;/D&gt;&lt;D xsi:type="xsd:double"&gt;0.95&lt;/D&gt;&lt;D xsi:type="xsd:double"&gt;0.95&lt;/D&gt;&lt;D xsi:type="xsd:double"&gt;0.9&lt;/D&gt;&lt;D xsi:type="xsd:double"&gt;0.9&lt;/D&gt;&lt;D xsi:type="xsd:double"&gt;0.9&lt;/D&gt;&lt;D xsi:type="xsd:double"&gt;0.9&lt;/D&gt;&lt;D xsi:type="xsd:double"&gt;0.84&lt;/D&gt;&lt;D xsi:type="xsd:double"&gt;0.84&lt;/D&gt;&lt;D xsi:type="xsd:double"&gt;0.84&lt;/D&gt;&lt;D xsi:type="xsd:double"&gt;0.84&lt;/D&gt;&lt;D xsi:type="xsd:double"&gt;0.8&lt;/D&gt;&lt;D xsi:type="xsd:double"&gt;0.8&lt;/D&gt;&lt;D xsi:type="xsd:double"&gt;0.8&lt;/D&gt;&lt;D xsi:type="xsd:double"&gt;0.8&lt;/D&gt;&lt;D xsi:type="xsd:double"&gt;0.75&lt;/D&gt;&lt;D xsi:type="xsd:double"&gt;0.75&lt;/D&gt;&lt;D xsi:type="xsd:double"&gt;0.75&lt;/D&gt;&lt;D xsi:type="xsd:double"&gt;0.75&lt;/D&gt;&lt;D xsi:type="xsd:double"&gt;0.7&lt;/D&gt;&lt;/FQL&gt;&lt;FQL&gt;&lt;Q&gt;JNJ^JULIAN(FCA_EVENT_DATE_R(,-10FY,,"CASH_DIST","EXDATE",,,'EXCL_SPEC_DIV'))&lt;/Q&gt;&lt;R&gt;41&lt;/R&gt;&lt;C&gt;1&lt;/C&gt;&lt;D xsi:type="xsd:long"&gt;45706&lt;/D&gt;&lt;D xsi:type="xsd:long"&gt;45622&lt;/D&gt;&lt;D xsi:type="xsd:long"&gt;45531&lt;/D&gt;&lt;D xsi:type="xsd:long"&gt;45432&lt;/D&gt;&lt;D xsi:type="xsd:long"&gt;45338&lt;/D&gt;&lt;D xsi:type="xsd:long"&gt;45250&lt;/D&gt;&lt;D xsi:type="xsd:long"&gt;45163&lt;/D&gt;&lt;D xsi:type="xsd:long"&gt;45068&lt;/D&gt;&lt;D xsi:type="xsd:long"&gt;44974&lt;/D&gt;&lt;D xsi:type="xsd:long"&gt;44886&lt;/D&gt;&lt;D xsi:type="xsd:long"&gt;44795&lt;/D&gt;&lt;D xsi:type="xsd:long"&gt;44704&lt;/D&gt;&lt;D xsi:type="xsd:long"&gt;44610&lt;/D&gt;&lt;D xsi:type="xsd:long"&gt;44522&lt;/D&gt;&lt;D xsi:type="xsd:long"&gt;44431&lt;/D&gt;&lt;D xsi:type="xsd:long"&gt;44340&lt;/D&gt;&lt;D xsi:type="xsd:long"&gt;44249&lt;/D&gt;&lt;D xsi:type="xsd:long"&gt;44158&lt;/D&gt;&lt;D xsi:type="xsd:long"&gt;44067&lt;/D&gt;&lt;D xsi:type="xsd:long"&gt;43973&lt;/D&gt;&lt;D xsi:type="xsd:long"&gt;43885&lt;/D&gt;&lt;D xsi:type="xsd:long"&gt;43794&lt;/D&gt;&lt;D xsi:type="xsd:long"&gt;43703&lt;/D&gt;&lt;D xsi:type="xsd:long"&gt;43609&lt;/D&gt;&lt;D xsi:type="xsd:long"&gt;43521&lt;/D&gt;&lt;D xsi:type="xsd:long"&gt;43430&lt;/D&gt;&lt;D xsi:type="xsd:long"&gt;43339&lt;/D&gt;&lt;D xsi:type="xsd:long"&gt;43245&lt;/D&gt;&lt;D xsi:type="xsd:long"&gt;43157&lt;/D&gt;&lt;D xsi:type="xsd:long"&gt;43066&lt;/D&gt;&lt;D xsi:type="xsd:long"&gt;42972&lt;/D&gt;&lt;D xsi:type="xsd:long"&gt;42880&lt;/D&gt;&lt;D xsi:type="xsd:long"&gt;42790&lt;/D&gt;&lt;D xsi:type="xsd:long"&gt;42692&lt;/D&gt;&lt;D xsi:type="xsd:long"&gt;42601&lt;/D&gt;&lt;D xsi:type="xsd:long"&gt;42510&lt;/D&gt;&lt;D xsi:type="xsd:long"&gt;42419&lt;/D&gt;&lt;D xsi:type="xsd:long"&gt;42328&lt;/D&gt;&lt;D xsi:type="xsd:long"&gt;42237&lt;/D&gt;&lt;D xsi:type="xsd:long"&gt;42145&lt;/D&gt;&lt;D xsi:type="xsd:long"&gt;42055&lt;/D&gt;&lt;/FQL&gt;&lt;FQL&gt;&lt;Q&gt;JNJ^CS_EVENT_DATEJ_N("ER",1)&lt;/Q&gt;&lt;R&gt;1&lt;/R&gt;&lt;C&gt;1&lt;/C&gt;&lt;D xsi:type="xsd:long"&gt;45762&lt;/D&gt;&lt;/FQL&gt;&lt;FQL&gt;&lt;Q&gt;JNJ^FG_COMPANY_NAME&lt;/Q&gt;&lt;R&gt;1&lt;/R&gt;&lt;C&gt;1&lt;/C&gt;&lt;D xsi:type="xsd:string"&gt;Johnson &amp;amp; Johnson&lt;/D&gt;&lt;/FQL&gt;&lt;/Schema&gt;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<sst xmlns="http://schemas.openxmlformats.org/spreadsheetml/2006/main" count="136" uniqueCount="95">
  <si>
    <t>Dividend Discount Model</t>
  </si>
  <si>
    <t>This sheet contains FactSet XML data for use with this workbook's =FDS codes.  Modifying the worksheet's contents may damage the workbook's =FDS functionality.</t>
  </si>
  <si>
    <t>Year</t>
  </si>
  <si>
    <t>2020</t>
  </si>
  <si>
    <t>2021</t>
  </si>
  <si>
    <t>2022</t>
  </si>
  <si>
    <t>Annual Dividend</t>
  </si>
  <si>
    <t>2019</t>
  </si>
  <si>
    <t>2018</t>
  </si>
  <si>
    <t>2017</t>
  </si>
  <si>
    <t>2016</t>
  </si>
  <si>
    <t>2015</t>
  </si>
  <si>
    <t>Quarterly Dividend</t>
  </si>
  <si>
    <t>Growth Rate</t>
  </si>
  <si>
    <t>Actual Price</t>
  </si>
  <si>
    <t>Overvalued or Undervalued</t>
  </si>
  <si>
    <t>Years in Growth Rate Average</t>
  </si>
  <si>
    <t>Company XYZ</t>
  </si>
  <si>
    <t>Price= D1/(r-g)</t>
  </si>
  <si>
    <t>Price= D0*(1+g)/(r-g)</t>
  </si>
  <si>
    <t>Steps:</t>
  </si>
  <si>
    <t>Find the Annualized Dividend</t>
  </si>
  <si>
    <t>Calulate the year -over -year dividend growth rate</t>
  </si>
  <si>
    <t>Is company XYZ under or over valued if the current market price is $45.71</t>
  </si>
  <si>
    <t>Using a required return of 9.00% - Determine the DDM instrinsic value?</t>
  </si>
  <si>
    <t>Input area:</t>
  </si>
  <si>
    <t>EPS</t>
  </si>
  <si>
    <t>Benchmark PE</t>
  </si>
  <si>
    <t>Output area:</t>
  </si>
  <si>
    <t xml:space="preserve">Sales </t>
  </si>
  <si>
    <t>Shares outstanding</t>
  </si>
  <si>
    <t>Benchmark PS</t>
  </si>
  <si>
    <t>Sales per share</t>
  </si>
  <si>
    <t>Chapter 8</t>
  </si>
  <si>
    <t>Dividend yield</t>
  </si>
  <si>
    <t>Dividend paid</t>
  </si>
  <si>
    <t>Change in price</t>
  </si>
  <si>
    <t>PE ratio</t>
  </si>
  <si>
    <t>Common shares outstanding</t>
  </si>
  <si>
    <t xml:space="preserve">Today's closing price </t>
  </si>
  <si>
    <t xml:space="preserve">Yesterday's closing price </t>
  </si>
  <si>
    <t xml:space="preserve">Earnings per share </t>
  </si>
  <si>
    <t>EPS =Closing Price/ PE Ratio</t>
  </si>
  <si>
    <t xml:space="preserve">Net income </t>
  </si>
  <si>
    <t xml:space="preserve"> Net Income=EPS *Commonshares Outstanding</t>
  </si>
  <si>
    <t>Year 1</t>
  </si>
  <si>
    <t>Year 2</t>
  </si>
  <si>
    <t>Year 3</t>
  </si>
  <si>
    <t>Year 4</t>
  </si>
  <si>
    <t>Geometric Return</t>
  </si>
  <si>
    <t>Return(%)</t>
  </si>
  <si>
    <t>GEOMEAN is valuable in financial modeling, helping calculate average returns for investments with compounding rates, making it a crucial tool for financial analysis and decision-making.</t>
  </si>
  <si>
    <t>Geometeric Mean = True Compounding Rate</t>
  </si>
  <si>
    <t>Dividend Yield = Dividend Paid / Closing Price</t>
  </si>
  <si>
    <t>=Dividend Paid/Dividend Yield</t>
  </si>
  <si>
    <t>=Today's Closing Price - Change in Price</t>
  </si>
  <si>
    <t>The geometric mean is calculated by multiplying numbers and taking the root of the product. </t>
  </si>
  <si>
    <t>The average, also known as the arithmetic mean, is calculated by adding numbers and dividing by the total number of values. </t>
  </si>
  <si>
    <t>Return from Investments -Averages</t>
  </si>
  <si>
    <t>Current Price</t>
  </si>
  <si>
    <t>Payment Frequency</t>
  </si>
  <si>
    <t>Current Dividend Yield</t>
  </si>
  <si>
    <t>Quarterly Dividend Payment</t>
  </si>
  <si>
    <t>(Annual)</t>
  </si>
  <si>
    <t>Closing Price = PE Ratio* EPS</t>
  </si>
  <si>
    <t>PE Ratio</t>
  </si>
  <si>
    <t>EPS Growth</t>
  </si>
  <si>
    <t>Average Return</t>
  </si>
  <si>
    <t>Used in Finance</t>
  </si>
  <si>
    <t>Geo Mean</t>
  </si>
  <si>
    <t>Percentage Return (%) = Capital Gains Yield + Dividend Yield</t>
  </si>
  <si>
    <t>What is today's closing price? What is yesterday's closing price?</t>
  </si>
  <si>
    <t>What is the Current Yield, if the stock is paying a quarterly dividend of $0.40 and the current stock price is $32.00?</t>
  </si>
  <si>
    <t>Capital Gain Yield = (Current Price – Original Price) / Original Price x 100 </t>
  </si>
  <si>
    <t>What is the closing price today? What was yesterday's closing price? What is the EPS? What is the net income for this company?</t>
  </si>
  <si>
    <t>What is the stock price at a PE of 18? What is the stock price at a PE of 21?</t>
  </si>
  <si>
    <t>Est Stock price in 4 years</t>
  </si>
  <si>
    <t>If the company intends to grow its EPS at a rate of 1.90% for the next four years then what should the stock price be in 4 years, if the PE remains at 12.1?</t>
  </si>
  <si>
    <t>Problem</t>
  </si>
  <si>
    <t>#1</t>
  </si>
  <si>
    <t>#2</t>
  </si>
  <si>
    <t>What is the stock price at a PS of 3.9? What is the stock price at a PS of 3.1?</t>
  </si>
  <si>
    <t>Find the overall growth rate (g) by taking a yearly  average</t>
  </si>
  <si>
    <t>Endicott Pizza Company</t>
  </si>
  <si>
    <t>Annual Dividend Payments</t>
  </si>
  <si>
    <t>R-Required Return ®</t>
  </si>
  <si>
    <t xml:space="preserve">G-Avg Div Growth Rate </t>
  </si>
  <si>
    <t>DDM Price/Intrinsic Value</t>
  </si>
  <si>
    <t>AI Overview</t>
  </si>
  <si>
    <t>Use the geometric mean instead of the arithmetic mean when you are dealing with data that represents multiplicative changes, like percentage growth rates or investment returns over time, as the geometric mean accounts for compounding effects and provides a more accurate representation of average change in such scenarios. </t>
  </si>
  <si>
    <t>Compounding:</t>
  </si>
  <si>
    <t>When calculating changes over multiple periods, the geometric mean considers the compounding effect that occurs when growth is applied to the previous period's value, unlike the arithmetic mean which simply averages the raw changes. </t>
  </si>
  <si>
    <t>The geometric mean is best used to calculate the average of a series of data where each item has some relationship to the others. That’s because the formula takes into account serial correlation.</t>
  </si>
  <si>
    <t>This sort of relationship is useful when comparing portfolio returns, bond yields, and total returns on equities. Earnings and compounding represent that correlation. They affect the return for each succeeding period measured. Geometric mean accounts for that impact.</t>
  </si>
  <si>
    <t>Price=Dividend Paid/Dividend Yield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</si>
</sst>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0.0%"/>
    <numFmt numFmtId="165" formatCode="_(&quot;$&quot;* #,##0.00000_);_(&quot;$&quot;* \(#,##0.00000\);_(&quot;$&quot;* &quot;-&quot;??_);_(@_)"/>
    <numFmt numFmtId="166" formatCode="_(&quot;$&quot;* #,##0_);_(&quot;$&quot;* \(#,##0\);_(&quot;$&quot;* &quot;-&quot;??_);_(@_)"/>
    <numFmt numFmtId="167" formatCode="_(* #,##0.0_);_(* \(#,##0.0\);_(* &quot;-&quot;_);_(@_)"/>
    <numFmt numFmtId="168" formatCode="_(* #,##0_);_(* \(#,##0\);_(* &quot;-&quot;??_);_(@_)"/>
  </numFmts>
  <fonts count="26" x14ac:knownFonts="1">
    <font>
      <sz val="11"/>
      <color theme="1"/>
      <name val="Aptos Narrow"/>
      <family val="2"/>
      <scheme val="minor"/>
    </font>
    <font>
      <sz val="11"/>
      <color theme="1"/>
      <name val="Aptos Narrow"/>
      <family val="2"/>
      <scheme val="minor"/>
    </font>
    <font>
      <sz val="10"/>
      <color theme="1"/>
      <name val="Arial"/>
      <family val="2"/>
    </font>
    <font>
      <sz val="11"/>
      <color theme="0"/>
      <name val="Arial"/>
      <family val="2"/>
    </font>
    <font>
      <sz val="10"/>
      <name val="Arial"/>
      <family val="2"/>
    </font>
    <font>
      <sz val="11"/>
      <color theme="1"/>
      <name val="Arial"/>
      <family val="2"/>
    </font>
    <font>
      <b/>
      <sz val="9"/>
      <color indexed="81"/>
      <name val="Tahoma"/>
      <family val="2"/>
    </font>
    <font>
      <sz val="12"/>
      <name val="Arial"/>
      <family val="2"/>
    </font>
    <font>
      <i/>
      <sz val="12"/>
      <name val="Arial"/>
      <family val="2"/>
    </font>
    <font>
      <sz val="12"/>
      <color rgb="FF0050C7"/>
      <name val="Arial"/>
      <family val="2"/>
    </font>
    <font>
      <b/>
      <sz val="12"/>
      <color rgb="FF007A37"/>
      <name val="Arial"/>
      <family val="2"/>
    </font>
    <font>
      <sz val="12"/>
      <color rgb="FFB80000"/>
      <name val="Arial"/>
      <family val="2"/>
    </font>
    <font>
      <b/>
      <sz val="11"/>
      <color theme="1"/>
      <name val="Aptos Narrow"/>
      <family val="2"/>
      <scheme val="minor"/>
    </font>
    <font>
      <b/>
      <sz val="14"/>
      <name val="Arial"/>
      <family val="2"/>
    </font>
    <font>
      <sz val="12"/>
      <color indexed="12"/>
      <name val="Arial"/>
      <family val="2"/>
    </font>
    <font>
      <b/>
      <sz val="12"/>
      <color rgb="FFFF0000"/>
      <name val="Arial"/>
      <family val="2"/>
    </font>
    <font>
      <sz val="12"/>
      <color indexed="10"/>
      <name val="Arial"/>
      <family val="2"/>
    </font>
    <font>
      <sz val="12"/>
      <color rgb="FF2D3B45"/>
      <name val="Arial"/>
      <family val="2"/>
    </font>
    <font>
      <sz val="8"/>
      <name val="Aptos Narrow"/>
      <family val="2"/>
      <scheme val="minor"/>
    </font>
    <font>
      <sz val="11"/>
      <name val="Aptos Narrow"/>
      <family val="2"/>
      <scheme val="minor"/>
    </font>
    <font>
      <b/>
      <sz val="12"/>
      <color rgb="FFEE0000"/>
      <name val="Arial"/>
      <family val="2"/>
    </font>
    <font>
      <b/>
      <sz val="18"/>
      <color theme="0"/>
      <name val="Aptos Narrow"/>
      <family val="2"/>
      <scheme val="minor"/>
    </font>
    <font>
      <sz val="14"/>
      <color rgb="FF001D35"/>
      <name val="Arial"/>
      <family val="2"/>
    </font>
    <font>
      <b/>
      <sz val="12"/>
      <color rgb="FF2D3B45"/>
      <name val="Arial"/>
      <family val="2"/>
    </font>
    <font>
      <b/>
      <sz val="12"/>
      <name val="Arial"/>
      <family val="2"/>
    </font>
    <font>
      <b/>
      <sz val="14"/>
      <color rgb="FF00B050"/>
      <name val="Aptos Narrow"/>
      <family val="2"/>
      <scheme val="minor"/>
    </font>
  </fonts>
  <fills count="9">
    <fill>
      <patternFill patternType="none"/>
    </fill>
    <fill>
      <patternFill patternType="gray125"/>
    </fill>
    <fill>
      <patternFill patternType="solid">
        <fgColor rgb="FF323232"/>
        <bgColor indexed="64"/>
      </patternFill>
    </fill>
    <fill>
      <patternFill patternType="solid">
        <fgColor rgb="FFEFF6FB"/>
        <bgColor indexed="64"/>
      </patternFill>
    </fill>
    <fill>
      <patternFill patternType="solid">
        <fgColor indexed="47"/>
        <bgColor indexed="64"/>
      </patternFill>
    </fill>
    <fill>
      <patternFill patternType="solid">
        <fgColor indexed="43"/>
        <bgColor indexed="64"/>
      </patternFill>
    </fill>
    <fill>
      <patternFill patternType="solid">
        <fgColor rgb="FFFFFFCC"/>
        <bgColor indexed="64"/>
      </patternFill>
    </fill>
    <fill>
      <patternFill patternType="solid">
        <fgColor rgb="FF002060"/>
        <bgColor indexed="64"/>
      </patternFill>
    </fill>
    <fill>
      <patternFill patternType="solid">
        <fgColor theme="5" tint="0.79998168889431442"/>
        <bgColor indexed="64"/>
      </patternFill>
    </fill>
  </fills>
  <borders count="15">
    <border>
      <left/>
      <right/>
      <top/>
      <bottom/>
      <diagonal/>
    </border>
    <border>
      <left/>
      <right/>
      <top/>
      <bottom style="thin">
        <color rgb="FFC8C8C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xf numFmtId="0" fontId="3" fillId="2" borderId="1">
      <alignment horizontal="right" vertical="center" indent="1"/>
    </xf>
    <xf numFmtId="0" fontId="4" fillId="0" borderId="0"/>
    <xf numFmtId="0" fontId="5" fillId="3" borderId="0" applyNumberFormat="0" applyFont="0" applyBorder="0" applyAlignment="0" applyProtection="0"/>
    <xf numFmtId="0" fontId="1" fillId="0" borderId="0"/>
    <xf numFmtId="43" fontId="1" fillId="0" borderId="0" applyFont="0" applyFill="0" applyBorder="0" applyAlignment="0" applyProtection="0"/>
  </cellStyleXfs>
  <cellXfs count="105">
    <xf numFmtId="0" fontId="0" fillId="0" borderId="0" xfId="0"/>
    <xf numFmtId="0" fontId="0" fillId="0" borderId="0" xfId="0" applyAlignment="1">
      <alignment horizontal="center"/>
    </xf>
    <xf numFmtId="44" fontId="0" fillId="0" borderId="0" xfId="0" applyNumberForma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64" fontId="0" fillId="0" borderId="0" xfId="2" applyNumberFormat="1" applyFont="1"/>
    <xf numFmtId="10" fontId="0" fillId="0" borderId="0" xfId="2" applyNumberFormat="1" applyFont="1"/>
    <xf numFmtId="10" fontId="0" fillId="0" borderId="0" xfId="0" applyNumberFormat="1"/>
    <xf numFmtId="8" fontId="0" fillId="0" borderId="0" xfId="0" applyNumberFormat="1"/>
    <xf numFmtId="164" fontId="0" fillId="0" borderId="0" xfId="0" applyNumberFormat="1"/>
    <xf numFmtId="165" fontId="0" fillId="0" borderId="0" xfId="0" applyNumberFormat="1"/>
    <xf numFmtId="0" fontId="7" fillId="0" borderId="0" xfId="0" applyFont="1"/>
    <xf numFmtId="0" fontId="8" fillId="0" borderId="0" xfId="0" applyFont="1"/>
    <xf numFmtId="0" fontId="7" fillId="4" borderId="6" xfId="0" applyFont="1" applyFill="1" applyBorder="1"/>
    <xf numFmtId="0" fontId="8" fillId="4" borderId="5" xfId="0" applyFont="1" applyFill="1" applyBorder="1"/>
    <xf numFmtId="0" fontId="7" fillId="4" borderId="5" xfId="0" applyFont="1" applyFill="1" applyBorder="1"/>
    <xf numFmtId="0" fontId="7" fillId="4" borderId="7" xfId="0" applyFont="1" applyFill="1" applyBorder="1"/>
    <xf numFmtId="0" fontId="7" fillId="4" borderId="8" xfId="0" applyFont="1" applyFill="1" applyBorder="1"/>
    <xf numFmtId="0" fontId="7" fillId="4" borderId="0" xfId="0" applyFont="1" applyFill="1"/>
    <xf numFmtId="44" fontId="9" fillId="4" borderId="0" xfId="1" applyFont="1" applyFill="1" applyBorder="1"/>
    <xf numFmtId="0" fontId="7" fillId="4" borderId="9" xfId="0" applyFont="1" applyFill="1" applyBorder="1"/>
    <xf numFmtId="41" fontId="9" fillId="4" borderId="0" xfId="2" applyNumberFormat="1" applyFont="1" applyFill="1" applyBorder="1"/>
    <xf numFmtId="0" fontId="7" fillId="4" borderId="10" xfId="0" applyFont="1" applyFill="1" applyBorder="1"/>
    <xf numFmtId="0" fontId="7" fillId="4" borderId="11" xfId="0" applyFont="1" applyFill="1" applyBorder="1"/>
    <xf numFmtId="0" fontId="7" fillId="4" borderId="12" xfId="0" applyFont="1" applyFill="1" applyBorder="1"/>
    <xf numFmtId="0" fontId="7" fillId="5" borderId="6" xfId="0" applyFont="1" applyFill="1" applyBorder="1"/>
    <xf numFmtId="0" fontId="7" fillId="5" borderId="5" xfId="0" applyFont="1" applyFill="1" applyBorder="1"/>
    <xf numFmtId="0" fontId="7" fillId="5" borderId="7" xfId="0" applyFont="1" applyFill="1" applyBorder="1"/>
    <xf numFmtId="0" fontId="7" fillId="5" borderId="8" xfId="0" applyFont="1" applyFill="1" applyBorder="1"/>
    <xf numFmtId="0" fontId="7" fillId="5" borderId="0" xfId="0" applyFont="1" applyFill="1"/>
    <xf numFmtId="44" fontId="10" fillId="5" borderId="13" xfId="1" applyFont="1" applyFill="1" applyBorder="1"/>
    <xf numFmtId="0" fontId="7" fillId="5" borderId="9" xfId="0" applyFont="1" applyFill="1" applyBorder="1"/>
    <xf numFmtId="0" fontId="7" fillId="5" borderId="10" xfId="0" applyFont="1" applyFill="1" applyBorder="1"/>
    <xf numFmtId="0" fontId="7" fillId="5" borderId="11" xfId="0" applyFont="1" applyFill="1" applyBorder="1"/>
    <xf numFmtId="0" fontId="7" fillId="5" borderId="12" xfId="0" applyFont="1" applyFill="1" applyBorder="1"/>
    <xf numFmtId="166" fontId="9" fillId="4" borderId="0" xfId="1" applyNumberFormat="1" applyFont="1" applyFill="1" applyBorder="1"/>
    <xf numFmtId="41" fontId="9" fillId="4" borderId="0" xfId="1" applyNumberFormat="1" applyFont="1" applyFill="1" applyBorder="1"/>
    <xf numFmtId="167" fontId="9" fillId="4" borderId="0" xfId="2" applyNumberFormat="1" applyFont="1" applyFill="1" applyBorder="1"/>
    <xf numFmtId="44" fontId="11" fillId="5" borderId="0" xfId="0" applyNumberFormat="1" applyFont="1" applyFill="1"/>
    <xf numFmtId="0" fontId="13" fillId="0" borderId="0" xfId="0" applyFont="1"/>
    <xf numFmtId="10" fontId="9" fillId="4" borderId="0" xfId="2" applyNumberFormat="1" applyFont="1" applyFill="1" applyBorder="1"/>
    <xf numFmtId="44" fontId="7" fillId="0" borderId="0" xfId="0" applyNumberFormat="1" applyFont="1"/>
    <xf numFmtId="10" fontId="7" fillId="0" borderId="0" xfId="2" applyNumberFormat="1" applyFont="1"/>
    <xf numFmtId="43" fontId="9" fillId="4" borderId="0" xfId="8" applyFont="1" applyFill="1" applyBorder="1"/>
    <xf numFmtId="168" fontId="9" fillId="4" borderId="0" xfId="8" applyNumberFormat="1" applyFont="1" applyFill="1" applyBorder="1"/>
    <xf numFmtId="44" fontId="11" fillId="5" borderId="0" xfId="1" applyFont="1" applyFill="1" applyBorder="1"/>
    <xf numFmtId="166" fontId="14" fillId="5" borderId="9" xfId="1" applyNumberFormat="1" applyFont="1" applyFill="1" applyBorder="1"/>
    <xf numFmtId="0" fontId="15" fillId="0" borderId="0" xfId="0" quotePrefix="1" applyFont="1"/>
    <xf numFmtId="0" fontId="15" fillId="0" borderId="0" xfId="0" applyFont="1"/>
    <xf numFmtId="44" fontId="16" fillId="5" borderId="0" xfId="1" applyFont="1" applyFill="1" applyBorder="1"/>
    <xf numFmtId="166" fontId="10" fillId="5" borderId="13" xfId="1" applyNumberFormat="1" applyFont="1" applyFill="1" applyBorder="1"/>
    <xf numFmtId="0" fontId="17" fillId="0" borderId="0" xfId="0" applyFont="1"/>
    <xf numFmtId="6" fontId="0" fillId="0" borderId="0" xfId="0" applyNumberFormat="1"/>
    <xf numFmtId="9" fontId="0" fillId="0" borderId="0" xfId="0" applyNumberFormat="1" applyAlignment="1">
      <alignment horizontal="center" vertical="center"/>
    </xf>
    <xf numFmtId="0" fontId="0" fillId="0" borderId="14" xfId="0" applyBorder="1"/>
    <xf numFmtId="44" fontId="0" fillId="0" borderId="0" xfId="1" applyFont="1"/>
    <xf numFmtId="0" fontId="0" fillId="0" borderId="13" xfId="0" applyBorder="1"/>
    <xf numFmtId="10" fontId="0" fillId="6" borderId="13" xfId="2" applyNumberFormat="1" applyFont="1" applyFill="1" applyBorder="1"/>
    <xf numFmtId="10" fontId="0" fillId="6" borderId="13" xfId="0" applyNumberFormat="1" applyFill="1" applyBorder="1"/>
    <xf numFmtId="0" fontId="19" fillId="0" borderId="0" xfId="0" applyFont="1"/>
    <xf numFmtId="44" fontId="16" fillId="5" borderId="11" xfId="1" applyFont="1" applyFill="1" applyBorder="1"/>
    <xf numFmtId="166" fontId="14" fillId="5" borderId="12" xfId="1" applyNumberFormat="1" applyFont="1" applyFill="1" applyBorder="1"/>
    <xf numFmtId="0" fontId="20" fillId="0" borderId="0" xfId="0" quotePrefix="1" applyFont="1"/>
    <xf numFmtId="0" fontId="21" fillId="7" borderId="0" xfId="0" applyFont="1" applyFill="1"/>
    <xf numFmtId="1" fontId="9" fillId="4" borderId="0" xfId="8" applyNumberFormat="1" applyFont="1" applyFill="1" applyBorder="1"/>
    <xf numFmtId="10" fontId="11" fillId="5" borderId="0" xfId="2" applyNumberFormat="1" applyFont="1" applyFill="1" applyBorder="1"/>
    <xf numFmtId="8" fontId="9" fillId="4" borderId="0" xfId="2" applyNumberFormat="1" applyFont="1" applyFill="1" applyBorder="1"/>
    <xf numFmtId="0" fontId="22" fillId="0" borderId="0" xfId="0" applyFont="1"/>
    <xf numFmtId="0" fontId="23" fillId="0" borderId="0" xfId="0" applyFont="1"/>
    <xf numFmtId="0" fontId="12" fillId="0" borderId="0" xfId="0" applyFont="1"/>
    <xf numFmtId="10" fontId="0" fillId="0" borderId="0" xfId="0" applyNumberFormat="1" applyAlignment="1">
      <alignment horizontal="center" vertical="center"/>
    </xf>
    <xf numFmtId="0" fontId="24" fillId="0" borderId="0" xfId="0" applyFont="1"/>
    <xf numFmtId="0" fontId="7" fillId="8" borderId="6" xfId="0" applyFont="1" applyFill="1" applyBorder="1"/>
    <xf numFmtId="0" fontId="8" fillId="8" borderId="5" xfId="0" applyFont="1" applyFill="1" applyBorder="1"/>
    <xf numFmtId="0" fontId="7" fillId="8" borderId="5" xfId="0" applyFont="1" applyFill="1" applyBorder="1"/>
    <xf numFmtId="0" fontId="0" fillId="8" borderId="7" xfId="0" applyFill="1" applyBorder="1"/>
    <xf numFmtId="0" fontId="7" fillId="8" borderId="8" xfId="0" applyFont="1" applyFill="1" applyBorder="1"/>
    <xf numFmtId="0" fontId="7" fillId="8" borderId="0" xfId="0" applyFont="1" applyFill="1"/>
    <xf numFmtId="0" fontId="9" fillId="8" borderId="0" xfId="1" applyNumberFormat="1" applyFont="1" applyFill="1" applyBorder="1"/>
    <xf numFmtId="0" fontId="0" fillId="8" borderId="9" xfId="0" applyFill="1" applyBorder="1"/>
    <xf numFmtId="44" fontId="9" fillId="8" borderId="0" xfId="1" applyFont="1" applyFill="1" applyBorder="1"/>
    <xf numFmtId="10" fontId="9" fillId="8" borderId="0" xfId="2" applyNumberFormat="1" applyFont="1" applyFill="1" applyBorder="1"/>
    <xf numFmtId="0" fontId="0" fillId="8" borderId="10" xfId="0" applyFill="1" applyBorder="1"/>
    <xf numFmtId="0" fontId="0" fillId="8" borderId="11" xfId="0" applyFill="1" applyBorder="1"/>
    <xf numFmtId="0" fontId="0" fillId="8" borderId="12" xfId="0" applyFill="1" applyBorder="1"/>
    <xf numFmtId="0" fontId="12" fillId="6" borderId="6" xfId="0" applyFont="1" applyFill="1" applyBorder="1"/>
    <xf numFmtId="0" fontId="12" fillId="6" borderId="5" xfId="0" applyFont="1" applyFill="1" applyBorder="1"/>
    <xf numFmtId="0" fontId="12" fillId="6" borderId="7" xfId="0" applyFont="1" applyFill="1" applyBorder="1"/>
    <xf numFmtId="0" fontId="12" fillId="6" borderId="8" xfId="0" applyFont="1" applyFill="1" applyBorder="1"/>
    <xf numFmtId="0" fontId="12" fillId="6" borderId="0" xfId="0" applyFont="1" applyFill="1"/>
    <xf numFmtId="0" fontId="12" fillId="6" borderId="9" xfId="0" applyFont="1" applyFill="1" applyBorder="1"/>
    <xf numFmtId="0" fontId="12" fillId="6" borderId="10" xfId="0" applyFont="1" applyFill="1" applyBorder="1"/>
    <xf numFmtId="0" fontId="12" fillId="6" borderId="11" xfId="0" applyFont="1" applyFill="1" applyBorder="1"/>
    <xf numFmtId="0" fontId="12" fillId="6" borderId="12" xfId="0" applyFont="1" applyFill="1" applyBorder="1"/>
    <xf numFmtId="8" fontId="25" fillId="6" borderId="0" xfId="0" applyNumberFormat="1" applyFont="1" applyFill="1"/>
    <xf numFmtId="164" fontId="0" fillId="0" borderId="0" xfId="0" applyNumberFormat="1" applyAlignment="1">
      <alignment horizontal="center"/>
    </xf>
    <xf numFmtId="10" fontId="0" fillId="0" borderId="0" xfId="0" applyNumberFormat="1" applyAlignment="1">
      <alignment horizontal="center"/>
    </xf>
    <xf numFmtId="8" fontId="0" fillId="0" borderId="0" xfId="0" applyNumberFormat="1" applyAlignment="1">
      <alignment horizontal="center"/>
    </xf>
    <xf numFmtId="44" fontId="0" fillId="0" borderId="0" xfId="0" applyNumberFormat="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wrapText="1"/>
    </xf>
  </cellXfs>
  <cellStyles count="9">
    <cellStyle name="Background" xfId="6" xr:uid="{6262B0D7-6D5D-45B0-9B67-AD5EBFF9B704}"/>
    <cellStyle name="Comma" xfId="8" builtinId="3"/>
    <cellStyle name="Comma 2" xfId="3" xr:uid="{56AB2C68-C8F8-4AC9-91D9-59305F391729}"/>
    <cellStyle name="Currency" xfId="1" builtinId="4"/>
    <cellStyle name="FactSet header" xfId="4" xr:uid="{2F217F5E-813E-4D3B-8C4C-54B654A0105F}"/>
    <cellStyle name="Normal" xfId="0" builtinId="0"/>
    <cellStyle name="Normal 2" xfId="5" xr:uid="{F1216DA6-3725-4CBE-A199-2C4079FDB1A9}"/>
    <cellStyle name="Normal 2 2" xfId="7" xr:uid="{3698E4B4-BC07-457E-BC3B-F2256585067B}"/>
    <cellStyle name="Percent" xfId="2" builtinId="5"/>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01849-F5FB-48E4-8B6A-B4E87AD85B83}">
  <dimension ref="A1:B1"/>
  <sheetViews>
    <sheetView workbookViewId="0"/>
  </sheetViews>
  <sheetFormatPr defaultRowHeight="15" x14ac:dyDescent="0.25"/>
  <sheetData>
    <row r="1" spans="1:2" x14ac:dyDescent="0.25">
      <c r="B1" t="s">
        <v>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DB8ED-73DA-45B6-90A1-C3A0360041E6}">
  <dimension ref="A1:L23"/>
  <sheetViews>
    <sheetView workbookViewId="0">
      <selection activeCell="F19" sqref="F19"/>
    </sheetView>
  </sheetViews>
  <sheetFormatPr defaultRowHeight="15" x14ac:dyDescent="0.25"/>
  <cols>
    <col min="1" max="1" width="11.5703125" customWidth="1"/>
    <col min="2" max="2" width="19.140625" customWidth="1"/>
    <col min="3" max="3" width="18.7109375" customWidth="1"/>
    <col min="4" max="4" width="13" customWidth="1"/>
    <col min="6" max="6" width="10" bestFit="1" customWidth="1"/>
    <col min="9" max="9" width="23.7109375" customWidth="1"/>
    <col min="10" max="10" width="18.7109375" customWidth="1"/>
    <col min="11" max="11" width="6.85546875" customWidth="1"/>
    <col min="12" max="12" width="11.85546875" customWidth="1"/>
  </cols>
  <sheetData>
    <row r="1" spans="1:12" ht="15.75" thickBot="1" x14ac:dyDescent="0.3"/>
    <row r="2" spans="1:12" ht="15.75" thickBot="1" x14ac:dyDescent="0.3">
      <c r="A2" s="100" t="s">
        <v>0</v>
      </c>
      <c r="B2" s="101"/>
      <c r="C2" s="101"/>
      <c r="D2" s="101"/>
      <c r="E2" s="101"/>
      <c r="F2" s="102"/>
      <c r="H2" t="s">
        <v>16</v>
      </c>
      <c r="J2" s="1">
        <f>COUNT(D5:D14)</f>
        <v>10</v>
      </c>
    </row>
    <row r="3" spans="1:12" ht="15.75" thickBot="1" x14ac:dyDescent="0.3">
      <c r="A3" s="103" t="s">
        <v>17</v>
      </c>
      <c r="B3" s="103"/>
      <c r="C3" s="103"/>
      <c r="D3" s="103"/>
      <c r="E3" s="103"/>
      <c r="F3" s="103"/>
      <c r="H3" t="s">
        <v>86</v>
      </c>
      <c r="J3" s="10">
        <f>AVERAGE(D5:D14)</f>
        <v>6.4541964475715849E-2</v>
      </c>
      <c r="K3" s="10"/>
    </row>
    <row r="4" spans="1:12" ht="15.75" thickBot="1" x14ac:dyDescent="0.3">
      <c r="A4" s="3" t="s">
        <v>2</v>
      </c>
      <c r="B4" s="4" t="s">
        <v>12</v>
      </c>
      <c r="C4" s="4" t="s">
        <v>6</v>
      </c>
      <c r="D4" s="4" t="s">
        <v>13</v>
      </c>
      <c r="E4" s="4"/>
      <c r="F4" s="5"/>
      <c r="H4" t="s">
        <v>85</v>
      </c>
      <c r="J4" s="8">
        <v>0.09</v>
      </c>
    </row>
    <row r="5" spans="1:12" x14ac:dyDescent="0.25">
      <c r="A5" s="1">
        <v>2024</v>
      </c>
      <c r="B5" s="2">
        <v>0.42</v>
      </c>
      <c r="C5" s="2">
        <f t="shared" ref="C5:C14" si="0">B5*4</f>
        <v>1.68</v>
      </c>
      <c r="D5" s="6">
        <f t="shared" ref="D5:D6" si="1">(C5-C6)/C6</f>
        <v>7.6923076923076844E-2</v>
      </c>
      <c r="F5" t="str">
        <f ca="1">_xlfn.FORMULATEXT(D5)</f>
        <v>=(C5-C6)/C6</v>
      </c>
    </row>
    <row r="6" spans="1:12" x14ac:dyDescent="0.25">
      <c r="A6" s="1">
        <v>2023</v>
      </c>
      <c r="B6" s="2">
        <v>0.39</v>
      </c>
      <c r="C6" s="2">
        <f t="shared" si="0"/>
        <v>1.56</v>
      </c>
      <c r="D6" s="6">
        <f t="shared" si="1"/>
        <v>6.8493150684931572E-2</v>
      </c>
      <c r="F6" t="str">
        <f t="shared" ref="F6:F14" ca="1" si="2">_xlfn.FORMULATEXT(D6)</f>
        <v>=(C6-C7)/C7</v>
      </c>
      <c r="H6" t="s">
        <v>14</v>
      </c>
      <c r="J6" s="9">
        <v>68</v>
      </c>
    </row>
    <row r="7" spans="1:12" x14ac:dyDescent="0.25">
      <c r="A7" s="1" t="s">
        <v>5</v>
      </c>
      <c r="B7" s="2">
        <v>0.36499999999999999</v>
      </c>
      <c r="C7" s="2">
        <f t="shared" si="0"/>
        <v>1.46</v>
      </c>
      <c r="D7" s="6">
        <f>(C7-C8)/C8</f>
        <v>5.0359712230215875E-2</v>
      </c>
      <c r="E7" s="10"/>
      <c r="F7" t="str">
        <f t="shared" ca="1" si="2"/>
        <v>=(C7-C8)/C8</v>
      </c>
    </row>
    <row r="8" spans="1:12" x14ac:dyDescent="0.25">
      <c r="A8" s="1" t="s">
        <v>4</v>
      </c>
      <c r="B8" s="2">
        <v>0.34749999999999998</v>
      </c>
      <c r="C8" s="2">
        <f t="shared" si="0"/>
        <v>1.39</v>
      </c>
      <c r="D8" s="6">
        <f t="shared" ref="D8:D14" si="3">(C8-C9)/C9</f>
        <v>5.3030303030302907E-2</v>
      </c>
      <c r="E8" s="10"/>
      <c r="F8" t="str">
        <f t="shared" ca="1" si="2"/>
        <v>=(C8-C9)/C9</v>
      </c>
      <c r="H8" t="s">
        <v>87</v>
      </c>
      <c r="J8" s="2">
        <f>(C5*+(1+J3))/(J4-J3)</f>
        <v>70.250137667269655</v>
      </c>
      <c r="L8" t="s">
        <v>19</v>
      </c>
    </row>
    <row r="9" spans="1:12" x14ac:dyDescent="0.25">
      <c r="A9" s="1" t="s">
        <v>3</v>
      </c>
      <c r="B9" s="2">
        <v>0.33</v>
      </c>
      <c r="C9" s="2">
        <f t="shared" si="0"/>
        <v>1.32</v>
      </c>
      <c r="D9" s="6">
        <f t="shared" si="3"/>
        <v>4.7619047619047658E-2</v>
      </c>
      <c r="E9" s="10"/>
      <c r="F9" t="str">
        <f t="shared" ca="1" si="2"/>
        <v>=(C9-C10)/C10</v>
      </c>
      <c r="H9" t="s">
        <v>15</v>
      </c>
      <c r="J9" t="str">
        <f>IF(J8&gt;J6,"Undervalued","Overvalued")</f>
        <v>Undervalued</v>
      </c>
      <c r="L9" t="s">
        <v>18</v>
      </c>
    </row>
    <row r="10" spans="1:12" x14ac:dyDescent="0.25">
      <c r="A10" s="1" t="s">
        <v>7</v>
      </c>
      <c r="B10" s="2">
        <v>0.315</v>
      </c>
      <c r="C10" s="2">
        <f t="shared" si="0"/>
        <v>1.26</v>
      </c>
      <c r="D10" s="6">
        <f t="shared" si="3"/>
        <v>5.0000000000000044E-2</v>
      </c>
      <c r="E10" s="10"/>
      <c r="F10" t="str">
        <f t="shared" ca="1" si="2"/>
        <v>=(C10-C11)/C11</v>
      </c>
    </row>
    <row r="11" spans="1:12" x14ac:dyDescent="0.25">
      <c r="A11" s="1" t="s">
        <v>8</v>
      </c>
      <c r="B11" s="2">
        <v>0.3</v>
      </c>
      <c r="C11" s="2">
        <f t="shared" si="0"/>
        <v>1.2</v>
      </c>
      <c r="D11" s="6">
        <f t="shared" si="3"/>
        <v>0.10091743119266043</v>
      </c>
      <c r="E11" s="10"/>
      <c r="F11" t="str">
        <f t="shared" ca="1" si="2"/>
        <v>=(C11-C12)/C12</v>
      </c>
    </row>
    <row r="12" spans="1:12" x14ac:dyDescent="0.25">
      <c r="A12" s="1" t="s">
        <v>9</v>
      </c>
      <c r="B12" s="2">
        <v>0.27250000000000002</v>
      </c>
      <c r="C12" s="2">
        <f t="shared" si="0"/>
        <v>1.0900000000000001</v>
      </c>
      <c r="D12" s="6">
        <f t="shared" si="3"/>
        <v>4.8076923076923121E-2</v>
      </c>
      <c r="E12" s="10"/>
      <c r="F12" t="str">
        <f t="shared" ca="1" si="2"/>
        <v>=(C12-C13)/C13</v>
      </c>
    </row>
    <row r="13" spans="1:12" x14ac:dyDescent="0.25">
      <c r="A13" s="1" t="s">
        <v>10</v>
      </c>
      <c r="B13" s="2">
        <v>0.26</v>
      </c>
      <c r="C13" s="2">
        <f t="shared" si="0"/>
        <v>1.04</v>
      </c>
      <c r="D13" s="6">
        <f t="shared" si="3"/>
        <v>8.3333333333333412E-2</v>
      </c>
      <c r="E13" s="10"/>
      <c r="F13" t="str">
        <f t="shared" ca="1" si="2"/>
        <v>=(C13-C14)/C14</v>
      </c>
    </row>
    <row r="14" spans="1:12" x14ac:dyDescent="0.25">
      <c r="A14" s="1" t="s">
        <v>11</v>
      </c>
      <c r="B14" s="2">
        <v>0.24</v>
      </c>
      <c r="C14" s="2">
        <f t="shared" si="0"/>
        <v>0.96</v>
      </c>
      <c r="D14" s="6">
        <f t="shared" si="3"/>
        <v>6.6666666666666596E-2</v>
      </c>
      <c r="E14" s="10"/>
      <c r="F14" t="str">
        <f t="shared" ca="1" si="2"/>
        <v>=(C14-C15)/C15</v>
      </c>
    </row>
    <row r="15" spans="1:12" x14ac:dyDescent="0.25">
      <c r="A15" s="1"/>
      <c r="B15" s="2">
        <v>0.23</v>
      </c>
      <c r="C15" s="2">
        <v>0.9</v>
      </c>
      <c r="D15" s="7"/>
    </row>
    <row r="18" spans="1:2" x14ac:dyDescent="0.25">
      <c r="A18" t="s">
        <v>20</v>
      </c>
    </row>
    <row r="19" spans="1:2" x14ac:dyDescent="0.25">
      <c r="A19">
        <v>1</v>
      </c>
      <c r="B19" t="s">
        <v>21</v>
      </c>
    </row>
    <row r="20" spans="1:2" x14ac:dyDescent="0.25">
      <c r="A20">
        <v>2</v>
      </c>
      <c r="B20" t="s">
        <v>22</v>
      </c>
    </row>
    <row r="21" spans="1:2" x14ac:dyDescent="0.25">
      <c r="A21">
        <v>3</v>
      </c>
      <c r="B21" t="s">
        <v>82</v>
      </c>
    </row>
    <row r="22" spans="1:2" x14ac:dyDescent="0.25">
      <c r="A22">
        <v>4</v>
      </c>
      <c r="B22" t="s">
        <v>24</v>
      </c>
    </row>
    <row r="23" spans="1:2" x14ac:dyDescent="0.25">
      <c r="A23">
        <v>5</v>
      </c>
      <c r="B23" t="s">
        <v>23</v>
      </c>
    </row>
  </sheetData>
  <mergeCells count="2">
    <mergeCell ref="A2:F2"/>
    <mergeCell ref="A3:F3"/>
  </mergeCells>
  <conditionalFormatting sqref="J9">
    <cfRule type="cellIs" dxfId="3" priority="1" operator="equal">
      <formula>"Overvalued"</formula>
    </cfRule>
    <cfRule type="cellIs" dxfId="2" priority="2" operator="equal">
      <formula>"Undervalued"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A3F36-D70C-4868-AE64-77B027563AFB}">
  <dimension ref="A1:N29"/>
  <sheetViews>
    <sheetView workbookViewId="0">
      <selection activeCell="B13" sqref="B13"/>
    </sheetView>
  </sheetViews>
  <sheetFormatPr defaultRowHeight="15" x14ac:dyDescent="0.25"/>
  <cols>
    <col min="1" max="1" width="22.42578125" customWidth="1"/>
    <col min="2" max="3" width="11.42578125" customWidth="1"/>
    <col min="4" max="4" width="18" customWidth="1"/>
    <col min="5" max="5" width="11" customWidth="1"/>
    <col min="6" max="6" width="10.140625" customWidth="1"/>
    <col min="7" max="7" width="17.28515625" customWidth="1"/>
    <col min="10" max="10" width="13.85546875" customWidth="1"/>
  </cols>
  <sheetData>
    <row r="1" spans="1:14" ht="24" x14ac:dyDescent="0.4">
      <c r="A1" s="64" t="s">
        <v>58</v>
      </c>
      <c r="B1" s="64"/>
      <c r="C1" s="64"/>
      <c r="D1" s="64"/>
      <c r="E1" s="64"/>
      <c r="F1" s="64"/>
      <c r="G1" s="64"/>
      <c r="H1" s="64"/>
      <c r="I1" s="64"/>
      <c r="J1" s="64"/>
      <c r="K1" s="64"/>
      <c r="L1" s="64"/>
      <c r="M1" s="64"/>
      <c r="N1" s="64"/>
    </row>
    <row r="2" spans="1:14" x14ac:dyDescent="0.25">
      <c r="A2" t="s">
        <v>51</v>
      </c>
    </row>
    <row r="3" spans="1:14" x14ac:dyDescent="0.25">
      <c r="A3" t="s">
        <v>57</v>
      </c>
    </row>
    <row r="4" spans="1:14" x14ac:dyDescent="0.25">
      <c r="A4" t="s">
        <v>56</v>
      </c>
    </row>
    <row r="6" spans="1:14" ht="15.75" x14ac:dyDescent="0.25">
      <c r="A6" s="69" t="str">
        <f>"What are the arithmetic and geometric average returns for a stock with annual returns of "&amp; TEXT(B9,"00.00%")&amp;", "&amp;TEXT(B10,"0.00%")&amp;", "&amp;TEXT(B11,"0.00%")&amp;", "&amp;TEXT(B12,"0.00%")&amp;"?"</f>
        <v>What are the arithmetic and geometric average returns for a stock with annual returns of 12.00%, 10.00%, -4.00%, 8.00%?</v>
      </c>
    </row>
    <row r="7" spans="1:14" ht="15.75" x14ac:dyDescent="0.25">
      <c r="A7" s="52"/>
    </row>
    <row r="8" spans="1:14" ht="15.75" thickBot="1" x14ac:dyDescent="0.3">
      <c r="B8" s="55" t="s">
        <v>50</v>
      </c>
    </row>
    <row r="9" spans="1:14" ht="15.75" thickTop="1" x14ac:dyDescent="0.25">
      <c r="A9" t="s">
        <v>45</v>
      </c>
      <c r="B9" s="54">
        <v>0.12</v>
      </c>
    </row>
    <row r="10" spans="1:14" x14ac:dyDescent="0.25">
      <c r="A10" t="s">
        <v>46</v>
      </c>
      <c r="B10" s="54">
        <v>0.1</v>
      </c>
      <c r="D10" s="57" t="s">
        <v>67</v>
      </c>
      <c r="E10" s="59">
        <f>AVERAGE(B9:B12)</f>
        <v>6.5000000000000002E-2</v>
      </c>
      <c r="G10" t="str" cm="1">
        <f t="array" aca="1" ref="G10:G11" ca="1">_xlfn.FORMULATEXT(E10:E11)</f>
        <v>=AVERAGE(B9:B12)</v>
      </c>
      <c r="H10" s="9"/>
    </row>
    <row r="11" spans="1:14" x14ac:dyDescent="0.25">
      <c r="A11" t="s">
        <v>47</v>
      </c>
      <c r="B11" s="54">
        <v>-0.04</v>
      </c>
      <c r="D11" s="57" t="s">
        <v>49</v>
      </c>
      <c r="E11" s="58" cm="1">
        <f t="array" ref="E11">(GEOMEAN(B9:B12+1))-1</f>
        <v>6.3105644671346273E-2</v>
      </c>
      <c r="G11" t="str">
        <f ca="1"/>
        <v>=(GEOMEAN(B9:B12+1))-1</v>
      </c>
      <c r="H11" s="9"/>
      <c r="I11" t="s">
        <v>68</v>
      </c>
    </row>
    <row r="12" spans="1:14" x14ac:dyDescent="0.25">
      <c r="A12" t="s">
        <v>48</v>
      </c>
      <c r="B12" s="54">
        <v>0.08</v>
      </c>
    </row>
    <row r="13" spans="1:14" x14ac:dyDescent="0.25">
      <c r="D13" t="s">
        <v>52</v>
      </c>
    </row>
    <row r="16" spans="1:14" x14ac:dyDescent="0.25">
      <c r="B16" t="s">
        <v>69</v>
      </c>
    </row>
    <row r="17" spans="1:3" ht="15.75" thickBot="1" x14ac:dyDescent="0.3">
      <c r="B17" s="55" t="s">
        <v>50</v>
      </c>
      <c r="C17" s="53"/>
    </row>
    <row r="18" spans="1:3" ht="15.75" thickTop="1" x14ac:dyDescent="0.25">
      <c r="A18" t="s">
        <v>45</v>
      </c>
      <c r="B18" s="54">
        <f>B9</f>
        <v>0.12</v>
      </c>
      <c r="C18" s="56"/>
    </row>
    <row r="19" spans="1:3" x14ac:dyDescent="0.25">
      <c r="A19" t="s">
        <v>46</v>
      </c>
      <c r="B19" s="54">
        <f t="shared" ref="B19:B21" si="0">B10</f>
        <v>0.1</v>
      </c>
      <c r="C19" s="56"/>
    </row>
    <row r="20" spans="1:3" x14ac:dyDescent="0.25">
      <c r="A20" t="s">
        <v>47</v>
      </c>
      <c r="B20" s="54">
        <f t="shared" si="0"/>
        <v>-0.04</v>
      </c>
      <c r="C20" s="56"/>
    </row>
    <row r="21" spans="1:3" x14ac:dyDescent="0.25">
      <c r="A21" t="s">
        <v>48</v>
      </c>
      <c r="B21" s="54">
        <f t="shared" si="0"/>
        <v>0.08</v>
      </c>
      <c r="C21" s="56"/>
    </row>
    <row r="23" spans="1:3" x14ac:dyDescent="0.25">
      <c r="A23" s="1">
        <f>COUNTA(A18:A21)</f>
        <v>4</v>
      </c>
      <c r="B23" s="71">
        <f>((1+B18)*(1+B19)*(1+B20)*(1+B21))^(1/A23)-1</f>
        <v>6.3105644671346273E-2</v>
      </c>
      <c r="C23" s="2" t="str">
        <f ca="1">_xlfn.FORMULATEXT(B23)</f>
        <v>=((1+B18)*(1+B19)*(1+B20)*(1+B21))^(1/A23)-1</v>
      </c>
    </row>
    <row r="29" spans="1:3" ht="18" x14ac:dyDescent="0.25">
      <c r="A29" s="68"/>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DB3CD-63F9-470E-8C81-9636CCD239D9}">
  <dimension ref="B1:O41"/>
  <sheetViews>
    <sheetView workbookViewId="0">
      <selection activeCell="I33" sqref="I33:O33"/>
    </sheetView>
  </sheetViews>
  <sheetFormatPr defaultRowHeight="15" x14ac:dyDescent="0.25"/>
  <cols>
    <col min="2" max="2" width="3.140625" customWidth="1"/>
    <col min="3" max="3" width="30.85546875" bestFit="1" customWidth="1"/>
    <col min="4" max="4" width="16.85546875" bestFit="1" customWidth="1"/>
    <col min="5" max="5" width="3.140625" customWidth="1"/>
    <col min="7" max="7" width="14.85546875" customWidth="1"/>
    <col min="8" max="8" width="6.85546875" customWidth="1"/>
    <col min="9" max="9" width="14.7109375" customWidth="1"/>
  </cols>
  <sheetData>
    <row r="1" spans="2:13" s="12" customFormat="1" ht="18" x14ac:dyDescent="0.25">
      <c r="C1" s="40"/>
    </row>
    <row r="2" spans="2:13" s="12" customFormat="1" x14ac:dyDescent="0.2"/>
    <row r="3" spans="2:13" s="12" customFormat="1" ht="15.75" x14ac:dyDescent="0.25">
      <c r="B3" s="72" t="s">
        <v>71</v>
      </c>
      <c r="C3" s="72"/>
      <c r="D3" s="72"/>
      <c r="E3" s="72"/>
      <c r="F3" s="72"/>
      <c r="G3" s="72"/>
    </row>
    <row r="4" spans="2:13" s="12" customFormat="1" x14ac:dyDescent="0.2">
      <c r="C4" s="13" t="s">
        <v>25</v>
      </c>
    </row>
    <row r="5" spans="2:13" s="12" customFormat="1" ht="15.75" thickBot="1" x14ac:dyDescent="0.25">
      <c r="C5" s="13"/>
    </row>
    <row r="6" spans="2:13" s="12" customFormat="1" x14ac:dyDescent="0.2">
      <c r="B6" s="14"/>
      <c r="C6" s="15"/>
      <c r="D6" s="16"/>
      <c r="E6" s="17"/>
    </row>
    <row r="7" spans="2:13" s="12" customFormat="1" x14ac:dyDescent="0.2">
      <c r="B7" s="18"/>
      <c r="C7" s="19" t="s">
        <v>34</v>
      </c>
      <c r="D7" s="41">
        <v>2.1499999999999998E-2</v>
      </c>
      <c r="E7" s="21"/>
      <c r="I7" s="42"/>
      <c r="M7" s="43"/>
    </row>
    <row r="8" spans="2:13" s="12" customFormat="1" x14ac:dyDescent="0.2">
      <c r="B8" s="18"/>
      <c r="C8" s="19" t="s">
        <v>35</v>
      </c>
      <c r="D8" s="20">
        <v>2.0499999999999998</v>
      </c>
      <c r="E8" s="21"/>
    </row>
    <row r="9" spans="2:13" s="12" customFormat="1" x14ac:dyDescent="0.2">
      <c r="B9" s="18"/>
      <c r="C9" s="19" t="s">
        <v>36</v>
      </c>
      <c r="D9" s="44">
        <v>0.27</v>
      </c>
      <c r="E9" s="21"/>
    </row>
    <row r="10" spans="2:13" s="12" customFormat="1" x14ac:dyDescent="0.2">
      <c r="B10" s="18"/>
      <c r="C10" s="19" t="s">
        <v>37</v>
      </c>
      <c r="D10" s="45">
        <v>20</v>
      </c>
      <c r="E10" s="21"/>
    </row>
    <row r="11" spans="2:13" s="12" customFormat="1" x14ac:dyDescent="0.2">
      <c r="B11" s="18"/>
      <c r="C11" s="19" t="s">
        <v>38</v>
      </c>
      <c r="D11" s="45">
        <v>25000000</v>
      </c>
      <c r="E11" s="21"/>
    </row>
    <row r="12" spans="2:13" s="12" customFormat="1" ht="15.75" thickBot="1" x14ac:dyDescent="0.25">
      <c r="B12" s="23"/>
      <c r="C12" s="24"/>
      <c r="D12" s="24"/>
      <c r="E12" s="25"/>
    </row>
    <row r="13" spans="2:13" s="12" customFormat="1" x14ac:dyDescent="0.2"/>
    <row r="14" spans="2:13" s="12" customFormat="1" x14ac:dyDescent="0.2">
      <c r="C14" s="13" t="s">
        <v>28</v>
      </c>
    </row>
    <row r="15" spans="2:13" s="12" customFormat="1" ht="15.75" thickBot="1" x14ac:dyDescent="0.25">
      <c r="C15" s="13"/>
    </row>
    <row r="16" spans="2:13" s="12" customFormat="1" x14ac:dyDescent="0.2">
      <c r="B16" s="26"/>
      <c r="C16" s="27"/>
      <c r="D16" s="27"/>
      <c r="E16" s="28"/>
    </row>
    <row r="17" spans="2:11" s="12" customFormat="1" ht="15.75" x14ac:dyDescent="0.25">
      <c r="B17" s="29"/>
      <c r="C17" s="30" t="s">
        <v>39</v>
      </c>
      <c r="D17" s="46">
        <f>D8/D7</f>
        <v>95.348837209302332</v>
      </c>
      <c r="E17" s="47"/>
      <c r="G17" s="12" t="str">
        <f ca="1">_xlfn.FORMULATEXT(D17)</f>
        <v>=D8/D7</v>
      </c>
      <c r="I17" s="48" t="s">
        <v>94</v>
      </c>
      <c r="J17" s="49"/>
      <c r="K17" s="49"/>
    </row>
    <row r="18" spans="2:11" s="12" customFormat="1" x14ac:dyDescent="0.2">
      <c r="B18" s="29"/>
      <c r="C18" s="30"/>
      <c r="D18" s="50"/>
      <c r="E18" s="47"/>
    </row>
    <row r="19" spans="2:11" s="12" customFormat="1" ht="15.75" x14ac:dyDescent="0.25">
      <c r="B19" s="29"/>
      <c r="C19" s="30" t="s">
        <v>40</v>
      </c>
      <c r="D19" s="31">
        <f>D17-D9</f>
        <v>95.078837209302336</v>
      </c>
      <c r="E19" s="47"/>
      <c r="G19" s="12" t="str">
        <f t="shared" ref="G19" ca="1" si="0">_xlfn.FORMULATEXT(D19)</f>
        <v>=D17-D9</v>
      </c>
      <c r="I19" s="63" t="s">
        <v>55</v>
      </c>
    </row>
    <row r="20" spans="2:11" s="12" customFormat="1" ht="15.75" thickBot="1" x14ac:dyDescent="0.25">
      <c r="B20" s="33"/>
      <c r="C20" s="34"/>
      <c r="D20" s="61"/>
      <c r="E20" s="62"/>
    </row>
    <row r="21" spans="2:11" s="12" customFormat="1" x14ac:dyDescent="0.2"/>
    <row r="22" spans="2:11" s="12" customFormat="1" x14ac:dyDescent="0.2"/>
    <row r="23" spans="2:11" ht="15.75" x14ac:dyDescent="0.25">
      <c r="C23" s="72" t="s">
        <v>72</v>
      </c>
      <c r="D23" s="70"/>
      <c r="E23" s="70"/>
      <c r="F23" s="70"/>
      <c r="G23" s="70"/>
      <c r="H23" s="70"/>
      <c r="I23" s="70"/>
      <c r="J23" s="70"/>
      <c r="K23" s="70"/>
    </row>
    <row r="24" spans="2:11" ht="16.5" thickBot="1" x14ac:dyDescent="0.3">
      <c r="C24" s="13" t="s">
        <v>25</v>
      </c>
    </row>
    <row r="25" spans="2:11" ht="15.75" x14ac:dyDescent="0.25">
      <c r="C25" s="15"/>
      <c r="D25" s="16"/>
    </row>
    <row r="26" spans="2:11" ht="15.75" x14ac:dyDescent="0.25">
      <c r="C26" s="19" t="s">
        <v>62</v>
      </c>
      <c r="D26" s="67">
        <v>0.4</v>
      </c>
    </row>
    <row r="27" spans="2:11" ht="15.75" x14ac:dyDescent="0.25">
      <c r="C27" s="19" t="s">
        <v>59</v>
      </c>
      <c r="D27" s="20">
        <v>32</v>
      </c>
    </row>
    <row r="28" spans="2:11" ht="15.75" x14ac:dyDescent="0.25">
      <c r="C28" s="19" t="s">
        <v>60</v>
      </c>
      <c r="D28" s="65">
        <v>4</v>
      </c>
    </row>
    <row r="29" spans="2:11" ht="15.75" x14ac:dyDescent="0.25">
      <c r="C29" s="12"/>
      <c r="D29" s="12"/>
    </row>
    <row r="30" spans="2:11" ht="15.75" x14ac:dyDescent="0.25">
      <c r="C30" s="13" t="s">
        <v>28</v>
      </c>
      <c r="D30" s="12"/>
    </row>
    <row r="31" spans="2:11" ht="16.5" thickBot="1" x14ac:dyDescent="0.3">
      <c r="C31" s="13"/>
      <c r="D31" s="12"/>
    </row>
    <row r="32" spans="2:11" ht="15.75" x14ac:dyDescent="0.25">
      <c r="C32" s="27"/>
      <c r="D32" s="27"/>
    </row>
    <row r="33" spans="3:15" ht="15.75" x14ac:dyDescent="0.25">
      <c r="C33" s="30" t="s">
        <v>61</v>
      </c>
      <c r="D33" s="66">
        <f>(D26*D28)/D27</f>
        <v>0.05</v>
      </c>
      <c r="G33" t="str">
        <f ca="1">_xlfn.FORMULATEXT(D33)</f>
        <v>=(D26*D28)/D27</v>
      </c>
      <c r="I33" s="48" t="s">
        <v>53</v>
      </c>
      <c r="J33" s="49"/>
      <c r="K33" s="49"/>
      <c r="L33" s="49"/>
      <c r="M33" s="49"/>
      <c r="N33" s="12"/>
      <c r="O33" s="12"/>
    </row>
    <row r="34" spans="3:15" ht="16.5" thickBot="1" x14ac:dyDescent="0.3">
      <c r="C34" s="34" t="s">
        <v>63</v>
      </c>
      <c r="D34" s="61"/>
    </row>
    <row r="41" spans="3:15" ht="18" x14ac:dyDescent="0.25">
      <c r="O41" s="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3D23-7FE9-4FF7-86D8-158BC56CCD19}">
  <dimension ref="B1:Q26"/>
  <sheetViews>
    <sheetView workbookViewId="0">
      <selection activeCell="C3" sqref="C3"/>
    </sheetView>
  </sheetViews>
  <sheetFormatPr defaultRowHeight="15" x14ac:dyDescent="0.25"/>
  <cols>
    <col min="2" max="2" width="3.140625" customWidth="1"/>
    <col min="3" max="3" width="30.85546875" bestFit="1" customWidth="1"/>
    <col min="4" max="4" width="16.85546875" bestFit="1" customWidth="1"/>
    <col min="5" max="5" width="3.140625" customWidth="1"/>
    <col min="7" max="7" width="14.85546875" customWidth="1"/>
    <col min="9" max="9" width="14.7109375" customWidth="1"/>
  </cols>
  <sheetData>
    <row r="1" spans="2:13" s="12" customFormat="1" ht="18" x14ac:dyDescent="0.25">
      <c r="C1" s="40" t="s">
        <v>33</v>
      </c>
    </row>
    <row r="2" spans="2:13" s="12" customFormat="1" ht="15.75" x14ac:dyDescent="0.25">
      <c r="C2" s="72" t="s">
        <v>74</v>
      </c>
    </row>
    <row r="3" spans="2:13" s="12" customFormat="1" x14ac:dyDescent="0.2"/>
    <row r="4" spans="2:13" s="12" customFormat="1" x14ac:dyDescent="0.2">
      <c r="C4" s="13" t="s">
        <v>25</v>
      </c>
    </row>
    <row r="5" spans="2:13" s="12" customFormat="1" ht="15.75" thickBot="1" x14ac:dyDescent="0.25">
      <c r="C5" s="13"/>
    </row>
    <row r="6" spans="2:13" s="12" customFormat="1" x14ac:dyDescent="0.2">
      <c r="B6" s="14"/>
      <c r="C6" s="15"/>
      <c r="D6" s="16"/>
      <c r="E6" s="17"/>
    </row>
    <row r="7" spans="2:13" s="12" customFormat="1" x14ac:dyDescent="0.2">
      <c r="B7" s="18"/>
      <c r="C7" s="19" t="s">
        <v>34</v>
      </c>
      <c r="D7" s="41">
        <v>2.1499999999999998E-2</v>
      </c>
      <c r="E7" s="21"/>
      <c r="I7" s="42"/>
      <c r="M7" s="43"/>
    </row>
    <row r="8" spans="2:13" s="12" customFormat="1" x14ac:dyDescent="0.2">
      <c r="B8" s="18"/>
      <c r="C8" s="19" t="s">
        <v>35</v>
      </c>
      <c r="D8" s="20">
        <v>2.0499999999999998</v>
      </c>
      <c r="E8" s="21"/>
    </row>
    <row r="9" spans="2:13" s="12" customFormat="1" x14ac:dyDescent="0.2">
      <c r="B9" s="18"/>
      <c r="C9" s="19" t="s">
        <v>36</v>
      </c>
      <c r="D9" s="44">
        <v>0.27</v>
      </c>
      <c r="E9" s="21"/>
    </row>
    <row r="10" spans="2:13" s="12" customFormat="1" x14ac:dyDescent="0.2">
      <c r="B10" s="18"/>
      <c r="C10" s="19" t="s">
        <v>37</v>
      </c>
      <c r="D10" s="45">
        <v>20</v>
      </c>
      <c r="E10" s="21"/>
    </row>
    <row r="11" spans="2:13" s="12" customFormat="1" x14ac:dyDescent="0.2">
      <c r="B11" s="18"/>
      <c r="C11" s="19" t="s">
        <v>38</v>
      </c>
      <c r="D11" s="45">
        <v>25000000</v>
      </c>
      <c r="E11" s="21"/>
    </row>
    <row r="12" spans="2:13" s="12" customFormat="1" ht="15.75" thickBot="1" x14ac:dyDescent="0.25">
      <c r="B12" s="23"/>
      <c r="C12" s="24"/>
      <c r="D12" s="24"/>
      <c r="E12" s="25"/>
    </row>
    <row r="13" spans="2:13" s="12" customFormat="1" x14ac:dyDescent="0.2"/>
    <row r="14" spans="2:13" s="12" customFormat="1" x14ac:dyDescent="0.2">
      <c r="C14" s="13" t="s">
        <v>28</v>
      </c>
    </row>
    <row r="15" spans="2:13" s="12" customFormat="1" ht="15.75" thickBot="1" x14ac:dyDescent="0.25">
      <c r="C15" s="13"/>
    </row>
    <row r="16" spans="2:13" s="12" customFormat="1" x14ac:dyDescent="0.2">
      <c r="B16" s="26"/>
      <c r="C16" s="27"/>
      <c r="D16" s="27"/>
      <c r="E16" s="28"/>
    </row>
    <row r="17" spans="2:17" s="12" customFormat="1" ht="15.75" x14ac:dyDescent="0.25">
      <c r="B17" s="29"/>
      <c r="C17" s="30" t="s">
        <v>39</v>
      </c>
      <c r="D17" s="46">
        <f>D8/D7</f>
        <v>95.348837209302332</v>
      </c>
      <c r="E17" s="47"/>
      <c r="G17" s="12" t="str">
        <f ca="1">_xlfn.FORMULATEXT(D17)</f>
        <v>=D8/D7</v>
      </c>
      <c r="I17" s="48" t="s">
        <v>54</v>
      </c>
      <c r="J17" s="49"/>
      <c r="K17" s="49"/>
      <c r="M17" s="48" t="s">
        <v>53</v>
      </c>
      <c r="N17" s="49"/>
      <c r="O17" s="49"/>
      <c r="P17" s="49"/>
      <c r="Q17" s="49"/>
    </row>
    <row r="18" spans="2:17" s="12" customFormat="1" x14ac:dyDescent="0.2">
      <c r="B18" s="29"/>
      <c r="C18" s="30"/>
      <c r="D18" s="50"/>
      <c r="E18" s="47"/>
    </row>
    <row r="19" spans="2:17" s="12" customFormat="1" ht="15.75" x14ac:dyDescent="0.25">
      <c r="B19" s="29"/>
      <c r="C19" s="30" t="s">
        <v>40</v>
      </c>
      <c r="D19" s="31">
        <f>D17-D9</f>
        <v>95.078837209302336</v>
      </c>
      <c r="E19" s="47"/>
      <c r="G19" s="12" t="str">
        <f t="shared" ref="G19:G23" ca="1" si="0">_xlfn.FORMULATEXT(D19)</f>
        <v>=D17-D9</v>
      </c>
    </row>
    <row r="20" spans="2:17" s="12" customFormat="1" x14ac:dyDescent="0.2">
      <c r="B20" s="29"/>
      <c r="C20" s="30"/>
      <c r="D20" s="50"/>
      <c r="E20" s="47"/>
    </row>
    <row r="21" spans="2:17" s="12" customFormat="1" ht="15.75" x14ac:dyDescent="0.25">
      <c r="B21" s="29"/>
      <c r="C21" s="30" t="s">
        <v>41</v>
      </c>
      <c r="D21" s="46">
        <f>D17/D10</f>
        <v>4.7674418604651168</v>
      </c>
      <c r="E21" s="47"/>
      <c r="G21" s="12" t="str">
        <f t="shared" ca="1" si="0"/>
        <v>=D17/D10</v>
      </c>
      <c r="I21" s="48" t="s">
        <v>42</v>
      </c>
      <c r="M21" s="48" t="s">
        <v>64</v>
      </c>
    </row>
    <row r="22" spans="2:17" s="12" customFormat="1" x14ac:dyDescent="0.2">
      <c r="B22" s="29"/>
      <c r="C22" s="30"/>
      <c r="D22" s="50"/>
      <c r="E22" s="47"/>
    </row>
    <row r="23" spans="2:17" s="12" customFormat="1" ht="15.75" x14ac:dyDescent="0.25">
      <c r="B23" s="29"/>
      <c r="C23" s="30" t="s">
        <v>43</v>
      </c>
      <c r="D23" s="51">
        <f>D21*D11</f>
        <v>119186046.51162791</v>
      </c>
      <c r="E23" s="47"/>
      <c r="G23" s="12" t="str">
        <f t="shared" ca="1" si="0"/>
        <v>=D21*D11</v>
      </c>
      <c r="I23" s="48" t="s">
        <v>44</v>
      </c>
    </row>
    <row r="24" spans="2:17" s="12" customFormat="1" ht="15.75" thickBot="1" x14ac:dyDescent="0.25">
      <c r="B24" s="33"/>
      <c r="C24" s="34"/>
      <c r="D24" s="34"/>
      <c r="E24" s="35"/>
    </row>
    <row r="25" spans="2:17" s="12" customFormat="1" x14ac:dyDescent="0.2"/>
    <row r="26" spans="2:17" s="12" customForma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65D0B-E313-428E-AD88-F24894FAFEC6}">
  <dimension ref="A1:K25"/>
  <sheetViews>
    <sheetView workbookViewId="0">
      <selection activeCell="C1" sqref="C1:G1"/>
    </sheetView>
  </sheetViews>
  <sheetFormatPr defaultRowHeight="15" x14ac:dyDescent="0.25"/>
  <cols>
    <col min="3" max="3" width="24.140625" customWidth="1"/>
    <col min="4" max="4" width="18.5703125" customWidth="1"/>
  </cols>
  <sheetData>
    <row r="1" spans="1:11" ht="15.75" x14ac:dyDescent="0.25">
      <c r="A1" s="12"/>
      <c r="B1" s="12"/>
      <c r="C1" s="70" t="s">
        <v>75</v>
      </c>
      <c r="D1" s="72"/>
      <c r="E1" s="72"/>
      <c r="F1" s="72"/>
      <c r="G1" s="72"/>
    </row>
    <row r="2" spans="1:11" ht="16.5" thickBot="1" x14ac:dyDescent="0.3">
      <c r="A2" s="12" t="s">
        <v>78</v>
      </c>
      <c r="B2" s="12"/>
      <c r="C2" s="13" t="s">
        <v>25</v>
      </c>
      <c r="D2" s="12"/>
      <c r="E2" s="12"/>
      <c r="F2" s="12"/>
      <c r="G2" s="12"/>
    </row>
    <row r="3" spans="1:11" ht="15.75" x14ac:dyDescent="0.25">
      <c r="A3" s="12" t="s">
        <v>79</v>
      </c>
      <c r="B3" s="14"/>
      <c r="C3" s="15"/>
      <c r="D3" s="16"/>
      <c r="E3" s="17"/>
      <c r="F3" s="12"/>
      <c r="G3" s="12"/>
    </row>
    <row r="4" spans="1:11" ht="15.75" x14ac:dyDescent="0.25">
      <c r="A4" s="12"/>
      <c r="B4" s="18"/>
      <c r="C4" s="19" t="s">
        <v>26</v>
      </c>
      <c r="D4" s="20">
        <v>5.27</v>
      </c>
      <c r="E4" s="21"/>
      <c r="F4" s="12"/>
      <c r="G4" s="12"/>
    </row>
    <row r="5" spans="1:11" ht="15.75" x14ac:dyDescent="0.25">
      <c r="A5" s="12"/>
      <c r="B5" s="18"/>
      <c r="C5" s="19" t="s">
        <v>27</v>
      </c>
      <c r="D5" s="22">
        <v>18</v>
      </c>
      <c r="E5" s="21"/>
      <c r="F5" s="12"/>
      <c r="G5" s="12"/>
    </row>
    <row r="6" spans="1:11" ht="15.75" x14ac:dyDescent="0.25">
      <c r="A6" s="12"/>
      <c r="B6" s="18"/>
      <c r="C6" s="19" t="s">
        <v>27</v>
      </c>
      <c r="D6" s="22">
        <v>21</v>
      </c>
      <c r="E6" s="21"/>
      <c r="F6" s="12"/>
      <c r="G6" s="12"/>
    </row>
    <row r="7" spans="1:11" ht="16.5" thickBot="1" x14ac:dyDescent="0.3">
      <c r="A7" s="12"/>
      <c r="B7" s="23"/>
      <c r="C7" s="24"/>
      <c r="D7" s="24"/>
      <c r="E7" s="25"/>
      <c r="F7" s="12"/>
      <c r="G7" s="12"/>
    </row>
    <row r="8" spans="1:11" ht="15.75" x14ac:dyDescent="0.25">
      <c r="A8" s="12"/>
      <c r="B8" s="12"/>
      <c r="C8" s="12"/>
      <c r="D8" s="12"/>
      <c r="E8" s="12"/>
      <c r="F8" s="12"/>
      <c r="G8" s="12"/>
    </row>
    <row r="9" spans="1:11" ht="15.75" x14ac:dyDescent="0.25">
      <c r="A9" s="12"/>
      <c r="B9" s="12"/>
      <c r="C9" s="13" t="s">
        <v>28</v>
      </c>
      <c r="D9" s="12"/>
      <c r="E9" s="12"/>
      <c r="F9" s="12"/>
      <c r="G9" s="12"/>
    </row>
    <row r="10" spans="1:11" ht="16.5" thickBot="1" x14ac:dyDescent="0.3">
      <c r="A10" s="12"/>
      <c r="B10" s="12"/>
      <c r="C10" s="13"/>
      <c r="D10" s="12"/>
      <c r="E10" s="12"/>
      <c r="F10" s="12"/>
      <c r="G10" s="12"/>
    </row>
    <row r="11" spans="1:11" ht="15.75" x14ac:dyDescent="0.25">
      <c r="A11" s="12"/>
      <c r="B11" s="26"/>
      <c r="C11" s="27"/>
      <c r="D11" s="27"/>
      <c r="E11" s="28"/>
      <c r="F11" s="12"/>
      <c r="G11" s="12"/>
      <c r="H11" s="48" t="s">
        <v>64</v>
      </c>
      <c r="I11" s="12"/>
      <c r="J11" s="12"/>
      <c r="K11" s="12"/>
    </row>
    <row r="12" spans="1:11" ht="15.75" x14ac:dyDescent="0.25">
      <c r="A12" s="12"/>
      <c r="B12" s="29"/>
      <c r="C12" s="30" t="str">
        <f>"Stock price at PE of "&amp;D5</f>
        <v>Stock price at PE of 18</v>
      </c>
      <c r="D12" s="31">
        <f>D4*D5</f>
        <v>94.859999999999985</v>
      </c>
      <c r="E12" s="32"/>
      <c r="F12" s="12"/>
      <c r="G12" s="12"/>
    </row>
    <row r="13" spans="1:11" ht="15.75" x14ac:dyDescent="0.25">
      <c r="A13" s="12"/>
      <c r="B13" s="29"/>
      <c r="C13" s="30" t="str">
        <f>"Stock price at PE of "&amp;D6</f>
        <v>Stock price at PE of 21</v>
      </c>
      <c r="D13" s="31">
        <f>D4*D6</f>
        <v>110.66999999999999</v>
      </c>
      <c r="E13" s="32"/>
      <c r="F13" s="12"/>
      <c r="G13" s="12"/>
    </row>
    <row r="14" spans="1:11" ht="16.5" thickBot="1" x14ac:dyDescent="0.3">
      <c r="A14" s="12"/>
      <c r="B14" s="33"/>
      <c r="C14" s="34"/>
      <c r="D14" s="34"/>
      <c r="E14" s="35"/>
      <c r="F14" s="12"/>
      <c r="G14" s="12"/>
    </row>
    <row r="15" spans="1:11" ht="15.75" x14ac:dyDescent="0.25">
      <c r="A15" s="12"/>
      <c r="B15" s="12"/>
      <c r="C15" s="12"/>
      <c r="D15" s="12"/>
      <c r="E15" s="12"/>
      <c r="F15" s="12"/>
      <c r="G15" s="12"/>
    </row>
    <row r="16" spans="1:11" ht="15.75" thickBot="1" x14ac:dyDescent="0.3">
      <c r="B16" s="70" t="s">
        <v>77</v>
      </c>
    </row>
    <row r="17" spans="1:5" ht="15.75" x14ac:dyDescent="0.25">
      <c r="A17" s="12" t="s">
        <v>78</v>
      </c>
      <c r="B17" s="73"/>
      <c r="C17" s="74"/>
      <c r="D17" s="75"/>
      <c r="E17" s="76"/>
    </row>
    <row r="18" spans="1:5" ht="15.75" x14ac:dyDescent="0.25">
      <c r="A18" s="12" t="s">
        <v>80</v>
      </c>
      <c r="B18" s="77"/>
      <c r="C18" s="78" t="s">
        <v>65</v>
      </c>
      <c r="D18" s="79">
        <v>12.1</v>
      </c>
      <c r="E18" s="80"/>
    </row>
    <row r="19" spans="1:5" ht="15.75" x14ac:dyDescent="0.25">
      <c r="B19" s="77"/>
      <c r="C19" s="78" t="s">
        <v>26</v>
      </c>
      <c r="D19" s="81">
        <v>2.56</v>
      </c>
      <c r="E19" s="80"/>
    </row>
    <row r="20" spans="1:5" ht="15.75" x14ac:dyDescent="0.25">
      <c r="B20" s="77"/>
      <c r="C20" s="78" t="s">
        <v>66</v>
      </c>
      <c r="D20" s="82">
        <v>1.9E-2</v>
      </c>
      <c r="E20" s="80"/>
    </row>
    <row r="21" spans="1:5" ht="15.75" thickBot="1" x14ac:dyDescent="0.3">
      <c r="B21" s="83"/>
      <c r="C21" s="84"/>
      <c r="D21" s="84"/>
      <c r="E21" s="85"/>
    </row>
    <row r="22" spans="1:5" ht="15.75" thickBot="1" x14ac:dyDescent="0.3"/>
    <row r="23" spans="1:5" x14ac:dyDescent="0.25">
      <c r="B23" s="86"/>
      <c r="C23" s="87"/>
      <c r="D23" s="87"/>
      <c r="E23" s="88"/>
    </row>
    <row r="24" spans="1:5" ht="18.75" x14ac:dyDescent="0.3">
      <c r="B24" s="89"/>
      <c r="C24" s="90" t="s">
        <v>76</v>
      </c>
      <c r="D24" s="95">
        <f>D19*(1+D20)^4*D18</f>
        <v>33.398123910359288</v>
      </c>
      <c r="E24" s="91"/>
    </row>
    <row r="25" spans="1:5" ht="15.75" thickBot="1" x14ac:dyDescent="0.3">
      <c r="B25" s="92"/>
      <c r="C25" s="93"/>
      <c r="D25" s="93"/>
      <c r="E25" s="9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38218-647A-4E77-B7E2-E1D343632AF8}">
  <dimension ref="A1:K20"/>
  <sheetViews>
    <sheetView workbookViewId="0">
      <selection activeCell="D25" sqref="D25"/>
    </sheetView>
  </sheetViews>
  <sheetFormatPr defaultRowHeight="15" x14ac:dyDescent="0.25"/>
  <cols>
    <col min="3" max="3" width="25.140625" customWidth="1"/>
    <col min="4" max="4" width="25.85546875" customWidth="1"/>
  </cols>
  <sheetData>
    <row r="1" spans="1:11" ht="15.75" x14ac:dyDescent="0.25">
      <c r="A1" s="12"/>
      <c r="B1" s="70" t="s">
        <v>81</v>
      </c>
      <c r="C1" s="72"/>
      <c r="D1" s="72"/>
      <c r="E1" s="72"/>
      <c r="F1" s="72"/>
      <c r="G1" s="12"/>
    </row>
    <row r="2" spans="1:11" ht="15.75" x14ac:dyDescent="0.25">
      <c r="A2" s="12"/>
      <c r="B2" s="12"/>
      <c r="C2" s="13" t="s">
        <v>25</v>
      </c>
      <c r="D2" s="12"/>
      <c r="E2" s="12"/>
      <c r="F2" s="12"/>
      <c r="G2" s="12"/>
    </row>
    <row r="3" spans="1:11" ht="16.5" thickBot="1" x14ac:dyDescent="0.3">
      <c r="A3" s="12"/>
      <c r="B3" s="12"/>
      <c r="C3" s="13"/>
      <c r="D3" s="12"/>
      <c r="E3" s="12"/>
      <c r="F3" s="12"/>
      <c r="G3" s="12"/>
    </row>
    <row r="4" spans="1:11" ht="15.75" x14ac:dyDescent="0.25">
      <c r="A4" s="12"/>
      <c r="B4" s="14"/>
      <c r="C4" s="15"/>
      <c r="D4" s="16"/>
      <c r="E4" s="17"/>
      <c r="F4" s="12"/>
      <c r="G4" s="12"/>
    </row>
    <row r="5" spans="1:11" ht="15.75" x14ac:dyDescent="0.25">
      <c r="A5" s="12"/>
      <c r="B5" s="18"/>
      <c r="C5" s="19" t="s">
        <v>29</v>
      </c>
      <c r="D5" s="36">
        <v>3100000</v>
      </c>
      <c r="E5" s="21"/>
      <c r="F5" s="12"/>
      <c r="G5" s="12"/>
    </row>
    <row r="6" spans="1:11" ht="15.75" x14ac:dyDescent="0.25">
      <c r="A6" s="12"/>
      <c r="B6" s="18"/>
      <c r="C6" s="19" t="s">
        <v>30</v>
      </c>
      <c r="D6" s="37">
        <v>175000</v>
      </c>
      <c r="E6" s="21"/>
      <c r="F6" s="12"/>
      <c r="G6" s="12"/>
    </row>
    <row r="7" spans="1:11" ht="15.75" x14ac:dyDescent="0.25">
      <c r="A7" s="12"/>
      <c r="B7" s="18"/>
      <c r="C7" s="19" t="s">
        <v>31</v>
      </c>
      <c r="D7" s="38">
        <v>3.9</v>
      </c>
      <c r="E7" s="21"/>
      <c r="F7" s="12"/>
      <c r="G7" s="12"/>
    </row>
    <row r="8" spans="1:11" ht="15.75" x14ac:dyDescent="0.25">
      <c r="A8" s="12"/>
      <c r="B8" s="18"/>
      <c r="C8" s="19" t="s">
        <v>31</v>
      </c>
      <c r="D8" s="38">
        <v>3.1</v>
      </c>
      <c r="E8" s="21"/>
      <c r="F8" s="12"/>
      <c r="G8" s="12"/>
    </row>
    <row r="9" spans="1:11" ht="16.5" thickBot="1" x14ac:dyDescent="0.3">
      <c r="A9" s="12"/>
      <c r="B9" s="23"/>
      <c r="C9" s="24"/>
      <c r="D9" s="24"/>
      <c r="E9" s="25"/>
      <c r="F9" s="12"/>
      <c r="G9" s="12"/>
    </row>
    <row r="10" spans="1:11" ht="15.75" x14ac:dyDescent="0.25">
      <c r="A10" s="12"/>
      <c r="B10" s="12"/>
      <c r="C10" s="12"/>
      <c r="D10" s="12"/>
      <c r="E10" s="12"/>
      <c r="F10" s="12"/>
      <c r="G10" s="12"/>
    </row>
    <row r="11" spans="1:11" ht="15.75" x14ac:dyDescent="0.25">
      <c r="A11" s="12"/>
      <c r="B11" s="12"/>
      <c r="C11" s="13" t="s">
        <v>28</v>
      </c>
      <c r="D11" s="12"/>
      <c r="E11" s="12"/>
      <c r="F11" s="12"/>
      <c r="G11" s="12"/>
    </row>
    <row r="12" spans="1:11" ht="16.5" thickBot="1" x14ac:dyDescent="0.3">
      <c r="A12" s="12"/>
      <c r="B12" s="12"/>
      <c r="C12" s="13"/>
      <c r="D12" s="12"/>
      <c r="E12" s="12"/>
      <c r="F12" s="12"/>
      <c r="G12" s="12"/>
    </row>
    <row r="13" spans="1:11" ht="15.75" x14ac:dyDescent="0.25">
      <c r="A13" s="12"/>
      <c r="B13" s="26"/>
      <c r="C13" s="27"/>
      <c r="D13" s="27"/>
      <c r="E13" s="28"/>
      <c r="F13" s="12"/>
      <c r="G13" s="12"/>
      <c r="H13" s="60"/>
      <c r="I13" s="60"/>
      <c r="J13" s="60"/>
      <c r="K13" s="60"/>
    </row>
    <row r="14" spans="1:11" ht="15.75" x14ac:dyDescent="0.25">
      <c r="A14" s="12"/>
      <c r="B14" s="29"/>
      <c r="C14" s="30" t="s">
        <v>32</v>
      </c>
      <c r="D14" s="39"/>
      <c r="E14" s="32"/>
      <c r="F14" s="12"/>
      <c r="G14" s="12"/>
      <c r="H14" s="60"/>
      <c r="I14" s="60"/>
      <c r="J14" s="60"/>
      <c r="K14" s="60"/>
    </row>
    <row r="15" spans="1:11" ht="15.75" x14ac:dyDescent="0.25">
      <c r="A15" s="12"/>
      <c r="B15" s="29"/>
      <c r="C15" s="30"/>
      <c r="D15" s="30"/>
      <c r="E15" s="32"/>
      <c r="F15" s="12"/>
      <c r="G15" s="12"/>
      <c r="H15" s="60"/>
      <c r="I15" s="60"/>
      <c r="J15" s="60"/>
      <c r="K15" s="60"/>
    </row>
    <row r="16" spans="1:11" ht="15.75" x14ac:dyDescent="0.25">
      <c r="A16" s="12"/>
      <c r="B16" s="29"/>
      <c r="C16" s="30" t="str">
        <f>"Stock price at PS of "&amp;D7</f>
        <v>Stock price at PS of 3.9</v>
      </c>
      <c r="D16" s="31">
        <f>D5/D6*D7</f>
        <v>69.085714285714289</v>
      </c>
      <c r="E16" s="32"/>
      <c r="F16" s="12"/>
      <c r="G16" s="12"/>
      <c r="H16" s="60"/>
      <c r="I16" s="60"/>
      <c r="J16" s="60"/>
      <c r="K16" s="60"/>
    </row>
    <row r="17" spans="1:11" ht="15.75" x14ac:dyDescent="0.25">
      <c r="A17" s="12"/>
      <c r="B17" s="29"/>
      <c r="C17" s="30" t="str">
        <f>"Stock price at PS of "&amp;D8</f>
        <v>Stock price at PS of 3.1</v>
      </c>
      <c r="D17" s="31">
        <f>D5/D6*D8</f>
        <v>54.914285714285718</v>
      </c>
      <c r="E17" s="32"/>
      <c r="F17" s="12"/>
      <c r="G17" s="12"/>
      <c r="H17" s="60"/>
      <c r="I17" s="60"/>
      <c r="J17" s="60"/>
      <c r="K17" s="60"/>
    </row>
    <row r="18" spans="1:11" ht="16.5" thickBot="1" x14ac:dyDescent="0.3">
      <c r="A18" s="12"/>
      <c r="B18" s="33"/>
      <c r="C18" s="34"/>
      <c r="D18" s="34"/>
      <c r="E18" s="35"/>
      <c r="F18" s="12"/>
      <c r="G18" s="12"/>
      <c r="H18" s="60"/>
      <c r="I18" s="60"/>
      <c r="J18" s="60"/>
      <c r="K18" s="60"/>
    </row>
    <row r="19" spans="1:11" ht="15.75" x14ac:dyDescent="0.25">
      <c r="A19" s="12"/>
      <c r="B19" s="12"/>
      <c r="C19" s="12"/>
      <c r="D19" s="12"/>
      <c r="E19" s="12"/>
      <c r="F19" s="12"/>
      <c r="G19" s="12"/>
    </row>
    <row r="20" spans="1:11" ht="15.75" x14ac:dyDescent="0.25">
      <c r="A20" s="12"/>
      <c r="B20" s="12"/>
      <c r="C20" s="12"/>
      <c r="D20" s="12"/>
      <c r="E20" s="12"/>
      <c r="F20" s="12"/>
      <c r="G20"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180EA-5B64-498A-AA8C-FF7C03C974EB}">
  <dimension ref="A2:F6"/>
  <sheetViews>
    <sheetView tabSelected="1" workbookViewId="0">
      <selection activeCell="K34" sqref="K34"/>
    </sheetView>
  </sheetViews>
  <sheetFormatPr defaultRowHeight="15" x14ac:dyDescent="0.25"/>
  <cols>
    <col min="4" max="4" width="11.5703125" bestFit="1" customWidth="1"/>
  </cols>
  <sheetData>
    <row r="2" spans="1:6" s="48" customFormat="1" ht="15.75" x14ac:dyDescent="0.25">
      <c r="A2" s="48" t="s">
        <v>70</v>
      </c>
    </row>
    <row r="4" spans="1:6" ht="15.75" x14ac:dyDescent="0.25">
      <c r="A4" s="48" t="s">
        <v>53</v>
      </c>
      <c r="B4" s="49"/>
      <c r="C4" s="49"/>
      <c r="D4" s="49"/>
      <c r="E4" s="49"/>
      <c r="F4" s="12"/>
    </row>
    <row r="6" spans="1:6" s="48" customFormat="1" ht="15.75" x14ac:dyDescent="0.25">
      <c r="A6" s="48" t="s">
        <v>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A98D-843C-456B-AE9C-8C7217BD783F}">
  <dimension ref="A1:I11"/>
  <sheetViews>
    <sheetView workbookViewId="0">
      <selection activeCell="A9" sqref="A9:A11"/>
    </sheetView>
  </sheetViews>
  <sheetFormatPr defaultRowHeight="15" x14ac:dyDescent="0.25"/>
  <sheetData>
    <row r="1" spans="1:9" x14ac:dyDescent="0.25">
      <c r="A1" t="s">
        <v>88</v>
      </c>
    </row>
    <row r="3" spans="1:9" ht="99" customHeight="1" x14ac:dyDescent="0.25">
      <c r="A3" s="104" t="s">
        <v>89</v>
      </c>
      <c r="B3" s="104"/>
      <c r="C3" s="104"/>
      <c r="D3" s="104"/>
      <c r="E3" s="104"/>
      <c r="F3" s="104"/>
      <c r="G3" s="104"/>
      <c r="H3" s="104"/>
      <c r="I3" s="104"/>
    </row>
    <row r="5" spans="1:9" x14ac:dyDescent="0.25">
      <c r="A5" t="s">
        <v>90</v>
      </c>
    </row>
    <row r="6" spans="1:9" x14ac:dyDescent="0.25">
      <c r="A6" t="s">
        <v>91</v>
      </c>
    </row>
    <row r="9" spans="1:9" x14ac:dyDescent="0.25">
      <c r="A9" t="s">
        <v>92</v>
      </c>
    </row>
    <row r="11" spans="1:9" x14ac:dyDescent="0.25">
      <c r="A11" t="s">
        <v>93</v>
      </c>
    </row>
  </sheetData>
  <mergeCells count="1">
    <mergeCell ref="A3:I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27D25-33D5-4B49-A323-631F2030F6DB}">
  <dimension ref="A1:M15"/>
  <sheetViews>
    <sheetView workbookViewId="0">
      <selection activeCell="D31" sqref="D31"/>
    </sheetView>
  </sheetViews>
  <sheetFormatPr defaultRowHeight="15" x14ac:dyDescent="0.25"/>
  <cols>
    <col min="2" max="2" width="20.7109375" customWidth="1"/>
    <col min="3" max="3" width="24.85546875" bestFit="1" customWidth="1"/>
    <col min="4" max="4" width="14.5703125" customWidth="1"/>
    <col min="8" max="8" width="15.5703125" customWidth="1"/>
    <col min="9" max="9" width="12.7109375" customWidth="1"/>
    <col min="10" max="10" width="17.28515625" style="1" customWidth="1"/>
    <col min="13" max="13" width="21.140625" customWidth="1"/>
  </cols>
  <sheetData>
    <row r="1" spans="1:13" ht="15.75" thickBot="1" x14ac:dyDescent="0.3"/>
    <row r="2" spans="1:13" ht="15.75" thickBot="1" x14ac:dyDescent="0.3">
      <c r="A2" s="100" t="s">
        <v>0</v>
      </c>
      <c r="B2" s="101"/>
      <c r="C2" s="101"/>
      <c r="D2" s="101"/>
      <c r="E2" s="101"/>
      <c r="F2" s="102"/>
      <c r="H2" t="s">
        <v>16</v>
      </c>
      <c r="J2" s="1">
        <f>COUNT(D5:D14)</f>
        <v>3</v>
      </c>
    </row>
    <row r="3" spans="1:13" ht="15.75" thickBot="1" x14ac:dyDescent="0.3">
      <c r="A3" s="103" t="s">
        <v>83</v>
      </c>
      <c r="B3" s="103"/>
      <c r="C3" s="103"/>
      <c r="D3" s="103"/>
      <c r="E3" s="103"/>
      <c r="F3" s="103"/>
      <c r="H3" t="s">
        <v>86</v>
      </c>
      <c r="J3" s="96">
        <f>AVERAGE(D5:D14)</f>
        <v>6.5258646612741431E-2</v>
      </c>
      <c r="K3" s="10"/>
    </row>
    <row r="4" spans="1:13" ht="15.75" thickBot="1" x14ac:dyDescent="0.3">
      <c r="A4" s="3" t="s">
        <v>2</v>
      </c>
      <c r="B4" s="4" t="s">
        <v>12</v>
      </c>
      <c r="C4" s="4" t="s">
        <v>84</v>
      </c>
      <c r="D4" s="4" t="s">
        <v>13</v>
      </c>
      <c r="E4" s="4"/>
      <c r="F4" s="5"/>
      <c r="H4" t="s">
        <v>85</v>
      </c>
      <c r="J4" s="97">
        <v>0.08</v>
      </c>
    </row>
    <row r="5" spans="1:13" x14ac:dyDescent="0.25">
      <c r="A5" s="1">
        <v>2024</v>
      </c>
      <c r="B5" s="2">
        <v>0.42</v>
      </c>
      <c r="C5" s="2">
        <f t="shared" ref="C5:C8" si="0">B5*4</f>
        <v>1.68</v>
      </c>
      <c r="D5" s="6">
        <f t="shared" ref="D5:D6" si="1">(C5-C6)/C6</f>
        <v>7.6923076923076844E-2</v>
      </c>
    </row>
    <row r="6" spans="1:13" x14ac:dyDescent="0.25">
      <c r="A6" s="1">
        <v>2023</v>
      </c>
      <c r="B6" s="2">
        <v>0.39</v>
      </c>
      <c r="C6" s="2">
        <f t="shared" si="0"/>
        <v>1.56</v>
      </c>
      <c r="D6" s="6">
        <f t="shared" si="1"/>
        <v>6.8493150684931572E-2</v>
      </c>
      <c r="H6" t="s">
        <v>14</v>
      </c>
      <c r="J6" s="98">
        <v>125.5</v>
      </c>
    </row>
    <row r="7" spans="1:13" x14ac:dyDescent="0.25">
      <c r="A7" s="1" t="s">
        <v>5</v>
      </c>
      <c r="B7" s="2">
        <v>0.36499999999999999</v>
      </c>
      <c r="C7" s="2">
        <f t="shared" si="0"/>
        <v>1.46</v>
      </c>
      <c r="D7" s="6">
        <f>(C7-C8)/C8</f>
        <v>5.0359712230215875E-2</v>
      </c>
      <c r="E7" s="10"/>
      <c r="F7" s="11"/>
    </row>
    <row r="8" spans="1:13" x14ac:dyDescent="0.25">
      <c r="A8" s="1" t="s">
        <v>4</v>
      </c>
      <c r="B8" s="2">
        <v>0.34749999999999998</v>
      </c>
      <c r="C8" s="2">
        <f t="shared" si="0"/>
        <v>1.39</v>
      </c>
      <c r="D8" s="6"/>
      <c r="E8" s="10"/>
      <c r="H8" t="s">
        <v>87</v>
      </c>
      <c r="J8" s="99">
        <f>(C5*(1+J3))/(J4-J3)</f>
        <v>121.40232170651608</v>
      </c>
      <c r="M8" t="s">
        <v>19</v>
      </c>
    </row>
    <row r="9" spans="1:13" x14ac:dyDescent="0.25">
      <c r="A9" s="1"/>
      <c r="B9" s="2"/>
      <c r="C9" s="2"/>
      <c r="D9" s="6"/>
      <c r="E9" s="10"/>
      <c r="H9" t="s">
        <v>15</v>
      </c>
      <c r="J9" s="1" t="str">
        <f>IF(J8&gt;J6,"Undervalued","Overvalued")</f>
        <v>Overvalued</v>
      </c>
      <c r="M9" t="s">
        <v>18</v>
      </c>
    </row>
    <row r="10" spans="1:13" x14ac:dyDescent="0.25">
      <c r="A10" s="1"/>
      <c r="B10" s="2"/>
      <c r="C10" s="2"/>
      <c r="D10" s="6"/>
      <c r="E10" s="10"/>
    </row>
    <row r="11" spans="1:13" x14ac:dyDescent="0.25">
      <c r="A11" s="1"/>
      <c r="B11" s="2"/>
      <c r="C11" s="2"/>
      <c r="D11" s="6"/>
      <c r="E11" s="10"/>
    </row>
    <row r="12" spans="1:13" x14ac:dyDescent="0.25">
      <c r="A12" s="1"/>
      <c r="B12" s="2"/>
      <c r="C12" s="2"/>
      <c r="D12" s="6"/>
      <c r="E12" s="10"/>
    </row>
    <row r="13" spans="1:13" x14ac:dyDescent="0.25">
      <c r="A13" s="1"/>
      <c r="B13" s="2"/>
      <c r="C13" s="2"/>
      <c r="D13" s="6"/>
      <c r="E13" s="10"/>
    </row>
    <row r="14" spans="1:13" x14ac:dyDescent="0.25">
      <c r="A14" s="1"/>
      <c r="B14" s="2"/>
      <c r="C14" s="2"/>
      <c r="D14" s="6"/>
      <c r="E14" s="10"/>
    </row>
    <row r="15" spans="1:13" x14ac:dyDescent="0.25">
      <c r="A15" s="1"/>
      <c r="B15" s="2"/>
      <c r="C15" s="2"/>
      <c r="D15" s="7"/>
    </row>
  </sheetData>
  <mergeCells count="2">
    <mergeCell ref="A2:F2"/>
    <mergeCell ref="A3:F3"/>
  </mergeCells>
  <conditionalFormatting sqref="J9">
    <cfRule type="cellIs" dxfId="1" priority="1" operator="equal">
      <formula>"Overvalued"</formula>
    </cfRule>
    <cfRule type="cellIs" dxfId="0" priority="2" operator="equal">
      <formula>"Undervalued"</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40936484"><![CDATA[{"DUMMY^JULIAN(TODAY)":45718,"JNJ^FCA_DIVIDEND_TYPE_R(,-10FY,,\"CASH_DIST\",\"DIVTYPE_TEXT\",,'EXCL_SPEC_DIV')":["Ordinary","Ordinary","Ordinary","Ordinary","Ordinary","Ordinary","Ordinary","Ordinary","Ordinary","Ordinary","Ordinary","Ordinary","Ordinary","Ordinary","Ordinary","Ordinary","Ordinary","Ordinary","Ordinary","Ordinary","Ordinary","Ordinary","Ordinary","Ordinary","Ordinary","Ordinary","Ordinary","Ordinary","Ordinary","Ordinary","Ordinary","Ordinary","Ordinary","Ordinary","Ordinary","Ordinary","Ordinary","Ordinary","Ordinary","Ordinary","Ordinary"],"JNJ^JULIAN(FCA_EVENT_DATE_R(,-10FY,,\"CASH_DIST\",\"RECDATE\",,,'EXCL_SPEC_DIV'))":[45706,45622,45531,45433,45342,45251,45166,45069,44978,44887,44796,44705,44614,44523,44432,44341,44250,44159,44068,43977,43886,43795,43704,43613,43522,43431,43340,43249,43158,43067,42976,42885,42794,42696,42605,42514,42423,42332,42241,42150,42059],"JNJ^JULIAN(FCA_EVENT_DATE_R(,-10FY,,\"CASH_DIST\",\"PAYDATE\",,,'EXCL_SPEC_DIV'))":[45720,45636,45545,45447,45356,45265,45176,45083,44992,44901,44810,44719,44628,44537,44446,44355,44264,44173,44082,43991,43900,43809,43718,43627,43536,43445,43354,43263,43172,43081,42990,42899,42808,42710,42619,42528,42437,42346,42255,42164,42073],"JNJ^FCA_EVENT_AMOUNT_R(,-10FY,,LOCAL,\"CASH_DIST\",\"AMT_DEF\",,UNSPLIT,,'EXCL_SPEC_DIV')":[1.24,1.24,1.24,1.24,1.19,1.19,1.19,1.19,1.13,1.13,1.13,1.13,1.06,1.06,1.06,1.06,1.01,1.01,1.01,1.01,0.95,0.95,0.95,0.95,0.9,0.9,0.9,0.9,0.84,0.84,0.84,0.84,0.8,0.8,0.8,0.8,0.75,0.75,0.75,0.75,0.7],"JNJ^JULIAN(FCA_EVENT_DATE_R(,-10FY,,\"CASH_DIST\",\"EXDATE\",,,'EXCL_SPEC_DIV'))":[45706,45622,45531,45432,45338,45250,45163,45068,44974,44886,44795,44704,44610,44522,44431,44340,44249,44158,44067,43973,43885,43794,43703,43609,43521,43430,43339,43245,43157,43066,42972,42880,42790,42692,42601,42510,42419,42328,42237,42145,42055],"JNJ^CS_EVENT_DATEJ_N(\"ER\",1)":45762,"JNJ^FG_COMPANY_NAME":"Johnson & Johnson"}]]></FdsFormulaCache>
</file>

<file path=customXml/itemProps1.xml><?xml version="1.0" encoding="utf-8"?>
<ds:datastoreItem xmlns:ds="http://schemas.openxmlformats.org/officeDocument/2006/customXml" ds:itemID="{871FC3A9-1612-45FE-A8F0-F3CEC3363A7D}">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DDM</vt:lpstr>
      <vt:lpstr>Average &amp; Geometric Returns</vt:lpstr>
      <vt:lpstr>Dividend Yield</vt:lpstr>
      <vt:lpstr>EPS and Net Income</vt:lpstr>
      <vt:lpstr>PE Model</vt:lpstr>
      <vt:lpstr>PS Model</vt:lpstr>
      <vt:lpstr>Returns Formulas</vt:lpstr>
      <vt:lpstr>Sheet1</vt:lpstr>
      <vt:lpstr>Test 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Bethany Evitts</dc:creator>
  <cp:lastModifiedBy>Bethany Evitts</cp:lastModifiedBy>
  <dcterms:created xsi:type="dcterms:W3CDTF">2025-03-02T15:15:01Z</dcterms:created>
  <dcterms:modified xsi:type="dcterms:W3CDTF">2026-03-04T00:13:58Z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ies>
</file>