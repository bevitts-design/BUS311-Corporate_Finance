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7 - Valuing Stocks/"/>
    </mc:Choice>
  </mc:AlternateContent>
  <xr:revisionPtr revIDLastSave="60" documentId="8_{A0945DCC-71DB-4778-891F-453832C69A5B}" xr6:coauthVersionLast="47" xr6:coauthVersionMax="47" xr10:uidLastSave="{6EA6DF26-AF8A-470E-A0D1-78C4F76417A8}"/>
  <bookViews>
    <workbookView xWindow="-120" yWindow="-120" windowWidth="19440" windowHeight="11640" tabRatio="772" firstSheet="1" activeTab="1" xr2:uid="{C90CAE8A-A0E8-4ACE-80B2-C5BCA02F0CCB}"/>
  </bookViews>
  <sheets>
    <sheet name="__FDSCACHE__" sheetId="3" state="veryHidden" r:id="rId1"/>
    <sheet name="DDM" sheetId="1" r:id="rId2"/>
    <sheet name="Average &amp; Geometric Returns" sheetId="9" r:id="rId3"/>
    <sheet name="Dividend Yield" sheetId="15" r:id="rId4"/>
    <sheet name="EPS and Net Income" sheetId="11" r:id="rId5"/>
    <sheet name="PE Model" sheetId="6" r:id="rId6"/>
    <sheet name="PS Model" sheetId="7" r:id="rId7"/>
    <sheet name="Returns Formulas" sheetId="18" r:id="rId8"/>
  </sheets>
  <definedNames>
    <definedName name="Currency">#REF!</definedName>
    <definedName name="End_Date">#REF!</definedName>
    <definedName name="Identifier">#REF!</definedName>
    <definedName name="Start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D6" i="1"/>
  <c r="D7" i="1"/>
  <c r="D8" i="1"/>
  <c r="D9" i="1"/>
  <c r="D10" i="1"/>
  <c r="D11" i="1"/>
  <c r="D12" i="1"/>
  <c r="D13" i="1"/>
  <c r="D14" i="1"/>
  <c r="D15" i="1"/>
  <c r="D5" i="1"/>
  <c r="C6" i="1"/>
  <c r="C7" i="1"/>
  <c r="C8" i="1"/>
  <c r="C9" i="1"/>
  <c r="C10" i="1"/>
  <c r="C11" i="1"/>
  <c r="C12" i="1"/>
  <c r="C13" i="1"/>
  <c r="C14" i="1"/>
  <c r="C15" i="1"/>
  <c r="C5" i="1"/>
  <c r="A6" i="9"/>
  <c r="C17" i="7"/>
  <c r="C16" i="7"/>
  <c r="C13" i="6"/>
  <c r="C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Bevitts</author>
  </authors>
  <commentList>
    <comment ref="A1" authorId="0" shapeId="0" xr:uid="{79880010-1080-4461-9C43-18567F24E497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Timestamp="1740936484"&gt;&lt;FQL&gt;&lt;Q&gt;DUMMY^JULIAN(TODAY)&lt;/Q&gt;&lt;R&gt;1&lt;/R&gt;&lt;C&gt;1&lt;/C&gt;&lt;D xsi:type="xsd:long"&gt;45718&lt;/D&gt;&lt;/FQL&gt;&lt;FQL&gt;&lt;Q&gt;JNJ^FCA_DIVIDEND_TYPE_R(,-10FY,,"CASH_DIST","DIVTYPE_TEXT",,'EXCL_SPEC_DIV')&lt;/Q&gt;&lt;R&gt;41&lt;/R&gt;&lt;C&gt;1&lt;/C&gt;&lt;D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xsi:type="xsd:string"&gt;Ordinary&lt;/D&gt;&lt;D xsi:type="xsd:string"&gt;Ordinary&lt;/D&gt;&lt;/FQL&gt;&lt;FQL&gt;&lt;Q&gt;JNJ^JULIAN(FCA_EVENT_DATE_R(,-10FY,,"CASH_DIST","RECDATE",,,'EXCL_SPEC_DIV'))&lt;/Q&gt;&lt;R&gt;41&lt;/R&gt;&lt;C&gt;1&lt;/C&gt;&lt;D xsi:type="xsd:long"&gt;45706&lt;/D&gt;&lt;D xsi:type="xsd:long"&gt;45622&lt;/D&gt;&lt;D xsi:type="xsd:long"&gt;45531&lt;/D&gt;&lt;D xsi:type="xsd:long"&gt;45433&lt;/D&gt;&lt;D xsi:type="xsd:long"&gt;45342&lt;/D&gt;&lt;D xsi:type="xsd:long"&gt;45251&lt;/D&gt;&lt;D xsi:type="xsd:long"&gt;45166&lt;/D&gt;&lt;D xsi:type="xsd:long"&gt;45069&lt;/D&gt;&lt;D xsi:type="xsd:long"&gt;44978&lt;/D&gt;&lt;D xsi:type="xsd:long"&gt;44887&lt;/D&gt;&lt;D xsi:type="xsd:long"&gt;44796&lt;/D&gt;&lt;D xsi:type="xsd:long"&gt;44705&lt;/D&gt;&lt;D xsi:type="xsd:long"&gt;44614&lt;/D&gt;&lt;D xsi:type="xsd:long"&gt;44523&lt;/D&gt;&lt;D xsi:type="xsd:long"&gt;44432&lt;/D&gt;&lt;D xsi:type="xsd:long"&gt;44341&lt;/D&gt;&lt;D xsi:type="xsd:long"&gt;44250&lt;/D&gt;&lt;D xsi:type="xsd:long"&gt;44159&lt;/D&gt;&lt;D xsi:type="xsd:long"&gt;44068&lt;/D&gt;&lt;D xsi:type="xsd:long"&gt;43977&lt;/D&gt;&lt;D xsi:type="xsd:long"&gt;43886&lt;/D&gt;&lt;D xsi:type="xsd:long"&gt;43795&lt;/D&gt;&lt;D xsi:type="xsd:long"&gt;43704&lt;/D&gt;&lt;D xsi:type="xsd:long"&gt;43613&lt;/D&gt;&lt;D xsi:type="xsd:long"&gt;43522&lt;/D&gt;&lt;D xsi:type="xsd:long"&gt;43431&lt;/D&gt;&lt;D xsi:type="xsd:long"&gt;43340&lt;/D&gt;&lt;D xsi:type="xsd:long"&gt;43249&lt;/D&gt;&lt;D xsi:type="xsd:long"&gt;43158&lt;/D&gt;&lt;D xsi:type="xsd:long"&gt;43067&lt;/D&gt;&lt;D xsi:type="xsd:long"&gt;42976&lt;/D&gt;&lt;D xsi:type="xsd:long"&gt;42885&lt;/D&gt;&lt;D xsi:type="xsd:long"&gt;42794&lt;/D&gt;&lt;D xsi:type="xsd:long"&gt;42696&lt;/D&gt;&lt;D xsi:type="xsd:long"&gt;42605&lt;/D&gt;&lt;D xsi:type="xsd:long"&gt;42514&lt;/D&gt;&lt;D xsi:type="xsd:long"&gt;42423&lt;/D&gt;&lt;D xsi:type="xsd:long"&gt;42332&lt;/D&gt;&lt;D xsi:type="xsd:long"&gt;42241&lt;/D&gt;&lt;D xsi:type="xsd:long"&gt;42150&lt;/D&gt;&lt;D xsi:type="xsd:long"&gt;42059&lt;/D&gt;&lt;/FQL&gt;&lt;FQL&gt;&lt;Q&gt;JNJ^JULIAN(FCA_EVENT_DATE_R(,-10FY,,"CASH_DIST","PAYDATE",,,'EXCL_SPEC_DIV'))&lt;/Q&gt;&lt;R&gt;41&lt;/R&gt;&lt;C&gt;1&lt;/C&gt;&lt;D xsi:type="xsd:long"&gt;45720&lt;/D&gt;&lt;D xsi:type="xsd:long"&gt;45636&lt;/D&gt;&lt;D xsi:type="xsd:long"&gt;45545&lt;/D&gt;&lt;D xsi:type="xsd:long"&gt;45447&lt;/D&gt;&lt;D xsi:type="xsd:long"&gt;45356&lt;/D&gt;&lt;D xsi:type="xsd:long"&gt;45265&lt;/D&gt;&lt;D xsi:type="xsd:long"&gt;45176&lt;/D&gt;&lt;D xsi:type="xsd:long"&gt;45083&lt;/D&gt;&lt;D xsi:type="xsd:long"&gt;44992&lt;/D&gt;&lt;D xsi:type="xsd:long"&gt;44901&lt;/D&gt;&lt;D xsi:type="xsd:long"&gt;44810&lt;/D&gt;&lt;D xsi:type="xsd:long"&gt;44719&lt;/D&gt;&lt;D xsi:type="xsd:long"&gt;44628&lt;/D&gt;&lt;D xsi:type="xsd:long"&gt;44537&lt;/D&gt;&lt;D xsi:type="xsd:long"&gt;44446&lt;/D&gt;&lt;D xsi:type="xsd:long"&gt;44355&lt;/D&gt;&lt;D xsi:type="xsd:long"&gt;44264&lt;/D&gt;&lt;D xsi:type="xsd:long"&gt;44173&lt;/D&gt;&lt;D xsi:type="xsd:long"&gt;44082&lt;/D&gt;&lt;D xsi:type="xsd:long"&gt;43991&lt;/D&gt;&lt;D xsi:type="xsd:long"&gt;43900&lt;/D&gt;&lt;D xsi:type="xsd:long"&gt;43809&lt;/D&gt;&lt;D xsi:type="xsd:long"&gt;43718&lt;/D&gt;&lt;D xsi:type="xsd:long"&gt;43627&lt;/D&gt;&lt;D xsi:type="xsd:long"&gt;43536&lt;/D&gt;&lt;D xsi:type="xsd:long"&gt;43445&lt;/D&gt;&lt;D xsi:type="xsd:long"&gt;43354&lt;/D&gt;&lt;D xsi:type="xsd:long"&gt;43263&lt;/D&gt;&lt;D xsi:type="xsd:long"&gt;43172&lt;/D&gt;&lt;D xsi:type="xsd:long"&gt;43081&lt;/D&gt;&lt;D xsi:type="xsd:long"&gt;42990&lt;/D&gt;&lt;D xsi:type="xsd:long"&gt;42899&lt;/D&gt;&lt;D xsi:type="xsd:long"&gt;42808&lt;/D&gt;&lt;D xsi:type="xsd:long"&gt;42710&lt;/D&gt;&lt;D xsi:type="xsd:long"&gt;42619&lt;/D&gt;&lt;D xsi:type="xsd:long"&gt;42528&lt;/D&gt;&lt;D xsi:type="xsd:long"&gt;42437&lt;/D&gt;&lt;D xsi:type="xsd:long"&gt;42346&lt;/D&gt;&lt;D xsi:type="xsd:long"&gt;42255&lt;/D&gt;&lt;D xsi:type="xsd:long"&gt;42164&lt;/D&gt;&lt;D xsi:type="xsd:long"&gt;42073&lt;/D&gt;&lt;/FQL&gt;&lt;FQL&gt;&lt;Q&gt;JNJ^FCA_EVENT_AMOUNT_R(,-10FY,,LOCAL,"CASH_DIST","AMT_DEF",,UNSPLIT,,'EXCL_SPEC_DIV')&lt;/Q&gt;&lt;R&gt;41&lt;/R&gt;&lt;C&gt;1&lt;/C&gt;&lt;D xsi:type="xsd:double"&gt;1.24&lt;/D&gt;&lt;D xsi:type="xsd:double"&gt;1.24&lt;/D&gt;&lt;D xsi:type="xsd:double"&gt;1.24&lt;/D&gt;&lt;D xsi:type="xsd:double"&gt;1.24&lt;/D&gt;&lt;D xsi:type="xsd:double"&gt;1.19&lt;/D&gt;&lt;D xsi:type="xsd:double"&gt;1.19&lt;/D&gt;&lt;D xsi:type="xsd:double"&gt;1.19&lt;/D&gt;&lt;D xsi:type="xsd:double"&gt;1.19&lt;/D&gt;&lt;D xsi:type="xsd:double"&gt;1.13&lt;/D&gt;&lt;D xsi:type="xsd:double"&gt;1.13&lt;/D&gt;&lt;D xsi:type="xsd:double"&gt;1.13&lt;/D&gt;&lt;D xsi:type="xsd:double"&gt;1.13&lt;/D&gt;&lt;D xsi:type="xsd:double"&gt;1.06&lt;/D&gt;&lt;D xsi:type="xsd:double"&gt;1.06&lt;/D&gt;&lt;D xsi:type="xsd:double"&gt;1.06&lt;/D&gt;&lt;D xsi:type="xsd:double"&gt;1.06&lt;/D&gt;&lt;D xsi:type="xsd:double"&gt;1.01&lt;/D&gt;&lt;D xsi:type="xsd:double"&gt;1.01&lt;/D&gt;&lt;D xsi:type="xsd:double"&gt;1.01&lt;/D&gt;&lt;D xsi:type="xsd:double"&gt;1.01&lt;/D&gt;&lt;D xsi:type="xsd:double"&gt;0.95&lt;/D&gt;&lt;D xsi:type="xsd:double"&gt;0.95&lt;/D&gt;&lt;D xsi:type="xsd:double"&gt;0.95&lt;/D&gt;&lt;D xsi:type="xsd:double"&gt;0.95&lt;/D&gt;&lt;D xsi:type="xsd:double"&gt;0.9&lt;/D&gt;&lt;D xsi:type="xsd:double"&gt;0.9&lt;/D&gt;&lt;D xsi:type="xsd:double"&gt;0.9&lt;/D&gt;&lt;D xsi:type="xsd:double"&gt;0.9&lt;/D&gt;&lt;D xsi:type="xsd:double"&gt;0.84&lt;/D&gt;&lt;D xsi:type="xsd:double"&gt;0.84&lt;/D&gt;&lt;D xsi:type="xsd:double"&gt;0.84&lt;/D&gt;&lt;D xsi:type="xsd:double"&gt;0.84&lt;/D&gt;&lt;D xsi:type="xsd:double"&gt;0.8&lt;/D&gt;&lt;D xsi:type="xsd:double"&gt;0.8&lt;/D&gt;&lt;D xsi:type="xsd:double"&gt;0.8&lt;/D&gt;&lt;D xsi:type="xsd:double"&gt;0.8&lt;/D&gt;&lt;D xsi:type="xsd:double"&gt;0.75&lt;/D&gt;&lt;D xsi:type="xsd:double"&gt;0.75&lt;/D&gt;&lt;D xsi:type="xsd:double"&gt;0.75&lt;/D&gt;&lt;D xsi:type="xsd:double"&gt;0.75&lt;/D&gt;&lt;D xsi:type="xsd:double"&gt;0.7&lt;/D&gt;&lt;/FQL&gt;&lt;FQL&gt;&lt;Q&gt;JNJ^JULIAN(FCA_EVENT_DATE_R(,-10FY,,"CASH_DIST","EXDATE",,,'EXCL_SPEC_DIV'))&lt;/Q&gt;&lt;R&gt;41&lt;/R&gt;&lt;C&gt;1&lt;/C&gt;&lt;D xsi:type="xsd:long"&gt;45706&lt;/D&gt;&lt;D xsi:type="xsd:long"&gt;45622&lt;/D&gt;&lt;D xsi:type="xsd:long"&gt;45531&lt;/D&gt;&lt;D xsi:type="xsd:long"&gt;45432&lt;/D&gt;&lt;D xsi:type="xsd:long"&gt;45338&lt;/D&gt;&lt;D xsi:type="xsd:long"&gt;45250&lt;/D&gt;&lt;D xsi:type="xsd:long"&gt;45163&lt;/D&gt;&lt;D xsi:type="xsd:long"&gt;45068&lt;/D&gt;&lt;D xsi:type="xsd:long"&gt;44974&lt;/D&gt;&lt;D xsi:type="xsd:long"&gt;44886&lt;/D&gt;&lt;D xsi:type="xsd:long"&gt;44795&lt;/D&gt;&lt;D xsi:type="xsd:long"&gt;44704&lt;/D&gt;&lt;D xsi:type="xsd:long"&gt;44610&lt;/D&gt;&lt;D xsi:type="xsd:long"&gt;44522&lt;/D&gt;&lt;D xsi:type="xsd:long"&gt;44431&lt;/D&gt;&lt;D xsi:type="xsd:long"&gt;44340&lt;/D&gt;&lt;D xsi:type="xsd:long"&gt;44249&lt;/D&gt;&lt;D xsi:type="xsd:long"&gt;44158&lt;/D&gt;&lt;D xsi:type="xsd:long"&gt;44067&lt;/D&gt;&lt;D xsi:type="xsd:long"&gt;43973&lt;/D&gt;&lt;D xsi:type="xsd:long"&gt;43885&lt;/D&gt;&lt;D xsi:type="xsd:long"&gt;43794&lt;/D&gt;&lt;D xsi:type="xsd:long"&gt;43703&lt;/D&gt;&lt;D xsi:type="xsd:long"&gt;43609&lt;/D&gt;&lt;D xsi:type="xsd:long"&gt;43521&lt;/D&gt;&lt;D xsi:type="xsd:long"&gt;43430&lt;/D&gt;&lt;D xsi:type="xsd:long"&gt;43339&lt;/D&gt;&lt;D xsi:type="xsd:long"&gt;43245&lt;/D&gt;&lt;D xsi:type="xsd:long"&gt;43157&lt;/D&gt;&lt;D xsi:type="xsd:long"&gt;43066&lt;/D&gt;&lt;D xsi:type="xsd:long"&gt;42972&lt;/D&gt;&lt;D xsi:type="xsd:long"&gt;42880&lt;/D&gt;&lt;D xsi:type="xsd:long"&gt;42790&lt;/D&gt;&lt;D xsi:type="xsd:long"&gt;42692&lt;/D&gt;&lt;D xsi:type="xsd:long"&gt;42601&lt;/D&gt;&lt;D xsi:type="xsd:long"&gt;42510&lt;/D&gt;&lt;D xsi:type="xsd:long"&gt;42419&lt;/D&gt;&lt;D xsi:type="xsd:long"&gt;42328&lt;/D&gt;&lt;D xsi:type="xsd:long"&gt;42237&lt;/D&gt;&lt;D xsi:type="xsd:long"&gt;42145&lt;/D&gt;&lt;D xsi:type="xsd:long"&gt;42055&lt;/D&gt;&lt;/FQL&gt;&lt;FQL&gt;&lt;Q&gt;JNJ^CS_EVENT_DATEJ_N("ER",1)&lt;/Q&gt;&lt;R&gt;1&lt;/R&gt;&lt;C&gt;1&lt;/C&gt;&lt;D xsi:type="xsd:long"&gt;45762&lt;/D&gt;&lt;/FQL&gt;&lt;FQL&gt;&lt;Q&gt;JNJ^FG_COMPANY_NAME&lt;/Q&gt;&lt;R&gt;1&lt;/R&gt;&lt;C&gt;1&lt;/C&gt;&lt;D xsi:type="xsd:string"&gt;Johnson &amp;amp; Johnson&lt;/D&gt;&lt;/FQL&gt;&lt;/Schema&gt;</t>
        </r>
      </text>
    </comment>
  </commentList>
</comments>
</file>

<file path=xl/sharedStrings.xml><?xml version="1.0" encoding="utf-8"?>
<sst xmlns="http://schemas.openxmlformats.org/spreadsheetml/2006/main" count="99" uniqueCount="79">
  <si>
    <t>Dividend Discount Model</t>
  </si>
  <si>
    <t>This sheet contains FactSet XML data for use with this workbook's =FDS codes.  Modifying the worksheet's contents may damage the workbook's =FDS functionality.</t>
  </si>
  <si>
    <t>Year</t>
  </si>
  <si>
    <t>2020</t>
  </si>
  <si>
    <t>2021</t>
  </si>
  <si>
    <t>2022</t>
  </si>
  <si>
    <t>Annual Dividend</t>
  </si>
  <si>
    <t>2019</t>
  </si>
  <si>
    <t>2018</t>
  </si>
  <si>
    <t>2017</t>
  </si>
  <si>
    <t>2016</t>
  </si>
  <si>
    <t>2015</t>
  </si>
  <si>
    <t>Quarterly Dividend</t>
  </si>
  <si>
    <t>Growth Rate</t>
  </si>
  <si>
    <t>Actual Price</t>
  </si>
  <si>
    <t>Overvalued or Undervalued</t>
  </si>
  <si>
    <t>Company XYZ</t>
  </si>
  <si>
    <t>Price= D1/(r-g)</t>
  </si>
  <si>
    <t>Price= D0*(1+g)/(r-g)</t>
  </si>
  <si>
    <t>Steps:</t>
  </si>
  <si>
    <t>Find the Annualized Dividend</t>
  </si>
  <si>
    <t>Calulate the year -over -year dividend growth rate</t>
  </si>
  <si>
    <t>Using a required return of 9.00% - Determine the DDM instrinsic value?</t>
  </si>
  <si>
    <t>Input area:</t>
  </si>
  <si>
    <t>EPS</t>
  </si>
  <si>
    <t>Benchmark PE</t>
  </si>
  <si>
    <t>Output area:</t>
  </si>
  <si>
    <t xml:space="preserve">Sales </t>
  </si>
  <si>
    <t>Shares outstanding</t>
  </si>
  <si>
    <t>Benchmark PS</t>
  </si>
  <si>
    <t>Sales per share</t>
  </si>
  <si>
    <t>Dividend yield</t>
  </si>
  <si>
    <t>Dividend paid</t>
  </si>
  <si>
    <t>Change in price</t>
  </si>
  <si>
    <t>PE ratio</t>
  </si>
  <si>
    <t>Common shares outstanding</t>
  </si>
  <si>
    <t xml:space="preserve">Today's closing price </t>
  </si>
  <si>
    <t xml:space="preserve">Yesterday's closing price </t>
  </si>
  <si>
    <t xml:space="preserve">Earnings per share </t>
  </si>
  <si>
    <t xml:space="preserve">Net income </t>
  </si>
  <si>
    <t>Year 1</t>
  </si>
  <si>
    <t>Year 2</t>
  </si>
  <si>
    <t>Year 3</t>
  </si>
  <si>
    <t>Year 4</t>
  </si>
  <si>
    <t>Geometric Return</t>
  </si>
  <si>
    <t>Return(%)</t>
  </si>
  <si>
    <t>GEOMEAN is valuable in financial modeling, helping calculate average returns for investments with compounding rates, making it a crucial tool for financial analysis and decision-making.</t>
  </si>
  <si>
    <t>Geometeric Mean = True Compounding Rate</t>
  </si>
  <si>
    <t>Dividend Yield = Dividend Paid / Closing Price</t>
  </si>
  <si>
    <t>The geometric mean is calculated by multiplying numbers and taking the root of the product. </t>
  </si>
  <si>
    <t>The average, also known as the arithmetic mean, is calculated by adding numbers and dividing by the total number of values. </t>
  </si>
  <si>
    <t>Return from Investments -Averages</t>
  </si>
  <si>
    <t>Current Price</t>
  </si>
  <si>
    <t>Payment Frequency</t>
  </si>
  <si>
    <t>Current Dividend Yield</t>
  </si>
  <si>
    <t>Quarterly Dividend Payment</t>
  </si>
  <si>
    <t>(Annual)</t>
  </si>
  <si>
    <t>PE Ratio</t>
  </si>
  <si>
    <t>EPS Growth</t>
  </si>
  <si>
    <t>Average Return</t>
  </si>
  <si>
    <t>Percentage Return (%) = Capital Gains Yield + Dividend Yield</t>
  </si>
  <si>
    <t>What is today's closing price? What is yesterday's closing price?</t>
  </si>
  <si>
    <t>What is the Current Yield, if the stock is paying a quarterly dividend of $0.40 and the current stock price is $32.00?</t>
  </si>
  <si>
    <t>Capital Gain Yield = (Current Price – Original Price) / Original Price x 100 </t>
  </si>
  <si>
    <t>What is the closing price today? What was yesterday's closing price? What is the EPS? What is the net income for this company?</t>
  </si>
  <si>
    <t>What is the stock price at a PE of 18? What is the stock price at a PE of 21?</t>
  </si>
  <si>
    <t>Est Stock price in 4 years</t>
  </si>
  <si>
    <t>If the company intends to grow its EPS at a rate of 1.90% for the next four years then what should the stock price be in 4 years, if the PE remains at 12.1?</t>
  </si>
  <si>
    <t>Problem</t>
  </si>
  <si>
    <t>#1</t>
  </si>
  <si>
    <t>#2</t>
  </si>
  <si>
    <t>What is the stock price at a PS of 3.9? What is the stock price at a PS of 3.1?</t>
  </si>
  <si>
    <t>Find the overall growth rate (g) by taking a yearly  average</t>
  </si>
  <si>
    <t>R-Required Return ®</t>
  </si>
  <si>
    <t xml:space="preserve">G-Avg Div Growth Rate </t>
  </si>
  <si>
    <t>DDM Price/Intrinsic Value</t>
  </si>
  <si>
    <t>Is company XYZ under or over valued if the current market price is $68</t>
  </si>
  <si>
    <t>Price=Dividend Paid/Dividend Yield</t>
  </si>
  <si>
    <t>Year in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</si>
</sst>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.00000_);_(&quot;$&quot;* \(#,##0.00000\);_(&quot;$&quot;* &quot;-&quot;??_);_(@_)"/>
    <numFmt numFmtId="166" formatCode="_(&quot;$&quot;* #,##0_);_(&quot;$&quot;* \(#,##0\);_(&quot;$&quot;* &quot;-&quot;??_);_(@_)"/>
    <numFmt numFmtId="167" formatCode="_(* #,##0.0_);_(* \(#,##0.0\);_(* &quot;-&quot;_);_(@_)"/>
    <numFmt numFmtId="168" formatCode="_(* #,##0_);_(* \(#,##0\);_(* &quot;-&quot;??_);_(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rgb="FF0050C7"/>
      <name val="Arial"/>
      <family val="2"/>
    </font>
    <font>
      <b/>
      <sz val="12"/>
      <color rgb="FF007A37"/>
      <name val="Arial"/>
      <family val="2"/>
    </font>
    <font>
      <sz val="12"/>
      <color rgb="FFB80000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name val="Arial"/>
      <family val="2"/>
    </font>
    <font>
      <sz val="12"/>
      <color indexed="12"/>
      <name val="Arial"/>
      <family val="2"/>
    </font>
    <font>
      <b/>
      <sz val="12"/>
      <color rgb="FFFF0000"/>
      <name val="Arial"/>
      <family val="2"/>
    </font>
    <font>
      <sz val="12"/>
      <color indexed="10"/>
      <name val="Arial"/>
      <family val="2"/>
    </font>
    <font>
      <sz val="12"/>
      <color rgb="FF2D3B45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EE0000"/>
      <name val="Arial"/>
      <family val="2"/>
    </font>
    <font>
      <b/>
      <sz val="18"/>
      <color theme="0"/>
      <name val="Aptos Narrow"/>
      <family val="2"/>
      <scheme val="minor"/>
    </font>
    <font>
      <sz val="14"/>
      <color rgb="FF001D35"/>
      <name val="Arial"/>
      <family val="2"/>
    </font>
    <font>
      <b/>
      <sz val="12"/>
      <color rgb="FF2D3B45"/>
      <name val="Arial"/>
      <family val="2"/>
    </font>
    <font>
      <b/>
      <sz val="12"/>
      <name val="Arial"/>
      <family val="2"/>
    </font>
    <font>
      <b/>
      <sz val="14"/>
      <color rgb="FF00B05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2" borderId="1">
      <alignment horizontal="right" vertical="center" indent="1"/>
    </xf>
    <xf numFmtId="0" fontId="4" fillId="0" borderId="0"/>
    <xf numFmtId="0" fontId="5" fillId="3" borderId="0" applyNumberFormat="0" applyFont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0" xfId="2" applyNumberFormat="1" applyFont="1"/>
    <xf numFmtId="10" fontId="0" fillId="0" borderId="0" xfId="0" applyNumberFormat="1"/>
    <xf numFmtId="8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7" fillId="0" borderId="0" xfId="0" applyFont="1"/>
    <xf numFmtId="0" fontId="8" fillId="0" borderId="0" xfId="0" applyFont="1"/>
    <xf numFmtId="0" fontId="7" fillId="4" borderId="6" xfId="0" applyFont="1" applyFill="1" applyBorder="1"/>
    <xf numFmtId="0" fontId="8" fillId="4" borderId="5" xfId="0" applyFont="1" applyFill="1" applyBorder="1"/>
    <xf numFmtId="0" fontId="7" fillId="4" borderId="5" xfId="0" applyFont="1" applyFill="1" applyBorder="1"/>
    <xf numFmtId="0" fontId="7" fillId="4" borderId="7" xfId="0" applyFont="1" applyFill="1" applyBorder="1"/>
    <xf numFmtId="0" fontId="7" fillId="4" borderId="8" xfId="0" applyFont="1" applyFill="1" applyBorder="1"/>
    <xf numFmtId="0" fontId="7" fillId="4" borderId="0" xfId="0" applyFont="1" applyFill="1"/>
    <xf numFmtId="44" fontId="9" fillId="4" borderId="0" xfId="1" applyFont="1" applyFill="1" applyBorder="1"/>
    <xf numFmtId="0" fontId="7" fillId="4" borderId="9" xfId="0" applyFont="1" applyFill="1" applyBorder="1"/>
    <xf numFmtId="41" fontId="9" fillId="4" borderId="0" xfId="2" applyNumberFormat="1" applyFont="1" applyFill="1" applyBorder="1"/>
    <xf numFmtId="0" fontId="7" fillId="4" borderId="10" xfId="0" applyFont="1" applyFill="1" applyBorder="1"/>
    <xf numFmtId="0" fontId="7" fillId="4" borderId="11" xfId="0" applyFont="1" applyFill="1" applyBorder="1"/>
    <xf numFmtId="0" fontId="7" fillId="4" borderId="12" xfId="0" applyFont="1" applyFill="1" applyBorder="1"/>
    <xf numFmtId="0" fontId="7" fillId="5" borderId="6" xfId="0" applyFont="1" applyFill="1" applyBorder="1"/>
    <xf numFmtId="0" fontId="7" fillId="5" borderId="5" xfId="0" applyFont="1" applyFill="1" applyBorder="1"/>
    <xf numFmtId="0" fontId="7" fillId="5" borderId="7" xfId="0" applyFont="1" applyFill="1" applyBorder="1"/>
    <xf numFmtId="0" fontId="7" fillId="5" borderId="8" xfId="0" applyFont="1" applyFill="1" applyBorder="1"/>
    <xf numFmtId="0" fontId="7" fillId="5" borderId="0" xfId="0" applyFont="1" applyFill="1"/>
    <xf numFmtId="44" fontId="10" fillId="5" borderId="13" xfId="1" applyFont="1" applyFill="1" applyBorder="1"/>
    <xf numFmtId="0" fontId="7" fillId="5" borderId="9" xfId="0" applyFont="1" applyFill="1" applyBorder="1"/>
    <xf numFmtId="0" fontId="7" fillId="5" borderId="10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166" fontId="9" fillId="4" borderId="0" xfId="1" applyNumberFormat="1" applyFont="1" applyFill="1" applyBorder="1"/>
    <xf numFmtId="41" fontId="9" fillId="4" borderId="0" xfId="1" applyNumberFormat="1" applyFont="1" applyFill="1" applyBorder="1"/>
    <xf numFmtId="167" fontId="9" fillId="4" borderId="0" xfId="2" applyNumberFormat="1" applyFont="1" applyFill="1" applyBorder="1"/>
    <xf numFmtId="44" fontId="11" fillId="5" borderId="0" xfId="0" applyNumberFormat="1" applyFont="1" applyFill="1"/>
    <xf numFmtId="0" fontId="13" fillId="0" borderId="0" xfId="0" applyFont="1"/>
    <xf numFmtId="10" fontId="9" fillId="4" borderId="0" xfId="2" applyNumberFormat="1" applyFont="1" applyFill="1" applyBorder="1"/>
    <xf numFmtId="44" fontId="7" fillId="0" borderId="0" xfId="0" applyNumberFormat="1" applyFont="1"/>
    <xf numFmtId="10" fontId="7" fillId="0" borderId="0" xfId="2" applyNumberFormat="1" applyFont="1"/>
    <xf numFmtId="43" fontId="9" fillId="4" borderId="0" xfId="8" applyFont="1" applyFill="1" applyBorder="1"/>
    <xf numFmtId="168" fontId="9" fillId="4" borderId="0" xfId="8" applyNumberFormat="1" applyFont="1" applyFill="1" applyBorder="1"/>
    <xf numFmtId="44" fontId="11" fillId="5" borderId="0" xfId="1" applyFont="1" applyFill="1" applyBorder="1"/>
    <xf numFmtId="166" fontId="14" fillId="5" borderId="9" xfId="1" applyNumberFormat="1" applyFont="1" applyFill="1" applyBorder="1"/>
    <xf numFmtId="0" fontId="15" fillId="0" borderId="0" xfId="0" quotePrefix="1" applyFont="1"/>
    <xf numFmtId="0" fontId="15" fillId="0" borderId="0" xfId="0" applyFont="1"/>
    <xf numFmtId="44" fontId="16" fillId="5" borderId="0" xfId="1" applyFont="1" applyFill="1" applyBorder="1"/>
    <xf numFmtId="166" fontId="10" fillId="5" borderId="13" xfId="1" applyNumberFormat="1" applyFont="1" applyFill="1" applyBorder="1"/>
    <xf numFmtId="0" fontId="17" fillId="0" borderId="0" xfId="0" applyFont="1"/>
    <xf numFmtId="9" fontId="0" fillId="0" borderId="0" xfId="0" applyNumberFormat="1" applyAlignment="1">
      <alignment horizontal="center" vertical="center"/>
    </xf>
    <xf numFmtId="0" fontId="0" fillId="0" borderId="14" xfId="0" applyBorder="1"/>
    <xf numFmtId="0" fontId="0" fillId="0" borderId="0" xfId="0" quotePrefix="1"/>
    <xf numFmtId="44" fontId="0" fillId="0" borderId="0" xfId="1" applyFont="1"/>
    <xf numFmtId="0" fontId="0" fillId="0" borderId="13" xfId="0" applyBorder="1"/>
    <xf numFmtId="10" fontId="0" fillId="6" borderId="13" xfId="2" applyNumberFormat="1" applyFont="1" applyFill="1" applyBorder="1"/>
    <xf numFmtId="10" fontId="0" fillId="6" borderId="13" xfId="0" applyNumberFormat="1" applyFill="1" applyBorder="1"/>
    <xf numFmtId="0" fontId="19" fillId="0" borderId="0" xfId="0" applyFont="1"/>
    <xf numFmtId="44" fontId="16" fillId="5" borderId="11" xfId="1" applyFont="1" applyFill="1" applyBorder="1"/>
    <xf numFmtId="166" fontId="14" fillId="5" borderId="12" xfId="1" applyNumberFormat="1" applyFont="1" applyFill="1" applyBorder="1"/>
    <xf numFmtId="0" fontId="20" fillId="0" borderId="0" xfId="0" quotePrefix="1" applyFont="1"/>
    <xf numFmtId="0" fontId="21" fillId="7" borderId="0" xfId="0" applyFont="1" applyFill="1"/>
    <xf numFmtId="1" fontId="9" fillId="4" borderId="0" xfId="8" applyNumberFormat="1" applyFont="1" applyFill="1" applyBorder="1"/>
    <xf numFmtId="10" fontId="11" fillId="5" borderId="0" xfId="2" applyNumberFormat="1" applyFont="1" applyFill="1" applyBorder="1"/>
    <xf numFmtId="8" fontId="9" fillId="4" borderId="0" xfId="2" applyNumberFormat="1" applyFont="1" applyFill="1" applyBorder="1"/>
    <xf numFmtId="0" fontId="22" fillId="0" borderId="0" xfId="0" applyFont="1"/>
    <xf numFmtId="0" fontId="23" fillId="0" borderId="0" xfId="0" applyFont="1"/>
    <xf numFmtId="0" fontId="12" fillId="0" borderId="0" xfId="0" applyFont="1"/>
    <xf numFmtId="10" fontId="0" fillId="0" borderId="0" xfId="0" applyNumberFormat="1" applyAlignment="1">
      <alignment horizontal="center" vertical="center"/>
    </xf>
    <xf numFmtId="0" fontId="24" fillId="0" borderId="0" xfId="0" applyFont="1"/>
    <xf numFmtId="0" fontId="7" fillId="8" borderId="6" xfId="0" applyFont="1" applyFill="1" applyBorder="1"/>
    <xf numFmtId="0" fontId="8" fillId="8" borderId="5" xfId="0" applyFont="1" applyFill="1" applyBorder="1"/>
    <xf numFmtId="0" fontId="7" fillId="8" borderId="5" xfId="0" applyFont="1" applyFill="1" applyBorder="1"/>
    <xf numFmtId="0" fontId="0" fillId="8" borderId="7" xfId="0" applyFill="1" applyBorder="1"/>
    <xf numFmtId="0" fontId="7" fillId="8" borderId="8" xfId="0" applyFont="1" applyFill="1" applyBorder="1"/>
    <xf numFmtId="0" fontId="7" fillId="8" borderId="0" xfId="0" applyFont="1" applyFill="1"/>
    <xf numFmtId="0" fontId="9" fillId="8" borderId="0" xfId="1" applyNumberFormat="1" applyFont="1" applyFill="1" applyBorder="1"/>
    <xf numFmtId="0" fontId="0" fillId="8" borderId="9" xfId="0" applyFill="1" applyBorder="1"/>
    <xf numFmtId="44" fontId="9" fillId="8" borderId="0" xfId="1" applyFont="1" applyFill="1" applyBorder="1"/>
    <xf numFmtId="10" fontId="9" fillId="8" borderId="0" xfId="2" applyNumberFormat="1" applyFont="1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12" fillId="6" borderId="6" xfId="0" applyFont="1" applyFill="1" applyBorder="1"/>
    <xf numFmtId="0" fontId="12" fillId="6" borderId="5" xfId="0" applyFont="1" applyFill="1" applyBorder="1"/>
    <xf numFmtId="0" fontId="12" fillId="6" borderId="7" xfId="0" applyFont="1" applyFill="1" applyBorder="1"/>
    <xf numFmtId="0" fontId="12" fillId="6" borderId="8" xfId="0" applyFont="1" applyFill="1" applyBorder="1"/>
    <xf numFmtId="0" fontId="12" fillId="6" borderId="0" xfId="0" applyFont="1" applyFill="1"/>
    <xf numFmtId="0" fontId="12" fillId="6" borderId="9" xfId="0" applyFont="1" applyFill="1" applyBorder="1"/>
    <xf numFmtId="0" fontId="12" fillId="6" borderId="10" xfId="0" applyFont="1" applyFill="1" applyBorder="1"/>
    <xf numFmtId="0" fontId="12" fillId="6" borderId="11" xfId="0" applyFont="1" applyFill="1" applyBorder="1"/>
    <xf numFmtId="0" fontId="12" fillId="6" borderId="12" xfId="0" applyFont="1" applyFill="1" applyBorder="1"/>
    <xf numFmtId="8" fontId="25" fillId="6" borderId="0" xfId="0" applyNumberFormat="1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9">
    <cellStyle name="Background" xfId="6" xr:uid="{6262B0D7-6D5D-45B0-9B67-AD5EBFF9B704}"/>
    <cellStyle name="Comma" xfId="8" builtinId="3"/>
    <cellStyle name="Comma 2" xfId="3" xr:uid="{56AB2C68-C8F8-4AC9-91D9-59305F391729}"/>
    <cellStyle name="Currency" xfId="1" builtinId="4"/>
    <cellStyle name="FactSet header" xfId="4" xr:uid="{2F217F5E-813E-4D3B-8C4C-54B654A0105F}"/>
    <cellStyle name="Normal" xfId="0" builtinId="0"/>
    <cellStyle name="Normal 2" xfId="5" xr:uid="{F1216DA6-3725-4CBE-A199-2C4079FDB1A9}"/>
    <cellStyle name="Normal 2 2" xfId="7" xr:uid="{3698E4B4-BC07-457E-BC3B-F2256585067B}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1849-F5FB-48E4-8B6A-B4E87AD85B83}">
  <dimension ref="A1:B1"/>
  <sheetViews>
    <sheetView workbookViewId="0"/>
  </sheetViews>
  <sheetFormatPr defaultRowHeight="15" x14ac:dyDescent="0.25"/>
  <sheetData>
    <row r="1" spans="1:2" x14ac:dyDescent="0.25">
      <c r="B1" t="s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B8ED-73DA-45B6-90A1-C3A0360041E6}">
  <dimension ref="A1:L23"/>
  <sheetViews>
    <sheetView tabSelected="1" workbookViewId="0">
      <selection activeCell="J3" sqref="J3"/>
    </sheetView>
  </sheetViews>
  <sheetFormatPr defaultRowHeight="15" x14ac:dyDescent="0.25"/>
  <cols>
    <col min="1" max="1" width="11.5703125" customWidth="1"/>
    <col min="2" max="2" width="19.140625" customWidth="1"/>
    <col min="3" max="3" width="18.7109375" customWidth="1"/>
    <col min="4" max="4" width="13" customWidth="1"/>
    <col min="6" max="6" width="10" bestFit="1" customWidth="1"/>
    <col min="9" max="9" width="23.7109375" customWidth="1"/>
    <col min="10" max="10" width="18.7109375" customWidth="1"/>
    <col min="11" max="11" width="6.85546875" customWidth="1"/>
    <col min="12" max="12" width="11.85546875" customWidth="1"/>
  </cols>
  <sheetData>
    <row r="1" spans="1:12" ht="15.75" thickBot="1" x14ac:dyDescent="0.3"/>
    <row r="2" spans="1:12" ht="15.75" thickBot="1" x14ac:dyDescent="0.3">
      <c r="A2" s="95" t="s">
        <v>0</v>
      </c>
      <c r="B2" s="96"/>
      <c r="C2" s="96"/>
      <c r="D2" s="96"/>
      <c r="E2" s="96"/>
      <c r="F2" s="97"/>
      <c r="H2" t="s">
        <v>78</v>
      </c>
      <c r="J2" s="1">
        <f>COUNTA(D5:D14)</f>
        <v>10</v>
      </c>
    </row>
    <row r="3" spans="1:12" ht="15.75" thickBot="1" x14ac:dyDescent="0.3">
      <c r="A3" s="98" t="s">
        <v>16</v>
      </c>
      <c r="B3" s="98"/>
      <c r="C3" s="98"/>
      <c r="D3" s="98"/>
      <c r="E3" s="98"/>
      <c r="F3" s="98"/>
      <c r="H3" t="s">
        <v>74</v>
      </c>
      <c r="J3" s="9"/>
      <c r="K3" s="9"/>
    </row>
    <row r="4" spans="1:12" ht="15.75" thickBot="1" x14ac:dyDescent="0.3">
      <c r="A4" s="3" t="s">
        <v>2</v>
      </c>
      <c r="B4" s="4" t="s">
        <v>12</v>
      </c>
      <c r="C4" s="4" t="s">
        <v>6</v>
      </c>
      <c r="D4" s="4" t="s">
        <v>13</v>
      </c>
      <c r="E4" s="4"/>
      <c r="F4" s="5"/>
      <c r="H4" t="s">
        <v>73</v>
      </c>
      <c r="J4" s="7"/>
    </row>
    <row r="5" spans="1:12" x14ac:dyDescent="0.25">
      <c r="A5" s="1">
        <v>2024</v>
      </c>
      <c r="B5" s="2">
        <v>0.42</v>
      </c>
      <c r="C5" s="2">
        <f>B5*4</f>
        <v>1.68</v>
      </c>
      <c r="D5" s="6">
        <f>(C5-C6)/C6</f>
        <v>7.6923076923076844E-2</v>
      </c>
    </row>
    <row r="6" spans="1:12" x14ac:dyDescent="0.25">
      <c r="A6" s="1">
        <v>2023</v>
      </c>
      <c r="B6" s="2">
        <v>0.39</v>
      </c>
      <c r="C6" s="2">
        <f t="shared" ref="C6:C15" si="0">B6*4</f>
        <v>1.56</v>
      </c>
      <c r="D6" s="6">
        <f t="shared" ref="D6:D15" si="1">(C6-C7)/C7</f>
        <v>6.8493150684931572E-2</v>
      </c>
      <c r="H6" t="s">
        <v>14</v>
      </c>
      <c r="J6" s="8"/>
    </row>
    <row r="7" spans="1:12" x14ac:dyDescent="0.25">
      <c r="A7" s="1" t="s">
        <v>5</v>
      </c>
      <c r="B7" s="2">
        <v>0.36499999999999999</v>
      </c>
      <c r="C7" s="2">
        <f t="shared" si="0"/>
        <v>1.46</v>
      </c>
      <c r="D7" s="6">
        <f t="shared" si="1"/>
        <v>5.0359712230215875E-2</v>
      </c>
      <c r="E7" s="9"/>
      <c r="F7" s="10"/>
    </row>
    <row r="8" spans="1:12" x14ac:dyDescent="0.25">
      <c r="A8" s="1" t="s">
        <v>4</v>
      </c>
      <c r="B8" s="2">
        <v>0.34749999999999998</v>
      </c>
      <c r="C8" s="2">
        <f t="shared" si="0"/>
        <v>1.39</v>
      </c>
      <c r="D8" s="6">
        <f t="shared" si="1"/>
        <v>5.3030303030302907E-2</v>
      </c>
      <c r="E8" s="9"/>
      <c r="H8" t="s">
        <v>75</v>
      </c>
      <c r="J8" s="2"/>
      <c r="L8" t="s">
        <v>18</v>
      </c>
    </row>
    <row r="9" spans="1:12" x14ac:dyDescent="0.25">
      <c r="A9" s="1" t="s">
        <v>3</v>
      </c>
      <c r="B9" s="2">
        <v>0.33</v>
      </c>
      <c r="C9" s="2">
        <f t="shared" si="0"/>
        <v>1.32</v>
      </c>
      <c r="D9" s="6">
        <f t="shared" si="1"/>
        <v>4.7619047619047658E-2</v>
      </c>
      <c r="E9" s="9"/>
      <c r="H9" t="s">
        <v>15</v>
      </c>
      <c r="L9" t="s">
        <v>17</v>
      </c>
    </row>
    <row r="10" spans="1:12" x14ac:dyDescent="0.25">
      <c r="A10" s="1" t="s">
        <v>7</v>
      </c>
      <c r="B10" s="2">
        <v>0.315</v>
      </c>
      <c r="C10" s="2">
        <f t="shared" si="0"/>
        <v>1.26</v>
      </c>
      <c r="D10" s="6">
        <f t="shared" si="1"/>
        <v>5.0000000000000044E-2</v>
      </c>
      <c r="E10" s="9"/>
    </row>
    <row r="11" spans="1:12" x14ac:dyDescent="0.25">
      <c r="A11" s="1" t="s">
        <v>8</v>
      </c>
      <c r="B11" s="2">
        <v>0.3</v>
      </c>
      <c r="C11" s="2">
        <f t="shared" si="0"/>
        <v>1.2</v>
      </c>
      <c r="D11" s="6">
        <f t="shared" si="1"/>
        <v>0.10091743119266043</v>
      </c>
      <c r="E11" s="9"/>
    </row>
    <row r="12" spans="1:12" x14ac:dyDescent="0.25">
      <c r="A12" s="1" t="s">
        <v>9</v>
      </c>
      <c r="B12" s="2">
        <v>0.27250000000000002</v>
      </c>
      <c r="C12" s="2">
        <f t="shared" si="0"/>
        <v>1.0900000000000001</v>
      </c>
      <c r="D12" s="6">
        <f t="shared" si="1"/>
        <v>4.8076923076923121E-2</v>
      </c>
      <c r="E12" s="9"/>
    </row>
    <row r="13" spans="1:12" x14ac:dyDescent="0.25">
      <c r="A13" s="1" t="s">
        <v>10</v>
      </c>
      <c r="B13" s="2">
        <v>0.26</v>
      </c>
      <c r="C13" s="2">
        <f t="shared" si="0"/>
        <v>1.04</v>
      </c>
      <c r="D13" s="6">
        <f t="shared" si="1"/>
        <v>8.3333333333333412E-2</v>
      </c>
      <c r="E13" s="9"/>
    </row>
    <row r="14" spans="1:12" x14ac:dyDescent="0.25">
      <c r="A14" s="1" t="s">
        <v>11</v>
      </c>
      <c r="B14" s="2">
        <v>0.24</v>
      </c>
      <c r="C14" s="2">
        <f t="shared" si="0"/>
        <v>0.96</v>
      </c>
      <c r="D14" s="6">
        <f t="shared" si="1"/>
        <v>4.3478260869565133E-2</v>
      </c>
      <c r="E14" s="9"/>
    </row>
    <row r="15" spans="1:12" x14ac:dyDescent="0.25">
      <c r="A15" s="1"/>
      <c r="B15" s="2">
        <v>0.23</v>
      </c>
      <c r="C15" s="2">
        <f t="shared" si="0"/>
        <v>0.92</v>
      </c>
      <c r="D15" s="6" t="e">
        <f t="shared" si="1"/>
        <v>#DIV/0!</v>
      </c>
    </row>
    <row r="18" spans="1:2" x14ac:dyDescent="0.25">
      <c r="A18" t="s">
        <v>19</v>
      </c>
    </row>
    <row r="19" spans="1:2" x14ac:dyDescent="0.25">
      <c r="A19">
        <v>1</v>
      </c>
      <c r="B19" t="s">
        <v>20</v>
      </c>
    </row>
    <row r="20" spans="1:2" x14ac:dyDescent="0.25">
      <c r="A20">
        <v>2</v>
      </c>
      <c r="B20" t="s">
        <v>21</v>
      </c>
    </row>
    <row r="21" spans="1:2" x14ac:dyDescent="0.25">
      <c r="A21">
        <v>3</v>
      </c>
      <c r="B21" t="s">
        <v>72</v>
      </c>
    </row>
    <row r="22" spans="1:2" x14ac:dyDescent="0.25">
      <c r="A22">
        <v>4</v>
      </c>
      <c r="B22" t="s">
        <v>22</v>
      </c>
    </row>
    <row r="23" spans="1:2" x14ac:dyDescent="0.25">
      <c r="A23">
        <v>5</v>
      </c>
      <c r="B23" t="s">
        <v>76</v>
      </c>
    </row>
  </sheetData>
  <mergeCells count="2">
    <mergeCell ref="A2:F2"/>
    <mergeCell ref="A3:F3"/>
  </mergeCells>
  <conditionalFormatting sqref="J9">
    <cfRule type="cellIs" dxfId="1" priority="1" operator="equal">
      <formula>"Overvalued"</formula>
    </cfRule>
    <cfRule type="cellIs" dxfId="0" priority="2" operator="equal">
      <formula>"Undervalued"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3F36-D70C-4868-AE64-77B027563AFB}">
  <dimension ref="A1:N28"/>
  <sheetViews>
    <sheetView workbookViewId="0">
      <selection activeCell="M16" sqref="M16"/>
    </sheetView>
  </sheetViews>
  <sheetFormatPr defaultRowHeight="15" x14ac:dyDescent="0.25"/>
  <cols>
    <col min="1" max="1" width="22.42578125" customWidth="1"/>
    <col min="2" max="3" width="11.42578125" customWidth="1"/>
    <col min="4" max="4" width="18" customWidth="1"/>
    <col min="5" max="5" width="11" customWidth="1"/>
    <col min="6" max="6" width="10.140625" customWidth="1"/>
    <col min="7" max="7" width="17.28515625" customWidth="1"/>
    <col min="10" max="10" width="13.85546875" customWidth="1"/>
  </cols>
  <sheetData>
    <row r="1" spans="1:14" ht="24" x14ac:dyDescent="0.4">
      <c r="A1" s="63" t="s">
        <v>51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x14ac:dyDescent="0.25">
      <c r="A2" t="s">
        <v>46</v>
      </c>
    </row>
    <row r="3" spans="1:14" x14ac:dyDescent="0.25">
      <c r="A3" t="s">
        <v>50</v>
      </c>
    </row>
    <row r="4" spans="1:14" x14ac:dyDescent="0.25">
      <c r="A4" t="s">
        <v>49</v>
      </c>
    </row>
    <row r="6" spans="1:14" ht="15.75" x14ac:dyDescent="0.25">
      <c r="A6" s="68" t="str">
        <f>"What are the arithmetic and geometric average returns for a stock with annual returns of "&amp; TEXT(B9,"00.00%")&amp;", "&amp;TEXT(B10,"0.00%")&amp;", "&amp;TEXT(B11,"0.00%")&amp;", "&amp;TEXT(B12,"0.00%")&amp;"?"</f>
        <v>What are the arithmetic and geometric average returns for a stock with annual returns of 12.00%, 10.00%, -4.00%, 8.00%?</v>
      </c>
    </row>
    <row r="7" spans="1:14" ht="15.75" x14ac:dyDescent="0.25">
      <c r="A7" s="51"/>
    </row>
    <row r="8" spans="1:14" ht="15.75" thickBot="1" x14ac:dyDescent="0.3">
      <c r="B8" s="53" t="s">
        <v>45</v>
      </c>
    </row>
    <row r="9" spans="1:14" ht="15.75" thickTop="1" x14ac:dyDescent="0.25">
      <c r="A9" t="s">
        <v>40</v>
      </c>
      <c r="B9" s="52">
        <v>0.12</v>
      </c>
    </row>
    <row r="10" spans="1:14" x14ac:dyDescent="0.25">
      <c r="A10" t="s">
        <v>41</v>
      </c>
      <c r="B10" s="52">
        <v>0.1</v>
      </c>
      <c r="D10" s="56" t="s">
        <v>59</v>
      </c>
      <c r="E10" s="58"/>
      <c r="G10" s="54"/>
      <c r="H10" s="8"/>
    </row>
    <row r="11" spans="1:14" x14ac:dyDescent="0.25">
      <c r="A11" t="s">
        <v>42</v>
      </c>
      <c r="B11" s="52">
        <v>-0.04</v>
      </c>
      <c r="D11" s="56" t="s">
        <v>44</v>
      </c>
      <c r="E11" s="57"/>
      <c r="G11" s="54"/>
      <c r="H11" s="8"/>
    </row>
    <row r="12" spans="1:14" x14ac:dyDescent="0.25">
      <c r="A12" t="s">
        <v>43</v>
      </c>
      <c r="B12" s="52">
        <v>0.08</v>
      </c>
    </row>
    <row r="13" spans="1:14" x14ac:dyDescent="0.25">
      <c r="D13" t="s">
        <v>47</v>
      </c>
    </row>
    <row r="17" spans="1:3" x14ac:dyDescent="0.25">
      <c r="B17" s="52"/>
      <c r="C17" s="55"/>
    </row>
    <row r="18" spans="1:3" x14ac:dyDescent="0.25">
      <c r="B18" s="52"/>
      <c r="C18" s="55"/>
    </row>
    <row r="19" spans="1:3" x14ac:dyDescent="0.25">
      <c r="B19" s="52"/>
      <c r="C19" s="55"/>
    </row>
    <row r="20" spans="1:3" x14ac:dyDescent="0.25">
      <c r="B20" s="52"/>
      <c r="C20" s="55"/>
    </row>
    <row r="22" spans="1:3" x14ac:dyDescent="0.25">
      <c r="A22" s="1"/>
      <c r="B22" s="70"/>
      <c r="C22" s="2"/>
    </row>
    <row r="28" spans="1:3" ht="18" x14ac:dyDescent="0.25">
      <c r="A28" s="67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B3CD-63F9-470E-8C81-9636CCD239D9}">
  <dimension ref="B1:P41"/>
  <sheetViews>
    <sheetView topLeftCell="A6" workbookViewId="0">
      <selection activeCell="H32" sqref="H32"/>
    </sheetView>
  </sheetViews>
  <sheetFormatPr defaultRowHeight="15" x14ac:dyDescent="0.25"/>
  <cols>
    <col min="2" max="2" width="3.140625" customWidth="1"/>
    <col min="3" max="3" width="30.85546875" bestFit="1" customWidth="1"/>
    <col min="4" max="4" width="16.85546875" bestFit="1" customWidth="1"/>
    <col min="5" max="5" width="3.140625" customWidth="1"/>
    <col min="7" max="7" width="14.85546875" customWidth="1"/>
    <col min="9" max="9" width="14.7109375" customWidth="1"/>
  </cols>
  <sheetData>
    <row r="1" spans="2:13" s="11" customFormat="1" ht="18" x14ac:dyDescent="0.25">
      <c r="C1" s="39"/>
    </row>
    <row r="2" spans="2:13" s="11" customFormat="1" x14ac:dyDescent="0.2"/>
    <row r="3" spans="2:13" s="11" customFormat="1" ht="15.75" x14ac:dyDescent="0.25">
      <c r="B3" s="71" t="s">
        <v>61</v>
      </c>
      <c r="C3" s="71"/>
      <c r="D3" s="71"/>
      <c r="E3" s="71"/>
      <c r="F3" s="71"/>
      <c r="G3" s="71"/>
    </row>
    <row r="4" spans="2:13" s="11" customFormat="1" x14ac:dyDescent="0.2">
      <c r="C4" s="12" t="s">
        <v>23</v>
      </c>
    </row>
    <row r="5" spans="2:13" s="11" customFormat="1" ht="15.75" thickBot="1" x14ac:dyDescent="0.25">
      <c r="C5" s="12"/>
    </row>
    <row r="6" spans="2:13" s="11" customFormat="1" x14ac:dyDescent="0.2">
      <c r="B6" s="13"/>
      <c r="C6" s="14"/>
      <c r="D6" s="15"/>
      <c r="E6" s="16"/>
    </row>
    <row r="7" spans="2:13" s="11" customFormat="1" x14ac:dyDescent="0.2">
      <c r="B7" s="17"/>
      <c r="C7" s="18" t="s">
        <v>31</v>
      </c>
      <c r="D7" s="40">
        <v>2.1499999999999998E-2</v>
      </c>
      <c r="E7" s="20"/>
      <c r="I7" s="41"/>
      <c r="M7" s="42"/>
    </row>
    <row r="8" spans="2:13" s="11" customFormat="1" x14ac:dyDescent="0.2">
      <c r="B8" s="17"/>
      <c r="C8" s="18" t="s">
        <v>32</v>
      </c>
      <c r="D8" s="19">
        <v>2.0499999999999998</v>
      </c>
      <c r="E8" s="20"/>
    </row>
    <row r="9" spans="2:13" s="11" customFormat="1" x14ac:dyDescent="0.2">
      <c r="B9" s="17"/>
      <c r="C9" s="18" t="s">
        <v>33</v>
      </c>
      <c r="D9" s="43">
        <v>0.27</v>
      </c>
      <c r="E9" s="20"/>
    </row>
    <row r="10" spans="2:13" s="11" customFormat="1" x14ac:dyDescent="0.2">
      <c r="B10" s="17"/>
      <c r="C10" s="18" t="s">
        <v>34</v>
      </c>
      <c r="D10" s="44">
        <v>20</v>
      </c>
      <c r="E10" s="20"/>
    </row>
    <row r="11" spans="2:13" s="11" customFormat="1" x14ac:dyDescent="0.2">
      <c r="B11" s="17"/>
      <c r="C11" s="18" t="s">
        <v>35</v>
      </c>
      <c r="D11" s="44">
        <v>25000000</v>
      </c>
      <c r="E11" s="20"/>
    </row>
    <row r="12" spans="2:13" s="11" customFormat="1" ht="15.75" thickBot="1" x14ac:dyDescent="0.25">
      <c r="B12" s="22"/>
      <c r="C12" s="23"/>
      <c r="D12" s="23"/>
      <c r="E12" s="24"/>
    </row>
    <row r="13" spans="2:13" s="11" customFormat="1" x14ac:dyDescent="0.2"/>
    <row r="14" spans="2:13" s="11" customFormat="1" x14ac:dyDescent="0.2">
      <c r="C14" s="12" t="s">
        <v>26</v>
      </c>
    </row>
    <row r="15" spans="2:13" s="11" customFormat="1" ht="15.75" thickBot="1" x14ac:dyDescent="0.25">
      <c r="C15" s="12"/>
    </row>
    <row r="16" spans="2:13" s="11" customFormat="1" x14ac:dyDescent="0.2">
      <c r="B16" s="25"/>
      <c r="C16" s="26"/>
      <c r="D16" s="26"/>
      <c r="E16" s="27"/>
    </row>
    <row r="17" spans="2:16" s="11" customFormat="1" ht="15.75" x14ac:dyDescent="0.25">
      <c r="B17" s="28"/>
      <c r="C17" s="29" t="s">
        <v>36</v>
      </c>
      <c r="D17" s="45"/>
      <c r="E17" s="46"/>
      <c r="H17" s="47" t="s">
        <v>77</v>
      </c>
      <c r="I17" s="48"/>
      <c r="J17" s="48"/>
      <c r="M17" s="48"/>
      <c r="N17" s="48"/>
      <c r="O17" s="48"/>
      <c r="P17" s="48"/>
    </row>
    <row r="18" spans="2:16" s="11" customFormat="1" x14ac:dyDescent="0.2">
      <c r="B18" s="28"/>
      <c r="C18" s="29"/>
      <c r="D18" s="49"/>
      <c r="E18" s="46"/>
    </row>
    <row r="19" spans="2:16" s="11" customFormat="1" ht="15.75" x14ac:dyDescent="0.25">
      <c r="B19" s="28"/>
      <c r="C19" s="29" t="s">
        <v>37</v>
      </c>
      <c r="D19" s="30"/>
      <c r="E19" s="46"/>
      <c r="I19" s="62"/>
    </row>
    <row r="20" spans="2:16" s="11" customFormat="1" ht="15.75" thickBot="1" x14ac:dyDescent="0.25">
      <c r="B20" s="32"/>
      <c r="C20" s="33"/>
      <c r="D20" s="60"/>
      <c r="E20" s="61"/>
    </row>
    <row r="21" spans="2:16" s="11" customFormat="1" x14ac:dyDescent="0.2"/>
    <row r="22" spans="2:16" s="11" customFormat="1" x14ac:dyDescent="0.2"/>
    <row r="23" spans="2:16" ht="15.75" x14ac:dyDescent="0.25">
      <c r="C23" s="71" t="s">
        <v>62</v>
      </c>
      <c r="D23" s="69"/>
      <c r="E23" s="69"/>
      <c r="F23" s="69"/>
      <c r="G23" s="69"/>
      <c r="H23" s="69"/>
      <c r="I23" s="69"/>
      <c r="J23" s="69"/>
      <c r="K23" s="69"/>
    </row>
    <row r="24" spans="2:16" ht="16.5" thickBot="1" x14ac:dyDescent="0.3">
      <c r="C24" s="12" t="s">
        <v>23</v>
      </c>
    </row>
    <row r="25" spans="2:16" ht="15.75" x14ac:dyDescent="0.25">
      <c r="C25" s="14"/>
      <c r="D25" s="15"/>
    </row>
    <row r="26" spans="2:16" ht="15.75" x14ac:dyDescent="0.25">
      <c r="C26" s="18" t="s">
        <v>55</v>
      </c>
      <c r="D26" s="66">
        <v>0.4</v>
      </c>
    </row>
    <row r="27" spans="2:16" ht="15.75" x14ac:dyDescent="0.25">
      <c r="C27" s="18" t="s">
        <v>52</v>
      </c>
      <c r="D27" s="19">
        <v>32</v>
      </c>
    </row>
    <row r="28" spans="2:16" ht="15.75" x14ac:dyDescent="0.25">
      <c r="C28" s="18" t="s">
        <v>53</v>
      </c>
      <c r="D28" s="64">
        <v>4</v>
      </c>
    </row>
    <row r="29" spans="2:16" ht="15.75" x14ac:dyDescent="0.25">
      <c r="C29" s="11"/>
      <c r="D29" s="11"/>
    </row>
    <row r="30" spans="2:16" ht="15.75" x14ac:dyDescent="0.25">
      <c r="C30" s="12" t="s">
        <v>26</v>
      </c>
      <c r="D30" s="11"/>
    </row>
    <row r="31" spans="2:16" ht="16.5" thickBot="1" x14ac:dyDescent="0.3">
      <c r="C31" s="12"/>
      <c r="D31" s="11"/>
    </row>
    <row r="32" spans="2:16" ht="15.75" x14ac:dyDescent="0.25">
      <c r="C32" s="26"/>
      <c r="D32" s="26"/>
      <c r="H32" s="47" t="s">
        <v>48</v>
      </c>
    </row>
    <row r="33" spans="3:15" ht="15.75" x14ac:dyDescent="0.25">
      <c r="C33" s="29" t="s">
        <v>54</v>
      </c>
      <c r="D33" s="65"/>
    </row>
    <row r="34" spans="3:15" ht="16.5" thickBot="1" x14ac:dyDescent="0.3">
      <c r="C34" s="33" t="s">
        <v>56</v>
      </c>
      <c r="D34" s="60"/>
    </row>
    <row r="41" spans="3:15" ht="18" x14ac:dyDescent="0.25">
      <c r="O41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3D23-7FE9-4FF7-86D8-158BC56CCD19}">
  <dimension ref="B1:Q26"/>
  <sheetViews>
    <sheetView workbookViewId="0">
      <selection activeCell="I27" sqref="I27"/>
    </sheetView>
  </sheetViews>
  <sheetFormatPr defaultRowHeight="15" x14ac:dyDescent="0.25"/>
  <cols>
    <col min="2" max="2" width="3.140625" customWidth="1"/>
    <col min="3" max="3" width="30.85546875" bestFit="1" customWidth="1"/>
    <col min="4" max="4" width="16.85546875" bestFit="1" customWidth="1"/>
    <col min="5" max="5" width="3.140625" customWidth="1"/>
    <col min="7" max="7" width="14.85546875" customWidth="1"/>
    <col min="9" max="9" width="14.7109375" customWidth="1"/>
  </cols>
  <sheetData>
    <row r="1" spans="2:13" s="11" customFormat="1" ht="18" x14ac:dyDescent="0.25">
      <c r="C1" s="39"/>
    </row>
    <row r="2" spans="2:13" s="11" customFormat="1" ht="15.75" x14ac:dyDescent="0.25">
      <c r="C2" s="71" t="s">
        <v>64</v>
      </c>
    </row>
    <row r="3" spans="2:13" s="11" customFormat="1" x14ac:dyDescent="0.2"/>
    <row r="4" spans="2:13" s="11" customFormat="1" x14ac:dyDescent="0.2">
      <c r="C4" s="12" t="s">
        <v>23</v>
      </c>
    </row>
    <row r="5" spans="2:13" s="11" customFormat="1" ht="15.75" thickBot="1" x14ac:dyDescent="0.25">
      <c r="C5" s="12"/>
    </row>
    <row r="6" spans="2:13" s="11" customFormat="1" x14ac:dyDescent="0.2">
      <c r="B6" s="13"/>
      <c r="C6" s="14"/>
      <c r="D6" s="15"/>
      <c r="E6" s="16"/>
    </row>
    <row r="7" spans="2:13" s="11" customFormat="1" x14ac:dyDescent="0.2">
      <c r="B7" s="17"/>
      <c r="C7" s="18" t="s">
        <v>31</v>
      </c>
      <c r="D7" s="40">
        <v>2.1499999999999998E-2</v>
      </c>
      <c r="E7" s="20"/>
      <c r="I7" s="41"/>
      <c r="M7" s="42"/>
    </row>
    <row r="8" spans="2:13" s="11" customFormat="1" x14ac:dyDescent="0.2">
      <c r="B8" s="17"/>
      <c r="C8" s="18" t="s">
        <v>32</v>
      </c>
      <c r="D8" s="19">
        <v>2.0499999999999998</v>
      </c>
      <c r="E8" s="20"/>
    </row>
    <row r="9" spans="2:13" s="11" customFormat="1" x14ac:dyDescent="0.2">
      <c r="B9" s="17"/>
      <c r="C9" s="18" t="s">
        <v>33</v>
      </c>
      <c r="D9" s="43">
        <v>0.27</v>
      </c>
      <c r="E9" s="20"/>
    </row>
    <row r="10" spans="2:13" s="11" customFormat="1" x14ac:dyDescent="0.2">
      <c r="B10" s="17"/>
      <c r="C10" s="18" t="s">
        <v>34</v>
      </c>
      <c r="D10" s="44">
        <v>20</v>
      </c>
      <c r="E10" s="20"/>
    </row>
    <row r="11" spans="2:13" s="11" customFormat="1" x14ac:dyDescent="0.2">
      <c r="B11" s="17"/>
      <c r="C11" s="18" t="s">
        <v>35</v>
      </c>
      <c r="D11" s="44">
        <v>25000000</v>
      </c>
      <c r="E11" s="20"/>
    </row>
    <row r="12" spans="2:13" s="11" customFormat="1" ht="15.75" thickBot="1" x14ac:dyDescent="0.25">
      <c r="B12" s="22"/>
      <c r="C12" s="23"/>
      <c r="D12" s="23"/>
      <c r="E12" s="24"/>
    </row>
    <row r="13" spans="2:13" s="11" customFormat="1" x14ac:dyDescent="0.2"/>
    <row r="14" spans="2:13" s="11" customFormat="1" x14ac:dyDescent="0.2">
      <c r="C14" s="12" t="s">
        <v>26</v>
      </c>
    </row>
    <row r="15" spans="2:13" s="11" customFormat="1" ht="15.75" thickBot="1" x14ac:dyDescent="0.25">
      <c r="C15" s="12"/>
    </row>
    <row r="16" spans="2:13" s="11" customFormat="1" x14ac:dyDescent="0.2">
      <c r="B16" s="25"/>
      <c r="C16" s="26"/>
      <c r="D16" s="26"/>
      <c r="E16" s="27"/>
    </row>
    <row r="17" spans="2:17" s="11" customFormat="1" ht="15.75" x14ac:dyDescent="0.25">
      <c r="B17" s="28"/>
      <c r="C17" s="29" t="s">
        <v>36</v>
      </c>
      <c r="D17" s="45"/>
      <c r="E17" s="46"/>
      <c r="I17" s="47"/>
      <c r="J17" s="48"/>
      <c r="K17" s="48"/>
      <c r="M17" s="47"/>
      <c r="N17" s="48"/>
      <c r="O17" s="48"/>
      <c r="P17" s="48"/>
      <c r="Q17" s="48"/>
    </row>
    <row r="18" spans="2:17" s="11" customFormat="1" x14ac:dyDescent="0.2">
      <c r="B18" s="28"/>
      <c r="C18" s="29"/>
      <c r="D18" s="49"/>
      <c r="E18" s="46"/>
    </row>
    <row r="19" spans="2:17" s="11" customFormat="1" ht="15.75" x14ac:dyDescent="0.25">
      <c r="B19" s="28"/>
      <c r="C19" s="29" t="s">
        <v>37</v>
      </c>
      <c r="D19" s="30"/>
      <c r="E19" s="46"/>
    </row>
    <row r="20" spans="2:17" s="11" customFormat="1" x14ac:dyDescent="0.2">
      <c r="B20" s="28"/>
      <c r="C20" s="29"/>
      <c r="D20" s="49"/>
      <c r="E20" s="46"/>
    </row>
    <row r="21" spans="2:17" s="11" customFormat="1" ht="15.75" x14ac:dyDescent="0.25">
      <c r="B21" s="28"/>
      <c r="C21" s="29" t="s">
        <v>38</v>
      </c>
      <c r="D21" s="45"/>
      <c r="E21" s="46"/>
      <c r="I21" s="47"/>
      <c r="M21" s="47"/>
    </row>
    <row r="22" spans="2:17" s="11" customFormat="1" x14ac:dyDescent="0.2">
      <c r="B22" s="28"/>
      <c r="C22" s="29"/>
      <c r="D22" s="49"/>
      <c r="E22" s="46"/>
    </row>
    <row r="23" spans="2:17" s="11" customFormat="1" ht="15.75" x14ac:dyDescent="0.25">
      <c r="B23" s="28"/>
      <c r="C23" s="29" t="s">
        <v>39</v>
      </c>
      <c r="D23" s="50"/>
      <c r="E23" s="46"/>
      <c r="I23" s="47"/>
    </row>
    <row r="24" spans="2:17" s="11" customFormat="1" ht="15.75" thickBot="1" x14ac:dyDescent="0.25">
      <c r="B24" s="32"/>
      <c r="C24" s="33"/>
      <c r="D24" s="33"/>
      <c r="E24" s="34"/>
    </row>
    <row r="25" spans="2:17" s="11" customFormat="1" x14ac:dyDescent="0.2"/>
    <row r="26" spans="2:17" s="11" customForma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5D0B-E313-428E-AD88-F24894FAFEC6}">
  <dimension ref="A1:K25"/>
  <sheetViews>
    <sheetView workbookViewId="0">
      <selection activeCell="H23" sqref="H23"/>
    </sheetView>
  </sheetViews>
  <sheetFormatPr defaultRowHeight="15" x14ac:dyDescent="0.25"/>
  <cols>
    <col min="3" max="3" width="24.140625" customWidth="1"/>
    <col min="4" max="4" width="18.5703125" customWidth="1"/>
  </cols>
  <sheetData>
    <row r="1" spans="1:11" ht="15.75" x14ac:dyDescent="0.25">
      <c r="A1" s="11"/>
      <c r="B1" s="11"/>
      <c r="C1" s="69" t="s">
        <v>65</v>
      </c>
      <c r="D1" s="71"/>
      <c r="E1" s="71"/>
      <c r="F1" s="71"/>
      <c r="G1" s="71"/>
    </row>
    <row r="2" spans="1:11" ht="16.5" thickBot="1" x14ac:dyDescent="0.3">
      <c r="A2" s="11" t="s">
        <v>68</v>
      </c>
      <c r="B2" s="11"/>
      <c r="C2" s="12" t="s">
        <v>23</v>
      </c>
      <c r="D2" s="11"/>
      <c r="E2" s="11"/>
      <c r="F2" s="11"/>
      <c r="G2" s="11"/>
    </row>
    <row r="3" spans="1:11" ht="15.75" x14ac:dyDescent="0.25">
      <c r="A3" s="11" t="s">
        <v>69</v>
      </c>
      <c r="B3" s="13"/>
      <c r="C3" s="14"/>
      <c r="D3" s="15"/>
      <c r="E3" s="16"/>
      <c r="F3" s="11"/>
      <c r="G3" s="11"/>
    </row>
    <row r="4" spans="1:11" ht="15.75" x14ac:dyDescent="0.25">
      <c r="A4" s="11"/>
      <c r="B4" s="17"/>
      <c r="C4" s="18" t="s">
        <v>24</v>
      </c>
      <c r="D4" s="19">
        <v>5.27</v>
      </c>
      <c r="E4" s="20"/>
      <c r="F4" s="11"/>
      <c r="G4" s="11"/>
    </row>
    <row r="5" spans="1:11" ht="15.75" x14ac:dyDescent="0.25">
      <c r="A5" s="11"/>
      <c r="B5" s="17"/>
      <c r="C5" s="18" t="s">
        <v>25</v>
      </c>
      <c r="D5" s="21">
        <v>18</v>
      </c>
      <c r="E5" s="20"/>
      <c r="F5" s="11"/>
      <c r="G5" s="11"/>
    </row>
    <row r="6" spans="1:11" ht="15.75" x14ac:dyDescent="0.25">
      <c r="A6" s="11"/>
      <c r="B6" s="17"/>
      <c r="C6" s="18" t="s">
        <v>25</v>
      </c>
      <c r="D6" s="21">
        <v>21</v>
      </c>
      <c r="E6" s="20"/>
      <c r="F6" s="11"/>
      <c r="G6" s="11"/>
    </row>
    <row r="7" spans="1:11" ht="16.5" thickBot="1" x14ac:dyDescent="0.3">
      <c r="A7" s="11"/>
      <c r="B7" s="22"/>
      <c r="C7" s="23"/>
      <c r="D7" s="23"/>
      <c r="E7" s="24"/>
      <c r="F7" s="11"/>
      <c r="G7" s="11"/>
    </row>
    <row r="8" spans="1:11" ht="15.75" x14ac:dyDescent="0.25">
      <c r="A8" s="11"/>
      <c r="B8" s="11"/>
      <c r="C8" s="11"/>
      <c r="D8" s="11"/>
      <c r="E8" s="11"/>
      <c r="F8" s="11"/>
      <c r="G8" s="11"/>
    </row>
    <row r="9" spans="1:11" ht="15.75" x14ac:dyDescent="0.25">
      <c r="A9" s="11"/>
      <c r="B9" s="11"/>
      <c r="C9" s="12" t="s">
        <v>26</v>
      </c>
      <c r="D9" s="11"/>
      <c r="E9" s="11"/>
      <c r="F9" s="11"/>
      <c r="G9" s="11"/>
    </row>
    <row r="10" spans="1:11" ht="16.5" thickBot="1" x14ac:dyDescent="0.3">
      <c r="A10" s="11"/>
      <c r="B10" s="11"/>
      <c r="C10" s="12"/>
      <c r="D10" s="11"/>
      <c r="E10" s="11"/>
      <c r="F10" s="11"/>
      <c r="G10" s="11"/>
    </row>
    <row r="11" spans="1:11" ht="15.75" x14ac:dyDescent="0.25">
      <c r="A11" s="11"/>
      <c r="B11" s="25"/>
      <c r="C11" s="26"/>
      <c r="D11" s="26"/>
      <c r="E11" s="27"/>
      <c r="F11" s="11"/>
      <c r="G11" s="11"/>
      <c r="H11" s="47"/>
      <c r="I11" s="11"/>
      <c r="J11" s="11"/>
      <c r="K11" s="11"/>
    </row>
    <row r="12" spans="1:11" ht="15.75" x14ac:dyDescent="0.25">
      <c r="A12" s="11"/>
      <c r="B12" s="28"/>
      <c r="C12" s="29" t="str">
        <f>"Stock price at PE of "&amp;D5</f>
        <v>Stock price at PE of 18</v>
      </c>
      <c r="D12" s="30"/>
      <c r="E12" s="31"/>
      <c r="F12" s="11"/>
      <c r="G12" s="11"/>
    </row>
    <row r="13" spans="1:11" ht="15.75" x14ac:dyDescent="0.25">
      <c r="A13" s="11"/>
      <c r="B13" s="28"/>
      <c r="C13" s="29" t="str">
        <f>"Stock price at PE of "&amp;D6</f>
        <v>Stock price at PE of 21</v>
      </c>
      <c r="D13" s="30"/>
      <c r="E13" s="31"/>
      <c r="F13" s="11"/>
      <c r="G13" s="11"/>
    </row>
    <row r="14" spans="1:11" ht="16.5" thickBot="1" x14ac:dyDescent="0.3">
      <c r="A14" s="11"/>
      <c r="B14" s="32"/>
      <c r="C14" s="33"/>
      <c r="D14" s="33"/>
      <c r="E14" s="34"/>
      <c r="F14" s="11"/>
      <c r="G14" s="11"/>
    </row>
    <row r="15" spans="1:11" ht="15.75" x14ac:dyDescent="0.25">
      <c r="A15" s="11"/>
      <c r="B15" s="11"/>
      <c r="C15" s="11"/>
      <c r="D15" s="11"/>
      <c r="E15" s="11"/>
      <c r="F15" s="11"/>
      <c r="G15" s="11"/>
    </row>
    <row r="16" spans="1:11" ht="15.75" thickBot="1" x14ac:dyDescent="0.3">
      <c r="B16" s="69" t="s">
        <v>67</v>
      </c>
    </row>
    <row r="17" spans="1:5" ht="15.75" x14ac:dyDescent="0.25">
      <c r="A17" s="11" t="s">
        <v>68</v>
      </c>
      <c r="B17" s="72"/>
      <c r="C17" s="73"/>
      <c r="D17" s="74"/>
      <c r="E17" s="75"/>
    </row>
    <row r="18" spans="1:5" ht="15.75" x14ac:dyDescent="0.25">
      <c r="A18" s="11" t="s">
        <v>70</v>
      </c>
      <c r="B18" s="76"/>
      <c r="C18" s="77" t="s">
        <v>57</v>
      </c>
      <c r="D18" s="78">
        <v>12.1</v>
      </c>
      <c r="E18" s="79"/>
    </row>
    <row r="19" spans="1:5" ht="15.75" x14ac:dyDescent="0.25">
      <c r="B19" s="76"/>
      <c r="C19" s="77" t="s">
        <v>24</v>
      </c>
      <c r="D19" s="80">
        <v>2.56</v>
      </c>
      <c r="E19" s="79"/>
    </row>
    <row r="20" spans="1:5" ht="15.75" x14ac:dyDescent="0.25">
      <c r="B20" s="76"/>
      <c r="C20" s="77" t="s">
        <v>58</v>
      </c>
      <c r="D20" s="81">
        <v>1.9E-2</v>
      </c>
      <c r="E20" s="79"/>
    </row>
    <row r="21" spans="1:5" ht="15.75" thickBot="1" x14ac:dyDescent="0.3">
      <c r="B21" s="82"/>
      <c r="C21" s="83"/>
      <c r="D21" s="83"/>
      <c r="E21" s="84"/>
    </row>
    <row r="22" spans="1:5" ht="15.75" thickBot="1" x14ac:dyDescent="0.3"/>
    <row r="23" spans="1:5" x14ac:dyDescent="0.25">
      <c r="B23" s="85"/>
      <c r="C23" s="86"/>
      <c r="D23" s="86"/>
      <c r="E23" s="87"/>
    </row>
    <row r="24" spans="1:5" ht="18.75" x14ac:dyDescent="0.3">
      <c r="B24" s="88"/>
      <c r="C24" s="89" t="s">
        <v>66</v>
      </c>
      <c r="D24" s="94"/>
      <c r="E24" s="90"/>
    </row>
    <row r="25" spans="1:5" ht="15.75" thickBot="1" x14ac:dyDescent="0.3">
      <c r="B25" s="91"/>
      <c r="C25" s="92"/>
      <c r="D25" s="92"/>
      <c r="E25" s="9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8218-647A-4E77-B7E2-E1D343632AF8}">
  <dimension ref="A1:K20"/>
  <sheetViews>
    <sheetView workbookViewId="0">
      <selection activeCell="D17" sqref="D17"/>
    </sheetView>
  </sheetViews>
  <sheetFormatPr defaultRowHeight="15" x14ac:dyDescent="0.25"/>
  <cols>
    <col min="3" max="3" width="25.140625" customWidth="1"/>
    <col min="4" max="4" width="25.85546875" customWidth="1"/>
  </cols>
  <sheetData>
    <row r="1" spans="1:11" ht="15.75" x14ac:dyDescent="0.25">
      <c r="A1" s="11"/>
      <c r="B1" s="69" t="s">
        <v>71</v>
      </c>
      <c r="C1" s="71"/>
      <c r="D1" s="71"/>
      <c r="E1" s="71"/>
      <c r="F1" s="71"/>
      <c r="G1" s="11"/>
    </row>
    <row r="2" spans="1:11" ht="15.75" x14ac:dyDescent="0.25">
      <c r="A2" s="11"/>
      <c r="B2" s="11"/>
      <c r="C2" s="12" t="s">
        <v>23</v>
      </c>
      <c r="D2" s="11"/>
      <c r="E2" s="11"/>
      <c r="F2" s="11"/>
      <c r="G2" s="11"/>
    </row>
    <row r="3" spans="1:11" ht="16.5" thickBot="1" x14ac:dyDescent="0.3">
      <c r="A3" s="11"/>
      <c r="B3" s="11"/>
      <c r="C3" s="12"/>
      <c r="D3" s="11"/>
      <c r="E3" s="11"/>
      <c r="F3" s="11"/>
      <c r="G3" s="11"/>
    </row>
    <row r="4" spans="1:11" ht="15.75" x14ac:dyDescent="0.25">
      <c r="A4" s="11"/>
      <c r="B4" s="13"/>
      <c r="C4" s="14"/>
      <c r="D4" s="15"/>
      <c r="E4" s="16"/>
      <c r="F4" s="11"/>
      <c r="G4" s="11"/>
    </row>
    <row r="5" spans="1:11" ht="15.75" x14ac:dyDescent="0.25">
      <c r="A5" s="11"/>
      <c r="B5" s="17"/>
      <c r="C5" s="18" t="s">
        <v>27</v>
      </c>
      <c r="D5" s="35">
        <v>3100000</v>
      </c>
      <c r="E5" s="20"/>
      <c r="F5" s="11"/>
      <c r="G5" s="11"/>
    </row>
    <row r="6" spans="1:11" ht="15.75" x14ac:dyDescent="0.25">
      <c r="A6" s="11"/>
      <c r="B6" s="17"/>
      <c r="C6" s="18" t="s">
        <v>28</v>
      </c>
      <c r="D6" s="36">
        <v>175000</v>
      </c>
      <c r="E6" s="20"/>
      <c r="F6" s="11"/>
      <c r="G6" s="11"/>
    </row>
    <row r="7" spans="1:11" ht="15.75" x14ac:dyDescent="0.25">
      <c r="A7" s="11"/>
      <c r="B7" s="17"/>
      <c r="C7" s="18" t="s">
        <v>29</v>
      </c>
      <c r="D7" s="37">
        <v>3.9</v>
      </c>
      <c r="E7" s="20"/>
      <c r="F7" s="11"/>
      <c r="G7" s="11"/>
    </row>
    <row r="8" spans="1:11" ht="15.75" x14ac:dyDescent="0.25">
      <c r="A8" s="11"/>
      <c r="B8" s="17"/>
      <c r="C8" s="18" t="s">
        <v>29</v>
      </c>
      <c r="D8" s="37">
        <v>3.1</v>
      </c>
      <c r="E8" s="20"/>
      <c r="F8" s="11"/>
      <c r="G8" s="11"/>
    </row>
    <row r="9" spans="1:11" ht="16.5" thickBot="1" x14ac:dyDescent="0.3">
      <c r="A9" s="11"/>
      <c r="B9" s="22"/>
      <c r="C9" s="23"/>
      <c r="D9" s="23"/>
      <c r="E9" s="24"/>
      <c r="F9" s="11"/>
      <c r="G9" s="11"/>
    </row>
    <row r="10" spans="1:11" ht="15.75" x14ac:dyDescent="0.25">
      <c r="A10" s="11"/>
      <c r="B10" s="11"/>
      <c r="C10" s="11"/>
      <c r="D10" s="11"/>
      <c r="E10" s="11"/>
      <c r="F10" s="11"/>
      <c r="G10" s="11"/>
    </row>
    <row r="11" spans="1:11" ht="15.75" x14ac:dyDescent="0.25">
      <c r="A11" s="11"/>
      <c r="B11" s="11"/>
      <c r="C11" s="12" t="s">
        <v>26</v>
      </c>
      <c r="D11" s="11"/>
      <c r="E11" s="11"/>
      <c r="F11" s="11"/>
      <c r="G11" s="11"/>
    </row>
    <row r="12" spans="1:11" ht="16.5" thickBot="1" x14ac:dyDescent="0.3">
      <c r="A12" s="11"/>
      <c r="B12" s="11"/>
      <c r="C12" s="12"/>
      <c r="D12" s="11"/>
      <c r="E12" s="11"/>
      <c r="F12" s="11"/>
      <c r="G12" s="11"/>
    </row>
    <row r="13" spans="1:11" ht="15.75" x14ac:dyDescent="0.25">
      <c r="A13" s="11"/>
      <c r="B13" s="25"/>
      <c r="C13" s="26"/>
      <c r="D13" s="26"/>
      <c r="E13" s="27"/>
      <c r="F13" s="11"/>
      <c r="G13" s="11"/>
      <c r="H13" s="59"/>
      <c r="I13" s="59"/>
      <c r="J13" s="59"/>
      <c r="K13" s="59"/>
    </row>
    <row r="14" spans="1:11" ht="15.75" x14ac:dyDescent="0.25">
      <c r="A14" s="11"/>
      <c r="B14" s="28"/>
      <c r="C14" s="29" t="s">
        <v>30</v>
      </c>
      <c r="D14" s="38"/>
      <c r="E14" s="31"/>
      <c r="F14" s="11"/>
      <c r="G14" s="11"/>
      <c r="H14" s="59"/>
      <c r="I14" s="59"/>
      <c r="J14" s="59"/>
      <c r="K14" s="59"/>
    </row>
    <row r="15" spans="1:11" ht="15.75" x14ac:dyDescent="0.25">
      <c r="A15" s="11"/>
      <c r="B15" s="28"/>
      <c r="C15" s="29"/>
      <c r="D15" s="29"/>
      <c r="E15" s="31"/>
      <c r="F15" s="11"/>
      <c r="G15" s="11"/>
      <c r="H15" s="59"/>
      <c r="I15" s="59"/>
      <c r="J15" s="59"/>
      <c r="K15" s="59"/>
    </row>
    <row r="16" spans="1:11" ht="15.75" x14ac:dyDescent="0.25">
      <c r="A16" s="11"/>
      <c r="B16" s="28"/>
      <c r="C16" s="29" t="str">
        <f>"Stock price at PS of "&amp;D7</f>
        <v>Stock price at PS of 3.9</v>
      </c>
      <c r="D16" s="30"/>
      <c r="E16" s="31"/>
      <c r="F16" s="11"/>
      <c r="G16" s="11"/>
      <c r="H16" s="59"/>
      <c r="I16" s="59"/>
      <c r="J16" s="59"/>
      <c r="K16" s="59"/>
    </row>
    <row r="17" spans="1:11" ht="15.75" x14ac:dyDescent="0.25">
      <c r="A17" s="11"/>
      <c r="B17" s="28"/>
      <c r="C17" s="29" t="str">
        <f>"Stock price at PS of "&amp;D8</f>
        <v>Stock price at PS of 3.1</v>
      </c>
      <c r="D17" s="30"/>
      <c r="E17" s="31"/>
      <c r="F17" s="11"/>
      <c r="G17" s="11"/>
      <c r="H17" s="59"/>
      <c r="I17" s="59"/>
      <c r="J17" s="59"/>
      <c r="K17" s="59"/>
    </row>
    <row r="18" spans="1:11" ht="16.5" thickBot="1" x14ac:dyDescent="0.3">
      <c r="A18" s="11"/>
      <c r="B18" s="32"/>
      <c r="C18" s="33"/>
      <c r="D18" s="33"/>
      <c r="E18" s="34"/>
      <c r="F18" s="11"/>
      <c r="G18" s="11"/>
      <c r="H18" s="59"/>
      <c r="I18" s="59"/>
      <c r="J18" s="59"/>
      <c r="K18" s="59"/>
    </row>
    <row r="19" spans="1:11" ht="15.75" x14ac:dyDescent="0.25">
      <c r="A19" s="11"/>
      <c r="B19" s="11"/>
      <c r="C19" s="11"/>
      <c r="D19" s="11"/>
      <c r="E19" s="11"/>
      <c r="F19" s="11"/>
      <c r="G19" s="11"/>
    </row>
    <row r="20" spans="1:11" ht="15.75" x14ac:dyDescent="0.25">
      <c r="A20" s="11"/>
      <c r="B20" s="11"/>
      <c r="C20" s="11"/>
      <c r="D20" s="11"/>
      <c r="E20" s="11"/>
      <c r="F20" s="11"/>
      <c r="G20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80EA-5B64-498A-AA8C-FF7C03C974EB}">
  <dimension ref="A2:F6"/>
  <sheetViews>
    <sheetView workbookViewId="0">
      <selection activeCell="G34" sqref="G34"/>
    </sheetView>
  </sheetViews>
  <sheetFormatPr defaultRowHeight="15" x14ac:dyDescent="0.25"/>
  <cols>
    <col min="4" max="4" width="11.5703125" bestFit="1" customWidth="1"/>
  </cols>
  <sheetData>
    <row r="2" spans="1:6" s="47" customFormat="1" ht="15.75" x14ac:dyDescent="0.25">
      <c r="A2" s="47" t="s">
        <v>60</v>
      </c>
    </row>
    <row r="4" spans="1:6" ht="15.75" x14ac:dyDescent="0.25">
      <c r="A4" s="47" t="s">
        <v>48</v>
      </c>
      <c r="B4" s="48"/>
      <c r="C4" s="48"/>
      <c r="D4" s="48"/>
      <c r="E4" s="48"/>
      <c r="F4" s="11"/>
    </row>
    <row r="6" spans="1:6" s="47" customFormat="1" ht="15.75" x14ac:dyDescent="0.25">
      <c r="A6" s="47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40936484"><![CDATA[{"DUMMY^JULIAN(TODAY)":45718,"JNJ^FCA_DIVIDEND_TYPE_R(,-10FY,,\"CASH_DIST\",\"DIVTYPE_TEXT\",,'EXCL_SPEC_DIV')":[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,"Ordinary"],"JNJ^JULIAN(FCA_EVENT_DATE_R(,-10FY,,\"CASH_DIST\",\"RECDATE\",,,'EXCL_SPEC_DIV'))":[45706,45622,45531,45433,45342,45251,45166,45069,44978,44887,44796,44705,44614,44523,44432,44341,44250,44159,44068,43977,43886,43795,43704,43613,43522,43431,43340,43249,43158,43067,42976,42885,42794,42696,42605,42514,42423,42332,42241,42150,42059],"JNJ^JULIAN(FCA_EVENT_DATE_R(,-10FY,,\"CASH_DIST\",\"PAYDATE\",,,'EXCL_SPEC_DIV'))":[45720,45636,45545,45447,45356,45265,45176,45083,44992,44901,44810,44719,44628,44537,44446,44355,44264,44173,44082,43991,43900,43809,43718,43627,43536,43445,43354,43263,43172,43081,42990,42899,42808,42710,42619,42528,42437,42346,42255,42164,42073],"JNJ^FCA_EVENT_AMOUNT_R(,-10FY,,LOCAL,\"CASH_DIST\",\"AMT_DEF\",,UNSPLIT,,'EXCL_SPEC_DIV')":[1.24,1.24,1.24,1.24,1.19,1.19,1.19,1.19,1.13,1.13,1.13,1.13,1.06,1.06,1.06,1.06,1.01,1.01,1.01,1.01,0.95,0.95,0.95,0.95,0.9,0.9,0.9,0.9,0.84,0.84,0.84,0.84,0.8,0.8,0.8,0.8,0.75,0.75,0.75,0.75,0.7],"JNJ^JULIAN(FCA_EVENT_DATE_R(,-10FY,,\"CASH_DIST\",\"EXDATE\",,,'EXCL_SPEC_DIV'))":[45706,45622,45531,45432,45338,45250,45163,45068,44974,44886,44795,44704,44610,44522,44431,44340,44249,44158,44067,43973,43885,43794,43703,43609,43521,43430,43339,43245,43157,43066,42972,42880,42790,42692,42601,42510,42419,42328,42237,42145,42055],"JNJ^CS_EVENT_DATEJ_N(\"ER\",1)":45762,"JNJ^FG_COMPANY_NAME":"Johnson & Johnson"}]]></FdsFormulaCache>
</file>

<file path=customXml/itemProps1.xml><?xml version="1.0" encoding="utf-8"?>
<ds:datastoreItem xmlns:ds="http://schemas.openxmlformats.org/officeDocument/2006/customXml" ds:itemID="{871FC3A9-1612-45FE-A8F0-F3CEC3363A7D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DDM</vt:lpstr>
      <vt:lpstr>Average &amp; Geometric Returns</vt:lpstr>
      <vt:lpstr>Dividend Yield</vt:lpstr>
      <vt:lpstr>EPS and Net Income</vt:lpstr>
      <vt:lpstr>PE Model</vt:lpstr>
      <vt:lpstr>PS Model</vt:lpstr>
      <vt:lpstr>Returns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2025-03-02T15:15:01Z</dcterms:created>
  <dcterms:modified xsi:type="dcterms:W3CDTF">2025-10-14T12:46:46Z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