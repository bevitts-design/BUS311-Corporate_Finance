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445" documentId="8_{D2951AF8-EBB5-4E49-B5A2-512C85001788}" xr6:coauthVersionLast="47" xr6:coauthVersionMax="47" xr10:uidLastSave="{C7E48642-3C3F-47C4-9ADC-962876039DC7}"/>
  <bookViews>
    <workbookView xWindow="-120" yWindow="-120" windowWidth="29040" windowHeight="15720" tabRatio="1000" activeTab="5" xr2:uid="{00000000-000D-0000-FFFF-FFFF00000000}"/>
  </bookViews>
  <sheets>
    <sheet name="Tab 1 – Company Profile" sheetId="1" r:id="rId1"/>
    <sheet name="Tab 2 – Equity Valuation" sheetId="2" r:id="rId2"/>
    <sheet name="Tab 2a-Net Income Calc" sheetId="7" r:id="rId3"/>
    <sheet name="Tab 3 – Ratio Analysis" sheetId="3" r:id="rId4"/>
    <sheet name="Tab 4 – Scenario Analysis" sheetId="4" r:id="rId5"/>
    <sheet name="🔑 Answer Key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5" l="1"/>
  <c r="E25" i="5"/>
  <c r="E26" i="5"/>
  <c r="E27" i="5"/>
  <c r="E28" i="5"/>
  <c r="E23" i="5"/>
  <c r="D24" i="5"/>
  <c r="D25" i="5"/>
  <c r="D26" i="5"/>
  <c r="D27" i="5"/>
  <c r="D28" i="5"/>
  <c r="D23" i="5"/>
  <c r="F23" i="5"/>
  <c r="E15" i="5"/>
  <c r="E16" i="5"/>
  <c r="E17" i="5"/>
  <c r="E18" i="5"/>
  <c r="E19" i="5"/>
  <c r="E20" i="5"/>
  <c r="E14" i="5"/>
  <c r="D20" i="5"/>
  <c r="F28" i="5" s="1"/>
  <c r="D19" i="5"/>
  <c r="D18" i="5"/>
  <c r="F27" i="5" s="1"/>
  <c r="D17" i="5"/>
  <c r="F26" i="5" s="1"/>
  <c r="D16" i="5"/>
  <c r="F25" i="5" s="1"/>
  <c r="D15" i="5"/>
  <c r="F24" i="5" s="1"/>
  <c r="C28" i="5"/>
  <c r="C24" i="5"/>
  <c r="C25" i="5"/>
  <c r="C26" i="5"/>
  <c r="C27" i="5"/>
  <c r="C23" i="5"/>
  <c r="C6" i="7"/>
  <c r="D6" i="7"/>
  <c r="E6" i="7"/>
  <c r="C8" i="7"/>
  <c r="D8" i="7"/>
  <c r="E8" i="7"/>
  <c r="C10" i="7"/>
  <c r="D10" i="7"/>
  <c r="E10" i="7"/>
  <c r="C11" i="7"/>
  <c r="D11" i="7"/>
  <c r="E11" i="7"/>
  <c r="C12" i="7"/>
  <c r="D12" i="7"/>
  <c r="E12" i="7"/>
  <c r="F21" i="4"/>
  <c r="F19" i="4"/>
  <c r="E19" i="4"/>
  <c r="E14" i="7"/>
  <c r="D14" i="7"/>
  <c r="C14" i="7"/>
  <c r="B6" i="7"/>
  <c r="B8" i="7" s="1"/>
  <c r="B10" i="7" s="1"/>
  <c r="D19" i="4"/>
  <c r="D22" i="3"/>
  <c r="D20" i="3"/>
  <c r="F12" i="3"/>
  <c r="E20" i="3"/>
  <c r="F20" i="4" s="1"/>
  <c r="D19" i="3"/>
  <c r="D11" i="3"/>
  <c r="F11" i="3"/>
  <c r="E18" i="3" s="1"/>
  <c r="F18" i="4" s="1"/>
  <c r="E17" i="3"/>
  <c r="F17" i="4" s="1"/>
  <c r="F8" i="3"/>
  <c r="F9" i="3"/>
  <c r="F10" i="3"/>
  <c r="E19" i="3" s="1"/>
  <c r="F7" i="3"/>
  <c r="F6" i="3"/>
  <c r="C18" i="2"/>
  <c r="G13" i="2"/>
  <c r="G12" i="2"/>
  <c r="G11" i="2"/>
  <c r="C17" i="2"/>
  <c r="C12" i="2"/>
  <c r="D17" i="3"/>
  <c r="D16" i="3"/>
  <c r="C29" i="1"/>
  <c r="C31" i="1" s="1"/>
  <c r="C33" i="1" s="1"/>
  <c r="C22" i="1"/>
  <c r="C25" i="1" s="1"/>
  <c r="C8" i="1"/>
  <c r="C10" i="1" s="1"/>
  <c r="E21" i="3" l="1"/>
  <c r="E22" i="3"/>
  <c r="F22" i="3" s="1"/>
  <c r="B11" i="7"/>
  <c r="B12" i="7" s="1"/>
  <c r="F20" i="3"/>
  <c r="E16" i="3"/>
  <c r="F17" i="3"/>
  <c r="C12" i="1"/>
  <c r="D18" i="3"/>
  <c r="F18" i="3" s="1"/>
  <c r="F16" i="3" l="1"/>
  <c r="F16" i="4"/>
  <c r="C13" i="1"/>
  <c r="C14" i="1"/>
  <c r="D21" i="3" l="1"/>
  <c r="F21" i="3" s="1"/>
  <c r="F19" i="3"/>
</calcChain>
</file>

<file path=xl/sharedStrings.xml><?xml version="1.0" encoding="utf-8"?>
<sst xmlns="http://schemas.openxmlformats.org/spreadsheetml/2006/main" count="414" uniqueCount="311">
  <si>
    <t>APEX TECHNOLOGY CORPORATION — COMPANY PROFILE</t>
  </si>
  <si>
    <t>BUS 311 Corporate Finance  |  Chapter 7: Equity Valuation &amp; IPO Analysis  |  Pre-IPO Financial Data (Fiscal Year Ended Dec 31)</t>
  </si>
  <si>
    <t xml:space="preserve">  INCOME STATEMENT  ($ in thousands)</t>
  </si>
  <si>
    <t xml:space="preserve">  KEY ASSUMPTIONS FOR THIS EXERCISE</t>
  </si>
  <si>
    <t>Line Item</t>
  </si>
  <si>
    <t>Amount ($000s)</t>
  </si>
  <si>
    <t>Notes</t>
  </si>
  <si>
    <t>Assumption</t>
  </si>
  <si>
    <t>Value</t>
  </si>
  <si>
    <t>Use In Model</t>
  </si>
  <si>
    <t>Revenue</t>
  </si>
  <si>
    <t>Software &amp; services</t>
  </si>
  <si>
    <t>IPO Proceeds (Total)</t>
  </si>
  <si>
    <t>$400,000</t>
  </si>
  <si>
    <t>Balance sheet cash injection</t>
  </si>
  <si>
    <t>Cost of Goods Sold</t>
  </si>
  <si>
    <t>30% COGS margin</t>
  </si>
  <si>
    <t>Shares Issued in IPO</t>
  </si>
  <si>
    <t>20,000,000</t>
  </si>
  <si>
    <t>New shares at offering price</t>
  </si>
  <si>
    <t>Gross Profit</t>
  </si>
  <si>
    <t>IPO Price Per Share</t>
  </si>
  <si>
    <t>$20.00</t>
  </si>
  <si>
    <t>Calculated from valuation models</t>
  </si>
  <si>
    <t>Operating Expenses (SG&amp;A + R&amp;D)</t>
  </si>
  <si>
    <t>40% of revenue</t>
  </si>
  <si>
    <t>Pre-IPO Shares Outstanding</t>
  </si>
  <si>
    <t>50,000,000</t>
  </si>
  <si>
    <t>Existing equity holders</t>
  </si>
  <si>
    <t>EBIT (Operating Income)</t>
  </si>
  <si>
    <t>Earnings Before Interest &amp; Taxes</t>
  </si>
  <si>
    <t>Post-IPO Total Shares</t>
  </si>
  <si>
    <t>70,000,000</t>
  </si>
  <si>
    <t>50M + 20M new shares</t>
  </si>
  <si>
    <t>Interest Expense</t>
  </si>
  <si>
    <t>On $300M pre-IPO debt @ 12%</t>
  </si>
  <si>
    <t>Required Return on Equity (r)</t>
  </si>
  <si>
    <t>10.5%</t>
  </si>
  <si>
    <t>DDM &amp; Gordon Growth Model</t>
  </si>
  <si>
    <t>Earnings Before Tax (EBT)</t>
  </si>
  <si>
    <t>Dividend Growth Rate (g)</t>
  </si>
  <si>
    <t>4.0%</t>
  </si>
  <si>
    <t>Gordon Growth Model</t>
  </si>
  <si>
    <t>Income Tax (25%)</t>
  </si>
  <si>
    <t>Next Year Dividend (D₁)</t>
  </si>
  <si>
    <t>$0.84</t>
  </si>
  <si>
    <t>DDM numerator</t>
  </si>
  <si>
    <t>Net Income</t>
  </si>
  <si>
    <t>WACC (for FCF Model)</t>
  </si>
  <si>
    <t>9.0%</t>
  </si>
  <si>
    <t>Weighted avg cost of capital</t>
  </si>
  <si>
    <t>FCF Growth Rate (long-run)</t>
  </si>
  <si>
    <t>FCF perpetuity growth</t>
  </si>
  <si>
    <t xml:space="preserve">  BALANCE SHEET  ($ in thousands) — Pre-IPO</t>
  </si>
  <si>
    <t>Projected FCF (Year 1)</t>
  </si>
  <si>
    <t>$52,000</t>
  </si>
  <si>
    <t>Free cash flow to firm ($000s)</t>
  </si>
  <si>
    <t>Balance Sheet Item</t>
  </si>
  <si>
    <t>Net Debt (Pre-IPO)</t>
  </si>
  <si>
    <t>$255,000</t>
  </si>
  <si>
    <t>LT Debt + ST Debt – Cash</t>
  </si>
  <si>
    <t>ASSETS</t>
  </si>
  <si>
    <t>IPO Proceeds to Debt Paydown (Scenario A)</t>
  </si>
  <si>
    <t>50%</t>
  </si>
  <si>
    <t>Tab 4 Scenario Analysis</t>
  </si>
  <si>
    <t>Cash &amp; Equivalents</t>
  </si>
  <si>
    <t>IPO Proceeds to Capex (Scenario B)</t>
  </si>
  <si>
    <t>100%</t>
  </si>
  <si>
    <t>Accounts Receivable</t>
  </si>
  <si>
    <t>Inventory</t>
  </si>
  <si>
    <t>Total Current Assets</t>
  </si>
  <si>
    <t xml:space="preserve">  COLOR CODE LEGEND</t>
  </si>
  <si>
    <t>Property, Plant &amp; Equipment (Net)</t>
  </si>
  <si>
    <t xml:space="preserve">  Blue text on yellow</t>
  </si>
  <si>
    <t>Student input cell — build your formula here</t>
  </si>
  <si>
    <t>Intangible Assets &amp; Goodwill</t>
  </si>
  <si>
    <t xml:space="preserve">  Black text on white</t>
  </si>
  <si>
    <t>Provided data or instructor formula</t>
  </si>
  <si>
    <t>Total Assets</t>
  </si>
  <si>
    <t xml:space="preserve">  Bold black</t>
  </si>
  <si>
    <t>Subtotal or section total</t>
  </si>
  <si>
    <t>LIABILITIES &amp; EQUITY</t>
  </si>
  <si>
    <t>Accounts Payable</t>
  </si>
  <si>
    <t>Short-Term Debt</t>
  </si>
  <si>
    <t>Total Current Liabilities</t>
  </si>
  <si>
    <t>Long-Term Debt</t>
  </si>
  <si>
    <t>$300M total debt</t>
  </si>
  <si>
    <t>Total Liabilities</t>
  </si>
  <si>
    <t>Shareholders' Equity</t>
  </si>
  <si>
    <t>Total Liabilities + Equity</t>
  </si>
  <si>
    <t>APEX TECHNOLOGY CORPORATION — EQUITY VALUATION MODELS</t>
  </si>
  <si>
    <t>Tab 2 of 4  |  Build the DDM and FCF models below. Yellow cells require your formula. Reference Tab 1 for inputs.</t>
  </si>
  <si>
    <t xml:space="preserve">  PART A — DIVIDEND DISCOUNT MODEL (Gordon Growth)</t>
  </si>
  <si>
    <t xml:space="preserve">  PART B — FREE CASH FLOW (FCF) MODEL</t>
  </si>
  <si>
    <t>Input Variable</t>
  </si>
  <si>
    <t>Symbol</t>
  </si>
  <si>
    <t>Value / Formula</t>
  </si>
  <si>
    <t>Expected Dividend — D₁ (next year)</t>
  </si>
  <si>
    <t>D₁</t>
  </si>
  <si>
    <t>Projected FCF — Year 1 ($000s)</t>
  </si>
  <si>
    <t>FCF₁</t>
  </si>
  <si>
    <t>Required Return on Equity — r</t>
  </si>
  <si>
    <t>r</t>
  </si>
  <si>
    <t>WACC (Weighted Avg Cost of Capital)</t>
  </si>
  <si>
    <t>WACC</t>
  </si>
  <si>
    <t>Constant Dividend Growth Rate — g</t>
  </si>
  <si>
    <t>g</t>
  </si>
  <si>
    <t>Long-Run FCF Growth Rate</t>
  </si>
  <si>
    <t>Total Debt (Pre-IPO, $000s)</t>
  </si>
  <si>
    <t>Debt</t>
  </si>
  <si>
    <t>$300,000</t>
  </si>
  <si>
    <t>CALCULATION</t>
  </si>
  <si>
    <t>CALCULATION STEPS</t>
  </si>
  <si>
    <t>Cash</t>
  </si>
  <si>
    <t>Formula:</t>
  </si>
  <si>
    <t>P₀ = D₁ / (r – g)</t>
  </si>
  <si>
    <t>Hint: Use the values from rows 6–8 above</t>
  </si>
  <si>
    <t>Step 1 — Enterprise Value (EV)</t>
  </si>
  <si>
    <t>← Hint: EV = FCF₁ / (WACC – g)</t>
  </si>
  <si>
    <t>DDM Stock Price (P₀)</t>
  </si>
  <si>
    <t>← Enter: =D6/(D7-D8) using row references</t>
  </si>
  <si>
    <t>← Hint: EV – Debt + Cash</t>
  </si>
  <si>
    <t>Step 3 — Price Per Share</t>
  </si>
  <si>
    <t xml:space="preserve">  PART C — VALUATION SUMMARY &amp; COMPARISON</t>
  </si>
  <si>
    <t>Model</t>
  </si>
  <si>
    <t>Estimated IPO Price</t>
  </si>
  <si>
    <t>Vs. Actual Offer ($20.00)</t>
  </si>
  <si>
    <t>Observation / Interpretation</t>
  </si>
  <si>
    <t>DDM (Gordon Growth Model)</t>
  </si>
  <si>
    <t>Reference your C12 result above</t>
  </si>
  <si>
    <t>Write 1 sentence: Is the DDM price above or below the IPO offer? What might explain the difference?</t>
  </si>
  <si>
    <t>FCF Model (Enterprise Value)</t>
  </si>
  <si>
    <t>Reference your G13 FCF price result</t>
  </si>
  <si>
    <t>Write 1 sentence: How does FCF price compare to DDM? Which model do you trust more for a tech firm?</t>
  </si>
  <si>
    <t>APEX TECHNOLOGY CORPORATION — RATIO ANALYSIS</t>
  </si>
  <si>
    <t>Tab 3 of 4  |  Calculate each ratio BEFORE and AFTER the $400M IPO. Build formulas in yellow cells — do not hardcode numbers.</t>
  </si>
  <si>
    <t xml:space="preserve">  POST-IPO BALANCE SHEET ADJUSTMENTS (Scenario: 50% Debt Paydown / 50% Capex)</t>
  </si>
  <si>
    <t>Formula / Logic</t>
  </si>
  <si>
    <t>Pre-IPO ($000s)</t>
  </si>
  <si>
    <t>IPO Impact ($000s)</t>
  </si>
  <si>
    <t>Post-IPO ($000s)</t>
  </si>
  <si>
    <t>+200,000</t>
  </si>
  <si>
    <t>–$60M paydown (part of 50% debt repayment)</t>
  </si>
  <si>
    <t>Paid off with IPO proceeds</t>
  </si>
  <si>
    <t>–$140M paydown ($200M total debt paid)</t>
  </si>
  <si>
    <t>$300M total – $160M remaining</t>
  </si>
  <si>
    <t>PP&amp;E (Net)</t>
  </si>
  <si>
    <t>+$200M capex deployed</t>
  </si>
  <si>
    <t>50% of IPO to new equipment</t>
  </si>
  <si>
    <t>+$400M IPO proceeds (new equity)</t>
  </si>
  <si>
    <t>+400,000</t>
  </si>
  <si>
    <t>New equity raised from public</t>
  </si>
  <si>
    <t xml:space="preserve">  KEY FINANCIAL RATIOS — BEFORE vs. AFTER IPO</t>
  </si>
  <si>
    <t>Ratio</t>
  </si>
  <si>
    <t>Formula</t>
  </si>
  <si>
    <t>Pre-IPO Value</t>
  </si>
  <si>
    <t>Post-IPO Value ▶ BUILD</t>
  </si>
  <si>
    <t>Change</t>
  </si>
  <si>
    <t>Direction</t>
  </si>
  <si>
    <t>Interpretation (1 sentence)</t>
  </si>
  <si>
    <t>Debt-to-Equity Ratio</t>
  </si>
  <si>
    <t>Total Debt / Shareholders' Equity</t>
  </si>
  <si>
    <t>↓ Improved</t>
  </si>
  <si>
    <t>Leverage ↓ when equity rises</t>
  </si>
  <si>
    <t>Current Ratio</t>
  </si>
  <si>
    <t>Current Assets / Current Liabilities</t>
  </si>
  <si>
    <t>↑ Improved</t>
  </si>
  <si>
    <t>Liquidity ↑ as cash increases</t>
  </si>
  <si>
    <t>Interest Coverage</t>
  </si>
  <si>
    <t>EBIT / Interest Expense</t>
  </si>
  <si>
    <t>Coverage ↑ if debt &amp; interest drop</t>
  </si>
  <si>
    <t>Return on Equity (ROE)</t>
  </si>
  <si>
    <t>Net Income / Shareholders' Equity</t>
  </si>
  <si>
    <t>↓ Declines</t>
  </si>
  <si>
    <t>ROE diluted by new equity</t>
  </si>
  <si>
    <t>Debt Ratio</t>
  </si>
  <si>
    <t>Total Liabilities / Total Assets</t>
  </si>
  <si>
    <t>Debt share of assets decreases</t>
  </si>
  <si>
    <t>Return on Assets (ROA)</t>
  </si>
  <si>
    <t>Net Income / Total Assets</t>
  </si>
  <si>
    <t>↔ Mixed</t>
  </si>
  <si>
    <t>ROA changes with asset base</t>
  </si>
  <si>
    <t xml:space="preserve">  REFLECTION QUESTIONS</t>
  </si>
  <si>
    <t>Q1: Which ratio showed the MOST improvement after the IPO? Why does that make sense given how proceeds were used?</t>
  </si>
  <si>
    <t>[Type your answer here]</t>
  </si>
  <si>
    <t>Q2: Why does ROE decline even though net income stays the same? Is this bad for shareholders?</t>
  </si>
  <si>
    <t>Q3: A credit rating agency reviews Apex after the IPO. Which two ratios would they focus on most, and why?</t>
  </si>
  <si>
    <t>APEX TECHNOLOGY CORPORATION — SCENARIO ANALYSIS: USES OF IPO PROCEEDS</t>
  </si>
  <si>
    <t xml:space="preserve">  THREE SCENARIOS — $400M IPO PROCEEDS DEPLOYMENT</t>
  </si>
  <si>
    <t>Metric / Ratio</t>
  </si>
  <si>
    <t>SCENARIO A</t>
  </si>
  <si>
    <t>SCENARIO B</t>
  </si>
  <si>
    <t>SCENARIO C</t>
  </si>
  <si>
    <t>Debt Paydown
(100% to debt retirement)</t>
  </si>
  <si>
    <t>Capital Investment
(100% to new equipment/R&amp;D)</t>
  </si>
  <si>
    <t>Balanced Mix
(50% debt / 50% capex)</t>
  </si>
  <si>
    <t>Debt Retired ($000s)</t>
  </si>
  <si>
    <t>$0</t>
  </si>
  <si>
    <t>$200,000</t>
  </si>
  <si>
    <t>New Capex / Assets Added ($000s)</t>
  </si>
  <si>
    <t>Total Debt Post-IPO ($000s)</t>
  </si>
  <si>
    <t>Annual Interest Saved ($000s)</t>
  </si>
  <si>
    <t>$36,000</t>
  </si>
  <si>
    <t>$18,000</t>
  </si>
  <si>
    <t>New Asset Base Addition ($000s)</t>
  </si>
  <si>
    <t xml:space="preserve">  RATIO IMPACT BY SCENARIO — STUDENT BUILDS ALL YELLOW CELLS</t>
  </si>
  <si>
    <t>Pre-IPO (Baseline)</t>
  </si>
  <si>
    <t>Scenario A: Debt Paydown</t>
  </si>
  <si>
    <t>Scenario B: Full Capex</t>
  </si>
  <si>
    <t>Scenario C: Balanced Mix</t>
  </si>
  <si>
    <t>1.22x</t>
  </si>
  <si>
    <t>1.38x</t>
  </si>
  <si>
    <t>Interest Coverage (EBIT/Int)</t>
  </si>
  <si>
    <t>Debt Ratio (Debt/Assets)</t>
  </si>
  <si>
    <t>61.1%</t>
  </si>
  <si>
    <t>Net Profit Margin</t>
  </si>
  <si>
    <t>HINT: For Scenario A (all debt paydown): Post-IPO Debt = $0, Post-IPO Equity = $645M, Interest Expense = $0. Recalculate each ratio using the new inputs.</t>
  </si>
  <si>
    <t xml:space="preserve">  ANALYSIS — WHICH SCENARIO IS BEST?</t>
  </si>
  <si>
    <t>Evaluation Criteria</t>
  </si>
  <si>
    <t>Best Scenario?</t>
  </si>
  <si>
    <t>Your Reasoning (1 sentence)</t>
  </si>
  <si>
    <t>Best for Short-Term Liquidity</t>
  </si>
  <si>
    <t>A / B / C</t>
  </si>
  <si>
    <t>[Write your reasoning here]</t>
  </si>
  <si>
    <t>Best for Long-Term Growth</t>
  </si>
  <si>
    <t>Best for Credit Rating</t>
  </si>
  <si>
    <t>Best for EPS (Earnings per Share)</t>
  </si>
  <si>
    <t>Best Overall Strategic Fit for a Tech Company</t>
  </si>
  <si>
    <t xml:space="preserve">  TAB 2 — EQUITY VALUATION ANSWERS</t>
  </si>
  <si>
    <t>Item</t>
  </si>
  <si>
    <t>Answer</t>
  </si>
  <si>
    <t>Formula Used</t>
  </si>
  <si>
    <t>Notes for Discussion</t>
  </si>
  <si>
    <t>Formula: D₁/(r–g) = $0.84/(10.5%–4.0%)</t>
  </si>
  <si>
    <t>Below IPO price — DDM is sensitive to dividend size. Apex pays modest dividends for a tech firm.</t>
  </si>
  <si>
    <t>FCF — Enterprise Value</t>
  </si>
  <si>
    <t>$1,040,000K</t>
  </si>
  <si>
    <t>Formula: FCF₁/(WACC–g) = $52,000/(9%–4%)</t>
  </si>
  <si>
    <t>EV = $1.04 billion. Large tech companies often trade at high EV multiples.</t>
  </si>
  <si>
    <t>FCF — Equity Value</t>
  </si>
  <si>
    <t>$785,000K</t>
  </si>
  <si>
    <t>Formula: EV – Net Debt = $1,040,000 – $255,000</t>
  </si>
  <si>
    <t>Net debt pre-IPO = $300M debt – $45M cash = $255M</t>
  </si>
  <si>
    <t>FCF — Price Per Share</t>
  </si>
  <si>
    <t>$11.21</t>
  </si>
  <si>
    <t>Formula: $785,000,000 / 70,000,000 shares</t>
  </si>
  <si>
    <t>Below the $20 offer — suggests IPO was priced at premium to intrinsic value</t>
  </si>
  <si>
    <t>Observation</t>
  </si>
  <si>
    <t>Both models below $20</t>
  </si>
  <si>
    <t>Market pricing includes growth premium</t>
  </si>
  <si>
    <t>Real IPOs price based on comps and growth outlook — not just DCF. Underwriting pressure to price attractively.</t>
  </si>
  <si>
    <t xml:space="preserve">  TAB 3 — RATIO ANALYSIS ANSWERS (50/50 Scenario)</t>
  </si>
  <si>
    <t>Pre-IPO</t>
  </si>
  <si>
    <t>Post-IPO</t>
  </si>
  <si>
    <t>Debt-to-Equity</t>
  </si>
  <si>
    <t>0.16x</t>
  </si>
  <si>
    <t>Leverage drops sharply. $300M→$100M debt; equity $245M→$645M</t>
  </si>
  <si>
    <t>Cash from capex half stays temporarily; current liabilities drop</t>
  </si>
  <si>
    <t>7.36x</t>
  </si>
  <si>
    <t>EBIT unchanged; interest drops from $36K to $18K after paydown</t>
  </si>
  <si>
    <t>Return on Equity</t>
  </si>
  <si>
    <t>Net income same; equity base now $645M vs $245M — dilution is dramatic</t>
  </si>
  <si>
    <t>Massive improvement in solvency — assets grow, debt shrinks</t>
  </si>
  <si>
    <t>ROA</t>
  </si>
  <si>
    <t>Asset base grows $200M but income unchanged — dilution to assets</t>
  </si>
  <si>
    <t xml:space="preserve">  TAB 4 — SCENARIO ANALYSIS ANSWERS</t>
  </si>
  <si>
    <t>Scenario A (All Debt)</t>
  </si>
  <si>
    <t>Scenario B (All Capex)</t>
  </si>
  <si>
    <t>Scenario C (Balanced)</t>
  </si>
  <si>
    <t>0.00x</t>
  </si>
  <si>
    <t>0.47x</t>
  </si>
  <si>
    <t>2.07x</t>
  </si>
  <si>
    <t>N/A (no debt)</t>
  </si>
  <si>
    <t>ROE</t>
  </si>
  <si>
    <t>11.6%</t>
  </si>
  <si>
    <t>37.4%</t>
  </si>
  <si>
    <t>*Scenario A: All $300M debt retired → interest expense = $0. Net Income rises by $27M (after-tax interest saving: $36M × 0.75 = $27M). Net margin improves from 13.5% to 17.6%.</t>
  </si>
  <si>
    <t xml:space="preserve">  TAB 4 — BEST SCENARIO ANSWERS</t>
  </si>
  <si>
    <t>Best Scenario</t>
  </si>
  <si>
    <t>Instructor Notes</t>
  </si>
  <si>
    <t>A</t>
  </si>
  <si>
    <t>All debt retired; no debt service; cash remains strong</t>
  </si>
  <si>
    <t>B</t>
  </si>
  <si>
    <t>Full capex investment builds asset base for future revenue growth</t>
  </si>
  <si>
    <t>Debt-to-equity drops to 0; coverage ratio dramatically improves</t>
  </si>
  <si>
    <t>Best for EPS</t>
  </si>
  <si>
    <t>Eliminating interest saves $27M after-tax, directly boosting EPS</t>
  </si>
  <si>
    <t>Best Strategic Fit — Tech Company</t>
  </si>
  <si>
    <t>C or B</t>
  </si>
  <si>
    <t>Tech firms need capex/R&amp;D; some leverage reduction + reinvestment balances growth vs. risk</t>
  </si>
  <si>
    <t>Pre-IPO book value (Assets 630M – Liabilities 385M)</t>
  </si>
  <si>
    <t>Step 2 — Equity Value (K)</t>
  </si>
  <si>
    <t>← Hint: Equity Value / Shares Outstanding Post IPO</t>
  </si>
  <si>
    <t>On $300M pre-IPO debt @ 12%; $100M total Debt at 12%</t>
  </si>
  <si>
    <t>No Change in Cash $200M to Debt; $200mm to PPE</t>
  </si>
  <si>
    <t>NI inc by $18,000 after tax ($24*(1-tax rate)</t>
  </si>
  <si>
    <t xml:space="preserve">Debt Ratio </t>
  </si>
  <si>
    <t>7.08x</t>
  </si>
  <si>
    <t>19.3%</t>
  </si>
  <si>
    <t>Net Income / Revenue</t>
  </si>
  <si>
    <t>NI ↑ if debt &amp; interest drop</t>
  </si>
  <si>
    <t>Tab 4 of 4  |  Apex raised $400M in its IPO. Analyze three different strategies for deploying the proceeds and their ratio impact.- Scnario C already done on Ratio Analysis Page</t>
  </si>
  <si>
    <t>22.5%</t>
  </si>
  <si>
    <t>Pre</t>
  </si>
  <si>
    <t>Scenario A</t>
  </si>
  <si>
    <t>Scenario B</t>
  </si>
  <si>
    <t>Scenario C/ Post</t>
  </si>
  <si>
    <t>0.26x</t>
  </si>
  <si>
    <t>What's happening?</t>
  </si>
  <si>
    <t xml:space="preserve">🔑 APEX ANSWER KEY </t>
  </si>
  <si>
    <t xml:space="preserve"> Apex Technology Corp. IPO Valuation &amp; Ratio Analysis — Complete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</si>
</sst>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;\(#,##0\);\-"/>
    <numFmt numFmtId="165" formatCode="\$#,##0.00"/>
    <numFmt numFmtId="166" formatCode="0.00\x"/>
    <numFmt numFmtId="167" formatCode="0.0%"/>
    <numFmt numFmtId="168" formatCode="0.000"/>
    <numFmt numFmtId="169" formatCode="&quot;$&quot;#,##0.00"/>
    <numFmt numFmtId="170" formatCode="&quot;$&quot;#,##0"/>
  </numFmts>
  <fonts count="3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C9A84C"/>
      <name val="Georgia"/>
      <family val="1"/>
    </font>
    <font>
      <i/>
      <sz val="11"/>
      <color rgb="FF1E2761"/>
      <name val="Calibri"/>
      <family val="2"/>
    </font>
    <font>
      <b/>
      <sz val="13"/>
      <color rgb="FFC9A84C"/>
      <name val="Georgia"/>
      <family val="1"/>
    </font>
    <font>
      <b/>
      <sz val="11"/>
      <color rgb="FFFFFFFF"/>
      <name val="Calibri"/>
      <family val="2"/>
    </font>
    <font>
      <sz val="11"/>
      <color rgb="FF334155"/>
      <name val="Calibri"/>
      <family val="2"/>
    </font>
    <font>
      <sz val="11"/>
      <color rgb="FF000000"/>
      <name val="Calibri"/>
      <family val="2"/>
    </font>
    <font>
      <i/>
      <sz val="11"/>
      <color rgb="FF64748B"/>
      <name val="Calibri"/>
      <family val="2"/>
    </font>
    <font>
      <b/>
      <sz val="11"/>
      <color rgb="FF1E2761"/>
      <name val="Calibri"/>
      <family val="2"/>
    </font>
    <font>
      <b/>
      <sz val="11"/>
      <color rgb="FF334155"/>
      <name val="Calibri"/>
      <family val="2"/>
    </font>
    <font>
      <b/>
      <sz val="11"/>
      <color rgb="FF000000"/>
      <name val="Calibri"/>
      <family val="2"/>
    </font>
    <font>
      <sz val="10"/>
      <color rgb="FF0000FF"/>
      <name val="Calibri"/>
      <family val="2"/>
    </font>
    <font>
      <i/>
      <sz val="11"/>
      <color rgb="FF475569"/>
      <name val="Calibri"/>
      <family val="2"/>
    </font>
    <font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sz val="13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991B1B"/>
      <name val="Calibri"/>
      <family val="2"/>
    </font>
    <font>
      <i/>
      <sz val="10"/>
      <color rgb="FF0000FF"/>
      <name val="Calibri"/>
      <family val="2"/>
    </font>
    <font>
      <b/>
      <sz val="11"/>
      <color rgb="FF166534"/>
      <name val="Calibri"/>
      <family val="2"/>
    </font>
    <font>
      <b/>
      <sz val="15"/>
      <color rgb="FFC9A84C"/>
      <name val="Georgia"/>
      <family val="1"/>
    </font>
    <font>
      <i/>
      <sz val="10"/>
      <color rgb="FFFFFFFF"/>
      <name val="Calibri"/>
      <family val="2"/>
    </font>
    <font>
      <i/>
      <sz val="10"/>
      <color rgb="FF92400E"/>
      <name val="Calibri"/>
      <family val="2"/>
    </font>
    <font>
      <b/>
      <sz val="16"/>
      <color rgb="FFFFFFFF"/>
      <name val="Georgia"/>
      <family val="1"/>
    </font>
    <font>
      <i/>
      <sz val="11"/>
      <color rgb="FF991B1B"/>
      <name val="Calibri"/>
      <family val="2"/>
    </font>
    <font>
      <i/>
      <sz val="11"/>
      <color rgb="FF334155"/>
      <name val="Calibri"/>
      <family val="2"/>
    </font>
    <font>
      <sz val="10"/>
      <color rgb="FF475569"/>
      <name val="Calibri"/>
      <family val="2"/>
    </font>
    <font>
      <sz val="11"/>
      <color rgb="FF1E2761"/>
      <name val="Calibri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334155"/>
      </patternFill>
    </fill>
    <fill>
      <patternFill patternType="solid">
        <fgColor rgb="FFCADCFC"/>
        <bgColor rgb="FF99CCFF"/>
      </patternFill>
    </fill>
    <fill>
      <patternFill patternType="solid">
        <fgColor rgb="FFF8FAFF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9E6"/>
        <bgColor rgb="FFFFFBEB"/>
      </patternFill>
    </fill>
    <fill>
      <patternFill patternType="solid">
        <fgColor rgb="FFFAFAFA"/>
        <bgColor rgb="FFF8FAFF"/>
      </patternFill>
    </fill>
    <fill>
      <patternFill patternType="solid">
        <fgColor rgb="FFC9A84C"/>
        <bgColor rgb="FFFF9900"/>
      </patternFill>
    </fill>
    <fill>
      <patternFill patternType="solid">
        <fgColor rgb="FF166534"/>
        <bgColor rgb="FF334155"/>
      </patternFill>
    </fill>
    <fill>
      <patternFill patternType="solid">
        <fgColor rgb="FF1D4ED8"/>
        <bgColor rgb="FF3366FF"/>
      </patternFill>
    </fill>
    <fill>
      <patternFill patternType="solid">
        <fgColor rgb="FF6D2E46"/>
        <bgColor rgb="FF993366"/>
      </patternFill>
    </fill>
    <fill>
      <patternFill patternType="solid">
        <fgColor rgb="FFFFFBEB"/>
        <bgColor rgb="FFFFF9E6"/>
      </patternFill>
    </fill>
    <fill>
      <patternFill patternType="solid">
        <fgColor rgb="FF991B1B"/>
        <bgColor rgb="FF800000"/>
      </patternFill>
    </fill>
    <fill>
      <patternFill patternType="solid">
        <fgColor rgb="FFFEF2F2"/>
        <bgColor rgb="FFFFF9E6"/>
      </patternFill>
    </fill>
  </fills>
  <borders count="7">
    <border>
      <left/>
      <right/>
      <top/>
      <bottom/>
      <diagonal/>
    </border>
    <border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  <border>
      <left style="thin">
        <color rgb="FFCADCFC"/>
      </left>
      <right/>
      <top style="thin">
        <color rgb="FFCADCFC"/>
      </top>
      <bottom style="thin">
        <color rgb="FFCADCF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DCFC"/>
      </left>
      <right style="thin">
        <color rgb="FFCADCFC"/>
      </right>
      <top style="thin">
        <color rgb="FFCADCFC"/>
      </top>
      <bottom/>
      <diagonal/>
    </border>
    <border>
      <left style="thin">
        <color rgb="FFCADCFC"/>
      </left>
      <right style="thin">
        <color rgb="FFCADCFC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140">
    <xf numFmtId="0" fontId="0" fillId="0" borderId="0" xfId="0"/>
    <xf numFmtId="0" fontId="1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8" fillId="3" borderId="1" xfId="0" applyFont="1" applyFill="1" applyBorder="1" applyAlignment="1">
      <alignment horizontal="left" vertical="center"/>
    </xf>
    <xf numFmtId="0" fontId="12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164" fontId="11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9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3" fontId="15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166" fontId="17" fillId="6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2" borderId="0" xfId="0" applyFill="1"/>
    <xf numFmtId="0" fontId="22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 wrapText="1"/>
    </xf>
    <xf numFmtId="1" fontId="15" fillId="6" borderId="1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right" vertical="center"/>
    </xf>
    <xf numFmtId="0" fontId="15" fillId="6" borderId="0" xfId="0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167" fontId="1" fillId="0" borderId="1" xfId="2" applyNumberFormat="1" applyBorder="1" applyAlignment="1">
      <alignment horizontal="center" vertical="center"/>
    </xf>
    <xf numFmtId="10" fontId="1" fillId="0" borderId="1" xfId="2" applyNumberFormat="1" applyBorder="1" applyAlignment="1">
      <alignment horizontal="center" vertical="center"/>
    </xf>
    <xf numFmtId="168" fontId="15" fillId="6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67" fontId="1" fillId="0" borderId="0" xfId="2" applyNumberFormat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7" fontId="1" fillId="0" borderId="0" xfId="2" applyNumberFormat="1"/>
    <xf numFmtId="44" fontId="1" fillId="0" borderId="0" xfId="1"/>
    <xf numFmtId="167" fontId="11" fillId="5" borderId="1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70" fontId="7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70" fontId="7" fillId="5" borderId="3" xfId="0" applyNumberFormat="1" applyFont="1" applyFill="1" applyBorder="1" applyAlignment="1">
      <alignment horizontal="center" vertical="center"/>
    </xf>
    <xf numFmtId="169" fontId="7" fillId="5" borderId="3" xfId="0" applyNumberFormat="1" applyFont="1" applyFill="1" applyBorder="1" applyAlignment="1">
      <alignment horizontal="center" vertical="center"/>
    </xf>
    <xf numFmtId="169" fontId="7" fillId="4" borderId="3" xfId="0" applyNumberFormat="1" applyFont="1" applyFill="1" applyBorder="1" applyAlignment="1">
      <alignment horizontal="center" vertical="center"/>
    </xf>
    <xf numFmtId="170" fontId="1" fillId="0" borderId="3" xfId="1" applyNumberFormat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left" vertical="center"/>
    </xf>
    <xf numFmtId="164" fontId="11" fillId="4" borderId="5" xfId="0" applyNumberFormat="1" applyFont="1" applyFill="1" applyBorder="1" applyAlignment="1">
      <alignment horizontal="right" vertical="center"/>
    </xf>
    <xf numFmtId="164" fontId="0" fillId="0" borderId="6" xfId="0" applyNumberFormat="1" applyBorder="1"/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23" fillId="1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0" fillId="0" borderId="0" xfId="0"/>
    <xf numFmtId="0" fontId="27" fillId="4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4" fillId="13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>
      <alignment horizontal="center" vertical="center"/>
    </xf>
    <xf numFmtId="10" fontId="20" fillId="4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10" fontId="29" fillId="0" borderId="1" xfId="2" applyNumberFormat="1" applyFont="1" applyBorder="1" applyAlignment="1">
      <alignment horizontal="center" vertical="center"/>
    </xf>
    <xf numFmtId="2" fontId="20" fillId="5" borderId="1" xfId="0" applyNumberFormat="1" applyFont="1" applyFill="1" applyBorder="1" applyAlignment="1">
      <alignment horizontal="center" vertical="center"/>
    </xf>
    <xf numFmtId="2" fontId="18" fillId="4" borderId="1" xfId="0" applyNumberFormat="1" applyFont="1" applyFill="1" applyBorder="1" applyAlignment="1">
      <alignment horizontal="center" vertical="center"/>
    </xf>
    <xf numFmtId="167" fontId="29" fillId="0" borderId="1" xfId="2" applyNumberFormat="1" applyFont="1" applyBorder="1" applyAlignment="1">
      <alignment horizontal="center" vertical="center"/>
    </xf>
    <xf numFmtId="2" fontId="20" fillId="4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6D2E46"/>
      <rgbColor rgb="FFFFF9E6"/>
      <rgbColor rgb="FFF8FAFF"/>
      <rgbColor rgb="FF660066"/>
      <rgbColor rgb="FFFF8080"/>
      <rgbColor rgb="FF1D4ED8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FEF2F2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C9A84C"/>
      <rgbColor rgb="FF1E2761"/>
      <rgbColor rgb="FF339966"/>
      <rgbColor rgb="FF003300"/>
      <rgbColor rgb="FF333300"/>
      <rgbColor rgb="FF92400E"/>
      <rgbColor rgb="FF993366"/>
      <rgbColor rgb="FF47556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B1:H3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8.7109375" defaultRowHeight="15" x14ac:dyDescent="0.25"/>
  <cols>
    <col min="1" max="1" width="2" customWidth="1"/>
    <col min="2" max="2" width="32" customWidth="1"/>
    <col min="3" max="4" width="18" customWidth="1"/>
    <col min="5" max="5" width="3" customWidth="1"/>
    <col min="6" max="6" width="39.140625" customWidth="1"/>
    <col min="7" max="7" width="18" customWidth="1"/>
    <col min="8" max="8" width="38" customWidth="1"/>
  </cols>
  <sheetData>
    <row r="1" spans="2:8" ht="36" customHeight="1" x14ac:dyDescent="0.25">
      <c r="B1" s="107" t="s">
        <v>0</v>
      </c>
      <c r="C1" s="107"/>
      <c r="D1" s="107"/>
      <c r="E1" s="107"/>
      <c r="F1" s="107"/>
      <c r="G1" s="107"/>
      <c r="H1" s="107"/>
    </row>
    <row r="2" spans="2:8" ht="18" customHeight="1" x14ac:dyDescent="0.25">
      <c r="B2" s="108" t="s">
        <v>1</v>
      </c>
      <c r="C2" s="108"/>
      <c r="D2" s="108"/>
      <c r="E2" s="108"/>
      <c r="F2" s="108"/>
      <c r="G2" s="108"/>
      <c r="H2" s="108"/>
    </row>
    <row r="3" spans="2:8" ht="9.75" customHeight="1" x14ac:dyDescent="0.25"/>
    <row r="4" spans="2:8" ht="21.75" customHeight="1" x14ac:dyDescent="0.25">
      <c r="B4" s="109" t="s">
        <v>2</v>
      </c>
      <c r="C4" s="109"/>
      <c r="D4" s="109"/>
      <c r="F4" s="109" t="s">
        <v>3</v>
      </c>
      <c r="G4" s="109"/>
      <c r="H4" s="109"/>
    </row>
    <row r="5" spans="2:8" x14ac:dyDescent="0.25">
      <c r="B5" s="9" t="s">
        <v>4</v>
      </c>
      <c r="C5" s="9" t="s">
        <v>5</v>
      </c>
      <c r="D5" s="9" t="s">
        <v>6</v>
      </c>
      <c r="F5" s="9" t="s">
        <v>7</v>
      </c>
      <c r="G5" s="9" t="s">
        <v>8</v>
      </c>
      <c r="H5" s="9" t="s">
        <v>9</v>
      </c>
    </row>
    <row r="6" spans="2:8" ht="16.5" customHeight="1" x14ac:dyDescent="0.25">
      <c r="B6" s="6" t="s">
        <v>10</v>
      </c>
      <c r="C6" s="10">
        <v>850000</v>
      </c>
      <c r="D6" s="4" t="s">
        <v>11</v>
      </c>
      <c r="F6" s="6" t="s">
        <v>12</v>
      </c>
      <c r="G6" s="11" t="s">
        <v>13</v>
      </c>
      <c r="H6" s="4" t="s">
        <v>14</v>
      </c>
    </row>
    <row r="7" spans="2:8" ht="16.5" customHeight="1" x14ac:dyDescent="0.25">
      <c r="B7" s="5" t="s">
        <v>15</v>
      </c>
      <c r="C7" s="12">
        <v>255000</v>
      </c>
      <c r="D7" s="3" t="s">
        <v>16</v>
      </c>
      <c r="F7" s="5" t="s">
        <v>17</v>
      </c>
      <c r="G7" s="13" t="s">
        <v>18</v>
      </c>
      <c r="H7" s="3" t="s">
        <v>19</v>
      </c>
    </row>
    <row r="8" spans="2:8" ht="16.5" customHeight="1" x14ac:dyDescent="0.25">
      <c r="B8" s="14" t="s">
        <v>20</v>
      </c>
      <c r="C8" s="15">
        <f>C6-C7</f>
        <v>595000</v>
      </c>
      <c r="D8" s="4"/>
      <c r="F8" s="6" t="s">
        <v>21</v>
      </c>
      <c r="G8" s="11" t="s">
        <v>22</v>
      </c>
      <c r="H8" s="4" t="s">
        <v>23</v>
      </c>
    </row>
    <row r="9" spans="2:8" ht="16.5" customHeight="1" x14ac:dyDescent="0.25">
      <c r="B9" s="5" t="s">
        <v>24</v>
      </c>
      <c r="C9" s="12">
        <v>340000</v>
      </c>
      <c r="D9" s="3" t="s">
        <v>25</v>
      </c>
      <c r="F9" s="5" t="s">
        <v>26</v>
      </c>
      <c r="G9" s="13" t="s">
        <v>27</v>
      </c>
      <c r="H9" s="3" t="s">
        <v>28</v>
      </c>
    </row>
    <row r="10" spans="2:8" ht="16.5" customHeight="1" x14ac:dyDescent="0.25">
      <c r="B10" s="14" t="s">
        <v>29</v>
      </c>
      <c r="C10" s="15">
        <f>C8-C9</f>
        <v>255000</v>
      </c>
      <c r="D10" s="4" t="s">
        <v>30</v>
      </c>
      <c r="F10" s="6" t="s">
        <v>31</v>
      </c>
      <c r="G10" s="11" t="s">
        <v>32</v>
      </c>
      <c r="H10" s="4" t="s">
        <v>33</v>
      </c>
    </row>
    <row r="11" spans="2:8" ht="16.5" customHeight="1" x14ac:dyDescent="0.25">
      <c r="B11" s="5" t="s">
        <v>34</v>
      </c>
      <c r="C11" s="12">
        <v>36000</v>
      </c>
      <c r="D11" s="3" t="s">
        <v>35</v>
      </c>
      <c r="F11" s="5" t="s">
        <v>36</v>
      </c>
      <c r="G11" s="13" t="s">
        <v>37</v>
      </c>
      <c r="H11" s="3" t="s">
        <v>38</v>
      </c>
    </row>
    <row r="12" spans="2:8" ht="16.5" customHeight="1" x14ac:dyDescent="0.25">
      <c r="B12" s="14" t="s">
        <v>39</v>
      </c>
      <c r="C12" s="10">
        <f>C10-C11</f>
        <v>219000</v>
      </c>
      <c r="D12" s="4"/>
      <c r="F12" s="6" t="s">
        <v>40</v>
      </c>
      <c r="G12" s="11" t="s">
        <v>41</v>
      </c>
      <c r="H12" s="4" t="s">
        <v>42</v>
      </c>
    </row>
    <row r="13" spans="2:8" ht="16.5" customHeight="1" x14ac:dyDescent="0.25">
      <c r="B13" s="5" t="s">
        <v>43</v>
      </c>
      <c r="C13" s="12">
        <f>C12*0.25</f>
        <v>54750</v>
      </c>
      <c r="D13" s="3"/>
      <c r="F13" s="5" t="s">
        <v>44</v>
      </c>
      <c r="G13" s="13" t="s">
        <v>45</v>
      </c>
      <c r="H13" s="3" t="s">
        <v>46</v>
      </c>
    </row>
    <row r="14" spans="2:8" ht="16.5" customHeight="1" x14ac:dyDescent="0.25">
      <c r="B14" s="14" t="s">
        <v>47</v>
      </c>
      <c r="C14" s="15">
        <f>C12-C13</f>
        <v>164250</v>
      </c>
      <c r="D14" s="4"/>
      <c r="F14" s="6" t="s">
        <v>48</v>
      </c>
      <c r="G14" s="11" t="s">
        <v>49</v>
      </c>
      <c r="H14" s="4" t="s">
        <v>50</v>
      </c>
    </row>
    <row r="15" spans="2:8" ht="16.5" customHeight="1" x14ac:dyDescent="0.25">
      <c r="F15" s="5" t="s">
        <v>51</v>
      </c>
      <c r="G15" s="13" t="s">
        <v>41</v>
      </c>
      <c r="H15" s="3" t="s">
        <v>52</v>
      </c>
    </row>
    <row r="16" spans="2:8" ht="16.5" customHeight="1" x14ac:dyDescent="0.25">
      <c r="B16" s="109" t="s">
        <v>53</v>
      </c>
      <c r="C16" s="109"/>
      <c r="D16" s="109"/>
      <c r="F16" s="6" t="s">
        <v>54</v>
      </c>
      <c r="G16" s="11" t="s">
        <v>55</v>
      </c>
      <c r="H16" s="4" t="s">
        <v>56</v>
      </c>
    </row>
    <row r="17" spans="2:8" ht="16.5" customHeight="1" x14ac:dyDescent="0.25">
      <c r="B17" s="9" t="s">
        <v>57</v>
      </c>
      <c r="C17" s="9" t="s">
        <v>5</v>
      </c>
      <c r="D17" s="9" t="s">
        <v>6</v>
      </c>
      <c r="F17" s="5" t="s">
        <v>58</v>
      </c>
      <c r="G17" s="13" t="s">
        <v>59</v>
      </c>
      <c r="H17" s="3" t="s">
        <v>60</v>
      </c>
    </row>
    <row r="18" spans="2:8" ht="16.5" customHeight="1" x14ac:dyDescent="0.25">
      <c r="B18" s="16" t="s">
        <v>61</v>
      </c>
      <c r="C18" s="17"/>
      <c r="D18" s="18"/>
      <c r="F18" s="6" t="s">
        <v>62</v>
      </c>
      <c r="G18" s="11" t="s">
        <v>63</v>
      </c>
      <c r="H18" s="4" t="s">
        <v>64</v>
      </c>
    </row>
    <row r="19" spans="2:8" ht="16.5" customHeight="1" x14ac:dyDescent="0.25">
      <c r="B19" s="5" t="s">
        <v>65</v>
      </c>
      <c r="C19" s="12">
        <v>45000</v>
      </c>
      <c r="D19" s="3"/>
      <c r="F19" s="5" t="s">
        <v>66</v>
      </c>
      <c r="G19" s="13" t="s">
        <v>67</v>
      </c>
      <c r="H19" s="3" t="s">
        <v>64</v>
      </c>
    </row>
    <row r="20" spans="2:8" ht="16.5" customHeight="1" x14ac:dyDescent="0.25">
      <c r="B20" s="6" t="s">
        <v>68</v>
      </c>
      <c r="C20" s="10">
        <v>120000</v>
      </c>
      <c r="D20" s="4"/>
    </row>
    <row r="21" spans="2:8" ht="19.5" customHeight="1" x14ac:dyDescent="0.25">
      <c r="B21" s="5" t="s">
        <v>69</v>
      </c>
      <c r="C21" s="12">
        <v>35000</v>
      </c>
      <c r="D21" s="3"/>
    </row>
    <row r="22" spans="2:8" ht="21.75" customHeight="1" x14ac:dyDescent="0.25">
      <c r="B22" s="14" t="s">
        <v>70</v>
      </c>
      <c r="C22" s="15">
        <f>C19+C20+C21</f>
        <v>200000</v>
      </c>
      <c r="D22" s="4"/>
      <c r="F22" s="106" t="s">
        <v>71</v>
      </c>
      <c r="G22" s="106"/>
      <c r="H22" s="106"/>
    </row>
    <row r="23" spans="2:8" ht="15.75" customHeight="1" x14ac:dyDescent="0.25">
      <c r="B23" s="5" t="s">
        <v>72</v>
      </c>
      <c r="C23" s="12">
        <v>280000</v>
      </c>
      <c r="D23" s="3"/>
      <c r="F23" s="19" t="s">
        <v>73</v>
      </c>
      <c r="G23" s="20"/>
      <c r="H23" s="21" t="s">
        <v>74</v>
      </c>
    </row>
    <row r="24" spans="2:8" ht="15.75" customHeight="1" x14ac:dyDescent="0.25">
      <c r="B24" s="6" t="s">
        <v>75</v>
      </c>
      <c r="C24" s="10">
        <v>150000</v>
      </c>
      <c r="D24" s="4"/>
      <c r="F24" s="22" t="s">
        <v>76</v>
      </c>
      <c r="G24" s="23"/>
      <c r="H24" s="21" t="s">
        <v>77</v>
      </c>
    </row>
    <row r="25" spans="2:8" ht="15.75" customHeight="1" x14ac:dyDescent="0.25">
      <c r="B25" s="24" t="s">
        <v>78</v>
      </c>
      <c r="C25" s="25">
        <f>C22+C23+C24</f>
        <v>630000</v>
      </c>
      <c r="D25" s="3"/>
      <c r="F25" s="22" t="s">
        <v>79</v>
      </c>
      <c r="G25" s="23"/>
      <c r="H25" s="21" t="s">
        <v>80</v>
      </c>
    </row>
    <row r="26" spans="2:8" ht="16.5" customHeight="1" x14ac:dyDescent="0.25">
      <c r="B26" s="16" t="s">
        <v>81</v>
      </c>
      <c r="C26" s="17"/>
      <c r="D26" s="18"/>
    </row>
    <row r="27" spans="2:8" ht="16.5" customHeight="1" x14ac:dyDescent="0.25">
      <c r="B27" s="5" t="s">
        <v>82</v>
      </c>
      <c r="C27" s="12">
        <v>85000</v>
      </c>
      <c r="D27" s="3"/>
    </row>
    <row r="28" spans="2:8" ht="16.5" customHeight="1" x14ac:dyDescent="0.25">
      <c r="B28" s="6" t="s">
        <v>83</v>
      </c>
      <c r="C28" s="10">
        <v>60000</v>
      </c>
      <c r="D28" s="4"/>
    </row>
    <row r="29" spans="2:8" ht="16.5" customHeight="1" x14ac:dyDescent="0.25">
      <c r="B29" s="24" t="s">
        <v>84</v>
      </c>
      <c r="C29" s="25">
        <f>C27+C28</f>
        <v>145000</v>
      </c>
      <c r="D29" s="3"/>
    </row>
    <row r="30" spans="2:8" ht="16.5" customHeight="1" x14ac:dyDescent="0.25">
      <c r="B30" s="6" t="s">
        <v>85</v>
      </c>
      <c r="C30" s="10">
        <v>240000</v>
      </c>
      <c r="D30" s="4" t="s">
        <v>86</v>
      </c>
    </row>
    <row r="31" spans="2:8" ht="16.5" customHeight="1" x14ac:dyDescent="0.25">
      <c r="B31" s="24" t="s">
        <v>87</v>
      </c>
      <c r="C31" s="25">
        <f>C29+C30</f>
        <v>385000</v>
      </c>
      <c r="D31" s="3"/>
    </row>
    <row r="32" spans="2:8" ht="16.5" customHeight="1" x14ac:dyDescent="0.25">
      <c r="B32" s="6" t="s">
        <v>88</v>
      </c>
      <c r="C32" s="10">
        <v>245000</v>
      </c>
      <c r="D32" s="4" t="s">
        <v>290</v>
      </c>
    </row>
    <row r="33" spans="2:4" ht="16.5" customHeight="1" x14ac:dyDescent="0.25">
      <c r="B33" s="26" t="s">
        <v>89</v>
      </c>
      <c r="C33" s="27">
        <f>C31+C32</f>
        <v>630000</v>
      </c>
      <c r="D33" s="28"/>
    </row>
  </sheetData>
  <mergeCells count="6">
    <mergeCell ref="F22:H22"/>
    <mergeCell ref="B1:H1"/>
    <mergeCell ref="B2:H2"/>
    <mergeCell ref="B4:D4"/>
    <mergeCell ref="F4:H4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B1:H1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8.7109375" defaultRowHeight="15" x14ac:dyDescent="0.25"/>
  <cols>
    <col min="1" max="1" width="2" customWidth="1"/>
    <col min="2" max="2" width="36" customWidth="1"/>
    <col min="3" max="3" width="29.7109375" customWidth="1"/>
    <col min="4" max="4" width="43.28515625" customWidth="1"/>
    <col min="5" max="5" width="3" customWidth="1"/>
    <col min="6" max="6" width="36" customWidth="1"/>
    <col min="7" max="7" width="20" customWidth="1"/>
    <col min="8" max="8" width="24" customWidth="1"/>
  </cols>
  <sheetData>
    <row r="1" spans="2:8" ht="36" customHeight="1" x14ac:dyDescent="0.25">
      <c r="B1" s="107" t="s">
        <v>90</v>
      </c>
      <c r="C1" s="107"/>
      <c r="D1" s="107"/>
      <c r="E1" s="107"/>
      <c r="F1" s="107"/>
      <c r="G1" s="107"/>
      <c r="H1" s="107"/>
    </row>
    <row r="2" spans="2:8" ht="18" customHeight="1" x14ac:dyDescent="0.25">
      <c r="B2" s="108" t="s">
        <v>91</v>
      </c>
      <c r="C2" s="108"/>
      <c r="D2" s="108"/>
      <c r="E2" s="108"/>
      <c r="F2" s="108"/>
      <c r="G2" s="108"/>
      <c r="H2" s="108"/>
    </row>
    <row r="3" spans="2:8" ht="9.75" customHeight="1" x14ac:dyDescent="0.25"/>
    <row r="4" spans="2:8" ht="21.75" customHeight="1" x14ac:dyDescent="0.25">
      <c r="B4" s="109" t="s">
        <v>92</v>
      </c>
      <c r="C4" s="109"/>
      <c r="D4" s="109"/>
      <c r="F4" s="109" t="s">
        <v>93</v>
      </c>
      <c r="G4" s="109"/>
      <c r="H4" s="109"/>
    </row>
    <row r="5" spans="2:8" x14ac:dyDescent="0.25">
      <c r="B5" s="7" t="s">
        <v>94</v>
      </c>
      <c r="C5" s="9" t="s">
        <v>95</v>
      </c>
      <c r="D5" s="9" t="s">
        <v>96</v>
      </c>
      <c r="F5" s="7" t="s">
        <v>94</v>
      </c>
      <c r="G5" s="9" t="s">
        <v>95</v>
      </c>
      <c r="H5" s="9" t="s">
        <v>96</v>
      </c>
    </row>
    <row r="6" spans="2:8" ht="16.5" customHeight="1" x14ac:dyDescent="0.25">
      <c r="B6" s="6" t="s">
        <v>97</v>
      </c>
      <c r="C6" s="11" t="s">
        <v>98</v>
      </c>
      <c r="D6" s="29" t="s">
        <v>45</v>
      </c>
      <c r="F6" s="6" t="s">
        <v>99</v>
      </c>
      <c r="G6" s="11" t="s">
        <v>100</v>
      </c>
      <c r="H6" s="29" t="s">
        <v>55</v>
      </c>
    </row>
    <row r="7" spans="2:8" ht="16.5" customHeight="1" x14ac:dyDescent="0.25">
      <c r="B7" s="5" t="s">
        <v>101</v>
      </c>
      <c r="C7" s="13" t="s">
        <v>102</v>
      </c>
      <c r="D7" s="23" t="s">
        <v>37</v>
      </c>
      <c r="F7" s="5" t="s">
        <v>103</v>
      </c>
      <c r="G7" s="13" t="s">
        <v>104</v>
      </c>
      <c r="H7" s="23" t="s">
        <v>49</v>
      </c>
    </row>
    <row r="8" spans="2:8" ht="16.5" customHeight="1" x14ac:dyDescent="0.25">
      <c r="B8" s="6" t="s">
        <v>105</v>
      </c>
      <c r="C8" s="11" t="s">
        <v>106</v>
      </c>
      <c r="D8" s="29" t="s">
        <v>41</v>
      </c>
      <c r="F8" s="6" t="s">
        <v>107</v>
      </c>
      <c r="G8" s="11" t="s">
        <v>106</v>
      </c>
      <c r="H8" s="29" t="s">
        <v>41</v>
      </c>
    </row>
    <row r="9" spans="2:8" ht="16.5" customHeight="1" x14ac:dyDescent="0.25">
      <c r="B9" s="30"/>
      <c r="C9" s="30"/>
      <c r="D9" s="30"/>
      <c r="F9" s="5" t="s">
        <v>108</v>
      </c>
      <c r="G9" s="13" t="s">
        <v>109</v>
      </c>
      <c r="H9" s="23" t="s">
        <v>110</v>
      </c>
    </row>
    <row r="10" spans="2:8" ht="16.5" customHeight="1" x14ac:dyDescent="0.25">
      <c r="B10" s="31" t="s">
        <v>111</v>
      </c>
      <c r="C10" s="113"/>
      <c r="D10" s="113"/>
      <c r="F10" s="31" t="s">
        <v>112</v>
      </c>
      <c r="G10" s="114" t="s">
        <v>113</v>
      </c>
      <c r="H10" s="114"/>
    </row>
    <row r="11" spans="2:8" ht="19.5" customHeight="1" x14ac:dyDescent="0.25">
      <c r="B11" s="2" t="s">
        <v>114</v>
      </c>
      <c r="C11" s="32" t="s">
        <v>115</v>
      </c>
      <c r="D11" s="3" t="s">
        <v>116</v>
      </c>
      <c r="F11" s="33" t="s">
        <v>117</v>
      </c>
      <c r="G11" s="34">
        <f>H6/(H7-H8)</f>
        <v>1040000.0000000001</v>
      </c>
      <c r="H11" s="35" t="s">
        <v>118</v>
      </c>
    </row>
    <row r="12" spans="2:8" ht="19.5" customHeight="1" x14ac:dyDescent="0.25">
      <c r="B12" s="33" t="s">
        <v>119</v>
      </c>
      <c r="C12" s="36">
        <f>D6/(D7-D8)</f>
        <v>12.923076923076922</v>
      </c>
      <c r="D12" s="35" t="s">
        <v>120</v>
      </c>
      <c r="F12" s="33" t="s">
        <v>291</v>
      </c>
      <c r="G12" s="34">
        <f>G11-H9+'Tab 1 – Company Profile'!C19</f>
        <v>785000.00000000012</v>
      </c>
      <c r="H12" s="35" t="s">
        <v>121</v>
      </c>
    </row>
    <row r="13" spans="2:8" ht="19.5" customHeight="1" x14ac:dyDescent="0.25">
      <c r="F13" s="33" t="s">
        <v>122</v>
      </c>
      <c r="G13" s="37">
        <f>G12*1000/('Tab 1 – Company Profile'!G10)</f>
        <v>11.214285714285715</v>
      </c>
      <c r="H13" s="35" t="s">
        <v>292</v>
      </c>
    </row>
    <row r="14" spans="2:8" ht="13.5" customHeight="1" x14ac:dyDescent="0.25"/>
    <row r="15" spans="2:8" ht="21.75" customHeight="1" x14ac:dyDescent="0.25">
      <c r="B15" s="106" t="s">
        <v>123</v>
      </c>
      <c r="C15" s="106"/>
      <c r="D15" s="106"/>
      <c r="E15" s="106"/>
      <c r="F15" s="106"/>
      <c r="G15" s="106"/>
      <c r="H15" s="106"/>
    </row>
    <row r="16" spans="2:8" x14ac:dyDescent="0.25">
      <c r="B16" s="9" t="s">
        <v>124</v>
      </c>
      <c r="C16" s="9" t="s">
        <v>125</v>
      </c>
      <c r="D16" s="9" t="s">
        <v>126</v>
      </c>
      <c r="E16" s="9"/>
      <c r="F16" s="110" t="s">
        <v>127</v>
      </c>
      <c r="G16" s="110"/>
      <c r="H16" s="110"/>
    </row>
    <row r="17" spans="2:8" ht="19.5" customHeight="1" x14ac:dyDescent="0.25">
      <c r="B17" s="14" t="s">
        <v>128</v>
      </c>
      <c r="C17" s="37">
        <f>C12</f>
        <v>12.923076923076922</v>
      </c>
      <c r="D17" s="4" t="s">
        <v>129</v>
      </c>
      <c r="E17" s="29"/>
      <c r="F17" s="111" t="s">
        <v>130</v>
      </c>
      <c r="G17" s="111"/>
      <c r="H17" s="111"/>
    </row>
    <row r="18" spans="2:8" ht="19.5" customHeight="1" x14ac:dyDescent="0.25">
      <c r="B18" s="24" t="s">
        <v>131</v>
      </c>
      <c r="C18" s="37">
        <f>G13</f>
        <v>11.214285714285715</v>
      </c>
      <c r="D18" s="3" t="s">
        <v>132</v>
      </c>
      <c r="E18" s="23"/>
      <c r="F18" s="112" t="s">
        <v>133</v>
      </c>
      <c r="G18" s="112"/>
      <c r="H18" s="112"/>
    </row>
  </sheetData>
  <mergeCells count="10">
    <mergeCell ref="B15:H15"/>
    <mergeCell ref="F16:H16"/>
    <mergeCell ref="F17:H17"/>
    <mergeCell ref="F18:H18"/>
    <mergeCell ref="B1:H1"/>
    <mergeCell ref="B2:H2"/>
    <mergeCell ref="B4:D4"/>
    <mergeCell ref="F4:H4"/>
    <mergeCell ref="C10:D10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3909-2854-4EAA-B954-C18B5E973EA0}">
  <sheetPr>
    <tabColor theme="9" tint="0.39997558519241921"/>
  </sheetPr>
  <dimension ref="A2:E14"/>
  <sheetViews>
    <sheetView workbookViewId="0">
      <selection activeCell="K31" sqref="K31"/>
    </sheetView>
  </sheetViews>
  <sheetFormatPr defaultRowHeight="15" x14ac:dyDescent="0.25"/>
  <cols>
    <col min="1" max="1" width="31.85546875" bestFit="1" customWidth="1"/>
    <col min="2" max="5" width="15" bestFit="1" customWidth="1"/>
  </cols>
  <sheetData>
    <row r="2" spans="1:5" x14ac:dyDescent="0.25">
      <c r="B2" t="s">
        <v>303</v>
      </c>
      <c r="C2" t="s">
        <v>304</v>
      </c>
      <c r="D2" t="s">
        <v>305</v>
      </c>
      <c r="E2" t="s">
        <v>306</v>
      </c>
    </row>
    <row r="3" spans="1:5" x14ac:dyDescent="0.25">
      <c r="A3" s="9" t="s">
        <v>4</v>
      </c>
      <c r="B3" s="9" t="s">
        <v>5</v>
      </c>
      <c r="C3" s="9" t="s">
        <v>5</v>
      </c>
      <c r="D3" s="9" t="s">
        <v>5</v>
      </c>
      <c r="E3" s="9" t="s">
        <v>5</v>
      </c>
    </row>
    <row r="4" spans="1:5" x14ac:dyDescent="0.25">
      <c r="A4" s="6" t="s">
        <v>10</v>
      </c>
      <c r="B4" s="10">
        <v>850000</v>
      </c>
      <c r="C4" s="10">
        <v>850000</v>
      </c>
      <c r="D4" s="10">
        <v>850000</v>
      </c>
      <c r="E4" s="10">
        <v>850000</v>
      </c>
    </row>
    <row r="5" spans="1:5" x14ac:dyDescent="0.25">
      <c r="A5" s="5" t="s">
        <v>15</v>
      </c>
      <c r="B5" s="12">
        <v>255000</v>
      </c>
      <c r="C5" s="12">
        <v>255000</v>
      </c>
      <c r="D5" s="12">
        <v>255000</v>
      </c>
      <c r="E5" s="12">
        <v>255000</v>
      </c>
    </row>
    <row r="6" spans="1:5" x14ac:dyDescent="0.25">
      <c r="A6" s="14" t="s">
        <v>20</v>
      </c>
      <c r="B6" s="15">
        <f>B4-B5</f>
        <v>595000</v>
      </c>
      <c r="C6" s="15">
        <f t="shared" ref="C6:E6" si="0">C4-C5</f>
        <v>595000</v>
      </c>
      <c r="D6" s="15">
        <f t="shared" si="0"/>
        <v>595000</v>
      </c>
      <c r="E6" s="15">
        <f t="shared" si="0"/>
        <v>595000</v>
      </c>
    </row>
    <row r="7" spans="1:5" x14ac:dyDescent="0.25">
      <c r="A7" s="5" t="s">
        <v>24</v>
      </c>
      <c r="B7" s="12">
        <v>340000</v>
      </c>
      <c r="C7" s="12">
        <v>340000</v>
      </c>
      <c r="D7" s="12">
        <v>340000</v>
      </c>
      <c r="E7" s="12">
        <v>340000</v>
      </c>
    </row>
    <row r="8" spans="1:5" x14ac:dyDescent="0.25">
      <c r="A8" s="14" t="s">
        <v>29</v>
      </c>
      <c r="B8" s="15">
        <f>B6-B7</f>
        <v>255000</v>
      </c>
      <c r="C8" s="15">
        <f t="shared" ref="C8:E8" si="1">C6-C7</f>
        <v>255000</v>
      </c>
      <c r="D8" s="15">
        <f t="shared" si="1"/>
        <v>255000</v>
      </c>
      <c r="E8" s="15">
        <f t="shared" si="1"/>
        <v>255000</v>
      </c>
    </row>
    <row r="9" spans="1:5" x14ac:dyDescent="0.25">
      <c r="A9" s="5" t="s">
        <v>34</v>
      </c>
      <c r="B9" s="12">
        <v>36000</v>
      </c>
      <c r="C9">
        <v>0</v>
      </c>
      <c r="D9">
        <v>36000</v>
      </c>
      <c r="E9">
        <v>12000</v>
      </c>
    </row>
    <row r="10" spans="1:5" x14ac:dyDescent="0.25">
      <c r="A10" s="14" t="s">
        <v>39</v>
      </c>
      <c r="B10" s="10">
        <f>B8-B9</f>
        <v>219000</v>
      </c>
      <c r="C10" s="90">
        <f>C8-C9</f>
        <v>255000</v>
      </c>
      <c r="D10" s="90">
        <f>D8-D9</f>
        <v>219000</v>
      </c>
      <c r="E10" s="90">
        <f>E8-E9</f>
        <v>243000</v>
      </c>
    </row>
    <row r="11" spans="1:5" x14ac:dyDescent="0.25">
      <c r="A11" s="101" t="s">
        <v>43</v>
      </c>
      <c r="B11" s="102">
        <f>B10*0.25</f>
        <v>54750</v>
      </c>
      <c r="C11" s="92">
        <f>C10*0.25</f>
        <v>63750</v>
      </c>
      <c r="D11">
        <f t="shared" ref="D11:E11" si="2">D10*0.25</f>
        <v>54750</v>
      </c>
      <c r="E11">
        <f t="shared" si="2"/>
        <v>60750</v>
      </c>
    </row>
    <row r="12" spans="1:5" ht="15.75" thickBot="1" x14ac:dyDescent="0.3">
      <c r="A12" s="103" t="s">
        <v>47</v>
      </c>
      <c r="B12" s="104">
        <f>B10-B11</f>
        <v>164250</v>
      </c>
      <c r="C12" s="105">
        <f>C10-C11</f>
        <v>191250</v>
      </c>
      <c r="D12" s="105">
        <f t="shared" ref="D12:E12" si="3">D10-D11</f>
        <v>164250</v>
      </c>
      <c r="E12" s="105">
        <f t="shared" si="3"/>
        <v>182250</v>
      </c>
    </row>
    <row r="13" spans="1:5" ht="15.75" thickTop="1" x14ac:dyDescent="0.25"/>
    <row r="14" spans="1:5" x14ac:dyDescent="0.25">
      <c r="A14" t="s">
        <v>273</v>
      </c>
      <c r="C14" s="91">
        <f>C12/645000</f>
        <v>0.29651162790697677</v>
      </c>
      <c r="D14" s="91">
        <f t="shared" ref="D14:E14" si="4">D12/645000</f>
        <v>0.25465116279069766</v>
      </c>
      <c r="E14" s="91">
        <f t="shared" si="4"/>
        <v>0.28255813953488373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B1:H27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7" sqref="E17"/>
    </sheetView>
  </sheetViews>
  <sheetFormatPr defaultColWidth="8.7109375" defaultRowHeight="15" x14ac:dyDescent="0.25"/>
  <cols>
    <col min="1" max="1" width="2" customWidth="1"/>
    <col min="2" max="2" width="28" customWidth="1"/>
    <col min="3" max="3" width="43.5703125" customWidth="1"/>
    <col min="4" max="4" width="16" customWidth="1"/>
    <col min="5" max="5" width="23.140625" customWidth="1"/>
    <col min="6" max="6" width="16" customWidth="1"/>
    <col min="7" max="7" width="26.42578125" customWidth="1"/>
    <col min="8" max="8" width="30" customWidth="1"/>
  </cols>
  <sheetData>
    <row r="1" spans="2:8" ht="36" customHeight="1" x14ac:dyDescent="0.25">
      <c r="B1" s="107" t="s">
        <v>134</v>
      </c>
      <c r="C1" s="107"/>
      <c r="D1" s="107"/>
      <c r="E1" s="107"/>
      <c r="F1" s="107"/>
      <c r="G1" s="107"/>
      <c r="H1" s="107"/>
    </row>
    <row r="2" spans="2:8" ht="18" customHeight="1" x14ac:dyDescent="0.25">
      <c r="B2" s="108" t="s">
        <v>135</v>
      </c>
      <c r="C2" s="108"/>
      <c r="D2" s="108"/>
      <c r="E2" s="108"/>
      <c r="F2" s="108"/>
      <c r="G2" s="108"/>
      <c r="H2" s="108"/>
    </row>
    <row r="3" spans="2:8" ht="12" customHeight="1" x14ac:dyDescent="0.25"/>
    <row r="4" spans="2:8" ht="21.75" customHeight="1" x14ac:dyDescent="0.25">
      <c r="B4" s="109" t="s">
        <v>136</v>
      </c>
      <c r="C4" s="109"/>
      <c r="D4" s="109"/>
      <c r="E4" s="109"/>
      <c r="F4" s="109"/>
      <c r="G4" s="109"/>
      <c r="H4" s="109"/>
    </row>
    <row r="5" spans="2:8" x14ac:dyDescent="0.25">
      <c r="B5" s="7" t="s">
        <v>57</v>
      </c>
      <c r="C5" s="7" t="s">
        <v>137</v>
      </c>
      <c r="D5" s="9" t="s">
        <v>138</v>
      </c>
      <c r="E5" s="8" t="s">
        <v>139</v>
      </c>
      <c r="F5" s="9" t="s">
        <v>140</v>
      </c>
      <c r="G5" s="110" t="s">
        <v>6</v>
      </c>
      <c r="H5" s="110"/>
    </row>
    <row r="6" spans="2:8" ht="16.5" customHeight="1" x14ac:dyDescent="0.25">
      <c r="B6" s="14" t="s">
        <v>65</v>
      </c>
      <c r="C6" s="38" t="s">
        <v>294</v>
      </c>
      <c r="D6" s="10">
        <v>45000</v>
      </c>
      <c r="E6" s="39">
        <v>0</v>
      </c>
      <c r="F6" s="40">
        <f>D6+E6</f>
        <v>45000</v>
      </c>
      <c r="G6" s="117"/>
      <c r="H6" s="117"/>
    </row>
    <row r="7" spans="2:8" ht="16.5" customHeight="1" x14ac:dyDescent="0.25">
      <c r="B7" s="24" t="s">
        <v>83</v>
      </c>
      <c r="C7" s="41" t="s">
        <v>142</v>
      </c>
      <c r="D7" s="12">
        <v>60000</v>
      </c>
      <c r="E7" s="78">
        <v>-60000</v>
      </c>
      <c r="F7" s="40">
        <f>D7+E7</f>
        <v>0</v>
      </c>
      <c r="G7" s="118" t="s">
        <v>143</v>
      </c>
      <c r="H7" s="118"/>
    </row>
    <row r="8" spans="2:8" ht="16.5" customHeight="1" x14ac:dyDescent="0.25">
      <c r="B8" s="14" t="s">
        <v>85</v>
      </c>
      <c r="C8" s="38" t="s">
        <v>144</v>
      </c>
      <c r="D8" s="10">
        <v>240000</v>
      </c>
      <c r="E8" s="39">
        <v>-140000</v>
      </c>
      <c r="F8" s="40">
        <f t="shared" ref="F8:F10" si="0">D8+E8</f>
        <v>100000</v>
      </c>
      <c r="G8" s="117" t="s">
        <v>145</v>
      </c>
      <c r="H8" s="117"/>
    </row>
    <row r="9" spans="2:8" ht="16.5" customHeight="1" x14ac:dyDescent="0.25">
      <c r="B9" s="24" t="s">
        <v>146</v>
      </c>
      <c r="C9" s="41" t="s">
        <v>147</v>
      </c>
      <c r="D9" s="12">
        <v>280000</v>
      </c>
      <c r="E9" s="39" t="s">
        <v>141</v>
      </c>
      <c r="F9" s="40">
        <f t="shared" si="0"/>
        <v>480000</v>
      </c>
      <c r="G9" s="118" t="s">
        <v>148</v>
      </c>
      <c r="H9" s="118"/>
    </row>
    <row r="10" spans="2:8" ht="16.5" customHeight="1" x14ac:dyDescent="0.25">
      <c r="B10" s="14" t="s">
        <v>88</v>
      </c>
      <c r="C10" s="38" t="s">
        <v>149</v>
      </c>
      <c r="D10" s="10">
        <v>245000</v>
      </c>
      <c r="E10" s="39" t="s">
        <v>150</v>
      </c>
      <c r="F10" s="40">
        <f t="shared" si="0"/>
        <v>645000</v>
      </c>
      <c r="G10" s="117" t="s">
        <v>151</v>
      </c>
      <c r="H10" s="117"/>
    </row>
    <row r="11" spans="2:8" ht="16.5" customHeight="1" x14ac:dyDescent="0.25">
      <c r="B11" s="14" t="s">
        <v>34</v>
      </c>
      <c r="C11" s="38" t="s">
        <v>293</v>
      </c>
      <c r="D11" s="10">
        <f>'Tab 1 – Company Profile'!C11</f>
        <v>36000</v>
      </c>
      <c r="E11" s="39">
        <v>-24000</v>
      </c>
      <c r="F11" s="40">
        <f t="shared" ref="F11" si="1">D11+E11</f>
        <v>12000</v>
      </c>
      <c r="G11" s="117"/>
      <c r="H11" s="117"/>
    </row>
    <row r="12" spans="2:8" ht="16.5" customHeight="1" x14ac:dyDescent="0.25">
      <c r="B12" s="59" t="s">
        <v>47</v>
      </c>
      <c r="C12" s="79" t="s">
        <v>295</v>
      </c>
      <c r="D12" s="80">
        <v>164250</v>
      </c>
      <c r="E12" s="81">
        <v>18000</v>
      </c>
      <c r="F12" s="82">
        <f>D12+E12</f>
        <v>182250</v>
      </c>
      <c r="G12" s="83"/>
      <c r="H12" s="83"/>
    </row>
    <row r="13" spans="2:8" ht="12" customHeight="1" x14ac:dyDescent="0.25"/>
    <row r="14" spans="2:8" ht="21.75" customHeight="1" x14ac:dyDescent="0.25">
      <c r="B14" s="109" t="s">
        <v>152</v>
      </c>
      <c r="C14" s="109"/>
      <c r="D14" s="109"/>
      <c r="E14" s="109"/>
      <c r="F14" s="109"/>
      <c r="G14" s="109"/>
      <c r="H14" s="109"/>
    </row>
    <row r="15" spans="2:8" x14ac:dyDescent="0.25">
      <c r="B15" s="7" t="s">
        <v>153</v>
      </c>
      <c r="C15" s="9" t="s">
        <v>154</v>
      </c>
      <c r="D15" s="9" t="s">
        <v>155</v>
      </c>
      <c r="E15" s="8" t="s">
        <v>156</v>
      </c>
      <c r="F15" s="9" t="s">
        <v>157</v>
      </c>
      <c r="G15" s="9" t="s">
        <v>158</v>
      </c>
      <c r="H15" s="9" t="s">
        <v>159</v>
      </c>
    </row>
    <row r="16" spans="2:8" ht="21.75" customHeight="1" x14ac:dyDescent="0.25">
      <c r="B16" s="42" t="s">
        <v>160</v>
      </c>
      <c r="C16" s="38" t="s">
        <v>161</v>
      </c>
      <c r="D16" s="43">
        <f>(D7+D8)/D10</f>
        <v>1.2244897959183674</v>
      </c>
      <c r="E16" s="44">
        <f>(F7+F8)/F10</f>
        <v>0.15503875968992248</v>
      </c>
      <c r="F16" s="45">
        <f>E16-D16</f>
        <v>-1.0694510362284448</v>
      </c>
      <c r="G16" s="46" t="s">
        <v>162</v>
      </c>
      <c r="H16" s="1" t="s">
        <v>163</v>
      </c>
    </row>
    <row r="17" spans="2:8" ht="21.75" customHeight="1" x14ac:dyDescent="0.25">
      <c r="B17" s="2" t="s">
        <v>164</v>
      </c>
      <c r="C17" s="41" t="s">
        <v>165</v>
      </c>
      <c r="D17" s="47">
        <f>(45000+120000+35000)/(60000+85000)</f>
        <v>1.3793103448275863</v>
      </c>
      <c r="E17" s="44">
        <f>('Tab 1 – Company Profile'!C22)/('Tab 1 – Company Profile'!C29+E7)</f>
        <v>2.3529411764705883</v>
      </c>
      <c r="F17" s="45">
        <f t="shared" ref="F17:F22" si="2">E17-D17</f>
        <v>0.97363083164300201</v>
      </c>
      <c r="G17" s="48" t="s">
        <v>166</v>
      </c>
      <c r="H17" s="1" t="s">
        <v>167</v>
      </c>
    </row>
    <row r="18" spans="2:8" ht="21.75" customHeight="1" x14ac:dyDescent="0.25">
      <c r="B18" s="42" t="s">
        <v>168</v>
      </c>
      <c r="C18" s="38" t="s">
        <v>169</v>
      </c>
      <c r="D18" s="43">
        <f>'Tab 1 – Company Profile'!C10/'Tab 1 – Company Profile'!C11</f>
        <v>7.083333333333333</v>
      </c>
      <c r="E18" s="44">
        <f>'Tab 1 – Company Profile'!C10/(F11)</f>
        <v>21.25</v>
      </c>
      <c r="F18" s="45">
        <f t="shared" si="2"/>
        <v>14.166666666666668</v>
      </c>
      <c r="G18" s="49" t="s">
        <v>166</v>
      </c>
      <c r="H18" s="1" t="s">
        <v>170</v>
      </c>
    </row>
    <row r="19" spans="2:8" ht="21.75" customHeight="1" x14ac:dyDescent="0.25">
      <c r="B19" s="2" t="s">
        <v>171</v>
      </c>
      <c r="C19" s="41" t="s">
        <v>172</v>
      </c>
      <c r="D19" s="85">
        <f>164500/245000</f>
        <v>0.67142857142857137</v>
      </c>
      <c r="E19" s="84">
        <f>'Tab 1 – Company Profile'!C14/'Tab 3 – Ratio Analysis'!F10</f>
        <v>0.25465116279069766</v>
      </c>
      <c r="F19" s="84">
        <f t="shared" si="2"/>
        <v>-0.41677740863787371</v>
      </c>
      <c r="G19" s="50" t="s">
        <v>173</v>
      </c>
      <c r="H19" s="1" t="s">
        <v>174</v>
      </c>
    </row>
    <row r="20" spans="2:8" ht="21.75" customHeight="1" x14ac:dyDescent="0.25">
      <c r="B20" s="42" t="s">
        <v>296</v>
      </c>
      <c r="C20" s="38" t="s">
        <v>176</v>
      </c>
      <c r="D20" s="85">
        <f>'Tab 1 – Company Profile'!C31/'Tab 1 – Company Profile'!C25</f>
        <v>0.61111111111111116</v>
      </c>
      <c r="E20" s="84">
        <f>('Tab 1 – Company Profile'!C31-200000)/('Tab 1 – Company Profile'!C25+200000)</f>
        <v>0.22289156626506024</v>
      </c>
      <c r="F20" s="84">
        <f t="shared" si="2"/>
        <v>-0.38821954484605092</v>
      </c>
      <c r="G20" s="46" t="s">
        <v>162</v>
      </c>
      <c r="H20" s="1" t="s">
        <v>177</v>
      </c>
    </row>
    <row r="21" spans="2:8" ht="21.75" customHeight="1" x14ac:dyDescent="0.25">
      <c r="B21" s="2" t="s">
        <v>178</v>
      </c>
      <c r="C21" s="41" t="s">
        <v>179</v>
      </c>
      <c r="D21" s="47">
        <f>'Tab 1 – Company Profile'!C14/(45000+120000+35000+280000+150000)</f>
        <v>0.26071428571428573</v>
      </c>
      <c r="E21" s="44">
        <f>F12/('Tab 1 – Company Profile'!C25+200000)</f>
        <v>0.21957831325301205</v>
      </c>
      <c r="F21" s="45">
        <f t="shared" si="2"/>
        <v>-4.1135972461273679E-2</v>
      </c>
      <c r="G21" s="13" t="s">
        <v>180</v>
      </c>
      <c r="H21" s="1" t="s">
        <v>181</v>
      </c>
    </row>
    <row r="22" spans="2:8" ht="21.75" customHeight="1" x14ac:dyDescent="0.25">
      <c r="B22" s="87" t="s">
        <v>215</v>
      </c>
      <c r="C22" s="41" t="s">
        <v>299</v>
      </c>
      <c r="D22" s="88">
        <f>'Tab 1 – Company Profile'!C14/'Tab 1 – Company Profile'!C6</f>
        <v>0.19323529411764706</v>
      </c>
      <c r="E22" s="88">
        <f>F12/'Tab 1 – Company Profile'!C6</f>
        <v>0.21441176470588236</v>
      </c>
      <c r="F22" s="84">
        <f t="shared" si="2"/>
        <v>2.1176470588235297E-2</v>
      </c>
      <c r="G22" s="49" t="s">
        <v>166</v>
      </c>
      <c r="H22" s="1" t="s">
        <v>300</v>
      </c>
    </row>
    <row r="23" spans="2:8" ht="12" customHeight="1" x14ac:dyDescent="0.25"/>
    <row r="24" spans="2:8" ht="21.75" customHeight="1" x14ac:dyDescent="0.25">
      <c r="B24" s="106" t="s">
        <v>182</v>
      </c>
      <c r="C24" s="106"/>
      <c r="D24" s="106"/>
      <c r="E24" s="106"/>
      <c r="F24" s="106"/>
      <c r="G24" s="106"/>
      <c r="H24" s="106"/>
    </row>
    <row r="25" spans="2:8" ht="21.75" customHeight="1" x14ac:dyDescent="0.25">
      <c r="B25" s="115" t="s">
        <v>183</v>
      </c>
      <c r="C25" s="115"/>
      <c r="D25" s="115"/>
      <c r="E25" s="116" t="s">
        <v>184</v>
      </c>
      <c r="F25" s="116"/>
      <c r="G25" s="116"/>
      <c r="H25" s="116"/>
    </row>
    <row r="26" spans="2:8" ht="21.75" customHeight="1" x14ac:dyDescent="0.25">
      <c r="B26" s="115" t="s">
        <v>185</v>
      </c>
      <c r="C26" s="115"/>
      <c r="D26" s="115"/>
      <c r="E26" s="116" t="s">
        <v>184</v>
      </c>
      <c r="F26" s="116"/>
      <c r="G26" s="116"/>
      <c r="H26" s="116"/>
    </row>
    <row r="27" spans="2:8" ht="21.75" customHeight="1" x14ac:dyDescent="0.25">
      <c r="B27" s="115" t="s">
        <v>186</v>
      </c>
      <c r="C27" s="115"/>
      <c r="D27" s="115"/>
      <c r="E27" s="116" t="s">
        <v>184</v>
      </c>
      <c r="F27" s="116"/>
      <c r="G27" s="116"/>
      <c r="H27" s="116"/>
    </row>
  </sheetData>
  <mergeCells count="18">
    <mergeCell ref="B1:H1"/>
    <mergeCell ref="B2:H2"/>
    <mergeCell ref="B4:H4"/>
    <mergeCell ref="G5:H5"/>
    <mergeCell ref="G6:H6"/>
    <mergeCell ref="G7:H7"/>
    <mergeCell ref="G8:H8"/>
    <mergeCell ref="G9:H9"/>
    <mergeCell ref="G10:H10"/>
    <mergeCell ref="B14:H14"/>
    <mergeCell ref="B27:D27"/>
    <mergeCell ref="E27:H27"/>
    <mergeCell ref="G11:H11"/>
    <mergeCell ref="B24:H24"/>
    <mergeCell ref="B25:D25"/>
    <mergeCell ref="E25:H25"/>
    <mergeCell ref="B26:D26"/>
    <mergeCell ref="E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1:H3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3" sqref="K13"/>
    </sheetView>
  </sheetViews>
  <sheetFormatPr defaultColWidth="8.7109375" defaultRowHeight="15" x14ac:dyDescent="0.25"/>
  <cols>
    <col min="1" max="1" width="2" customWidth="1"/>
    <col min="2" max="2" width="37.28515625" customWidth="1"/>
    <col min="3" max="4" width="17" customWidth="1"/>
    <col min="5" max="5" width="21.42578125" customWidth="1"/>
    <col min="6" max="6" width="13.7109375" customWidth="1"/>
    <col min="7" max="8" width="30" customWidth="1"/>
  </cols>
  <sheetData>
    <row r="1" spans="2:8" ht="36" customHeight="1" x14ac:dyDescent="0.25">
      <c r="B1" s="122" t="s">
        <v>187</v>
      </c>
      <c r="C1" s="122"/>
      <c r="D1" s="122"/>
      <c r="E1" s="122"/>
      <c r="F1" s="122"/>
      <c r="G1" s="122"/>
      <c r="H1" s="122"/>
    </row>
    <row r="2" spans="2:8" ht="18" customHeight="1" x14ac:dyDescent="0.25">
      <c r="B2" s="108" t="s">
        <v>301</v>
      </c>
      <c r="C2" s="108"/>
      <c r="D2" s="108"/>
      <c r="E2" s="108"/>
      <c r="F2" s="108"/>
      <c r="G2" s="108"/>
      <c r="H2" s="108"/>
    </row>
    <row r="3" spans="2:8" ht="12" customHeight="1" x14ac:dyDescent="0.25"/>
    <row r="4" spans="2:8" ht="21.75" customHeight="1" x14ac:dyDescent="0.25">
      <c r="B4" s="109" t="s">
        <v>188</v>
      </c>
      <c r="C4" s="109"/>
      <c r="D4" s="109"/>
      <c r="E4" s="109"/>
      <c r="F4" s="109"/>
      <c r="G4" s="109"/>
      <c r="H4" s="109"/>
    </row>
    <row r="5" spans="2:8" x14ac:dyDescent="0.25">
      <c r="B5" s="51" t="s">
        <v>189</v>
      </c>
      <c r="C5" s="52" t="s">
        <v>190</v>
      </c>
      <c r="D5" s="53" t="s">
        <v>191</v>
      </c>
      <c r="E5" s="54" t="s">
        <v>192</v>
      </c>
      <c r="F5" s="55"/>
      <c r="G5" s="123"/>
      <c r="H5" s="123"/>
    </row>
    <row r="6" spans="2:8" ht="41.25" customHeight="1" x14ac:dyDescent="0.25">
      <c r="C6" s="56" t="s">
        <v>193</v>
      </c>
      <c r="D6" s="57" t="s">
        <v>194</v>
      </c>
      <c r="E6" s="58" t="s">
        <v>195</v>
      </c>
    </row>
    <row r="7" spans="2:8" ht="16.5" customHeight="1" x14ac:dyDescent="0.25">
      <c r="B7" s="59" t="s">
        <v>196</v>
      </c>
      <c r="C7" s="94" t="s">
        <v>13</v>
      </c>
      <c r="D7" s="94" t="s">
        <v>197</v>
      </c>
      <c r="E7" s="95">
        <v>200000</v>
      </c>
    </row>
    <row r="8" spans="2:8" ht="16.5" customHeight="1" x14ac:dyDescent="0.25">
      <c r="B8" s="26" t="s">
        <v>199</v>
      </c>
      <c r="C8" s="96" t="s">
        <v>197</v>
      </c>
      <c r="D8" s="96" t="s">
        <v>13</v>
      </c>
      <c r="E8" s="97">
        <v>200000</v>
      </c>
    </row>
    <row r="9" spans="2:8" ht="16.5" customHeight="1" x14ac:dyDescent="0.25">
      <c r="B9" s="60" t="s">
        <v>200</v>
      </c>
      <c r="C9" s="94" t="s">
        <v>197</v>
      </c>
      <c r="D9" s="94" t="s">
        <v>110</v>
      </c>
      <c r="E9" s="95">
        <v>100000</v>
      </c>
    </row>
    <row r="10" spans="2:8" ht="16.5" customHeight="1" x14ac:dyDescent="0.25">
      <c r="B10" s="61" t="s">
        <v>201</v>
      </c>
      <c r="C10" s="96" t="s">
        <v>202</v>
      </c>
      <c r="D10" s="96" t="s">
        <v>197</v>
      </c>
      <c r="E10" s="98" t="s">
        <v>203</v>
      </c>
    </row>
    <row r="11" spans="2:8" ht="16.5" customHeight="1" x14ac:dyDescent="0.25">
      <c r="B11" s="60" t="s">
        <v>204</v>
      </c>
      <c r="C11" s="94" t="s">
        <v>197</v>
      </c>
      <c r="D11" s="94" t="s">
        <v>13</v>
      </c>
      <c r="E11" s="99" t="s">
        <v>198</v>
      </c>
    </row>
    <row r="12" spans="2:8" ht="16.5" customHeight="1" x14ac:dyDescent="0.25">
      <c r="B12" s="60" t="s">
        <v>47</v>
      </c>
      <c r="C12" s="100">
        <v>191250</v>
      </c>
      <c r="D12" s="100">
        <v>164250</v>
      </c>
      <c r="E12" s="100">
        <v>182250</v>
      </c>
    </row>
    <row r="13" spans="2:8" ht="12" customHeight="1" x14ac:dyDescent="0.25"/>
    <row r="14" spans="2:8" ht="21.75" customHeight="1" x14ac:dyDescent="0.25">
      <c r="B14" s="121" t="s">
        <v>205</v>
      </c>
      <c r="C14" s="121"/>
      <c r="D14" s="121"/>
      <c r="E14" s="121"/>
      <c r="F14" s="121"/>
      <c r="G14" s="121"/>
      <c r="H14" s="121"/>
    </row>
    <row r="15" spans="2:8" ht="30" x14ac:dyDescent="0.25">
      <c r="B15" s="62" t="s">
        <v>153</v>
      </c>
      <c r="C15" s="62" t="s">
        <v>206</v>
      </c>
      <c r="D15" s="63" t="s">
        <v>207</v>
      </c>
      <c r="E15" s="64" t="s">
        <v>208</v>
      </c>
      <c r="F15" s="65" t="s">
        <v>209</v>
      </c>
    </row>
    <row r="16" spans="2:8" ht="18" customHeight="1" x14ac:dyDescent="0.25">
      <c r="B16" s="42" t="s">
        <v>160</v>
      </c>
      <c r="C16" s="66" t="s">
        <v>210</v>
      </c>
      <c r="D16" s="74" t="s">
        <v>269</v>
      </c>
      <c r="E16" s="74" t="s">
        <v>270</v>
      </c>
      <c r="F16" s="86">
        <f>'Tab 3 – Ratio Analysis'!E16</f>
        <v>0.15503875968992248</v>
      </c>
      <c r="G16" s="38" t="s">
        <v>161</v>
      </c>
    </row>
    <row r="17" spans="2:8" ht="18" customHeight="1" x14ac:dyDescent="0.25">
      <c r="B17" s="2" t="s">
        <v>164</v>
      </c>
      <c r="C17" s="67" t="s">
        <v>211</v>
      </c>
      <c r="D17" s="76" t="s">
        <v>271</v>
      </c>
      <c r="E17" s="76" t="s">
        <v>211</v>
      </c>
      <c r="F17" s="86">
        <f>'Tab 3 – Ratio Analysis'!E17</f>
        <v>2.3529411764705883</v>
      </c>
      <c r="G17" s="41" t="s">
        <v>165</v>
      </c>
    </row>
    <row r="18" spans="2:8" ht="18" customHeight="1" x14ac:dyDescent="0.25">
      <c r="B18" s="42" t="s">
        <v>212</v>
      </c>
      <c r="C18" s="66" t="s">
        <v>297</v>
      </c>
      <c r="D18" s="74" t="s">
        <v>272</v>
      </c>
      <c r="E18" s="74" t="s">
        <v>297</v>
      </c>
      <c r="F18" s="86">
        <f>'Tab 3 – Ratio Analysis'!E18</f>
        <v>21.25</v>
      </c>
      <c r="G18" s="38" t="s">
        <v>169</v>
      </c>
    </row>
    <row r="19" spans="2:8" ht="18" customHeight="1" x14ac:dyDescent="0.25">
      <c r="B19" s="2" t="s">
        <v>171</v>
      </c>
      <c r="C19" s="89">
        <v>0.67</v>
      </c>
      <c r="D19" s="93">
        <f>C12/645000</f>
        <v>0.29651162790697677</v>
      </c>
      <c r="E19" s="84">
        <f>D12/645000</f>
        <v>0.25465116279069766</v>
      </c>
      <c r="F19" s="84">
        <f>E12/645000</f>
        <v>0.28255813953488373</v>
      </c>
      <c r="G19" s="41" t="s">
        <v>172</v>
      </c>
    </row>
    <row r="20" spans="2:8" ht="18" customHeight="1" x14ac:dyDescent="0.25">
      <c r="B20" s="42" t="s">
        <v>213</v>
      </c>
      <c r="C20" s="66" t="s">
        <v>214</v>
      </c>
      <c r="D20" s="74" t="s">
        <v>274</v>
      </c>
      <c r="E20" s="74" t="s">
        <v>275</v>
      </c>
      <c r="F20" s="84">
        <f>'Tab 3 – Ratio Analysis'!E20</f>
        <v>0.22289156626506024</v>
      </c>
      <c r="G20" s="38" t="s">
        <v>176</v>
      </c>
    </row>
    <row r="21" spans="2:8" ht="18" customHeight="1" x14ac:dyDescent="0.25">
      <c r="B21" s="2" t="s">
        <v>215</v>
      </c>
      <c r="C21" s="67" t="s">
        <v>298</v>
      </c>
      <c r="D21" s="76" t="s">
        <v>302</v>
      </c>
      <c r="E21" s="76" t="s">
        <v>298</v>
      </c>
      <c r="F21" s="84">
        <f>'Tab 3 – Ratio Analysis'!E22</f>
        <v>0.21441176470588236</v>
      </c>
      <c r="G21" s="41" t="s">
        <v>179</v>
      </c>
    </row>
    <row r="22" spans="2:8" ht="27.75" customHeight="1" x14ac:dyDescent="0.25">
      <c r="B22" s="120" t="s">
        <v>216</v>
      </c>
      <c r="C22" s="120"/>
      <c r="D22" s="120"/>
      <c r="E22" s="120"/>
    </row>
    <row r="23" spans="2:8" ht="12" customHeight="1" x14ac:dyDescent="0.25"/>
    <row r="24" spans="2:8" ht="21.75" customHeight="1" x14ac:dyDescent="0.25">
      <c r="B24" s="121" t="s">
        <v>217</v>
      </c>
      <c r="C24" s="121"/>
      <c r="D24" s="121"/>
      <c r="E24" s="121"/>
      <c r="F24" s="121"/>
      <c r="G24" s="121"/>
      <c r="H24" s="121"/>
    </row>
    <row r="25" spans="2:8" x14ac:dyDescent="0.25">
      <c r="B25" s="7" t="s">
        <v>218</v>
      </c>
      <c r="C25" s="9" t="s">
        <v>219</v>
      </c>
      <c r="D25" s="110" t="s">
        <v>220</v>
      </c>
      <c r="E25" s="110"/>
    </row>
    <row r="26" spans="2:8" ht="18" customHeight="1" x14ac:dyDescent="0.25">
      <c r="B26" s="14" t="s">
        <v>221</v>
      </c>
      <c r="C26" s="39" t="s">
        <v>222</v>
      </c>
      <c r="D26" s="119" t="s">
        <v>223</v>
      </c>
      <c r="E26" s="119"/>
    </row>
    <row r="27" spans="2:8" ht="18" customHeight="1" x14ac:dyDescent="0.25">
      <c r="B27" s="24" t="s">
        <v>224</v>
      </c>
      <c r="C27" s="39" t="s">
        <v>222</v>
      </c>
      <c r="D27" s="119" t="s">
        <v>223</v>
      </c>
      <c r="E27" s="119"/>
    </row>
    <row r="28" spans="2:8" ht="18" customHeight="1" x14ac:dyDescent="0.25">
      <c r="B28" s="14" t="s">
        <v>225</v>
      </c>
      <c r="C28" s="39" t="s">
        <v>222</v>
      </c>
      <c r="D28" s="119" t="s">
        <v>223</v>
      </c>
      <c r="E28" s="119"/>
    </row>
    <row r="29" spans="2:8" ht="18" customHeight="1" x14ac:dyDescent="0.25">
      <c r="B29" s="24" t="s">
        <v>226</v>
      </c>
      <c r="C29" s="39" t="s">
        <v>222</v>
      </c>
      <c r="D29" s="119" t="s">
        <v>223</v>
      </c>
      <c r="E29" s="119"/>
    </row>
    <row r="30" spans="2:8" ht="18" customHeight="1" x14ac:dyDescent="0.25">
      <c r="B30" s="14" t="s">
        <v>227</v>
      </c>
      <c r="C30" s="39" t="s">
        <v>222</v>
      </c>
      <c r="D30" s="119" t="s">
        <v>223</v>
      </c>
      <c r="E30" s="119"/>
    </row>
  </sheetData>
  <mergeCells count="13">
    <mergeCell ref="B1:H1"/>
    <mergeCell ref="B2:H2"/>
    <mergeCell ref="B4:H4"/>
    <mergeCell ref="G5:H5"/>
    <mergeCell ref="B14:H14"/>
    <mergeCell ref="D28:E28"/>
    <mergeCell ref="D29:E29"/>
    <mergeCell ref="D30:E30"/>
    <mergeCell ref="B22:E22"/>
    <mergeCell ref="B24:H24"/>
    <mergeCell ref="D25:E25"/>
    <mergeCell ref="D26:E26"/>
    <mergeCell ref="D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1B1B"/>
  </sheetPr>
  <dimension ref="B1:H36"/>
  <sheetViews>
    <sheetView showGridLines="0"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0" sqref="H50"/>
    </sheetView>
  </sheetViews>
  <sheetFormatPr defaultColWidth="8.7109375" defaultRowHeight="15" x14ac:dyDescent="0.25"/>
  <cols>
    <col min="1" max="1" width="2" customWidth="1"/>
    <col min="2" max="2" width="34" customWidth="1"/>
    <col min="3" max="3" width="29.7109375" customWidth="1"/>
    <col min="4" max="4" width="39.28515625" customWidth="1"/>
    <col min="5" max="5" width="20" customWidth="1"/>
    <col min="6" max="6" width="24.140625" customWidth="1"/>
    <col min="7" max="7" width="34" customWidth="1"/>
    <col min="8" max="8" width="32" bestFit="1" customWidth="1"/>
  </cols>
  <sheetData>
    <row r="1" spans="2:8" ht="36" hidden="1" customHeight="1" x14ac:dyDescent="0.25">
      <c r="B1" s="126" t="s">
        <v>309</v>
      </c>
      <c r="C1" s="126"/>
      <c r="D1" s="126"/>
      <c r="E1" s="126"/>
      <c r="F1" s="126"/>
      <c r="G1" s="126"/>
    </row>
    <row r="2" spans="2:8" ht="18" hidden="1" customHeight="1" x14ac:dyDescent="0.25">
      <c r="B2" s="127" t="s">
        <v>310</v>
      </c>
      <c r="C2" s="127"/>
      <c r="D2" s="127"/>
      <c r="E2" s="127"/>
      <c r="F2" s="127"/>
      <c r="G2" s="127"/>
    </row>
    <row r="3" spans="2:8" ht="12" hidden="1" customHeight="1" x14ac:dyDescent="0.25"/>
    <row r="4" spans="2:8" ht="21.75" hidden="1" customHeight="1" x14ac:dyDescent="0.25">
      <c r="B4" s="109" t="s">
        <v>228</v>
      </c>
      <c r="C4" s="109"/>
      <c r="D4" s="109"/>
      <c r="E4" s="109"/>
      <c r="F4" s="109"/>
      <c r="G4" s="109"/>
    </row>
    <row r="5" spans="2:8" hidden="1" x14ac:dyDescent="0.25">
      <c r="B5" s="7" t="s">
        <v>229</v>
      </c>
      <c r="C5" s="9" t="s">
        <v>230</v>
      </c>
      <c r="D5" s="7" t="s">
        <v>231</v>
      </c>
      <c r="E5" s="110" t="s">
        <v>232</v>
      </c>
      <c r="F5" s="110"/>
      <c r="G5" s="110"/>
    </row>
    <row r="6" spans="2:8" ht="27.75" hidden="1" customHeight="1" x14ac:dyDescent="0.25">
      <c r="B6" s="14" t="s">
        <v>119</v>
      </c>
      <c r="C6" s="11">
        <v>12.92</v>
      </c>
      <c r="D6" s="68" t="s">
        <v>233</v>
      </c>
      <c r="E6" s="124" t="s">
        <v>234</v>
      </c>
      <c r="F6" s="124"/>
      <c r="G6" s="124"/>
    </row>
    <row r="7" spans="2:8" ht="19.5" hidden="1" customHeight="1" x14ac:dyDescent="0.25">
      <c r="B7" s="24" t="s">
        <v>235</v>
      </c>
      <c r="C7" s="13" t="s">
        <v>236</v>
      </c>
      <c r="D7" s="69" t="s">
        <v>237</v>
      </c>
      <c r="E7" s="125" t="s">
        <v>238</v>
      </c>
      <c r="F7" s="125"/>
      <c r="G7" s="125"/>
    </row>
    <row r="8" spans="2:8" ht="19.5" hidden="1" customHeight="1" x14ac:dyDescent="0.25">
      <c r="B8" s="14" t="s">
        <v>239</v>
      </c>
      <c r="C8" s="11" t="s">
        <v>240</v>
      </c>
      <c r="D8" s="68" t="s">
        <v>241</v>
      </c>
      <c r="E8" s="124" t="s">
        <v>242</v>
      </c>
      <c r="F8" s="124"/>
      <c r="G8" s="124"/>
    </row>
    <row r="9" spans="2:8" ht="19.5" hidden="1" customHeight="1" x14ac:dyDescent="0.25">
      <c r="B9" s="24" t="s">
        <v>243</v>
      </c>
      <c r="C9" s="13" t="s">
        <v>244</v>
      </c>
      <c r="D9" s="69" t="s">
        <v>245</v>
      </c>
      <c r="E9" s="125" t="s">
        <v>246</v>
      </c>
      <c r="F9" s="125"/>
      <c r="G9" s="125"/>
    </row>
    <row r="10" spans="2:8" ht="25.5" hidden="1" customHeight="1" x14ac:dyDescent="0.25">
      <c r="B10" s="14" t="s">
        <v>247</v>
      </c>
      <c r="C10" s="11" t="s">
        <v>248</v>
      </c>
      <c r="D10" s="68" t="s">
        <v>249</v>
      </c>
      <c r="E10" s="124" t="s">
        <v>250</v>
      </c>
      <c r="F10" s="124"/>
      <c r="G10" s="124"/>
    </row>
    <row r="11" spans="2:8" ht="9.75" hidden="1" customHeight="1" x14ac:dyDescent="0.25"/>
    <row r="12" spans="2:8" ht="21.75" hidden="1" customHeight="1" x14ac:dyDescent="0.25">
      <c r="B12" s="109" t="s">
        <v>251</v>
      </c>
      <c r="C12" s="109"/>
      <c r="D12" s="109"/>
      <c r="E12" s="109"/>
      <c r="F12" s="109"/>
      <c r="G12" s="109"/>
    </row>
    <row r="13" spans="2:8" hidden="1" x14ac:dyDescent="0.25">
      <c r="B13" s="7" t="s">
        <v>153</v>
      </c>
      <c r="C13" s="9" t="s">
        <v>252</v>
      </c>
      <c r="D13" s="9" t="s">
        <v>253</v>
      </c>
      <c r="E13" s="9" t="s">
        <v>157</v>
      </c>
      <c r="F13" s="110" t="s">
        <v>308</v>
      </c>
      <c r="G13" s="110"/>
      <c r="H13" s="7" t="s">
        <v>154</v>
      </c>
    </row>
    <row r="14" spans="2:8" ht="33" hidden="1" customHeight="1" x14ac:dyDescent="0.25">
      <c r="B14" s="14" t="s">
        <v>254</v>
      </c>
      <c r="C14" s="11" t="s">
        <v>210</v>
      </c>
      <c r="D14" s="49" t="s">
        <v>255</v>
      </c>
      <c r="E14" s="136">
        <f>'Tab 3 – Ratio Analysis'!F16</f>
        <v>-1.0694510362284448</v>
      </c>
      <c r="F14" s="124" t="s">
        <v>256</v>
      </c>
      <c r="G14" s="124"/>
      <c r="H14" s="77" t="s">
        <v>161</v>
      </c>
    </row>
    <row r="15" spans="2:8" ht="19.5" hidden="1" customHeight="1" x14ac:dyDescent="0.25">
      <c r="B15" s="24" t="s">
        <v>164</v>
      </c>
      <c r="C15" s="13" t="s">
        <v>211</v>
      </c>
      <c r="D15" s="135">
        <f>'Tab 3 – Ratio Analysis'!E17</f>
        <v>2.3529411764705883</v>
      </c>
      <c r="E15" s="136">
        <f>'Tab 3 – Ratio Analysis'!F17</f>
        <v>0.97363083164300201</v>
      </c>
      <c r="F15" s="125" t="s">
        <v>257</v>
      </c>
      <c r="G15" s="125"/>
      <c r="H15" s="77" t="s">
        <v>165</v>
      </c>
    </row>
    <row r="16" spans="2:8" hidden="1" x14ac:dyDescent="0.25">
      <c r="B16" s="14" t="s">
        <v>168</v>
      </c>
      <c r="C16" s="11" t="s">
        <v>258</v>
      </c>
      <c r="D16" s="49">
        <f>'Tab 3 – Ratio Analysis'!E18</f>
        <v>21.25</v>
      </c>
      <c r="E16" s="136">
        <f>'Tab 3 – Ratio Analysis'!F18</f>
        <v>14.166666666666668</v>
      </c>
      <c r="F16" s="124" t="s">
        <v>259</v>
      </c>
      <c r="G16" s="124"/>
      <c r="H16" s="77" t="s">
        <v>169</v>
      </c>
    </row>
    <row r="17" spans="2:8" ht="24" hidden="1" customHeight="1" x14ac:dyDescent="0.25">
      <c r="B17" s="24" t="s">
        <v>260</v>
      </c>
      <c r="C17" s="129">
        <v>0.6714</v>
      </c>
      <c r="D17" s="130">
        <f>'Tab 3 – Ratio Analysis'!E19</f>
        <v>0.25465116279069766</v>
      </c>
      <c r="E17" s="137">
        <f>'Tab 3 – Ratio Analysis'!F19</f>
        <v>-0.41677740863787371</v>
      </c>
      <c r="F17" s="125" t="s">
        <v>261</v>
      </c>
      <c r="G17" s="125"/>
      <c r="H17" s="77" t="s">
        <v>172</v>
      </c>
    </row>
    <row r="18" spans="2:8" ht="19.5" hidden="1" customHeight="1" x14ac:dyDescent="0.25">
      <c r="B18" s="14" t="s">
        <v>175</v>
      </c>
      <c r="C18" s="128">
        <v>0.61109999999999998</v>
      </c>
      <c r="D18" s="131">
        <f>'Tab 3 – Ratio Analysis'!E20</f>
        <v>0.22289156626506024</v>
      </c>
      <c r="E18" s="134">
        <f>'Tab 3 – Ratio Analysis'!F20</f>
        <v>-0.38821954484605092</v>
      </c>
      <c r="F18" s="124" t="s">
        <v>262</v>
      </c>
      <c r="G18" s="124"/>
      <c r="H18" s="77" t="s">
        <v>176</v>
      </c>
    </row>
    <row r="19" spans="2:8" ht="24.75" hidden="1" customHeight="1" x14ac:dyDescent="0.25">
      <c r="B19" s="24" t="s">
        <v>263</v>
      </c>
      <c r="C19" s="132" t="s">
        <v>307</v>
      </c>
      <c r="D19" s="138">
        <f>'Tab 3 – Ratio Analysis'!E21</f>
        <v>0.21957831325301205</v>
      </c>
      <c r="E19" s="136">
        <f>'Tab 3 – Ratio Analysis'!F21</f>
        <v>-4.1135972461273679E-2</v>
      </c>
      <c r="F19" s="125" t="s">
        <v>264</v>
      </c>
      <c r="G19" s="125"/>
      <c r="H19" s="77" t="s">
        <v>179</v>
      </c>
    </row>
    <row r="20" spans="2:8" hidden="1" x14ac:dyDescent="0.25">
      <c r="B20" s="87" t="s">
        <v>215</v>
      </c>
      <c r="C20" s="128">
        <v>0.19323529411764706</v>
      </c>
      <c r="D20" s="131">
        <f>'Tab 3 – Ratio Analysis'!E22</f>
        <v>0.21441176470588236</v>
      </c>
      <c r="E20" s="85">
        <f>'Tab 3 – Ratio Analysis'!F22</f>
        <v>2.1176470588235297E-2</v>
      </c>
      <c r="F20" s="125" t="s">
        <v>300</v>
      </c>
      <c r="G20" s="125"/>
      <c r="H20" s="77" t="s">
        <v>299</v>
      </c>
    </row>
    <row r="21" spans="2:8" ht="21.75" customHeight="1" x14ac:dyDescent="0.25">
      <c r="B21" s="109" t="s">
        <v>265</v>
      </c>
      <c r="C21" s="109"/>
      <c r="D21" s="109"/>
      <c r="E21" s="109"/>
      <c r="F21" s="109"/>
      <c r="G21" s="109"/>
    </row>
    <row r="22" spans="2:8" x14ac:dyDescent="0.25">
      <c r="B22" s="7" t="s">
        <v>153</v>
      </c>
      <c r="C22" s="9" t="s">
        <v>252</v>
      </c>
      <c r="D22" s="70" t="s">
        <v>266</v>
      </c>
      <c r="E22" s="71" t="s">
        <v>267</v>
      </c>
      <c r="F22" s="72" t="s">
        <v>268</v>
      </c>
    </row>
    <row r="23" spans="2:8" ht="16.5" customHeight="1" x14ac:dyDescent="0.25">
      <c r="B23" s="73" t="s">
        <v>254</v>
      </c>
      <c r="C23" s="74" t="str">
        <f>C14</f>
        <v>1.22x</v>
      </c>
      <c r="D23" s="74" t="str">
        <f>'Tab 4 – Scenario Analysis'!D16</f>
        <v>0.00x</v>
      </c>
      <c r="E23" s="74" t="str">
        <f>'Tab 4 – Scenario Analysis'!E16</f>
        <v>0.47x</v>
      </c>
      <c r="F23" s="74" t="str">
        <f>D14</f>
        <v>0.16x</v>
      </c>
    </row>
    <row r="24" spans="2:8" ht="16.5" customHeight="1" x14ac:dyDescent="0.25">
      <c r="B24" s="75" t="s">
        <v>164</v>
      </c>
      <c r="C24" s="74" t="str">
        <f t="shared" ref="C24:C28" si="0">C15</f>
        <v>1.38x</v>
      </c>
      <c r="D24" s="74" t="str">
        <f>'Tab 4 – Scenario Analysis'!D17</f>
        <v>2.07x</v>
      </c>
      <c r="E24" s="74" t="str">
        <f>'Tab 4 – Scenario Analysis'!E17</f>
        <v>1.38x</v>
      </c>
      <c r="F24" s="133">
        <f t="shared" ref="F24:F27" si="1">D15</f>
        <v>2.3529411764705883</v>
      </c>
    </row>
    <row r="25" spans="2:8" ht="16.5" customHeight="1" x14ac:dyDescent="0.25">
      <c r="B25" s="73" t="s">
        <v>168</v>
      </c>
      <c r="C25" s="74" t="str">
        <f t="shared" si="0"/>
        <v>7.36x</v>
      </c>
      <c r="D25" s="74" t="str">
        <f>'Tab 4 – Scenario Analysis'!D18</f>
        <v>N/A (no debt)</v>
      </c>
      <c r="E25" s="74" t="str">
        <f>'Tab 4 – Scenario Analysis'!E18</f>
        <v>7.08x</v>
      </c>
      <c r="F25" s="133">
        <f t="shared" si="1"/>
        <v>21.25</v>
      </c>
    </row>
    <row r="26" spans="2:8" ht="16.5" customHeight="1" x14ac:dyDescent="0.25">
      <c r="B26" s="75" t="s">
        <v>273</v>
      </c>
      <c r="C26" s="134">
        <f t="shared" si="0"/>
        <v>0.6714</v>
      </c>
      <c r="D26" s="134">
        <f>'Tab 4 – Scenario Analysis'!D19</f>
        <v>0.29651162790697677</v>
      </c>
      <c r="E26" s="134">
        <f>'Tab 4 – Scenario Analysis'!E19</f>
        <v>0.25465116279069766</v>
      </c>
      <c r="F26" s="134">
        <f t="shared" si="1"/>
        <v>0.25465116279069766</v>
      </c>
    </row>
    <row r="27" spans="2:8" ht="16.5" customHeight="1" x14ac:dyDescent="0.25">
      <c r="B27" s="73" t="s">
        <v>175</v>
      </c>
      <c r="C27" s="134">
        <f t="shared" si="0"/>
        <v>0.61109999999999998</v>
      </c>
      <c r="D27" s="74" t="str">
        <f>'Tab 4 – Scenario Analysis'!D20</f>
        <v>11.6%</v>
      </c>
      <c r="E27" s="74" t="str">
        <f>'Tab 4 – Scenario Analysis'!E20</f>
        <v>37.4%</v>
      </c>
      <c r="F27" s="133">
        <f t="shared" si="1"/>
        <v>0.22289156626506024</v>
      </c>
    </row>
    <row r="28" spans="2:8" ht="16.5" customHeight="1" x14ac:dyDescent="0.25">
      <c r="B28" s="75" t="s">
        <v>215</v>
      </c>
      <c r="C28" s="134">
        <f>C20</f>
        <v>0.19323529411764706</v>
      </c>
      <c r="D28" s="74" t="str">
        <f>'Tab 4 – Scenario Analysis'!D21</f>
        <v>22.5%</v>
      </c>
      <c r="E28" s="74" t="str">
        <f>'Tab 4 – Scenario Analysis'!E21</f>
        <v>19.3%</v>
      </c>
      <c r="F28" s="139">
        <f>D20</f>
        <v>0.21441176470588236</v>
      </c>
    </row>
    <row r="29" spans="2:8" ht="27.75" customHeight="1" x14ac:dyDescent="0.25">
      <c r="B29" s="120" t="s">
        <v>276</v>
      </c>
      <c r="C29" s="120"/>
      <c r="D29" s="120"/>
      <c r="E29" s="120"/>
      <c r="F29" s="120"/>
      <c r="G29" s="120"/>
    </row>
    <row r="30" spans="2:8" ht="21.75" customHeight="1" x14ac:dyDescent="0.25">
      <c r="B30" s="109" t="s">
        <v>277</v>
      </c>
      <c r="C30" s="109"/>
      <c r="D30" s="109"/>
      <c r="E30" s="109"/>
      <c r="F30" s="109"/>
      <c r="G30" s="109"/>
    </row>
    <row r="31" spans="2:8" x14ac:dyDescent="0.25">
      <c r="B31" s="7" t="s">
        <v>218</v>
      </c>
      <c r="C31" s="9" t="s">
        <v>278</v>
      </c>
      <c r="D31" s="110" t="s">
        <v>279</v>
      </c>
      <c r="E31" s="110"/>
      <c r="F31" s="110"/>
      <c r="G31" s="110"/>
    </row>
    <row r="32" spans="2:8" ht="19.5" customHeight="1" x14ac:dyDescent="0.25">
      <c r="B32" s="14" t="s">
        <v>221</v>
      </c>
      <c r="C32" s="11" t="s">
        <v>280</v>
      </c>
      <c r="D32" s="124" t="s">
        <v>281</v>
      </c>
      <c r="E32" s="124"/>
      <c r="F32" s="124"/>
      <c r="G32" s="124"/>
    </row>
    <row r="33" spans="2:7" ht="19.5" customHeight="1" x14ac:dyDescent="0.25">
      <c r="B33" s="24" t="s">
        <v>224</v>
      </c>
      <c r="C33" s="13" t="s">
        <v>282</v>
      </c>
      <c r="D33" s="125" t="s">
        <v>283</v>
      </c>
      <c r="E33" s="125"/>
      <c r="F33" s="125"/>
      <c r="G33" s="125"/>
    </row>
    <row r="34" spans="2:7" ht="19.5" customHeight="1" x14ac:dyDescent="0.25">
      <c r="B34" s="14" t="s">
        <v>225</v>
      </c>
      <c r="C34" s="11" t="s">
        <v>280</v>
      </c>
      <c r="D34" s="124" t="s">
        <v>284</v>
      </c>
      <c r="E34" s="124"/>
      <c r="F34" s="124"/>
      <c r="G34" s="124"/>
    </row>
    <row r="35" spans="2:7" ht="19.5" customHeight="1" x14ac:dyDescent="0.25">
      <c r="B35" s="24" t="s">
        <v>285</v>
      </c>
      <c r="C35" s="13" t="s">
        <v>280</v>
      </c>
      <c r="D35" s="125" t="s">
        <v>286</v>
      </c>
      <c r="E35" s="125"/>
      <c r="F35" s="125"/>
      <c r="G35" s="125"/>
    </row>
    <row r="36" spans="2:7" ht="19.5" customHeight="1" x14ac:dyDescent="0.25">
      <c r="B36" s="14" t="s">
        <v>287</v>
      </c>
      <c r="C36" s="11" t="s">
        <v>288</v>
      </c>
      <c r="D36" s="124" t="s">
        <v>289</v>
      </c>
      <c r="E36" s="124"/>
      <c r="F36" s="124"/>
      <c r="G36" s="124"/>
    </row>
  </sheetData>
  <mergeCells count="27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B12:G12"/>
    <mergeCell ref="F13:G13"/>
    <mergeCell ref="F14:G14"/>
    <mergeCell ref="F15:G15"/>
    <mergeCell ref="F16:G16"/>
    <mergeCell ref="F17:G17"/>
    <mergeCell ref="F18:G18"/>
    <mergeCell ref="F19:G19"/>
    <mergeCell ref="B21:G21"/>
    <mergeCell ref="B29:G29"/>
    <mergeCell ref="B30:G30"/>
    <mergeCell ref="F20:G20"/>
    <mergeCell ref="D36:G36"/>
    <mergeCell ref="D31:G31"/>
    <mergeCell ref="D32:G32"/>
    <mergeCell ref="D33:G33"/>
    <mergeCell ref="D34:G34"/>
    <mergeCell ref="D35:G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 1 – Company Profile</vt:lpstr>
      <vt:lpstr>Tab 2 – Equity Valuation</vt:lpstr>
      <vt:lpstr>Tab 2a-Net Income Calc</vt:lpstr>
      <vt:lpstr>Tab 3 – Ratio Analysis</vt:lpstr>
      <vt:lpstr>Tab 4 – Scenario Analysis</vt:lpstr>
      <vt:lpstr>🔑 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2026-03-03T20:05:29Z</dcterms:created>
  <dcterms:modified xsi:type="dcterms:W3CDTF">2026-03-08T14:31:34Z</dcterms:modified>
  <dc:language>en-US</dc:language>
</cp:coreProperties>
</file>