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ethanyevittsair2/Documents/GitHub/BUS311-Corporate_Finance/02-VALUATION/M07/"/>
    </mc:Choice>
  </mc:AlternateContent>
  <xr:revisionPtr revIDLastSave="0" documentId="8_{98F99A69-8AC1-4C41-BE9A-140B56A70269}" xr6:coauthVersionLast="47" xr6:coauthVersionMax="47" xr10:uidLastSave="{00000000-0000-0000-0000-000000000000}"/>
  <bookViews>
    <workbookView xWindow="0" yWindow="600" windowWidth="38400" windowHeight="19980" xr2:uid="{00000000-000D-0000-FFFF-FFFF00000000}"/>
  </bookViews>
  <sheets>
    <sheet name="Tab 1 – Assumptions" sheetId="1" r:id="rId1"/>
    <sheet name="Tab 2 – Valuation" sheetId="2" r:id="rId2"/>
    <sheet name="Tab 2a – Earnings" sheetId="3" r:id="rId3"/>
    <sheet name="Tab 3 – Scenario Analysis" sheetId="5" r:id="rId4"/>
    <sheet name="Tab 4 – Ratio Analysi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5" l="1"/>
  <c r="C53" i="5"/>
  <c r="B53" i="5"/>
  <c r="D52" i="5"/>
  <c r="C52" i="5"/>
  <c r="B52" i="5"/>
  <c r="D51" i="5"/>
  <c r="C51" i="5"/>
  <c r="B51" i="5"/>
  <c r="D50" i="5"/>
  <c r="C50" i="5"/>
  <c r="B50" i="5"/>
  <c r="D49" i="5"/>
  <c r="C49" i="5"/>
  <c r="B49" i="5"/>
  <c r="D48" i="5"/>
  <c r="C48" i="5"/>
  <c r="B48" i="5"/>
  <c r="D47" i="5"/>
  <c r="C47" i="5"/>
  <c r="B47" i="5"/>
  <c r="E25" i="3"/>
  <c r="D25" i="3"/>
  <c r="C25" i="3"/>
  <c r="E24" i="3"/>
  <c r="D24" i="3"/>
  <c r="C24" i="3"/>
  <c r="E23" i="3"/>
  <c r="D23" i="3"/>
  <c r="C23" i="3"/>
  <c r="B17" i="3"/>
  <c r="B13" i="3"/>
  <c r="B24" i="3" s="1"/>
  <c r="B12" i="3"/>
  <c r="B11" i="3"/>
  <c r="B9" i="3"/>
  <c r="B7" i="3"/>
  <c r="B6" i="3"/>
  <c r="B8" i="3" s="1"/>
  <c r="B10" i="3" s="1"/>
  <c r="B14" i="3" s="1"/>
  <c r="C40" i="2"/>
  <c r="B40" i="2"/>
  <c r="B38" i="2"/>
  <c r="C37" i="2"/>
  <c r="B37" i="2"/>
  <c r="C32" i="2"/>
  <c r="C31" i="2"/>
  <c r="C30" i="2"/>
  <c r="C29" i="2"/>
  <c r="F11" i="2"/>
  <c r="F10" i="2"/>
  <c r="F8" i="2"/>
  <c r="F7" i="2"/>
  <c r="F12" i="2" s="1"/>
  <c r="C38" i="2" s="1"/>
  <c r="B40" i="1"/>
  <c r="B39" i="1"/>
  <c r="B42" i="1" s="1"/>
  <c r="I29" i="1"/>
  <c r="H29" i="1"/>
  <c r="G29" i="1"/>
  <c r="B23" i="1"/>
  <c r="G21" i="1"/>
  <c r="G20" i="1"/>
  <c r="B20" i="1"/>
  <c r="B22" i="1" s="1"/>
  <c r="B24" i="1" s="1"/>
  <c r="G18" i="1"/>
  <c r="B15" i="3" l="1"/>
  <c r="B16" i="3"/>
  <c r="F9" i="2"/>
  <c r="B41" i="1"/>
  <c r="B43" i="1" s="1"/>
  <c r="B44" i="1" s="1"/>
  <c r="C39" i="2"/>
  <c r="B39" i="2"/>
  <c r="B25" i="1"/>
  <c r="B26" i="1"/>
  <c r="I30" i="1"/>
  <c r="H30" i="1"/>
  <c r="G30" i="1"/>
  <c r="B18" i="3" l="1"/>
  <c r="B25" i="3" s="1"/>
  <c r="B23" i="3"/>
</calcChain>
</file>

<file path=xl/sharedStrings.xml><?xml version="1.0" encoding="utf-8"?>
<sst xmlns="http://schemas.openxmlformats.org/spreadsheetml/2006/main" count="572" uniqueCount="330">
  <si>
    <t>APEX TECHNOLOGY CORPORATION — ASSUMPTIONS &amp; SOURCE DATA</t>
  </si>
  <si>
    <t>All hardcoded case facts live here. Build every downstream calculation with cell links; do not embed case numbers in formulas.</t>
  </si>
  <si>
    <t>MODEL CONVENTIONS</t>
  </si>
  <si>
    <t>HYPOTHETICAL TECH VALUATION &amp; IPO INPUTS</t>
  </si>
  <si>
    <t>Item</t>
  </si>
  <si>
    <t>Value</t>
  </si>
  <si>
    <t>Units</t>
  </si>
  <si>
    <t>Calculation note</t>
  </si>
  <si>
    <t>Assumption</t>
  </si>
  <si>
    <t>Use in model</t>
  </si>
  <si>
    <t>Company</t>
  </si>
  <si>
    <t>Apex Technology Corporation</t>
  </si>
  <si>
    <t>Fictional case</t>
  </si>
  <si>
    <t>Next-year dividend (D₁)</t>
  </si>
  <si>
    <t>DDM numerator</t>
  </si>
  <si>
    <t>Financial period</t>
  </si>
  <si>
    <t>Fiscal year ended Dec 31</t>
  </si>
  <si>
    <t>Annual</t>
  </si>
  <si>
    <t>Required return on equity</t>
  </si>
  <si>
    <t>DDM discount rate</t>
  </si>
  <si>
    <t>Model scale</t>
  </si>
  <si>
    <t>$ in thousands; shares in thousands</t>
  </si>
  <si>
    <t>Consistent units</t>
  </si>
  <si>
    <t>Per-share outputs remain dollars per share</t>
  </si>
  <si>
    <t>Perpetual dividend growth</t>
  </si>
  <si>
    <t>DDM growth rate</t>
  </si>
  <si>
    <t>Income tax rate</t>
  </si>
  <si>
    <t>%</t>
  </si>
  <si>
    <t>Applied to positive pre-tax income</t>
  </si>
  <si>
    <t>Year 1 FCFF</t>
  </si>
  <si>
    <t>Calculate in Tab 2 B56; not supplied</t>
  </si>
  <si>
    <t>Short-term debt rate</t>
  </si>
  <si>
    <t>WACC</t>
  </si>
  <si>
    <t>FCFF discount rate</t>
  </si>
  <si>
    <t>Long-term debt rate</t>
  </si>
  <si>
    <t>Long-run FCFF growth</t>
  </si>
  <si>
    <t>FCFF growth rate</t>
  </si>
  <si>
    <t>Tie-out tolerance</t>
  </si>
  <si>
    <t>$000s</t>
  </si>
  <si>
    <t>Rounding threshold for dollar checks</t>
  </si>
  <si>
    <t>Peer P/E</t>
  </si>
  <si>
    <t>Per-share tolerance</t>
  </si>
  <si>
    <t>$ / share</t>
  </si>
  <si>
    <t>Rounding threshold for per-share checks</t>
  </si>
  <si>
    <t>Peer P/S</t>
  </si>
  <si>
    <t>Immediate EV recognition for capex</t>
  </si>
  <si>
    <t>Simplified case: deployed capital enters EV dollar-for-dollar at closing</t>
  </si>
  <si>
    <t>Proposed IPO price</t>
  </si>
  <si>
    <t>Primary offering price per share</t>
  </si>
  <si>
    <t>New primary shares issued</t>
  </si>
  <si>
    <t>Shares in thousands</t>
  </si>
  <si>
    <t>PRE-IPO INCOME STATEMENT</t>
  </si>
  <si>
    <t>Stated gross proceeds</t>
  </si>
  <si>
    <t>Line item</t>
  </si>
  <si>
    <t>IPO issuance fees</t>
  </si>
  <si>
    <t>$000s; simplified case, explicitly modeled</t>
  </si>
  <si>
    <t>Revenue</t>
  </si>
  <si>
    <t>Net proceeds</t>
  </si>
  <si>
    <t>Gross proceeds less fees</t>
  </si>
  <si>
    <t>Cost of goods sold</t>
  </si>
  <si>
    <t>Pre-IPO shares</t>
  </si>
  <si>
    <t>Gross profit</t>
  </si>
  <si>
    <t>Revenue less cost of goods sold</t>
  </si>
  <si>
    <t>Post-IPO shares</t>
  </si>
  <si>
    <t>Pre-IPO plus new shares</t>
  </si>
  <si>
    <t>Operating expenses</t>
  </si>
  <si>
    <t>SG&amp;A plus R&amp;D</t>
  </si>
  <si>
    <t>Gross proceeds check</t>
  </si>
  <si>
    <t>Price × new shares less stated gross proceeds</t>
  </si>
  <si>
    <t>EBIT</t>
  </si>
  <si>
    <t>Gross profit less operating expenses</t>
  </si>
  <si>
    <t>Interest expense</t>
  </si>
  <si>
    <t>Debt balance times stated rates</t>
  </si>
  <si>
    <t>SCENARIO DEPLOYMENT ASSUMPTIONS</t>
  </si>
  <si>
    <t>Earnings before tax</t>
  </si>
  <si>
    <t>EBIT less interest expense</t>
  </si>
  <si>
    <t>Use of net proceeds</t>
  </si>
  <si>
    <t>Scenario A</t>
  </si>
  <si>
    <t>Scenario B</t>
  </si>
  <si>
    <t>Scenario C</t>
  </si>
  <si>
    <t>Income tax</t>
  </si>
  <si>
    <t>Earnings before tax times tax rate</t>
  </si>
  <si>
    <t>Scenario label</t>
  </si>
  <si>
    <t>Maximum debt reduction</t>
  </si>
  <si>
    <t>Growth investment</t>
  </si>
  <si>
    <t>Balanced mix</t>
  </si>
  <si>
    <t>Net income</t>
  </si>
  <si>
    <t>Earnings before tax less income tax</t>
  </si>
  <si>
    <t>Debt repayment</t>
  </si>
  <si>
    <t>Growth capex / operating assets</t>
  </si>
  <si>
    <t>PRE-IPO BALANCE SHEET</t>
  </si>
  <si>
    <t>Cash retained</t>
  </si>
  <si>
    <t>Total uses</t>
  </si>
  <si>
    <t>Cash &amp; equivalents</t>
  </si>
  <si>
    <t>Sources &amp; uses check</t>
  </si>
  <si>
    <t>Accounts receivable</t>
  </si>
  <si>
    <t>Rationale</t>
  </si>
  <si>
    <t>Repay all existing debt; retain excess cash</t>
  </si>
  <si>
    <t>Fund operating assets; retain existing debt</t>
  </si>
  <si>
    <t>Reduce leverage while funding growth</t>
  </si>
  <si>
    <t>Inventory</t>
  </si>
  <si>
    <t>Property, plant &amp; equipment</t>
  </si>
  <si>
    <t>Intangibles &amp; goodwill</t>
  </si>
  <si>
    <t>Accounts payable</t>
  </si>
  <si>
    <t>Short-term debt</t>
  </si>
  <si>
    <t>COLOR &amp; FORMULA LEGEND</t>
  </si>
  <si>
    <t>Long-term debt</t>
  </si>
  <si>
    <t>Yellow fill + blue text</t>
  </si>
  <si>
    <t>Student build cell</t>
  </si>
  <si>
    <t>Enter a formula or written response</t>
  </si>
  <si>
    <t>Common equity</t>
  </si>
  <si>
    <t>Gray fill + black text</t>
  </si>
  <si>
    <t>Provided assumption</t>
  </si>
  <si>
    <t>Reference; do not retype downstream</t>
  </si>
  <si>
    <t>Total current assets</t>
  </si>
  <si>
    <t>Cash plus receivables plus inventory</t>
  </si>
  <si>
    <t>Green text</t>
  </si>
  <si>
    <t>Linked formula output</t>
  </si>
  <si>
    <t>Use only after the related formula is built</t>
  </si>
  <si>
    <t>Total debt</t>
  </si>
  <si>
    <t>Short-term plus long-term debt</t>
  </si>
  <si>
    <t>Total liabilities</t>
  </si>
  <si>
    <t>Accounts payable plus total debt</t>
  </si>
  <si>
    <t>Total assets</t>
  </si>
  <si>
    <t>Current assets plus PP&amp;E plus intangibles</t>
  </si>
  <si>
    <t>Total liabilities &amp; equity</t>
  </si>
  <si>
    <t>Total liabilities plus common equity</t>
  </si>
  <si>
    <t>Balance sheet check</t>
  </si>
  <si>
    <t>Total assets less liabilities and equity; must equal zero</t>
  </si>
  <si>
    <t>PRE-IPO TECH SCENARIO: HYPOTHETICAL YEAR 1 OPERATING INPUTS</t>
  </si>
  <si>
    <t>Teaching assumptions for a mature dividend-paying tech company. Value immediately before the IPO. Assume stable growth from Year 1, constant rates, and all existing cash is excess cash. These are fictional scenario inputs, not market estimates.</t>
  </si>
  <si>
    <t>Year 1 input</t>
  </si>
  <si>
    <t>Scenario assumption</t>
  </si>
  <si>
    <t>Flat EBIT versus case history</t>
  </si>
  <si>
    <t>DDM assumes D1 = $0.84, cost of equity = 10.5%, and dividend growth = 4%. FCFF assumes WACC = 9% and growth = 4%. Evaluate payout capacity and reinvestment needs before treating either model as credible.</t>
  </si>
  <si>
    <t>Depreciation &amp; amortization</t>
  </si>
  <si>
    <t>Noncash expense included in EBIT</t>
  </si>
  <si>
    <t>Recurring operating capex</t>
  </si>
  <si>
    <t>Pre-IPO operating investment; excludes IPO-funded projects</t>
  </si>
  <si>
    <t>Increase in operating NWC</t>
  </si>
  <si>
    <t>Cash investment; excludes cash and debt</t>
  </si>
  <si>
    <t>APEX TECHNOLOGY CORPORATION — PRE-IPO EQUITY VALUATION</t>
  </si>
  <si>
    <t>Required: calculate Year 1 FCFF in B50:B56, link F6 to B56, then build DDM B11 and FCFF F13:F15. Use existing debt, cash, and 50M pre-IPO shares. Compare with the $20 proposed offer.</t>
  </si>
  <si>
    <t>PART A — DIVIDEND DISCOUNT MODEL</t>
  </si>
  <si>
    <t>PART B — FREE CASH FLOW TO FIRM</t>
  </si>
  <si>
    <t>Input / output</t>
  </si>
  <si>
    <t>Formula logic</t>
  </si>
  <si>
    <t>Link to assumptions</t>
  </si>
  <si>
    <t>Projected FCFF — Year 1</t>
  </si>
  <si>
    <t>Link to calculated FCFF</t>
  </si>
  <si>
    <t>Required return (r)</t>
  </si>
  <si>
    <t>Perpetual growth (g)</t>
  </si>
  <si>
    <t>Perpetual FCFF growth</t>
  </si>
  <si>
    <t>DDM denominator</t>
  </si>
  <si>
    <t>Required return less growth</t>
  </si>
  <si>
    <t>Cash</t>
  </si>
  <si>
    <t>DDM value per share</t>
  </si>
  <si>
    <t>D1 divided by (r − g); r must exceed g</t>
  </si>
  <si>
    <t>000s shares</t>
  </si>
  <si>
    <t>FCFF denominator</t>
  </si>
  <si>
    <t>WACC less growth</t>
  </si>
  <si>
    <t>Enterprise value</t>
  </si>
  <si>
    <t>FCFF₁ divided by (WACC − g)</t>
  </si>
  <si>
    <t>Pre-money equity value</t>
  </si>
  <si>
    <t>Enterprise value less debt plus cash</t>
  </si>
  <si>
    <t>FCFF value per pre-IPO share</t>
  </si>
  <si>
    <t>Pre-money equity value divided by pre-IPO shares</t>
  </si>
  <si>
    <t>PART C — RELATIVE VALUATION</t>
  </si>
  <si>
    <t>Input</t>
  </si>
  <si>
    <t>Student calculation</t>
  </si>
  <si>
    <t>Pre-IPO net income</t>
  </si>
  <si>
    <t>Earnings per share</t>
  </si>
  <si>
    <t>Net income divided by pre-IPO shares</t>
  </si>
  <si>
    <t>P/E implied price</t>
  </si>
  <si>
    <t>EPS times peer P/E</t>
  </si>
  <si>
    <t>Revenue per share</t>
  </si>
  <si>
    <t>Revenue divided by pre-IPO shares</t>
  </si>
  <si>
    <t>x</t>
  </si>
  <si>
    <t>P/S implied price</t>
  </si>
  <si>
    <t>Revenue per share times peer P/S</t>
  </si>
  <si>
    <t>PART D — VALUATION COMPARISON &amp; INTERPRETATION</t>
  </si>
  <si>
    <t>Method</t>
  </si>
  <si>
    <t>Implied value / share</t>
  </si>
  <si>
    <t>Proposed offer</t>
  </si>
  <si>
    <t>Premium / (discount) to model</t>
  </si>
  <si>
    <t>Interpretation / reliability</t>
  </si>
  <si>
    <t>DDM</t>
  </si>
  <si>
    <t>FCFF</t>
  </si>
  <si>
    <t>VALUATION CHECKS</t>
  </si>
  <si>
    <t>Check</t>
  </si>
  <si>
    <t>Status</t>
  </si>
  <si>
    <t>Delta / condition</t>
  </si>
  <si>
    <t>What it tests</t>
  </si>
  <si>
    <t>Required return must exceed perpetual growth</t>
  </si>
  <si>
    <t>WACC must exceed perpetual growth</t>
  </si>
  <si>
    <t>Offer proceeds</t>
  </si>
  <si>
    <t>Offer price × new shares agrees with stated gross proceeds</t>
  </si>
  <si>
    <t>FCFF equity bridge</t>
  </si>
  <si>
    <t>EV less debt plus cash equals pre-money equity value</t>
  </si>
  <si>
    <t>REQUIRED FIRST STEP — CALCULATE YEAR 1 FCFF</t>
  </si>
  <si>
    <t>Use the hypothetical Year 1 inputs from Tab 1 rows 50–53 and tax rate B9. Add back D&amp;A and subtract operating investment. Exclude interest, debt repayment, IPO proceeds, and IPO-funded capex.</t>
  </si>
  <si>
    <t>Cash-flow build</t>
  </si>
  <si>
    <t>Year 1 EBIT</t>
  </si>
  <si>
    <t>Tax rate</t>
  </si>
  <si>
    <t>NOPAT</t>
  </si>
  <si>
    <t>EBIT × (1 − tax rate)</t>
  </si>
  <si>
    <t>Add: D&amp;A</t>
  </si>
  <si>
    <t>Less: operating capex</t>
  </si>
  <si>
    <t>Less: increase in operating NWC</t>
  </si>
  <si>
    <t>NOPAT + D&amp;A − capex − increase in NWC</t>
  </si>
  <si>
    <t>Required interpretation: explain why DDM and FCFF produce different prices. Assess the assumed dividend policy, cash conversion, and perpetual growth. State whether the $20 offer is supported under these assumptions. Do not average the models automatically.</t>
  </si>
  <si>
    <t>APEX TECHNOLOGY CORPORATION — SCENARIO EARNINGS</t>
  </si>
  <si>
    <t>Build each scenario income statement from operating assumptions and post-transaction debt. Interest savings change taxes, net income, and EPS.</t>
  </si>
  <si>
    <t>PRE-IPO AND POST-IPO SCENARIO EARNINGS</t>
  </si>
  <si>
    <t>Pre-IPO</t>
  </si>
  <si>
    <t>Link to the same operating case</t>
  </si>
  <si>
    <t>Pay down short-term debt first</t>
  </si>
  <si>
    <t>Then apply remaining repayment to long-term debt</t>
  </si>
  <si>
    <t>Debt balances times stated rates</t>
  </si>
  <si>
    <t>EBT times tax rate</t>
  </si>
  <si>
    <t>EBT less tax</t>
  </si>
  <si>
    <t>Shares outstanding</t>
  </si>
  <si>
    <t>Pre shares before; diluted post shares after</t>
  </si>
  <si>
    <t>Net income divided by shares</t>
  </si>
  <si>
    <t>EARNINGS AUDIT</t>
  </si>
  <si>
    <t>Purpose</t>
  </si>
  <si>
    <t>Net income identity</t>
  </si>
  <si>
    <t>Net income equals EBT less tax</t>
  </si>
  <si>
    <t>Interest consistency</t>
  </si>
  <si>
    <t>Interest equals short- and long-term debt times stated rates</t>
  </si>
  <si>
    <t>EPS identity</t>
  </si>
  <si>
    <t>EPS times shares equals net income</t>
  </si>
  <si>
    <t>APEX TECHNOLOGY CORPORATION — IPO SOURCES, USES &amp; SCENARIO RECOMMENDATION</t>
  </si>
  <si>
    <t>Complete Parts A–D first to reconcile proceeds, debt, cash, assets, equity, and shares. Then complete Ratio Analysis. Return here to Part E to write your recommendation using the ratios.</t>
  </si>
  <si>
    <t>PART A — IPO SOURCES &amp; USES</t>
  </si>
  <si>
    <t>Gross proceeds</t>
  </si>
  <si>
    <t>Offer price × new shares</t>
  </si>
  <si>
    <t>Less: issuance fees</t>
  </si>
  <si>
    <t>Explicit assumption; no fees hidden</t>
  </si>
  <si>
    <t>Net proceeds available</t>
  </si>
  <si>
    <t>Link to scenario assumptions</t>
  </si>
  <si>
    <t>Debt repayment plus capex plus cash retained</t>
  </si>
  <si>
    <t>Sources less uses</t>
  </si>
  <si>
    <t>Must equal zero</t>
  </si>
  <si>
    <t>PART B — POST-TRANSACTION BALANCE SHEET</t>
  </si>
  <si>
    <t>Pre cash + net proceeds − debt repayment − capex</t>
  </si>
  <si>
    <t>No closing adjustment in case</t>
  </si>
  <si>
    <t>Pre PP&amp;E plus growth capex / operating assets</t>
  </si>
  <si>
    <t>Link to scenario earnings debt schedule</t>
  </si>
  <si>
    <t>Accounts payable plus debt</t>
  </si>
  <si>
    <t>Pre common equity plus net primary proceeds</t>
  </si>
  <si>
    <t>PART C — CAPITAL STRUCTURE &amp; PER-SHARE EFFECTS</t>
  </si>
  <si>
    <t>Metric</t>
  </si>
  <si>
    <t>Pre-money enterprise value</t>
  </si>
  <si>
    <t>Link to FCFF valuation</t>
  </si>
  <si>
    <t>Post-money enterprise value</t>
  </si>
  <si>
    <t>Pre EV plus capex × recognition assumption</t>
  </si>
  <si>
    <t>Post-IPO total debt</t>
  </si>
  <si>
    <t>Post-IPO cash</t>
  </si>
  <si>
    <t>Link to post-transaction balance sheet</t>
  </si>
  <si>
    <t>Post-money equity value</t>
  </si>
  <si>
    <t>Post EV less debt plus cash</t>
  </si>
  <si>
    <t>Pre shares plus new shares</t>
  </si>
  <si>
    <t>Modeled post-money value / share</t>
  </si>
  <si>
    <t>Post-money equity value divided by post shares</t>
  </si>
  <si>
    <t>Scenario net income divided by post shares</t>
  </si>
  <si>
    <t>Book value per share</t>
  </si>
  <si>
    <t>Post common equity divided by post shares</t>
  </si>
  <si>
    <t>Prior-holder ownership</t>
  </si>
  <si>
    <t>Pre shares divided by post shares</t>
  </si>
  <si>
    <t>Offer premium / (discount) to modeled post-money value</t>
  </si>
  <si>
    <t>Offer price divided by modeled value less one</t>
  </si>
  <si>
    <t>PART D — TIE-OUT CHECKS</t>
  </si>
  <si>
    <t>Tolerance</t>
  </si>
  <si>
    <t>What it proves</t>
  </si>
  <si>
    <t>Sources = uses</t>
  </si>
  <si>
    <t>Net proceeds are fully deployed or retained</t>
  </si>
  <si>
    <t>Debt roll-forward</t>
  </si>
  <si>
    <t>Pre debt less repayment equals post debt</t>
  </si>
  <si>
    <t>New equity</t>
  </si>
  <si>
    <t>Post book equity equals pre equity plus net proceeds</t>
  </si>
  <si>
    <t>Balance sheet</t>
  </si>
  <si>
    <t>Assets equal liabilities plus equity</t>
  </si>
  <si>
    <t>Share count</t>
  </si>
  <si>
    <t>Pre shares plus new shares equals post shares</t>
  </si>
  <si>
    <t>Post-money equity bridge</t>
  </si>
  <si>
    <t>Post-money equity equals pre-money equity plus net proceeds</t>
  </si>
  <si>
    <t>Per-share identity</t>
  </si>
  <si>
    <t>Modeled value per share equals post-money equity value divided by post shares</t>
  </si>
  <si>
    <t>PART E — RETURN AFTER RATIO ANALYSIS: IPO RECOMMENDATION</t>
  </si>
  <si>
    <t>Offer-price recommendation</t>
  </si>
  <si>
    <t>State approve, reprice, or request evidence. Justify any proposed price or range with explicit scenarios.</t>
  </si>
  <si>
    <t>Proceeds deployment</t>
  </si>
  <si>
    <t>Choose Scenario A, B, or C; tie the choice to sources-and-uses and strategy.</t>
  </si>
  <si>
    <t>Valuation evidence</t>
  </si>
  <si>
    <t>Cite at least two models and explain why their results differ.</t>
  </si>
  <si>
    <t>Balance-sheet evidence</t>
  </si>
  <si>
    <t>Cite at least two reconciled debt, liquidity, or capital-structure outputs.</t>
  </si>
  <si>
    <t>Per-share / ratio evidence</t>
  </si>
  <si>
    <t>Cite EPS or value per share plus at least one audited ratio.</t>
  </si>
  <si>
    <t>Primary risk or limitation</t>
  </si>
  <si>
    <t>Identify the assumption most likely to change the decision.</t>
  </si>
  <si>
    <t>Monitoring trigger</t>
  </si>
  <si>
    <t>State a measurable item that would cause you to revisit price or deployment.</t>
  </si>
  <si>
    <t>APEX TECHNOLOGY CORPORATION — RATIO &amp; PER-SHARE ANALYSIS</t>
  </si>
  <si>
    <t>Complete Scenario Analysis Parts A–D and Earnings first. Then calculate the pre-IPO baseline and scenario ratios. Return to Scenario Analysis Part E to write your recommendation using this evidence.</t>
  </si>
  <si>
    <t>AUDITED DEFINITIONS — BUILD EVERY VALUE WITH LINKED FORMULAS</t>
  </si>
  <si>
    <t>Definition / denominator</t>
  </si>
  <si>
    <t>Interpretation / decision relevance</t>
  </si>
  <si>
    <t>Debt-to-equity</t>
  </si>
  <si>
    <t>Interest-bearing debt / common equity</t>
  </si>
  <si>
    <t>Current ratio</t>
  </si>
  <si>
    <t>Current assets / current liabilities</t>
  </si>
  <si>
    <t>Interest coverage</t>
  </si>
  <si>
    <t>EBIT / interest expense; N/M when interest is zero</t>
  </si>
  <si>
    <t>ROE (simplified)</t>
  </si>
  <si>
    <t>Net income / ending common equity</t>
  </si>
  <si>
    <t>Liabilities-to-assets</t>
  </si>
  <si>
    <t>Total liabilities / total assets</t>
  </si>
  <si>
    <t>ROA (simplified)</t>
  </si>
  <si>
    <t>Net income / ending total assets</t>
  </si>
  <si>
    <t>Net profit margin</t>
  </si>
  <si>
    <t>Net income / revenue</t>
  </si>
  <si>
    <t>Net income / diluted shares outstanding</t>
  </si>
  <si>
    <t>Common equity / shares outstanding</t>
  </si>
  <si>
    <t>REFLECTION &amp; AUDIT QUESTIONS</t>
  </si>
  <si>
    <t>Which scenario produces the strongest credit profile, and which linked ratios support that conclusion?</t>
  </si>
  <si>
    <t>Why can ROE and EPS decline after an IPO even when total net income rises?</t>
  </si>
  <si>
    <t>Which scenario has the strongest year-one EPS, and what long-run growth trade-off is not captured?</t>
  </si>
  <si>
    <t>Which ratio is most sensitive to the cash-retained assumption? Trace the numerator and denominator.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</si>
</sst>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Red]\(0.0%\);\-"/>
    <numFmt numFmtId="165" formatCode="\$#,##0;[Red]\(\$#,##0\);\-"/>
    <numFmt numFmtId="166" formatCode="\$0.00;[Red]\(\$0.00\);\-"/>
    <numFmt numFmtId="167" formatCode="0.00\x;[Red]\(0.00\x\);\-"/>
    <numFmt numFmtId="168" formatCode="#,##0;[Red]\(#,##0\);\-"/>
    <numFmt numFmtId="169" formatCode="#,##0;\(#,##0\);&quot;-&quot;"/>
    <numFmt numFmtId="170" formatCode="0.0%"/>
  </numFmts>
  <fonts count="16">
    <font>
      <sz val="11"/>
      <name val="Carlito"/>
    </font>
    <font>
      <b/>
      <sz val="18"/>
      <color rgb="FFD4AF37"/>
      <name val="Aptos Display"/>
    </font>
    <font>
      <i/>
      <sz val="10"/>
      <color rgb="FF1F2A5C"/>
      <name val="Aptos"/>
    </font>
    <font>
      <b/>
      <sz val="12"/>
      <color rgb="FFD4AF37"/>
      <name val="Aptos Display"/>
    </font>
    <font>
      <b/>
      <sz val="10"/>
      <color rgb="FFFFFFFF"/>
      <name val="Aptos"/>
    </font>
    <font>
      <sz val="10"/>
      <color rgb="FF1F2937"/>
      <name val="Aptos"/>
    </font>
    <font>
      <i/>
      <sz val="9"/>
      <color rgb="FF1F2A5C"/>
      <name val="Aptos"/>
    </font>
    <font>
      <sz val="9"/>
      <color rgb="FF0000FF"/>
      <name val="Aptos"/>
    </font>
    <font>
      <sz val="9"/>
      <color rgb="FF008000"/>
      <name val="Aptos"/>
    </font>
    <font>
      <sz val="10"/>
      <color rgb="FF0000FF"/>
      <name val="Aptos"/>
    </font>
    <font>
      <b/>
      <sz val="10"/>
      <color rgb="FF5B677A"/>
      <name val="Aptos"/>
    </font>
    <font>
      <sz val="9"/>
      <color rgb="FF1F2A5C"/>
      <name val="Aptos"/>
    </font>
    <font>
      <sz val="11"/>
      <color rgb="FF142D43"/>
      <name val="Arial"/>
      <family val="2"/>
    </font>
    <font>
      <b/>
      <sz val="11"/>
      <color rgb="FFFFFFFF"/>
      <name val="Arial"/>
      <family val="2"/>
    </font>
    <font>
      <b/>
      <sz val="11"/>
      <color rgb="FFE6A817"/>
      <name val="Arial"/>
      <family val="2"/>
    </font>
    <font>
      <sz val="11"/>
      <color rgb="FF0000FF"/>
      <name val="Arial"/>
      <family val="2"/>
    </font>
  </fonts>
  <fills count="12">
    <fill>
      <patternFill patternType="none"/>
    </fill>
    <fill>
      <patternFill patternType="gray125"/>
    </fill>
    <fill>
      <patternFill patternType="solid">
        <fgColor rgb="FF1F2A5C"/>
      </patternFill>
    </fill>
    <fill>
      <patternFill patternType="solid">
        <fgColor rgb="FFDCE8F8"/>
      </patternFill>
    </fill>
    <fill>
      <patternFill patternType="solid">
        <fgColor rgb="FFF3F5F7"/>
      </patternFill>
    </fill>
    <fill>
      <patternFill patternType="solid">
        <fgColor rgb="FFFFF4CC"/>
      </patternFill>
    </fill>
    <fill>
      <patternFill patternType="solid">
        <fgColor rgb="FFE2F0D9"/>
      </patternFill>
    </fill>
    <fill>
      <patternFill patternType="solid">
        <fgColor rgb="FFF2F4F7"/>
      </patternFill>
    </fill>
    <fill>
      <patternFill patternType="solid">
        <fgColor rgb="FF202A5B"/>
      </patternFill>
    </fill>
    <fill>
      <patternFill patternType="solid">
        <fgColor rgb="FFFFF2CC"/>
      </patternFill>
    </fill>
    <fill>
      <patternFill patternType="solid">
        <fgColor rgb="FF202A5B"/>
      </patternFill>
    </fill>
    <fill>
      <patternFill patternType="solid">
        <fgColor rgb="FFF2F4F7"/>
      </patternFill>
    </fill>
  </fills>
  <borders count="16">
    <border>
      <left/>
      <right/>
      <top/>
      <bottom/>
      <diagonal/>
    </border>
    <border>
      <left style="thin">
        <color rgb="FFC8D2E3"/>
      </left>
      <right style="thin">
        <color rgb="FFC8D2E3"/>
      </right>
      <top style="thin">
        <color rgb="FFC8D2E3"/>
      </top>
      <bottom style="thin">
        <color rgb="FFC8D2E3"/>
      </bottom>
      <diagonal/>
    </border>
    <border>
      <left/>
      <right style="thin">
        <color rgb="FFC8D2E3"/>
      </right>
      <top/>
      <bottom style="thin">
        <color rgb="FFC8D2E3"/>
      </bottom>
      <diagonal/>
    </border>
    <border>
      <left style="thin">
        <color rgb="FFC8D2E3"/>
      </left>
      <right style="thin">
        <color rgb="FFC8D2E3"/>
      </right>
      <top/>
      <bottom style="thin">
        <color rgb="FFC8D2E3"/>
      </bottom>
      <diagonal/>
    </border>
    <border>
      <left style="thin">
        <color rgb="FFC8D2E3"/>
      </left>
      <right/>
      <top/>
      <bottom style="thin">
        <color rgb="FFC8D2E3"/>
      </bottom>
      <diagonal/>
    </border>
    <border>
      <left/>
      <right style="thin">
        <color rgb="FFC8D2E3"/>
      </right>
      <top style="thin">
        <color rgb="FFC8D2E3"/>
      </top>
      <bottom style="thin">
        <color rgb="FFC8D2E3"/>
      </bottom>
      <diagonal/>
    </border>
    <border>
      <left style="thin">
        <color rgb="FFC8D2E3"/>
      </left>
      <right/>
      <top style="thin">
        <color rgb="FFC8D2E3"/>
      </top>
      <bottom style="thin">
        <color rgb="FFC8D2E3"/>
      </bottom>
      <diagonal/>
    </border>
    <border>
      <left/>
      <right style="thin">
        <color rgb="FFC8D2E3"/>
      </right>
      <top style="thin">
        <color rgb="FFC8D2E3"/>
      </top>
      <bottom/>
      <diagonal/>
    </border>
    <border>
      <left style="thin">
        <color rgb="FFC8D2E3"/>
      </left>
      <right style="thin">
        <color rgb="FFC8D2E3"/>
      </right>
      <top style="thin">
        <color rgb="FFC8D2E3"/>
      </top>
      <bottom/>
      <diagonal/>
    </border>
    <border>
      <left style="thin">
        <color rgb="FFC8D2E3"/>
      </left>
      <right/>
      <top style="thin">
        <color rgb="FFC8D2E3"/>
      </top>
      <bottom/>
      <diagonal/>
    </border>
    <border>
      <left/>
      <right/>
      <top style="thin">
        <color rgb="FFC8D2E3"/>
      </top>
      <bottom/>
      <diagonal/>
    </border>
    <border>
      <left/>
      <right/>
      <top/>
      <bottom style="thin">
        <color rgb="FFC8D2E3"/>
      </bottom>
      <diagonal/>
    </border>
    <border>
      <left/>
      <right style="thin">
        <color rgb="FFC8D2E3"/>
      </right>
      <top/>
      <bottom/>
      <diagonal/>
    </border>
    <border>
      <left style="thin">
        <color rgb="FFC8D2E3"/>
      </left>
      <right style="thin">
        <color rgb="FFC8D2E3"/>
      </right>
      <top/>
      <bottom/>
      <diagonal/>
    </border>
    <border>
      <left style="thin">
        <color rgb="FFC8D2E3"/>
      </left>
      <right/>
      <top/>
      <bottom/>
      <diagonal/>
    </border>
    <border>
      <left style="thin">
        <color rgb="FFCFD9DF"/>
      </left>
      <right style="thin">
        <color rgb="FFCFD9DF"/>
      </right>
      <top style="thin">
        <color rgb="FFCFD9DF"/>
      </top>
      <bottom style="thin">
        <color rgb="FFCFD9DF"/>
      </bottom>
      <diagonal/>
    </border>
  </borders>
  <cellStyleXfs count="1">
    <xf numFmtId="0" fontId="0" fillId="0" borderId="0"/>
  </cellStyleXfs>
  <cellXfs count="88">
    <xf numFmtId="0" fontId="0" fillId="0" borderId="0" xfId="0"/>
    <xf numFmtId="0" fontId="4" fillId="2" borderId="1" xfId="0" applyFont="1" applyFill="1" applyBorder="1" applyAlignment="1">
      <alignment horizontal="center" vertical="center" wrapText="1"/>
    </xf>
    <xf numFmtId="0" fontId="5" fillId="4" borderId="1" xfId="0" applyFont="1" applyFill="1" applyBorder="1" applyAlignment="1">
      <alignment vertical="center" wrapText="1"/>
    </xf>
    <xf numFmtId="164" fontId="5" fillId="4" borderId="1" xfId="0" applyNumberFormat="1" applyFont="1" applyFill="1" applyBorder="1" applyAlignment="1">
      <alignment vertical="center" wrapText="1"/>
    </xf>
    <xf numFmtId="165" fontId="5" fillId="4" borderId="1" xfId="0" applyNumberFormat="1" applyFont="1" applyFill="1" applyBorder="1" applyAlignment="1">
      <alignment vertical="center" wrapText="1"/>
    </xf>
    <xf numFmtId="166" fontId="5" fillId="4" borderId="1" xfId="0" applyNumberFormat="1" applyFont="1" applyFill="1" applyBorder="1" applyAlignment="1">
      <alignment vertical="center" wrapText="1"/>
    </xf>
    <xf numFmtId="0" fontId="5" fillId="0" borderId="2"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5" xfId="0" applyFont="1" applyBorder="1" applyAlignment="1">
      <alignment vertical="center"/>
    </xf>
    <xf numFmtId="0" fontId="5" fillId="0" borderId="1" xfId="0" applyFont="1" applyBorder="1" applyAlignment="1">
      <alignment vertical="center"/>
    </xf>
    <xf numFmtId="0" fontId="5"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5" fillId="0" borderId="9" xfId="0" applyFont="1" applyBorder="1" applyAlignment="1">
      <alignment vertical="center"/>
    </xf>
    <xf numFmtId="165" fontId="5" fillId="0" borderId="3" xfId="0" applyNumberFormat="1" applyFont="1" applyBorder="1" applyAlignment="1">
      <alignment vertical="center"/>
    </xf>
    <xf numFmtId="165" fontId="5" fillId="0" borderId="1" xfId="0" applyNumberFormat="1" applyFont="1" applyBorder="1" applyAlignment="1">
      <alignment vertical="center"/>
    </xf>
    <xf numFmtId="165" fontId="5" fillId="0" borderId="8" xfId="0" applyNumberFormat="1" applyFont="1" applyBorder="1" applyAlignment="1">
      <alignment vertical="center"/>
    </xf>
    <xf numFmtId="167" fontId="5" fillId="4" borderId="1" xfId="0" applyNumberFormat="1" applyFont="1" applyFill="1" applyBorder="1" applyAlignment="1">
      <alignment vertical="center" wrapText="1"/>
    </xf>
    <xf numFmtId="168" fontId="5" fillId="4" borderId="1" xfId="0" applyNumberFormat="1" applyFont="1" applyFill="1" applyBorder="1" applyAlignment="1">
      <alignment vertical="center" wrapText="1"/>
    </xf>
    <xf numFmtId="0" fontId="7" fillId="5" borderId="2" xfId="0" applyFont="1" applyFill="1" applyBorder="1" applyAlignment="1">
      <alignment vertical="center"/>
    </xf>
    <xf numFmtId="0" fontId="7" fillId="5" borderId="3" xfId="0" applyFont="1" applyFill="1" applyBorder="1" applyAlignment="1">
      <alignment vertical="center"/>
    </xf>
    <xf numFmtId="0" fontId="7" fillId="5" borderId="4" xfId="0" applyFont="1" applyFill="1" applyBorder="1" applyAlignment="1">
      <alignment vertical="center"/>
    </xf>
    <xf numFmtId="0" fontId="5" fillId="4" borderId="5" xfId="0" applyFont="1" applyFill="1" applyBorder="1" applyAlignment="1">
      <alignment vertical="center"/>
    </xf>
    <xf numFmtId="0" fontId="5" fillId="4" borderId="1" xfId="0" applyFont="1" applyFill="1" applyBorder="1" applyAlignment="1">
      <alignment vertical="center"/>
    </xf>
    <xf numFmtId="0" fontId="5" fillId="4" borderId="6" xfId="0" applyFont="1" applyFill="1" applyBorder="1" applyAlignment="1">
      <alignment vertical="center"/>
    </xf>
    <xf numFmtId="0" fontId="8" fillId="6" borderId="7" xfId="0" applyFont="1" applyFill="1" applyBorder="1" applyAlignment="1">
      <alignment vertical="center"/>
    </xf>
    <xf numFmtId="0" fontId="8" fillId="6" borderId="8" xfId="0" applyFont="1" applyFill="1" applyBorder="1" applyAlignment="1">
      <alignment vertical="center"/>
    </xf>
    <xf numFmtId="0" fontId="8" fillId="6" borderId="9" xfId="0" applyFont="1" applyFill="1" applyBorder="1" applyAlignment="1">
      <alignment vertical="center"/>
    </xf>
    <xf numFmtId="0" fontId="9" fillId="5" borderId="1" xfId="0" applyFont="1" applyFill="1" applyBorder="1" applyAlignment="1">
      <alignment vertical="center" wrapText="1"/>
    </xf>
    <xf numFmtId="166" fontId="5" fillId="0" borderId="3" xfId="0" applyNumberFormat="1" applyFont="1" applyBorder="1" applyAlignment="1">
      <alignment vertical="center"/>
    </xf>
    <xf numFmtId="164" fontId="5" fillId="0" borderId="1" xfId="0" applyNumberFormat="1" applyFont="1" applyBorder="1" applyAlignment="1">
      <alignment vertical="center"/>
    </xf>
    <xf numFmtId="166" fontId="9" fillId="5" borderId="1" xfId="0" applyNumberFormat="1" applyFont="1" applyFill="1" applyBorder="1" applyAlignment="1">
      <alignment vertical="center" wrapText="1"/>
    </xf>
    <xf numFmtId="168" fontId="5" fillId="0" borderId="1" xfId="0" applyNumberFormat="1" applyFont="1" applyBorder="1" applyAlignment="1">
      <alignment vertical="center"/>
    </xf>
    <xf numFmtId="165" fontId="9" fillId="5" borderId="1" xfId="0" applyNumberFormat="1" applyFont="1" applyFill="1" applyBorder="1" applyAlignment="1">
      <alignment vertical="center" wrapText="1"/>
    </xf>
    <xf numFmtId="166" fontId="5" fillId="0" borderId="1" xfId="0" applyNumberFormat="1" applyFont="1" applyBorder="1" applyAlignment="1">
      <alignment vertical="center"/>
    </xf>
    <xf numFmtId="166" fontId="5" fillId="0" borderId="8" xfId="0" applyNumberFormat="1" applyFont="1" applyBorder="1" applyAlignment="1">
      <alignment vertical="center"/>
    </xf>
    <xf numFmtId="164" fontId="9" fillId="5" borderId="1" xfId="0" applyNumberFormat="1" applyFont="1" applyFill="1" applyBorder="1" applyAlignment="1">
      <alignment vertical="center" wrapText="1"/>
    </xf>
    <xf numFmtId="0" fontId="10" fillId="5" borderId="1" xfId="0" applyFont="1" applyFill="1" applyBorder="1" applyAlignment="1">
      <alignment horizontal="center" vertical="center"/>
    </xf>
    <xf numFmtId="164" fontId="5" fillId="0" borderId="3" xfId="0" applyNumberFormat="1" applyFont="1" applyBorder="1" applyAlignment="1">
      <alignment vertical="center"/>
    </xf>
    <xf numFmtId="168" fontId="9" fillId="5" borderId="1" xfId="0" applyNumberFormat="1" applyFont="1" applyFill="1" applyBorder="1" applyAlignment="1">
      <alignment vertical="center" wrapText="1"/>
    </xf>
    <xf numFmtId="165" fontId="5" fillId="4" borderId="3" xfId="0" applyNumberFormat="1" applyFont="1" applyFill="1" applyBorder="1" applyAlignment="1">
      <alignment vertical="center"/>
    </xf>
    <xf numFmtId="165" fontId="5" fillId="4" borderId="1" xfId="0" applyNumberFormat="1" applyFont="1" applyFill="1" applyBorder="1" applyAlignment="1">
      <alignment vertical="center"/>
    </xf>
    <xf numFmtId="168" fontId="5" fillId="4" borderId="1" xfId="0" applyNumberFormat="1" applyFont="1" applyFill="1" applyBorder="1" applyAlignment="1">
      <alignment vertical="center"/>
    </xf>
    <xf numFmtId="166" fontId="5" fillId="4" borderId="8" xfId="0" applyNumberFormat="1" applyFont="1" applyFill="1" applyBorder="1" applyAlignment="1">
      <alignment vertical="center"/>
    </xf>
    <xf numFmtId="167" fontId="9" fillId="5" borderId="1" xfId="0" applyNumberFormat="1" applyFont="1" applyFill="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12" xfId="0" applyFont="1" applyBorder="1" applyAlignment="1">
      <alignment vertical="center"/>
    </xf>
    <xf numFmtId="0" fontId="5" fillId="0" borderId="13" xfId="0" applyFont="1" applyBorder="1" applyAlignment="1">
      <alignment vertical="center"/>
    </xf>
    <xf numFmtId="0" fontId="5" fillId="0" borderId="14" xfId="0" applyFont="1" applyBorder="1" applyAlignment="1">
      <alignment vertical="center"/>
    </xf>
    <xf numFmtId="0" fontId="12" fillId="7" borderId="15" xfId="0" applyFont="1" applyFill="1" applyBorder="1" applyAlignment="1">
      <alignment vertical="center" wrapText="1"/>
    </xf>
    <xf numFmtId="165" fontId="12" fillId="7" borderId="15" xfId="0" applyNumberFormat="1" applyFont="1" applyFill="1" applyBorder="1" applyAlignment="1">
      <alignment vertical="center" wrapText="1"/>
    </xf>
    <xf numFmtId="0" fontId="12" fillId="7" borderId="15" xfId="0" applyFont="1" applyFill="1" applyBorder="1" applyAlignment="1">
      <alignment wrapText="1"/>
    </xf>
    <xf numFmtId="0" fontId="13" fillId="8" borderId="15" xfId="0" applyFont="1" applyFill="1" applyBorder="1" applyAlignment="1">
      <alignment horizontal="center" vertical="center" wrapText="1"/>
    </xf>
    <xf numFmtId="0" fontId="13" fillId="8" borderId="15" xfId="0" applyFont="1" applyFill="1" applyBorder="1" applyAlignment="1">
      <alignment wrapText="1"/>
    </xf>
    <xf numFmtId="169" fontId="12" fillId="7" borderId="15" xfId="0" applyNumberFormat="1" applyFont="1" applyFill="1" applyBorder="1" applyAlignment="1">
      <alignment vertical="center" wrapText="1"/>
    </xf>
    <xf numFmtId="169" fontId="12" fillId="7" borderId="15" xfId="0" applyNumberFormat="1" applyFont="1" applyFill="1" applyBorder="1" applyAlignment="1">
      <alignment wrapText="1"/>
    </xf>
    <xf numFmtId="166" fontId="9" fillId="9" borderId="3" xfId="0" applyNumberFormat="1" applyFont="1" applyFill="1" applyBorder="1" applyAlignment="1">
      <alignment vertical="center"/>
    </xf>
    <xf numFmtId="164" fontId="9" fillId="9" borderId="1" xfId="0" applyNumberFormat="1" applyFont="1" applyFill="1" applyBorder="1" applyAlignment="1">
      <alignment vertical="center"/>
    </xf>
    <xf numFmtId="0" fontId="13" fillId="10" borderId="0" xfId="0" applyFont="1" applyFill="1" applyAlignment="1">
      <alignment wrapText="1"/>
    </xf>
    <xf numFmtId="0" fontId="12" fillId="0" borderId="0" xfId="0" applyFont="1" applyAlignment="1">
      <alignment vertical="center" wrapText="1"/>
    </xf>
    <xf numFmtId="165" fontId="9" fillId="9" borderId="3" xfId="0" applyNumberFormat="1" applyFont="1" applyFill="1" applyBorder="1" applyAlignment="1">
      <alignment vertical="center"/>
    </xf>
    <xf numFmtId="169" fontId="15" fillId="11" borderId="0" xfId="0" applyNumberFormat="1" applyFont="1" applyFill="1" applyAlignment="1">
      <alignment vertical="center" wrapText="1"/>
    </xf>
    <xf numFmtId="169" fontId="15" fillId="9" borderId="0" xfId="0" applyNumberFormat="1" applyFont="1" applyFill="1" applyAlignment="1">
      <alignment vertical="center" wrapText="1"/>
    </xf>
    <xf numFmtId="170" fontId="15" fillId="9" borderId="0" xfId="0" applyNumberFormat="1" applyFont="1" applyFill="1" applyAlignment="1">
      <alignment vertical="center" wrapText="1"/>
    </xf>
    <xf numFmtId="168" fontId="9" fillId="9" borderId="1" xfId="0" applyNumberFormat="1" applyFont="1" applyFill="1" applyBorder="1" applyAlignment="1">
      <alignment vertical="center"/>
    </xf>
    <xf numFmtId="165" fontId="9" fillId="9" borderId="1" xfId="0" applyNumberFormat="1" applyFont="1" applyFill="1" applyBorder="1" applyAlignment="1">
      <alignment vertical="center"/>
    </xf>
    <xf numFmtId="167" fontId="9" fillId="9" borderId="1" xfId="0" applyNumberFormat="1" applyFont="1" applyFill="1" applyBorder="1" applyAlignment="1">
      <alignment vertical="center"/>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3" fillId="2" borderId="0" xfId="0" applyFont="1" applyFill="1" applyAlignment="1">
      <alignment vertical="center"/>
    </xf>
    <xf numFmtId="0" fontId="6" fillId="3" borderId="9" xfId="0" applyFont="1" applyFill="1" applyBorder="1" applyAlignment="1">
      <alignment vertical="center" wrapText="1"/>
    </xf>
    <xf numFmtId="0" fontId="6" fillId="3" borderId="10" xfId="0" applyFont="1" applyFill="1" applyBorder="1" applyAlignment="1">
      <alignment vertical="center" wrapText="1"/>
    </xf>
    <xf numFmtId="0" fontId="6" fillId="3" borderId="7" xfId="0" applyFont="1" applyFill="1" applyBorder="1" applyAlignment="1">
      <alignment vertical="center" wrapText="1"/>
    </xf>
    <xf numFmtId="0" fontId="6" fillId="3" borderId="4" xfId="0" applyFont="1" applyFill="1" applyBorder="1" applyAlignment="1">
      <alignment vertical="center" wrapText="1"/>
    </xf>
    <xf numFmtId="0" fontId="6" fillId="3" borderId="11" xfId="0" applyFont="1" applyFill="1" applyBorder="1" applyAlignment="1">
      <alignment vertical="center" wrapText="1"/>
    </xf>
    <xf numFmtId="0" fontId="6" fillId="3" borderId="2" xfId="0" applyFont="1" applyFill="1" applyBorder="1" applyAlignment="1">
      <alignment vertical="center" wrapText="1"/>
    </xf>
    <xf numFmtId="0" fontId="14" fillId="8" borderId="0" xfId="0" applyFont="1" applyFill="1" applyAlignment="1">
      <alignment vertical="center" wrapText="1"/>
    </xf>
    <xf numFmtId="0" fontId="13" fillId="8" borderId="0" xfId="0" applyFont="1" applyFill="1" applyAlignment="1">
      <alignment vertical="center" wrapText="1"/>
    </xf>
    <xf numFmtId="0" fontId="13" fillId="8" borderId="0" xfId="0" applyFont="1" applyFill="1" applyAlignment="1">
      <alignment wrapText="1"/>
    </xf>
    <xf numFmtId="0" fontId="13" fillId="10" borderId="0" xfId="0" applyFont="1" applyFill="1" applyAlignment="1">
      <alignment wrapText="1"/>
    </xf>
    <xf numFmtId="0" fontId="12" fillId="0" borderId="0" xfId="0" applyFont="1" applyAlignment="1">
      <alignment vertical="center" wrapText="1"/>
    </xf>
    <xf numFmtId="0" fontId="4" fillId="2" borderId="1" xfId="0" applyFont="1" applyFill="1" applyBorder="1" applyAlignment="1">
      <alignment horizontal="center" vertical="center" wrapText="1"/>
    </xf>
    <xf numFmtId="0" fontId="9" fillId="5" borderId="1" xfId="0" applyFont="1" applyFill="1" applyBorder="1" applyAlignment="1">
      <alignment vertical="center" wrapText="1"/>
    </xf>
    <xf numFmtId="0" fontId="6" fillId="3" borderId="1" xfId="0" applyFont="1" applyFill="1" applyBorder="1" applyAlignment="1">
      <alignment vertical="center" wrapText="1"/>
    </xf>
    <xf numFmtId="0" fontId="11"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showGridLines="0" tabSelected="1" workbookViewId="0">
      <selection activeCell="I15" sqref="I15"/>
    </sheetView>
  </sheetViews>
  <sheetFormatPr baseColWidth="10" defaultColWidth="8.83203125" defaultRowHeight="14"/>
  <cols>
    <col min="1" max="1" width="28" customWidth="1"/>
    <col min="2" max="2" width="20" customWidth="1"/>
    <col min="3" max="3" width="15" customWidth="1"/>
    <col min="4" max="4" width="39" customWidth="1"/>
    <col min="5" max="5" width="27" customWidth="1"/>
    <col min="6" max="6" width="24" customWidth="1"/>
    <col min="7" max="7" width="20" customWidth="1"/>
    <col min="8" max="8" width="38" customWidth="1"/>
    <col min="9" max="9" width="30" customWidth="1"/>
  </cols>
  <sheetData>
    <row r="1" spans="1:8" ht="31" customHeight="1">
      <c r="A1" s="70" t="s">
        <v>0</v>
      </c>
      <c r="B1" s="70"/>
      <c r="C1" s="70"/>
      <c r="D1" s="70"/>
      <c r="E1" s="70"/>
      <c r="F1" s="70"/>
      <c r="G1" s="70"/>
      <c r="H1" s="70"/>
    </row>
    <row r="2" spans="1:8" ht="30" customHeight="1">
      <c r="A2" s="71" t="s">
        <v>1</v>
      </c>
      <c r="B2" s="71"/>
      <c r="C2" s="71"/>
      <c r="D2" s="71"/>
      <c r="E2" s="71"/>
      <c r="F2" s="71"/>
      <c r="G2" s="71"/>
      <c r="H2" s="71"/>
    </row>
    <row r="4" spans="1:8" ht="23" customHeight="1">
      <c r="A4" s="72" t="s">
        <v>2</v>
      </c>
      <c r="B4" s="72"/>
      <c r="C4" s="72"/>
      <c r="D4" s="72"/>
      <c r="F4" s="72" t="s">
        <v>3</v>
      </c>
      <c r="G4" s="72"/>
      <c r="H4" s="72"/>
    </row>
    <row r="5" spans="1:8" ht="15">
      <c r="A5" s="1" t="s">
        <v>4</v>
      </c>
      <c r="B5" s="1" t="s">
        <v>5</v>
      </c>
      <c r="C5" s="1" t="s">
        <v>6</v>
      </c>
      <c r="D5" s="1" t="s">
        <v>7</v>
      </c>
      <c r="F5" s="1" t="s">
        <v>8</v>
      </c>
      <c r="G5" s="1" t="s">
        <v>5</v>
      </c>
      <c r="H5" s="1" t="s">
        <v>9</v>
      </c>
    </row>
    <row r="6" spans="1:8" ht="30">
      <c r="A6" s="2" t="s">
        <v>10</v>
      </c>
      <c r="B6" s="2" t="s">
        <v>11</v>
      </c>
      <c r="C6" s="2" t="s">
        <v>12</v>
      </c>
      <c r="D6" s="2"/>
      <c r="F6" s="2" t="s">
        <v>13</v>
      </c>
      <c r="G6" s="5">
        <v>0.84</v>
      </c>
      <c r="H6" s="2" t="s">
        <v>14</v>
      </c>
    </row>
    <row r="7" spans="1:8" ht="15">
      <c r="A7" s="2" t="s">
        <v>15</v>
      </c>
      <c r="B7" s="2" t="s">
        <v>16</v>
      </c>
      <c r="C7" s="2" t="s">
        <v>17</v>
      </c>
      <c r="D7" s="2"/>
      <c r="F7" s="2" t="s">
        <v>18</v>
      </c>
      <c r="G7" s="3">
        <v>0.105</v>
      </c>
      <c r="H7" s="2" t="s">
        <v>19</v>
      </c>
    </row>
    <row r="8" spans="1:8" ht="30">
      <c r="A8" s="2" t="s">
        <v>20</v>
      </c>
      <c r="B8" s="2" t="s">
        <v>21</v>
      </c>
      <c r="C8" s="2" t="s">
        <v>22</v>
      </c>
      <c r="D8" s="2" t="s">
        <v>23</v>
      </c>
      <c r="F8" s="2" t="s">
        <v>24</v>
      </c>
      <c r="G8" s="3">
        <v>0.04</v>
      </c>
      <c r="H8" s="2" t="s">
        <v>25</v>
      </c>
    </row>
    <row r="9" spans="1:8" ht="15">
      <c r="A9" s="2" t="s">
        <v>26</v>
      </c>
      <c r="B9" s="3">
        <v>0.25</v>
      </c>
      <c r="C9" s="2" t="s">
        <v>27</v>
      </c>
      <c r="D9" s="2" t="s">
        <v>28</v>
      </c>
      <c r="F9" s="2" t="s">
        <v>29</v>
      </c>
      <c r="G9" s="4"/>
      <c r="H9" s="2" t="s">
        <v>30</v>
      </c>
    </row>
    <row r="10" spans="1:8" ht="15">
      <c r="A10" s="2" t="s">
        <v>31</v>
      </c>
      <c r="B10" s="3">
        <v>0.12</v>
      </c>
      <c r="C10" s="2" t="s">
        <v>27</v>
      </c>
      <c r="D10" s="2"/>
      <c r="F10" s="2" t="s">
        <v>32</v>
      </c>
      <c r="G10" s="3">
        <v>0.09</v>
      </c>
      <c r="H10" s="2" t="s">
        <v>33</v>
      </c>
    </row>
    <row r="11" spans="1:8" ht="15">
      <c r="A11" s="2" t="s">
        <v>34</v>
      </c>
      <c r="B11" s="3">
        <v>0.12</v>
      </c>
      <c r="C11" s="2" t="s">
        <v>27</v>
      </c>
      <c r="D11" s="2"/>
      <c r="F11" s="2" t="s">
        <v>35</v>
      </c>
      <c r="G11" s="3">
        <v>0.04</v>
      </c>
      <c r="H11" s="2" t="s">
        <v>36</v>
      </c>
    </row>
    <row r="12" spans="1:8" ht="15">
      <c r="A12" s="2" t="s">
        <v>37</v>
      </c>
      <c r="B12" s="4">
        <v>1</v>
      </c>
      <c r="C12" s="2" t="s">
        <v>38</v>
      </c>
      <c r="D12" s="2" t="s">
        <v>39</v>
      </c>
      <c r="F12" s="2" t="s">
        <v>40</v>
      </c>
      <c r="G12" s="18">
        <v>18</v>
      </c>
      <c r="H12" s="2"/>
    </row>
    <row r="13" spans="1:8" ht="15">
      <c r="A13" s="2" t="s">
        <v>41</v>
      </c>
      <c r="B13" s="5">
        <v>0.01</v>
      </c>
      <c r="C13" s="2" t="s">
        <v>42</v>
      </c>
      <c r="D13" s="2" t="s">
        <v>43</v>
      </c>
      <c r="F13" s="2" t="s">
        <v>44</v>
      </c>
      <c r="G13" s="18">
        <v>2.2000000000000002</v>
      </c>
      <c r="H13" s="2"/>
    </row>
    <row r="14" spans="1:8" ht="30">
      <c r="A14" s="2" t="s">
        <v>45</v>
      </c>
      <c r="B14" s="3">
        <v>1</v>
      </c>
      <c r="C14" s="2" t="s">
        <v>27</v>
      </c>
      <c r="D14" s="2" t="s">
        <v>46</v>
      </c>
      <c r="F14" s="2" t="s">
        <v>47</v>
      </c>
      <c r="G14" s="5">
        <v>20</v>
      </c>
      <c r="H14" s="2" t="s">
        <v>48</v>
      </c>
    </row>
    <row r="15" spans="1:8" ht="15">
      <c r="F15" s="2" t="s">
        <v>49</v>
      </c>
      <c r="G15" s="19">
        <v>20000</v>
      </c>
      <c r="H15" s="2" t="s">
        <v>50</v>
      </c>
    </row>
    <row r="16" spans="1:8" ht="23" customHeight="1">
      <c r="A16" s="72" t="s">
        <v>51</v>
      </c>
      <c r="B16" s="72"/>
      <c r="C16" s="72"/>
      <c r="D16" s="72"/>
      <c r="F16" s="2" t="s">
        <v>52</v>
      </c>
      <c r="G16" s="4">
        <v>400000</v>
      </c>
      <c r="H16" s="2" t="s">
        <v>38</v>
      </c>
    </row>
    <row r="17" spans="1:9" ht="15">
      <c r="A17" s="1" t="s">
        <v>53</v>
      </c>
      <c r="B17" s="1" t="s">
        <v>5</v>
      </c>
      <c r="C17" s="1" t="s">
        <v>6</v>
      </c>
      <c r="D17" s="1" t="s">
        <v>7</v>
      </c>
      <c r="F17" s="2" t="s">
        <v>54</v>
      </c>
      <c r="G17" s="4">
        <v>0</v>
      </c>
      <c r="H17" s="2" t="s">
        <v>55</v>
      </c>
    </row>
    <row r="18" spans="1:9" ht="15">
      <c r="A18" s="6" t="s">
        <v>56</v>
      </c>
      <c r="B18" s="15">
        <v>850000</v>
      </c>
      <c r="C18" s="7" t="s">
        <v>38</v>
      </c>
      <c r="D18" s="8"/>
      <c r="F18" s="2" t="s">
        <v>57</v>
      </c>
      <c r="G18" s="4">
        <f>G16-G17</f>
        <v>400000</v>
      </c>
      <c r="H18" s="2" t="s">
        <v>58</v>
      </c>
    </row>
    <row r="19" spans="1:9" ht="15">
      <c r="A19" s="9" t="s">
        <v>59</v>
      </c>
      <c r="B19" s="16">
        <v>255000</v>
      </c>
      <c r="C19" s="10" t="s">
        <v>38</v>
      </c>
      <c r="D19" s="11"/>
      <c r="F19" s="2" t="s">
        <v>60</v>
      </c>
      <c r="G19" s="19">
        <v>50000</v>
      </c>
      <c r="H19" s="2" t="s">
        <v>50</v>
      </c>
    </row>
    <row r="20" spans="1:9" ht="15">
      <c r="A20" s="9" t="s">
        <v>61</v>
      </c>
      <c r="B20" s="16">
        <f>B18-B19</f>
        <v>595000</v>
      </c>
      <c r="C20" s="10" t="s">
        <v>38</v>
      </c>
      <c r="D20" s="11" t="s">
        <v>62</v>
      </c>
      <c r="F20" s="2" t="s">
        <v>63</v>
      </c>
      <c r="G20" s="19">
        <f>G19+G15</f>
        <v>70000</v>
      </c>
      <c r="H20" s="2" t="s">
        <v>64</v>
      </c>
    </row>
    <row r="21" spans="1:9" ht="15">
      <c r="A21" s="9" t="s">
        <v>65</v>
      </c>
      <c r="B21" s="16">
        <v>340000</v>
      </c>
      <c r="C21" s="10" t="s">
        <v>38</v>
      </c>
      <c r="D21" s="11" t="s">
        <v>66</v>
      </c>
      <c r="F21" s="2" t="s">
        <v>67</v>
      </c>
      <c r="G21" s="4">
        <f>G14*G15-G16</f>
        <v>0</v>
      </c>
      <c r="H21" s="2" t="s">
        <v>68</v>
      </c>
    </row>
    <row r="22" spans="1:9">
      <c r="A22" s="9" t="s">
        <v>69</v>
      </c>
      <c r="B22" s="16">
        <f>B20-B21</f>
        <v>255000</v>
      </c>
      <c r="C22" s="10" t="s">
        <v>38</v>
      </c>
      <c r="D22" s="11" t="s">
        <v>70</v>
      </c>
    </row>
    <row r="23" spans="1:9" ht="23" customHeight="1">
      <c r="A23" s="9" t="s">
        <v>71</v>
      </c>
      <c r="B23" s="16">
        <f>B36*B10+B37*B11</f>
        <v>36000</v>
      </c>
      <c r="C23" s="10" t="s">
        <v>38</v>
      </c>
      <c r="D23" s="11" t="s">
        <v>72</v>
      </c>
      <c r="F23" s="79" t="s">
        <v>73</v>
      </c>
      <c r="G23" s="80"/>
      <c r="H23" s="80"/>
      <c r="I23" s="81"/>
    </row>
    <row r="24" spans="1:9" ht="15">
      <c r="A24" s="9" t="s">
        <v>74</v>
      </c>
      <c r="B24" s="16">
        <f>B22-B23</f>
        <v>219000</v>
      </c>
      <c r="C24" s="10" t="s">
        <v>38</v>
      </c>
      <c r="D24" s="11" t="s">
        <v>75</v>
      </c>
      <c r="F24" s="55" t="s">
        <v>76</v>
      </c>
      <c r="G24" s="55" t="s">
        <v>77</v>
      </c>
      <c r="H24" s="55" t="s">
        <v>78</v>
      </c>
      <c r="I24" s="56" t="s">
        <v>79</v>
      </c>
    </row>
    <row r="25" spans="1:9" ht="32" customHeight="1">
      <c r="A25" s="9" t="s">
        <v>80</v>
      </c>
      <c r="B25" s="16">
        <f>B24*B9</f>
        <v>54750</v>
      </c>
      <c r="C25" s="10" t="s">
        <v>38</v>
      </c>
      <c r="D25" s="11" t="s">
        <v>81</v>
      </c>
      <c r="F25" s="52" t="s">
        <v>82</v>
      </c>
      <c r="G25" s="52" t="s">
        <v>83</v>
      </c>
      <c r="H25" s="52" t="s">
        <v>84</v>
      </c>
      <c r="I25" s="54" t="s">
        <v>85</v>
      </c>
    </row>
    <row r="26" spans="1:9" ht="15">
      <c r="A26" s="12" t="s">
        <v>86</v>
      </c>
      <c r="B26" s="17">
        <f>B24-B25</f>
        <v>164250</v>
      </c>
      <c r="C26" s="13" t="s">
        <v>38</v>
      </c>
      <c r="D26" s="14" t="s">
        <v>87</v>
      </c>
      <c r="F26" s="53" t="s">
        <v>88</v>
      </c>
      <c r="G26" s="57">
        <v>300000</v>
      </c>
      <c r="H26" s="57">
        <v>0</v>
      </c>
      <c r="I26" s="58">
        <v>200000</v>
      </c>
    </row>
    <row r="27" spans="1:9" ht="30">
      <c r="F27" s="53" t="s">
        <v>89</v>
      </c>
      <c r="G27" s="57">
        <v>0</v>
      </c>
      <c r="H27" s="57">
        <v>400000</v>
      </c>
      <c r="I27" s="58">
        <v>200000</v>
      </c>
    </row>
    <row r="28" spans="1:9" ht="23" customHeight="1">
      <c r="A28" s="72" t="s">
        <v>90</v>
      </c>
      <c r="B28" s="72"/>
      <c r="C28" s="72"/>
      <c r="D28" s="72"/>
      <c r="F28" s="53" t="s">
        <v>91</v>
      </c>
      <c r="G28" s="57">
        <v>100000</v>
      </c>
      <c r="H28" s="57">
        <v>0</v>
      </c>
      <c r="I28" s="58">
        <v>0</v>
      </c>
    </row>
    <row r="29" spans="1:9" ht="15">
      <c r="A29" s="1" t="s">
        <v>53</v>
      </c>
      <c r="B29" s="1" t="s">
        <v>5</v>
      </c>
      <c r="C29" s="1" t="s">
        <v>6</v>
      </c>
      <c r="D29" s="1" t="s">
        <v>7</v>
      </c>
      <c r="F29" s="53" t="s">
        <v>92</v>
      </c>
      <c r="G29" s="57">
        <f>SUM(G26:G28)</f>
        <v>400000</v>
      </c>
      <c r="H29" s="57">
        <f>SUM(H26:H28)</f>
        <v>400000</v>
      </c>
      <c r="I29" s="58">
        <f>SUM(I26:I28)</f>
        <v>400000</v>
      </c>
    </row>
    <row r="30" spans="1:9" ht="15">
      <c r="A30" s="6" t="s">
        <v>93</v>
      </c>
      <c r="B30" s="15">
        <v>45000</v>
      </c>
      <c r="C30" s="7" t="s">
        <v>38</v>
      </c>
      <c r="D30" s="8"/>
      <c r="F30" s="53" t="s">
        <v>94</v>
      </c>
      <c r="G30" s="57">
        <f>$G$18-G29</f>
        <v>0</v>
      </c>
      <c r="H30" s="57">
        <f>$G$18-H29</f>
        <v>0</v>
      </c>
      <c r="I30" s="58">
        <f>$G$18-I29</f>
        <v>0</v>
      </c>
    </row>
    <row r="31" spans="1:9" ht="44" customHeight="1">
      <c r="A31" s="9" t="s">
        <v>95</v>
      </c>
      <c r="B31" s="16">
        <v>120000</v>
      </c>
      <c r="C31" s="10" t="s">
        <v>38</v>
      </c>
      <c r="D31" s="11"/>
      <c r="F31" s="52" t="s">
        <v>96</v>
      </c>
      <c r="G31" s="52" t="s">
        <v>97</v>
      </c>
      <c r="H31" s="52" t="s">
        <v>98</v>
      </c>
      <c r="I31" s="54" t="s">
        <v>99</v>
      </c>
    </row>
    <row r="32" spans="1:9">
      <c r="A32" s="9" t="s">
        <v>100</v>
      </c>
      <c r="B32" s="16">
        <v>35000</v>
      </c>
      <c r="C32" s="10" t="s">
        <v>38</v>
      </c>
      <c r="D32" s="11"/>
    </row>
    <row r="33" spans="1:9" ht="34" customHeight="1">
      <c r="A33" s="9" t="s">
        <v>101</v>
      </c>
      <c r="B33" s="16">
        <v>280000</v>
      </c>
      <c r="C33" s="10" t="s">
        <v>38</v>
      </c>
      <c r="D33" s="11"/>
      <c r="F33" s="73"/>
      <c r="G33" s="74"/>
      <c r="H33" s="75"/>
    </row>
    <row r="34" spans="1:9" ht="34" customHeight="1">
      <c r="A34" s="9" t="s">
        <v>102</v>
      </c>
      <c r="B34" s="16">
        <v>150000</v>
      </c>
      <c r="C34" s="10" t="s">
        <v>38</v>
      </c>
      <c r="D34" s="11"/>
      <c r="F34" s="76"/>
      <c r="G34" s="77"/>
      <c r="H34" s="78"/>
    </row>
    <row r="35" spans="1:9">
      <c r="A35" s="9" t="s">
        <v>103</v>
      </c>
      <c r="B35" s="16">
        <v>85000</v>
      </c>
      <c r="C35" s="10" t="s">
        <v>38</v>
      </c>
      <c r="D35" s="11"/>
    </row>
    <row r="36" spans="1:9" ht="23" customHeight="1">
      <c r="A36" s="9" t="s">
        <v>104</v>
      </c>
      <c r="B36" s="16">
        <v>60000</v>
      </c>
      <c r="C36" s="10" t="s">
        <v>38</v>
      </c>
      <c r="D36" s="11"/>
      <c r="F36" s="72" t="s">
        <v>105</v>
      </c>
      <c r="G36" s="72"/>
      <c r="H36" s="72"/>
    </row>
    <row r="37" spans="1:9">
      <c r="A37" s="9" t="s">
        <v>106</v>
      </c>
      <c r="B37" s="16">
        <v>240000</v>
      </c>
      <c r="C37" s="10" t="s">
        <v>38</v>
      </c>
      <c r="D37" s="11"/>
      <c r="F37" s="20" t="s">
        <v>107</v>
      </c>
      <c r="G37" s="21" t="s">
        <v>108</v>
      </c>
      <c r="H37" s="22" t="s">
        <v>109</v>
      </c>
    </row>
    <row r="38" spans="1:9">
      <c r="A38" s="9" t="s">
        <v>110</v>
      </c>
      <c r="B38" s="16">
        <v>245000</v>
      </c>
      <c r="C38" s="10" t="s">
        <v>38</v>
      </c>
      <c r="D38" s="11"/>
      <c r="F38" s="23" t="s">
        <v>111</v>
      </c>
      <c r="G38" s="24" t="s">
        <v>112</v>
      </c>
      <c r="H38" s="25" t="s">
        <v>113</v>
      </c>
    </row>
    <row r="39" spans="1:9">
      <c r="A39" s="9" t="s">
        <v>114</v>
      </c>
      <c r="B39" s="16">
        <f>SUM(B30:B32)</f>
        <v>200000</v>
      </c>
      <c r="C39" s="10" t="s">
        <v>38</v>
      </c>
      <c r="D39" s="11" t="s">
        <v>115</v>
      </c>
      <c r="F39" s="26" t="s">
        <v>116</v>
      </c>
      <c r="G39" s="27" t="s">
        <v>117</v>
      </c>
      <c r="H39" s="28" t="s">
        <v>118</v>
      </c>
    </row>
    <row r="40" spans="1:9">
      <c r="A40" s="9" t="s">
        <v>119</v>
      </c>
      <c r="B40" s="16">
        <f>SUM(B36:B37)</f>
        <v>300000</v>
      </c>
      <c r="C40" s="10" t="s">
        <v>38</v>
      </c>
      <c r="D40" s="11" t="s">
        <v>120</v>
      </c>
    </row>
    <row r="41" spans="1:9">
      <c r="A41" s="9" t="s">
        <v>121</v>
      </c>
      <c r="B41" s="16">
        <f>B35+B40</f>
        <v>385000</v>
      </c>
      <c r="C41" s="10" t="s">
        <v>38</v>
      </c>
      <c r="D41" s="11" t="s">
        <v>122</v>
      </c>
    </row>
    <row r="42" spans="1:9">
      <c r="A42" s="9" t="s">
        <v>123</v>
      </c>
      <c r="B42" s="16">
        <f>B39+B33+B34</f>
        <v>630000</v>
      </c>
      <c r="C42" s="10" t="s">
        <v>38</v>
      </c>
      <c r="D42" s="11" t="s">
        <v>124</v>
      </c>
    </row>
    <row r="43" spans="1:9">
      <c r="A43" s="9" t="s">
        <v>125</v>
      </c>
      <c r="B43" s="16">
        <f>B41+B38</f>
        <v>630000</v>
      </c>
      <c r="C43" s="10" t="s">
        <v>38</v>
      </c>
      <c r="D43" s="11" t="s">
        <v>126</v>
      </c>
    </row>
    <row r="44" spans="1:9">
      <c r="A44" s="12" t="s">
        <v>127</v>
      </c>
      <c r="B44" s="17">
        <f>B42-B43</f>
        <v>0</v>
      </c>
      <c r="C44" s="13" t="s">
        <v>38</v>
      </c>
      <c r="D44" s="14" t="s">
        <v>128</v>
      </c>
    </row>
    <row r="46" spans="1:9">
      <c r="A46" s="82" t="s">
        <v>129</v>
      </c>
      <c r="B46" s="82"/>
      <c r="C46" s="82"/>
      <c r="D46" s="82"/>
      <c r="E46" s="82"/>
      <c r="F46" s="82"/>
      <c r="G46" s="82"/>
      <c r="H46" s="82"/>
      <c r="I46" s="82"/>
    </row>
    <row r="47" spans="1:9" ht="30" customHeight="1">
      <c r="A47" s="83" t="s">
        <v>130</v>
      </c>
      <c r="B47" s="83"/>
      <c r="C47" s="83"/>
      <c r="D47" s="83"/>
      <c r="E47" s="83"/>
      <c r="F47" s="83"/>
      <c r="G47" s="83"/>
      <c r="H47" s="83"/>
      <c r="I47" s="83"/>
    </row>
    <row r="48" spans="1:9" ht="30" customHeight="1">
      <c r="A48" s="83"/>
      <c r="B48" s="83"/>
      <c r="C48" s="83"/>
      <c r="D48" s="83"/>
      <c r="E48" s="83"/>
      <c r="F48" s="83"/>
      <c r="G48" s="83"/>
      <c r="H48" s="83"/>
      <c r="I48" s="83"/>
    </row>
    <row r="49" spans="1:9" ht="15">
      <c r="A49" s="61" t="s">
        <v>131</v>
      </c>
      <c r="B49" s="61" t="s">
        <v>5</v>
      </c>
      <c r="C49" s="61" t="s">
        <v>6</v>
      </c>
      <c r="D49" s="61" t="s">
        <v>132</v>
      </c>
    </row>
    <row r="50" spans="1:9" ht="38" customHeight="1">
      <c r="A50" s="62" t="s">
        <v>69</v>
      </c>
      <c r="B50" s="64">
        <v>255000</v>
      </c>
      <c r="C50" s="62" t="s">
        <v>38</v>
      </c>
      <c r="D50" s="62" t="s">
        <v>133</v>
      </c>
      <c r="F50" s="83" t="s">
        <v>134</v>
      </c>
      <c r="G50" s="83"/>
      <c r="H50" s="83"/>
      <c r="I50" s="83"/>
    </row>
    <row r="51" spans="1:9" ht="38" customHeight="1">
      <c r="A51" s="62" t="s">
        <v>135</v>
      </c>
      <c r="B51" s="64">
        <v>30000</v>
      </c>
      <c r="C51" s="62" t="s">
        <v>38</v>
      </c>
      <c r="D51" s="62" t="s">
        <v>136</v>
      </c>
      <c r="F51" s="83"/>
      <c r="G51" s="83"/>
      <c r="H51" s="83"/>
      <c r="I51" s="83"/>
    </row>
    <row r="52" spans="1:9" ht="38" customHeight="1">
      <c r="A52" s="62" t="s">
        <v>137</v>
      </c>
      <c r="B52" s="64">
        <v>150000</v>
      </c>
      <c r="C52" s="62" t="s">
        <v>38</v>
      </c>
      <c r="D52" s="62" t="s">
        <v>138</v>
      </c>
      <c r="F52" s="83"/>
      <c r="G52" s="83"/>
      <c r="H52" s="83"/>
      <c r="I52" s="83"/>
    </row>
    <row r="53" spans="1:9" ht="38" customHeight="1">
      <c r="A53" s="62" t="s">
        <v>139</v>
      </c>
      <c r="B53" s="64">
        <v>19250</v>
      </c>
      <c r="C53" s="62" t="s">
        <v>38</v>
      </c>
      <c r="D53" s="62" t="s">
        <v>140</v>
      </c>
      <c r="F53" s="83"/>
      <c r="G53" s="83"/>
      <c r="H53" s="83"/>
      <c r="I53" s="83"/>
    </row>
  </sheetData>
  <mergeCells count="12">
    <mergeCell ref="F50:I53"/>
    <mergeCell ref="F33:H34"/>
    <mergeCell ref="F36:H36"/>
    <mergeCell ref="F23:I23"/>
    <mergeCell ref="A46:I46"/>
    <mergeCell ref="A47:I48"/>
    <mergeCell ref="A1:H1"/>
    <mergeCell ref="A2:H2"/>
    <mergeCell ref="A4:D4"/>
    <mergeCell ref="A16:D16"/>
    <mergeCell ref="A28:D28"/>
    <mergeCell ref="F4:H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
  <sheetViews>
    <sheetView showGridLines="0" workbookViewId="0"/>
  </sheetViews>
  <sheetFormatPr baseColWidth="10" defaultColWidth="8.83203125" defaultRowHeight="14"/>
  <cols>
    <col min="1" max="1" width="29" customWidth="1"/>
    <col min="2" max="2" width="20" customWidth="1"/>
    <col min="3" max="3" width="16" customWidth="1"/>
    <col min="4" max="4" width="34" customWidth="1"/>
    <col min="5" max="5" width="31" customWidth="1"/>
    <col min="6" max="6" width="20" customWidth="1"/>
    <col min="7" max="7" width="16" customWidth="1"/>
    <col min="8" max="8" width="35" customWidth="1"/>
  </cols>
  <sheetData>
    <row r="1" spans="1:8" ht="31" customHeight="1">
      <c r="A1" s="70" t="s">
        <v>141</v>
      </c>
      <c r="B1" s="70"/>
      <c r="C1" s="70"/>
      <c r="D1" s="70"/>
      <c r="E1" s="70"/>
      <c r="F1" s="70"/>
      <c r="G1" s="70"/>
      <c r="H1" s="70"/>
    </row>
    <row r="2" spans="1:8" ht="30" customHeight="1">
      <c r="A2" s="71" t="s">
        <v>142</v>
      </c>
      <c r="B2" s="71"/>
      <c r="C2" s="71"/>
      <c r="D2" s="71"/>
      <c r="E2" s="71"/>
      <c r="F2" s="71"/>
      <c r="G2" s="71"/>
      <c r="H2" s="71"/>
    </row>
    <row r="4" spans="1:8" ht="23" customHeight="1">
      <c r="A4" s="72" t="s">
        <v>143</v>
      </c>
      <c r="B4" s="72"/>
      <c r="C4" s="72"/>
      <c r="D4" s="72"/>
      <c r="E4" s="72" t="s">
        <v>144</v>
      </c>
      <c r="F4" s="72"/>
      <c r="G4" s="72"/>
      <c r="H4" s="72"/>
    </row>
    <row r="5" spans="1:8" ht="15">
      <c r="A5" s="1" t="s">
        <v>145</v>
      </c>
      <c r="B5" s="1" t="s">
        <v>5</v>
      </c>
      <c r="C5" s="1" t="s">
        <v>6</v>
      </c>
      <c r="D5" s="1" t="s">
        <v>146</v>
      </c>
      <c r="E5" s="1" t="s">
        <v>145</v>
      </c>
      <c r="F5" s="1" t="s">
        <v>5</v>
      </c>
      <c r="G5" s="1" t="s">
        <v>6</v>
      </c>
      <c r="H5" s="1" t="s">
        <v>146</v>
      </c>
    </row>
    <row r="6" spans="1:8">
      <c r="A6" s="6" t="s">
        <v>13</v>
      </c>
      <c r="B6" s="59"/>
      <c r="C6" s="7" t="s">
        <v>42</v>
      </c>
      <c r="D6" s="8" t="s">
        <v>147</v>
      </c>
      <c r="E6" s="6" t="s">
        <v>148</v>
      </c>
      <c r="F6" s="63"/>
      <c r="G6" s="7" t="s">
        <v>38</v>
      </c>
      <c r="H6" s="8" t="s">
        <v>149</v>
      </c>
    </row>
    <row r="7" spans="1:8">
      <c r="A7" s="9" t="s">
        <v>150</v>
      </c>
      <c r="B7" s="60"/>
      <c r="C7" s="10" t="s">
        <v>27</v>
      </c>
      <c r="D7" s="11" t="s">
        <v>147</v>
      </c>
      <c r="E7" s="9" t="s">
        <v>32</v>
      </c>
      <c r="F7" s="31">
        <f>'Tab 1 – Assumptions'!$G$10</f>
        <v>0.09</v>
      </c>
      <c r="G7" s="10" t="s">
        <v>27</v>
      </c>
      <c r="H7" s="11" t="s">
        <v>147</v>
      </c>
    </row>
    <row r="8" spans="1:8">
      <c r="A8" s="9" t="s">
        <v>151</v>
      </c>
      <c r="B8" s="60"/>
      <c r="C8" s="10" t="s">
        <v>27</v>
      </c>
      <c r="D8" s="11" t="s">
        <v>147</v>
      </c>
      <c r="E8" s="9" t="s">
        <v>152</v>
      </c>
      <c r="F8" s="31">
        <f>'Tab 1 – Assumptions'!$G$11</f>
        <v>0.04</v>
      </c>
      <c r="G8" s="10" t="s">
        <v>27</v>
      </c>
      <c r="H8" s="11" t="s">
        <v>147</v>
      </c>
    </row>
    <row r="9" spans="1:8">
      <c r="A9" s="9" t="s">
        <v>153</v>
      </c>
      <c r="B9" s="60"/>
      <c r="C9" s="10" t="s">
        <v>27</v>
      </c>
      <c r="D9" s="11" t="s">
        <v>154</v>
      </c>
      <c r="E9" s="9" t="s">
        <v>119</v>
      </c>
      <c r="F9" s="16">
        <f>'Tab 1 – Assumptions'!$B$40</f>
        <v>300000</v>
      </c>
      <c r="G9" s="10" t="s">
        <v>38</v>
      </c>
      <c r="H9" s="11" t="s">
        <v>147</v>
      </c>
    </row>
    <row r="10" spans="1:8">
      <c r="A10" s="9"/>
      <c r="B10" s="10"/>
      <c r="C10" s="10"/>
      <c r="D10" s="11"/>
      <c r="E10" s="9" t="s">
        <v>155</v>
      </c>
      <c r="F10" s="16">
        <f>'Tab 1 – Assumptions'!$B$30</f>
        <v>45000</v>
      </c>
      <c r="G10" s="10" t="s">
        <v>38</v>
      </c>
      <c r="H10" s="11" t="s">
        <v>147</v>
      </c>
    </row>
    <row r="11" spans="1:8" ht="32" customHeight="1">
      <c r="A11" s="12" t="s">
        <v>156</v>
      </c>
      <c r="B11" s="32"/>
      <c r="C11" s="13" t="s">
        <v>42</v>
      </c>
      <c r="D11" s="48" t="s">
        <v>157</v>
      </c>
      <c r="E11" s="9" t="s">
        <v>60</v>
      </c>
      <c r="F11" s="33">
        <f>'Tab 1 – Assumptions'!$G$19</f>
        <v>50000</v>
      </c>
      <c r="G11" s="10" t="s">
        <v>158</v>
      </c>
      <c r="H11" s="11" t="s">
        <v>147</v>
      </c>
    </row>
    <row r="12" spans="1:8">
      <c r="E12" s="9" t="s">
        <v>159</v>
      </c>
      <c r="F12" s="31">
        <f>F7-F8</f>
        <v>4.9999999999999996E-2</v>
      </c>
      <c r="G12" s="10" t="s">
        <v>27</v>
      </c>
      <c r="H12" s="11" t="s">
        <v>160</v>
      </c>
    </row>
    <row r="13" spans="1:8">
      <c r="E13" s="9" t="s">
        <v>161</v>
      </c>
      <c r="F13" s="34"/>
      <c r="G13" s="10" t="s">
        <v>38</v>
      </c>
      <c r="H13" s="11" t="s">
        <v>162</v>
      </c>
    </row>
    <row r="14" spans="1:8">
      <c r="E14" s="9" t="s">
        <v>163</v>
      </c>
      <c r="F14" s="34"/>
      <c r="G14" s="10" t="s">
        <v>38</v>
      </c>
      <c r="H14" s="11" t="s">
        <v>164</v>
      </c>
    </row>
    <row r="15" spans="1:8">
      <c r="E15" s="12" t="s">
        <v>165</v>
      </c>
      <c r="F15" s="32"/>
      <c r="G15" s="13" t="s">
        <v>42</v>
      </c>
      <c r="H15" s="14" t="s">
        <v>166</v>
      </c>
    </row>
    <row r="18" spans="1:8" ht="23" customHeight="1">
      <c r="A18" s="72" t="s">
        <v>167</v>
      </c>
      <c r="B18" s="72"/>
      <c r="C18" s="72"/>
      <c r="D18" s="72"/>
      <c r="E18" s="72"/>
      <c r="F18" s="72"/>
      <c r="G18" s="72"/>
      <c r="H18" s="72"/>
    </row>
    <row r="19" spans="1:8" ht="15">
      <c r="A19" s="1" t="s">
        <v>168</v>
      </c>
      <c r="B19" s="1" t="s">
        <v>5</v>
      </c>
      <c r="C19" s="1" t="s">
        <v>6</v>
      </c>
      <c r="D19" s="1" t="s">
        <v>7</v>
      </c>
      <c r="E19" s="1" t="s">
        <v>169</v>
      </c>
      <c r="F19" s="1" t="s">
        <v>5</v>
      </c>
      <c r="G19" s="1" t="s">
        <v>6</v>
      </c>
      <c r="H19" s="1" t="s">
        <v>146</v>
      </c>
    </row>
    <row r="20" spans="1:8">
      <c r="A20" s="6" t="s">
        <v>170</v>
      </c>
      <c r="B20" s="63"/>
      <c r="C20" s="7" t="s">
        <v>38</v>
      </c>
      <c r="D20" s="8" t="s">
        <v>147</v>
      </c>
      <c r="E20" s="6" t="s">
        <v>171</v>
      </c>
      <c r="F20" s="32"/>
      <c r="G20" s="7" t="s">
        <v>42</v>
      </c>
      <c r="H20" s="8" t="s">
        <v>172</v>
      </c>
    </row>
    <row r="21" spans="1:8">
      <c r="A21" s="9" t="s">
        <v>60</v>
      </c>
      <c r="B21" s="67"/>
      <c r="C21" s="10" t="s">
        <v>158</v>
      </c>
      <c r="D21" s="11" t="s">
        <v>147</v>
      </c>
      <c r="E21" s="9" t="s">
        <v>173</v>
      </c>
      <c r="F21" s="32"/>
      <c r="G21" s="10" t="s">
        <v>42</v>
      </c>
      <c r="H21" s="11" t="s">
        <v>174</v>
      </c>
    </row>
    <row r="22" spans="1:8">
      <c r="A22" s="9" t="s">
        <v>56</v>
      </c>
      <c r="B22" s="68"/>
      <c r="C22" s="10" t="s">
        <v>38</v>
      </c>
      <c r="D22" s="11" t="s">
        <v>147</v>
      </c>
      <c r="E22" s="9" t="s">
        <v>175</v>
      </c>
      <c r="F22" s="32"/>
      <c r="G22" s="10" t="s">
        <v>42</v>
      </c>
      <c r="H22" s="11" t="s">
        <v>176</v>
      </c>
    </row>
    <row r="23" spans="1:8">
      <c r="A23" s="9" t="s">
        <v>40</v>
      </c>
      <c r="B23" s="69"/>
      <c r="C23" s="10" t="s">
        <v>177</v>
      </c>
      <c r="D23" s="11" t="s">
        <v>147</v>
      </c>
      <c r="E23" s="12" t="s">
        <v>178</v>
      </c>
      <c r="F23" s="32"/>
      <c r="G23" s="13" t="s">
        <v>42</v>
      </c>
      <c r="H23" s="14" t="s">
        <v>179</v>
      </c>
    </row>
    <row r="24" spans="1:8">
      <c r="A24" s="9" t="s">
        <v>44</v>
      </c>
      <c r="B24" s="69"/>
      <c r="C24" s="10" t="s">
        <v>177</v>
      </c>
      <c r="D24" s="11" t="s">
        <v>147</v>
      </c>
    </row>
    <row r="25" spans="1:8">
      <c r="A25" s="12"/>
      <c r="B25" s="29"/>
      <c r="C25" s="13"/>
      <c r="D25" s="14"/>
    </row>
    <row r="27" spans="1:8" ht="23" customHeight="1">
      <c r="A27" s="72" t="s">
        <v>180</v>
      </c>
      <c r="B27" s="72"/>
      <c r="C27" s="72"/>
      <c r="D27" s="72"/>
      <c r="E27" s="72"/>
      <c r="F27" s="72"/>
      <c r="G27" s="72"/>
      <c r="H27" s="72"/>
    </row>
    <row r="28" spans="1:8" ht="15">
      <c r="A28" s="1" t="s">
        <v>181</v>
      </c>
      <c r="B28" s="1" t="s">
        <v>182</v>
      </c>
      <c r="C28" s="1" t="s">
        <v>183</v>
      </c>
      <c r="D28" s="1" t="s">
        <v>184</v>
      </c>
      <c r="E28" s="84" t="s">
        <v>185</v>
      </c>
      <c r="F28" s="84"/>
      <c r="G28" s="84"/>
      <c r="H28" s="84"/>
    </row>
    <row r="29" spans="1:8" ht="35" customHeight="1">
      <c r="A29" s="6" t="s">
        <v>186</v>
      </c>
      <c r="B29" s="32"/>
      <c r="C29" s="30">
        <f>'Tab 1 – Assumptions'!$G$14</f>
        <v>20</v>
      </c>
      <c r="D29" s="37"/>
      <c r="E29" s="85"/>
      <c r="F29" s="85"/>
      <c r="G29" s="85"/>
      <c r="H29" s="85"/>
    </row>
    <row r="30" spans="1:8" ht="35" customHeight="1">
      <c r="A30" s="9" t="s">
        <v>187</v>
      </c>
      <c r="B30" s="32"/>
      <c r="C30" s="35">
        <f>'Tab 1 – Assumptions'!$G$14</f>
        <v>20</v>
      </c>
      <c r="D30" s="37"/>
      <c r="E30" s="85"/>
      <c r="F30" s="85"/>
      <c r="G30" s="85"/>
      <c r="H30" s="85"/>
    </row>
    <row r="31" spans="1:8" ht="35" customHeight="1">
      <c r="A31" s="9" t="s">
        <v>40</v>
      </c>
      <c r="B31" s="32"/>
      <c r="C31" s="35">
        <f>'Tab 1 – Assumptions'!$G$14</f>
        <v>20</v>
      </c>
      <c r="D31" s="37"/>
      <c r="E31" s="85"/>
      <c r="F31" s="85"/>
      <c r="G31" s="85"/>
      <c r="H31" s="85"/>
    </row>
    <row r="32" spans="1:8" ht="35" customHeight="1">
      <c r="A32" s="12" t="s">
        <v>44</v>
      </c>
      <c r="B32" s="32"/>
      <c r="C32" s="36">
        <f>'Tab 1 – Assumptions'!$G$14</f>
        <v>20</v>
      </c>
      <c r="D32" s="37"/>
      <c r="E32" s="85"/>
      <c r="F32" s="85"/>
      <c r="G32" s="85"/>
      <c r="H32" s="85"/>
    </row>
    <row r="35" spans="1:8" ht="23" customHeight="1">
      <c r="A35" s="72" t="s">
        <v>188</v>
      </c>
      <c r="B35" s="72"/>
      <c r="C35" s="72"/>
      <c r="D35" s="72"/>
    </row>
    <row r="36" spans="1:8" ht="15">
      <c r="A36" s="1" t="s">
        <v>189</v>
      </c>
      <c r="B36" s="1" t="s">
        <v>190</v>
      </c>
      <c r="C36" s="1" t="s">
        <v>191</v>
      </c>
      <c r="D36" s="1" t="s">
        <v>192</v>
      </c>
    </row>
    <row r="37" spans="1:8">
      <c r="A37" s="6" t="s">
        <v>153</v>
      </c>
      <c r="B37" s="38" t="str">
        <f>IF(B11="","BUILD",IF(B7&gt;B8,"PASS","CHECK"))</f>
        <v>BUILD</v>
      </c>
      <c r="C37" s="39">
        <f>B9</f>
        <v>0</v>
      </c>
      <c r="D37" s="8" t="s">
        <v>193</v>
      </c>
    </row>
    <row r="38" spans="1:8">
      <c r="A38" s="9" t="s">
        <v>159</v>
      </c>
      <c r="B38" s="38" t="str">
        <f>IF(F13="","BUILD",IF(F7&gt;F8,"PASS","CHECK"))</f>
        <v>BUILD</v>
      </c>
      <c r="C38" s="31">
        <f>F12</f>
        <v>4.9999999999999996E-2</v>
      </c>
      <c r="D38" s="11" t="s">
        <v>194</v>
      </c>
    </row>
    <row r="39" spans="1:8">
      <c r="A39" s="9" t="s">
        <v>195</v>
      </c>
      <c r="B39" s="38" t="str">
        <f>IF(ABS('Tab 1 – Assumptions'!$G$21)&lt;='Tab 1 – Assumptions'!$B$12,"PASS","CHECK")</f>
        <v>PASS</v>
      </c>
      <c r="C39" s="16">
        <f>'Tab 1 – Assumptions'!$G$21</f>
        <v>0</v>
      </c>
      <c r="D39" s="11" t="s">
        <v>196</v>
      </c>
    </row>
    <row r="40" spans="1:8">
      <c r="A40" s="12" t="s">
        <v>197</v>
      </c>
      <c r="B40" s="38" t="str">
        <f>IF(F14="","BUILD",IF(ABS(F14-(F13-F9+F10))&lt;='Tab 1 – Assumptions'!$B$12,"PASS","CHECK"))</f>
        <v>BUILD</v>
      </c>
      <c r="C40" s="17" t="str">
        <f>IF(F14="","",F14-(F13-F9+F10))</f>
        <v/>
      </c>
      <c r="D40" s="14" t="s">
        <v>198</v>
      </c>
    </row>
    <row r="46" spans="1:8">
      <c r="A46" s="82" t="s">
        <v>199</v>
      </c>
      <c r="B46" s="82"/>
      <c r="C46" s="82"/>
      <c r="D46" s="82"/>
      <c r="E46" s="82"/>
      <c r="F46" s="82"/>
      <c r="G46" s="82"/>
      <c r="H46" s="82"/>
    </row>
    <row r="47" spans="1:8" ht="30" customHeight="1">
      <c r="A47" s="83" t="s">
        <v>200</v>
      </c>
      <c r="B47" s="83"/>
      <c r="C47" s="83"/>
      <c r="D47" s="83"/>
      <c r="E47" s="83"/>
      <c r="F47" s="83"/>
      <c r="G47" s="83"/>
      <c r="H47" s="83"/>
    </row>
    <row r="48" spans="1:8" ht="30" customHeight="1">
      <c r="A48" s="83"/>
      <c r="B48" s="83"/>
      <c r="C48" s="83"/>
      <c r="D48" s="83"/>
      <c r="E48" s="83"/>
      <c r="F48" s="83"/>
      <c r="G48" s="83"/>
      <c r="H48" s="83"/>
    </row>
    <row r="49" spans="1:8" ht="15">
      <c r="A49" s="61" t="s">
        <v>201</v>
      </c>
      <c r="B49" s="61" t="s">
        <v>5</v>
      </c>
      <c r="C49" s="61" t="s">
        <v>6</v>
      </c>
      <c r="D49" s="61" t="s">
        <v>146</v>
      </c>
    </row>
    <row r="50" spans="1:8" ht="32" customHeight="1">
      <c r="A50" s="62" t="s">
        <v>202</v>
      </c>
      <c r="B50" s="65"/>
      <c r="C50" s="62" t="s">
        <v>38</v>
      </c>
      <c r="D50" s="62" t="s">
        <v>147</v>
      </c>
    </row>
    <row r="51" spans="1:8" ht="32" customHeight="1">
      <c r="A51" s="62" t="s">
        <v>203</v>
      </c>
      <c r="B51" s="66"/>
      <c r="C51" s="62" t="s">
        <v>27</v>
      </c>
      <c r="D51" s="62" t="s">
        <v>147</v>
      </c>
    </row>
    <row r="52" spans="1:8" ht="32" customHeight="1">
      <c r="A52" s="62" t="s">
        <v>204</v>
      </c>
      <c r="B52" s="65"/>
      <c r="C52" s="62" t="s">
        <v>38</v>
      </c>
      <c r="D52" s="62" t="s">
        <v>205</v>
      </c>
    </row>
    <row r="53" spans="1:8" ht="32" customHeight="1">
      <c r="A53" s="62" t="s">
        <v>206</v>
      </c>
      <c r="B53" s="65"/>
      <c r="C53" s="62" t="s">
        <v>38</v>
      </c>
      <c r="D53" s="62" t="s">
        <v>147</v>
      </c>
    </row>
    <row r="54" spans="1:8" ht="32" customHeight="1">
      <c r="A54" s="62" t="s">
        <v>207</v>
      </c>
      <c r="B54" s="65"/>
      <c r="C54" s="62" t="s">
        <v>38</v>
      </c>
      <c r="D54" s="62" t="s">
        <v>147</v>
      </c>
    </row>
    <row r="55" spans="1:8" ht="32" customHeight="1">
      <c r="A55" s="62" t="s">
        <v>208</v>
      </c>
      <c r="B55" s="65"/>
      <c r="C55" s="62" t="s">
        <v>38</v>
      </c>
      <c r="D55" s="62" t="s">
        <v>147</v>
      </c>
    </row>
    <row r="56" spans="1:8" ht="32" customHeight="1">
      <c r="A56" s="62" t="s">
        <v>29</v>
      </c>
      <c r="B56" s="65"/>
      <c r="C56" s="62" t="s">
        <v>38</v>
      </c>
      <c r="D56" s="62" t="s">
        <v>209</v>
      </c>
    </row>
    <row r="58" spans="1:8" ht="28" customHeight="1">
      <c r="A58" s="83" t="s">
        <v>210</v>
      </c>
      <c r="B58" s="83"/>
      <c r="C58" s="83"/>
      <c r="D58" s="83"/>
      <c r="E58" s="83"/>
      <c r="F58" s="83"/>
      <c r="G58" s="83"/>
      <c r="H58" s="83"/>
    </row>
    <row r="59" spans="1:8" ht="28" customHeight="1">
      <c r="A59" s="83"/>
      <c r="B59" s="83"/>
      <c r="C59" s="83"/>
      <c r="D59" s="83"/>
      <c r="E59" s="83"/>
      <c r="F59" s="83"/>
      <c r="G59" s="83"/>
      <c r="H59" s="83"/>
    </row>
  </sheetData>
  <mergeCells count="15">
    <mergeCell ref="E32:H32"/>
    <mergeCell ref="A35:D35"/>
    <mergeCell ref="A46:H46"/>
    <mergeCell ref="A47:H48"/>
    <mergeCell ref="A58:H59"/>
    <mergeCell ref="A27:H27"/>
    <mergeCell ref="E28:H28"/>
    <mergeCell ref="E29:H29"/>
    <mergeCell ref="E30:H30"/>
    <mergeCell ref="E31:H31"/>
    <mergeCell ref="A1:H1"/>
    <mergeCell ref="A2:H2"/>
    <mergeCell ref="A4:D4"/>
    <mergeCell ref="E4:H4"/>
    <mergeCell ref="A18:H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showGridLines="0" workbookViewId="0"/>
  </sheetViews>
  <sheetFormatPr baseColWidth="10" defaultColWidth="8.83203125" defaultRowHeight="14"/>
  <cols>
    <col min="1" max="1" width="28" customWidth="1"/>
    <col min="2" max="5" width="17" customWidth="1"/>
    <col min="6" max="6" width="42" customWidth="1"/>
  </cols>
  <sheetData>
    <row r="1" spans="1:6" ht="31" customHeight="1">
      <c r="A1" s="70" t="s">
        <v>211</v>
      </c>
      <c r="B1" s="70"/>
      <c r="C1" s="70"/>
      <c r="D1" s="70"/>
      <c r="E1" s="70"/>
      <c r="F1" s="70"/>
    </row>
    <row r="2" spans="1:6" ht="30" customHeight="1">
      <c r="A2" s="71" t="s">
        <v>212</v>
      </c>
      <c r="B2" s="71"/>
      <c r="C2" s="71"/>
      <c r="D2" s="71"/>
      <c r="E2" s="71"/>
      <c r="F2" s="71"/>
    </row>
    <row r="4" spans="1:6" ht="23" customHeight="1">
      <c r="A4" s="72" t="s">
        <v>213</v>
      </c>
      <c r="B4" s="72"/>
      <c r="C4" s="72"/>
      <c r="D4" s="72"/>
      <c r="E4" s="72"/>
      <c r="F4" s="72"/>
    </row>
    <row r="5" spans="1:6" ht="15">
      <c r="A5" s="1" t="s">
        <v>53</v>
      </c>
      <c r="B5" s="1" t="s">
        <v>214</v>
      </c>
      <c r="C5" s="1" t="s">
        <v>77</v>
      </c>
      <c r="D5" s="1" t="s">
        <v>78</v>
      </c>
      <c r="E5" s="1" t="s">
        <v>79</v>
      </c>
      <c r="F5" s="1" t="s">
        <v>146</v>
      </c>
    </row>
    <row r="6" spans="1:6">
      <c r="A6" s="6" t="s">
        <v>56</v>
      </c>
      <c r="B6" s="41">
        <f>'Tab 1 – Assumptions'!$B$18</f>
        <v>850000</v>
      </c>
      <c r="C6" s="34"/>
      <c r="D6" s="34"/>
      <c r="E6" s="34"/>
      <c r="F6" s="8" t="s">
        <v>215</v>
      </c>
    </row>
    <row r="7" spans="1:6">
      <c r="A7" s="9" t="s">
        <v>59</v>
      </c>
      <c r="B7" s="42">
        <f>'Tab 1 – Assumptions'!$B$19</f>
        <v>255000</v>
      </c>
      <c r="C7" s="34"/>
      <c r="D7" s="34"/>
      <c r="E7" s="34"/>
      <c r="F7" s="11" t="s">
        <v>215</v>
      </c>
    </row>
    <row r="8" spans="1:6">
      <c r="A8" s="9" t="s">
        <v>61</v>
      </c>
      <c r="B8" s="42">
        <f>B6-B7</f>
        <v>595000</v>
      </c>
      <c r="C8" s="34"/>
      <c r="D8" s="34"/>
      <c r="E8" s="34"/>
      <c r="F8" s="11" t="s">
        <v>62</v>
      </c>
    </row>
    <row r="9" spans="1:6">
      <c r="A9" s="9" t="s">
        <v>65</v>
      </c>
      <c r="B9" s="42">
        <f>'Tab 1 – Assumptions'!$B$21</f>
        <v>340000</v>
      </c>
      <c r="C9" s="34"/>
      <c r="D9" s="34"/>
      <c r="E9" s="34"/>
      <c r="F9" s="11" t="s">
        <v>215</v>
      </c>
    </row>
    <row r="10" spans="1:6">
      <c r="A10" s="9" t="s">
        <v>69</v>
      </c>
      <c r="B10" s="42">
        <f>B8-B9</f>
        <v>255000</v>
      </c>
      <c r="C10" s="34"/>
      <c r="D10" s="34"/>
      <c r="E10" s="34"/>
      <c r="F10" s="11" t="s">
        <v>70</v>
      </c>
    </row>
    <row r="11" spans="1:6">
      <c r="A11" s="9" t="s">
        <v>104</v>
      </c>
      <c r="B11" s="42">
        <f>'Tab 1 – Assumptions'!$B$36</f>
        <v>60000</v>
      </c>
      <c r="C11" s="34"/>
      <c r="D11" s="34"/>
      <c r="E11" s="34"/>
      <c r="F11" s="11" t="s">
        <v>216</v>
      </c>
    </row>
    <row r="12" spans="1:6">
      <c r="A12" s="9" t="s">
        <v>106</v>
      </c>
      <c r="B12" s="42">
        <f>'Tab 1 – Assumptions'!$B$37</f>
        <v>240000</v>
      </c>
      <c r="C12" s="34"/>
      <c r="D12" s="34"/>
      <c r="E12" s="34"/>
      <c r="F12" s="11" t="s">
        <v>217</v>
      </c>
    </row>
    <row r="13" spans="1:6">
      <c r="A13" s="9" t="s">
        <v>71</v>
      </c>
      <c r="B13" s="42">
        <f>B11*'Tab 1 – Assumptions'!$B$10+B12*'Tab 1 – Assumptions'!$B$11</f>
        <v>36000</v>
      </c>
      <c r="C13" s="34"/>
      <c r="D13" s="34"/>
      <c r="E13" s="34"/>
      <c r="F13" s="11" t="s">
        <v>218</v>
      </c>
    </row>
    <row r="14" spans="1:6">
      <c r="A14" s="9" t="s">
        <v>74</v>
      </c>
      <c r="B14" s="42">
        <f>B10-B13</f>
        <v>219000</v>
      </c>
      <c r="C14" s="34"/>
      <c r="D14" s="34"/>
      <c r="E14" s="34"/>
      <c r="F14" s="11" t="s">
        <v>75</v>
      </c>
    </row>
    <row r="15" spans="1:6">
      <c r="A15" s="9" t="s">
        <v>80</v>
      </c>
      <c r="B15" s="42">
        <f>B14*'Tab 1 – Assumptions'!$B$9</f>
        <v>54750</v>
      </c>
      <c r="C15" s="34"/>
      <c r="D15" s="34"/>
      <c r="E15" s="34"/>
      <c r="F15" s="11" t="s">
        <v>219</v>
      </c>
    </row>
    <row r="16" spans="1:6">
      <c r="A16" s="9" t="s">
        <v>86</v>
      </c>
      <c r="B16" s="42">
        <f>B14-B15</f>
        <v>164250</v>
      </c>
      <c r="C16" s="34"/>
      <c r="D16" s="34"/>
      <c r="E16" s="34"/>
      <c r="F16" s="11" t="s">
        <v>220</v>
      </c>
    </row>
    <row r="17" spans="1:6">
      <c r="A17" s="9" t="s">
        <v>221</v>
      </c>
      <c r="B17" s="43">
        <f>'Tab 1 – Assumptions'!$G$19</f>
        <v>50000</v>
      </c>
      <c r="C17" s="40"/>
      <c r="D17" s="40"/>
      <c r="E17" s="40"/>
      <c r="F17" s="11" t="s">
        <v>222</v>
      </c>
    </row>
    <row r="18" spans="1:6">
      <c r="A18" s="12" t="s">
        <v>171</v>
      </c>
      <c r="B18" s="44">
        <f>B16/B17</f>
        <v>3.2850000000000001</v>
      </c>
      <c r="C18" s="32"/>
      <c r="D18" s="32"/>
      <c r="E18" s="32"/>
      <c r="F18" s="14" t="s">
        <v>223</v>
      </c>
    </row>
    <row r="21" spans="1:6" ht="23" customHeight="1">
      <c r="A21" s="72" t="s">
        <v>224</v>
      </c>
      <c r="B21" s="72"/>
      <c r="C21" s="72"/>
      <c r="D21" s="72"/>
      <c r="E21" s="72"/>
      <c r="F21" s="72"/>
    </row>
    <row r="22" spans="1:6" ht="15">
      <c r="A22" s="1" t="s">
        <v>189</v>
      </c>
      <c r="B22" s="1" t="s">
        <v>214</v>
      </c>
      <c r="C22" s="1" t="s">
        <v>77</v>
      </c>
      <c r="D22" s="1" t="s">
        <v>78</v>
      </c>
      <c r="E22" s="1" t="s">
        <v>79</v>
      </c>
      <c r="F22" s="1" t="s">
        <v>225</v>
      </c>
    </row>
    <row r="23" spans="1:6">
      <c r="A23" s="6" t="s">
        <v>226</v>
      </c>
      <c r="B23" s="38" t="str">
        <f>IF(B16="","BUILD",IF(ABS(B16-(B14-B15))&lt;='Tab 1 – Assumptions'!$B$12,"PASS","CHECK"))</f>
        <v>PASS</v>
      </c>
      <c r="C23" s="38" t="str">
        <f>IF(C16="","BUILD",IF(ABS(C16-(C14-C15))&lt;='Tab 1 – Assumptions'!$B$12,"PASS","CHECK"))</f>
        <v>BUILD</v>
      </c>
      <c r="D23" s="38" t="str">
        <f>IF(D16="","BUILD",IF(ABS(D16-(D14-D15))&lt;='Tab 1 – Assumptions'!$B$12,"PASS","CHECK"))</f>
        <v>BUILD</v>
      </c>
      <c r="E23" s="38" t="str">
        <f>IF(E16="","BUILD",IF(ABS(E16-(E14-E15))&lt;='Tab 1 – Assumptions'!$B$12,"PASS","CHECK"))</f>
        <v>BUILD</v>
      </c>
      <c r="F23" s="8" t="s">
        <v>227</v>
      </c>
    </row>
    <row r="24" spans="1:6">
      <c r="A24" s="9" t="s">
        <v>228</v>
      </c>
      <c r="B24" s="38" t="str">
        <f>IF(B13="","BUILD",IF(ABS(B13-(B11*'Tab 1 – Assumptions'!$B$10+B12*'Tab 1 – Assumptions'!$B$11))&lt;='Tab 1 – Assumptions'!$B$12,"PASS","CHECK"))</f>
        <v>PASS</v>
      </c>
      <c r="C24" s="38" t="str">
        <f>IF(C13="","BUILD",IF(ABS(C13-(C11*'Tab 1 – Assumptions'!$B$10+C12*'Tab 1 – Assumptions'!$B$11))&lt;='Tab 1 – Assumptions'!$B$12,"PASS","CHECK"))</f>
        <v>BUILD</v>
      </c>
      <c r="D24" s="38" t="str">
        <f>IF(D13="","BUILD",IF(ABS(D13-(D11*'Tab 1 – Assumptions'!$B$10+D12*'Tab 1 – Assumptions'!$B$11))&lt;='Tab 1 – Assumptions'!$B$12,"PASS","CHECK"))</f>
        <v>BUILD</v>
      </c>
      <c r="E24" s="38" t="str">
        <f>IF(E13="","BUILD",IF(ABS(E13-(E11*'Tab 1 – Assumptions'!$B$10+E12*'Tab 1 – Assumptions'!$B$11))&lt;='Tab 1 – Assumptions'!$B$12,"PASS","CHECK"))</f>
        <v>BUILD</v>
      </c>
      <c r="F24" s="11" t="s">
        <v>229</v>
      </c>
    </row>
    <row r="25" spans="1:6">
      <c r="A25" s="12" t="s">
        <v>230</v>
      </c>
      <c r="B25" s="38" t="str">
        <f>IF(B18="","BUILD",IF(ABS(B18*B17-B16)&lt;='Tab 1 – Assumptions'!$B$12,"PASS","CHECK"))</f>
        <v>PASS</v>
      </c>
      <c r="C25" s="38" t="str">
        <f>IF(C18="","BUILD",IF(ABS(C18*C17-C16)&lt;='Tab 1 – Assumptions'!$B$12,"PASS","CHECK"))</f>
        <v>BUILD</v>
      </c>
      <c r="D25" s="38" t="str">
        <f>IF(D18="","BUILD",IF(ABS(D18*D17-D16)&lt;='Tab 1 – Assumptions'!$B$12,"PASS","CHECK"))</f>
        <v>BUILD</v>
      </c>
      <c r="E25" s="38" t="str">
        <f>IF(E18="","BUILD",IF(ABS(E18*E17-E16)&lt;='Tab 1 – Assumptions'!$B$12,"PASS","CHECK"))</f>
        <v>BUILD</v>
      </c>
      <c r="F25" s="14" t="s">
        <v>231</v>
      </c>
    </row>
  </sheetData>
  <mergeCells count="4">
    <mergeCell ref="A1:F1"/>
    <mergeCell ref="A2:F2"/>
    <mergeCell ref="A4:F4"/>
    <mergeCell ref="A21:F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2"/>
  <sheetViews>
    <sheetView showGridLines="0" workbookViewId="0"/>
  </sheetViews>
  <sheetFormatPr baseColWidth="10" defaultColWidth="8.83203125" defaultRowHeight="14"/>
  <cols>
    <col min="1" max="1" width="33" customWidth="1"/>
    <col min="2" max="4" width="18" customWidth="1"/>
    <col min="5" max="5" width="17" customWidth="1"/>
    <col min="6" max="6" width="48" customWidth="1"/>
  </cols>
  <sheetData>
    <row r="1" spans="1:6" ht="31" customHeight="1">
      <c r="A1" s="70" t="s">
        <v>232</v>
      </c>
      <c r="B1" s="70"/>
      <c r="C1" s="70"/>
      <c r="D1" s="70"/>
      <c r="E1" s="70"/>
      <c r="F1" s="70"/>
    </row>
    <row r="2" spans="1:6" ht="30" customHeight="1">
      <c r="A2" s="71" t="s">
        <v>233</v>
      </c>
      <c r="B2" s="71"/>
      <c r="C2" s="71"/>
      <c r="D2" s="71"/>
      <c r="E2" s="71"/>
      <c r="F2" s="71"/>
    </row>
    <row r="4" spans="1:6" ht="23" customHeight="1">
      <c r="A4" s="72" t="s">
        <v>234</v>
      </c>
      <c r="B4" s="72"/>
      <c r="C4" s="72"/>
      <c r="D4" s="72"/>
      <c r="E4" s="72"/>
      <c r="F4" s="72"/>
    </row>
    <row r="5" spans="1:6" ht="15">
      <c r="A5" s="1" t="s">
        <v>53</v>
      </c>
      <c r="B5" s="1" t="s">
        <v>77</v>
      </c>
      <c r="C5" s="1" t="s">
        <v>78</v>
      </c>
      <c r="D5" s="1" t="s">
        <v>79</v>
      </c>
      <c r="E5" s="1" t="s">
        <v>6</v>
      </c>
      <c r="F5" s="1" t="s">
        <v>146</v>
      </c>
    </row>
    <row r="6" spans="1:6">
      <c r="A6" s="6" t="s">
        <v>235</v>
      </c>
      <c r="B6" s="34"/>
      <c r="C6" s="34"/>
      <c r="D6" s="34"/>
      <c r="E6" s="7" t="s">
        <v>38</v>
      </c>
      <c r="F6" s="8" t="s">
        <v>236</v>
      </c>
    </row>
    <row r="7" spans="1:6">
      <c r="A7" s="9" t="s">
        <v>237</v>
      </c>
      <c r="B7" s="34"/>
      <c r="C7" s="34"/>
      <c r="D7" s="34"/>
      <c r="E7" s="10" t="s">
        <v>38</v>
      </c>
      <c r="F7" s="11" t="s">
        <v>238</v>
      </c>
    </row>
    <row r="8" spans="1:6">
      <c r="A8" s="9" t="s">
        <v>239</v>
      </c>
      <c r="B8" s="34"/>
      <c r="C8" s="34"/>
      <c r="D8" s="34"/>
      <c r="E8" s="10" t="s">
        <v>38</v>
      </c>
      <c r="F8" s="11" t="s">
        <v>58</v>
      </c>
    </row>
    <row r="9" spans="1:6">
      <c r="A9" s="9" t="s">
        <v>88</v>
      </c>
      <c r="B9" s="34"/>
      <c r="C9" s="34"/>
      <c r="D9" s="34"/>
      <c r="E9" s="10" t="s">
        <v>38</v>
      </c>
      <c r="F9" s="11" t="s">
        <v>240</v>
      </c>
    </row>
    <row r="10" spans="1:6">
      <c r="A10" s="9" t="s">
        <v>89</v>
      </c>
      <c r="B10" s="34"/>
      <c r="C10" s="34"/>
      <c r="D10" s="34"/>
      <c r="E10" s="10" t="s">
        <v>38</v>
      </c>
      <c r="F10" s="11" t="s">
        <v>240</v>
      </c>
    </row>
    <row r="11" spans="1:6">
      <c r="A11" s="9" t="s">
        <v>91</v>
      </c>
      <c r="B11" s="34"/>
      <c r="C11" s="34"/>
      <c r="D11" s="34"/>
      <c r="E11" s="10" t="s">
        <v>38</v>
      </c>
      <c r="F11" s="11" t="s">
        <v>240</v>
      </c>
    </row>
    <row r="12" spans="1:6">
      <c r="A12" s="9" t="s">
        <v>92</v>
      </c>
      <c r="B12" s="34"/>
      <c r="C12" s="34"/>
      <c r="D12" s="34"/>
      <c r="E12" s="10" t="s">
        <v>38</v>
      </c>
      <c r="F12" s="11" t="s">
        <v>241</v>
      </c>
    </row>
    <row r="13" spans="1:6">
      <c r="A13" s="12" t="s">
        <v>242</v>
      </c>
      <c r="B13" s="34"/>
      <c r="C13" s="34"/>
      <c r="D13" s="34"/>
      <c r="E13" s="13" t="s">
        <v>38</v>
      </c>
      <c r="F13" s="14" t="s">
        <v>243</v>
      </c>
    </row>
    <row r="15" spans="1:6" ht="23" customHeight="1">
      <c r="A15" s="72" t="s">
        <v>244</v>
      </c>
      <c r="B15" s="72"/>
      <c r="C15" s="72"/>
      <c r="D15" s="72"/>
      <c r="E15" s="72"/>
      <c r="F15" s="72"/>
    </row>
    <row r="16" spans="1:6" ht="15">
      <c r="A16" s="1" t="s">
        <v>53</v>
      </c>
      <c r="B16" s="1" t="s">
        <v>77</v>
      </c>
      <c r="C16" s="1" t="s">
        <v>78</v>
      </c>
      <c r="D16" s="1" t="s">
        <v>79</v>
      </c>
      <c r="E16" s="1" t="s">
        <v>6</v>
      </c>
      <c r="F16" s="1" t="s">
        <v>146</v>
      </c>
    </row>
    <row r="17" spans="1:6">
      <c r="A17" s="6" t="s">
        <v>93</v>
      </c>
      <c r="B17" s="34"/>
      <c r="C17" s="34"/>
      <c r="D17" s="34"/>
      <c r="E17" s="7" t="s">
        <v>38</v>
      </c>
      <c r="F17" s="8" t="s">
        <v>245</v>
      </c>
    </row>
    <row r="18" spans="1:6">
      <c r="A18" s="9" t="s">
        <v>95</v>
      </c>
      <c r="B18" s="34"/>
      <c r="C18" s="34"/>
      <c r="D18" s="34"/>
      <c r="E18" s="10" t="s">
        <v>38</v>
      </c>
      <c r="F18" s="11" t="s">
        <v>246</v>
      </c>
    </row>
    <row r="19" spans="1:6">
      <c r="A19" s="9" t="s">
        <v>100</v>
      </c>
      <c r="B19" s="34"/>
      <c r="C19" s="34"/>
      <c r="D19" s="34"/>
      <c r="E19" s="10" t="s">
        <v>38</v>
      </c>
      <c r="F19" s="11" t="s">
        <v>246</v>
      </c>
    </row>
    <row r="20" spans="1:6">
      <c r="A20" s="9" t="s">
        <v>114</v>
      </c>
      <c r="B20" s="34"/>
      <c r="C20" s="34"/>
      <c r="D20" s="34"/>
      <c r="E20" s="10" t="s">
        <v>38</v>
      </c>
      <c r="F20" s="11" t="s">
        <v>115</v>
      </c>
    </row>
    <row r="21" spans="1:6">
      <c r="A21" s="9" t="s">
        <v>101</v>
      </c>
      <c r="B21" s="34"/>
      <c r="C21" s="34"/>
      <c r="D21" s="34"/>
      <c r="E21" s="10" t="s">
        <v>38</v>
      </c>
      <c r="F21" s="11" t="s">
        <v>247</v>
      </c>
    </row>
    <row r="22" spans="1:6">
      <c r="A22" s="9" t="s">
        <v>102</v>
      </c>
      <c r="B22" s="34"/>
      <c r="C22" s="34"/>
      <c r="D22" s="34"/>
      <c r="E22" s="10" t="s">
        <v>38</v>
      </c>
      <c r="F22" s="11" t="s">
        <v>246</v>
      </c>
    </row>
    <row r="23" spans="1:6">
      <c r="A23" s="9" t="s">
        <v>123</v>
      </c>
      <c r="B23" s="34"/>
      <c r="C23" s="34"/>
      <c r="D23" s="34"/>
      <c r="E23" s="10" t="s">
        <v>38</v>
      </c>
      <c r="F23" s="11" t="s">
        <v>124</v>
      </c>
    </row>
    <row r="24" spans="1:6">
      <c r="A24" s="9" t="s">
        <v>103</v>
      </c>
      <c r="B24" s="34"/>
      <c r="C24" s="34"/>
      <c r="D24" s="34"/>
      <c r="E24" s="10" t="s">
        <v>38</v>
      </c>
      <c r="F24" s="11" t="s">
        <v>246</v>
      </c>
    </row>
    <row r="25" spans="1:6">
      <c r="A25" s="9" t="s">
        <v>104</v>
      </c>
      <c r="B25" s="34"/>
      <c r="C25" s="34"/>
      <c r="D25" s="34"/>
      <c r="E25" s="10" t="s">
        <v>38</v>
      </c>
      <c r="F25" s="11" t="s">
        <v>248</v>
      </c>
    </row>
    <row r="26" spans="1:6">
      <c r="A26" s="9" t="s">
        <v>106</v>
      </c>
      <c r="B26" s="34"/>
      <c r="C26" s="34"/>
      <c r="D26" s="34"/>
      <c r="E26" s="10" t="s">
        <v>38</v>
      </c>
      <c r="F26" s="11" t="s">
        <v>248</v>
      </c>
    </row>
    <row r="27" spans="1:6">
      <c r="A27" s="9" t="s">
        <v>121</v>
      </c>
      <c r="B27" s="34"/>
      <c r="C27" s="34"/>
      <c r="D27" s="34"/>
      <c r="E27" s="10" t="s">
        <v>38</v>
      </c>
      <c r="F27" s="11" t="s">
        <v>249</v>
      </c>
    </row>
    <row r="28" spans="1:6">
      <c r="A28" s="9" t="s">
        <v>110</v>
      </c>
      <c r="B28" s="34"/>
      <c r="C28" s="34"/>
      <c r="D28" s="34"/>
      <c r="E28" s="10" t="s">
        <v>38</v>
      </c>
      <c r="F28" s="11" t="s">
        <v>250</v>
      </c>
    </row>
    <row r="29" spans="1:6">
      <c r="A29" s="12" t="s">
        <v>125</v>
      </c>
      <c r="B29" s="34"/>
      <c r="C29" s="34"/>
      <c r="D29" s="34"/>
      <c r="E29" s="13" t="s">
        <v>38</v>
      </c>
      <c r="F29" s="14" t="s">
        <v>126</v>
      </c>
    </row>
    <row r="31" spans="1:6" ht="23" customHeight="1">
      <c r="A31" s="72" t="s">
        <v>251</v>
      </c>
      <c r="B31" s="72"/>
      <c r="C31" s="72"/>
      <c r="D31" s="72"/>
      <c r="E31" s="72"/>
      <c r="F31" s="72"/>
    </row>
    <row r="32" spans="1:6" ht="15">
      <c r="A32" s="1" t="s">
        <v>252</v>
      </c>
      <c r="B32" s="1" t="s">
        <v>77</v>
      </c>
      <c r="C32" s="1" t="s">
        <v>78</v>
      </c>
      <c r="D32" s="1" t="s">
        <v>79</v>
      </c>
      <c r="E32" s="1" t="s">
        <v>6</v>
      </c>
      <c r="F32" s="1" t="s">
        <v>146</v>
      </c>
    </row>
    <row r="33" spans="1:6">
      <c r="A33" s="6" t="s">
        <v>253</v>
      </c>
      <c r="B33" s="34"/>
      <c r="C33" s="34"/>
      <c r="D33" s="34"/>
      <c r="E33" s="7" t="s">
        <v>38</v>
      </c>
      <c r="F33" s="8" t="s">
        <v>254</v>
      </c>
    </row>
    <row r="34" spans="1:6">
      <c r="A34" s="9" t="s">
        <v>255</v>
      </c>
      <c r="B34" s="34"/>
      <c r="C34" s="34"/>
      <c r="D34" s="34"/>
      <c r="E34" s="10" t="s">
        <v>38</v>
      </c>
      <c r="F34" s="11" t="s">
        <v>256</v>
      </c>
    </row>
    <row r="35" spans="1:6">
      <c r="A35" s="9" t="s">
        <v>257</v>
      </c>
      <c r="B35" s="34"/>
      <c r="C35" s="34"/>
      <c r="D35" s="34"/>
      <c r="E35" s="10" t="s">
        <v>38</v>
      </c>
      <c r="F35" s="11" t="s">
        <v>120</v>
      </c>
    </row>
    <row r="36" spans="1:6">
      <c r="A36" s="9" t="s">
        <v>258</v>
      </c>
      <c r="B36" s="34"/>
      <c r="C36" s="34"/>
      <c r="D36" s="34"/>
      <c r="E36" s="10" t="s">
        <v>38</v>
      </c>
      <c r="F36" s="11" t="s">
        <v>259</v>
      </c>
    </row>
    <row r="37" spans="1:6">
      <c r="A37" s="9" t="s">
        <v>260</v>
      </c>
      <c r="B37" s="34"/>
      <c r="C37" s="34"/>
      <c r="D37" s="34"/>
      <c r="E37" s="10" t="s">
        <v>38</v>
      </c>
      <c r="F37" s="11" t="s">
        <v>261</v>
      </c>
    </row>
    <row r="38" spans="1:6">
      <c r="A38" s="9" t="s">
        <v>63</v>
      </c>
      <c r="B38" s="40"/>
      <c r="C38" s="40"/>
      <c r="D38" s="40"/>
      <c r="E38" s="10" t="s">
        <v>158</v>
      </c>
      <c r="F38" s="11" t="s">
        <v>262</v>
      </c>
    </row>
    <row r="39" spans="1:6">
      <c r="A39" s="9" t="s">
        <v>263</v>
      </c>
      <c r="B39" s="32"/>
      <c r="C39" s="32"/>
      <c r="D39" s="32"/>
      <c r="E39" s="10" t="s">
        <v>42</v>
      </c>
      <c r="F39" s="11" t="s">
        <v>264</v>
      </c>
    </row>
    <row r="40" spans="1:6">
      <c r="A40" s="9" t="s">
        <v>171</v>
      </c>
      <c r="B40" s="32"/>
      <c r="C40" s="32"/>
      <c r="D40" s="32"/>
      <c r="E40" s="10" t="s">
        <v>42</v>
      </c>
      <c r="F40" s="11" t="s">
        <v>265</v>
      </c>
    </row>
    <row r="41" spans="1:6">
      <c r="A41" s="9" t="s">
        <v>266</v>
      </c>
      <c r="B41" s="32"/>
      <c r="C41" s="32"/>
      <c r="D41" s="32"/>
      <c r="E41" s="10" t="s">
        <v>42</v>
      </c>
      <c r="F41" s="11" t="s">
        <v>267</v>
      </c>
    </row>
    <row r="42" spans="1:6">
      <c r="A42" s="9" t="s">
        <v>268</v>
      </c>
      <c r="B42" s="37"/>
      <c r="C42" s="37"/>
      <c r="D42" s="37"/>
      <c r="E42" s="10" t="s">
        <v>27</v>
      </c>
      <c r="F42" s="11" t="s">
        <v>269</v>
      </c>
    </row>
    <row r="43" spans="1:6" ht="32" customHeight="1">
      <c r="A43" s="46" t="s">
        <v>270</v>
      </c>
      <c r="B43" s="37"/>
      <c r="C43" s="37"/>
      <c r="D43" s="37"/>
      <c r="E43" s="47" t="s">
        <v>27</v>
      </c>
      <c r="F43" s="48" t="s">
        <v>271</v>
      </c>
    </row>
    <row r="45" spans="1:6" ht="23" customHeight="1">
      <c r="A45" s="72" t="s">
        <v>272</v>
      </c>
      <c r="B45" s="72"/>
      <c r="C45" s="72"/>
      <c r="D45" s="72"/>
      <c r="E45" s="72"/>
      <c r="F45" s="72"/>
    </row>
    <row r="46" spans="1:6" ht="15">
      <c r="A46" s="1" t="s">
        <v>189</v>
      </c>
      <c r="B46" s="1" t="s">
        <v>77</v>
      </c>
      <c r="C46" s="1" t="s">
        <v>78</v>
      </c>
      <c r="D46" s="1" t="s">
        <v>79</v>
      </c>
      <c r="E46" s="1" t="s">
        <v>273</v>
      </c>
      <c r="F46" s="1" t="s">
        <v>274</v>
      </c>
    </row>
    <row r="47" spans="1:6">
      <c r="A47" s="6" t="s">
        <v>275</v>
      </c>
      <c r="B47" s="38" t="str">
        <f>IF(B13="","BUILD",IF(ABS(B13)&lt;='Tab 1 – Assumptions'!$B$12,"PASS","CHECK"))</f>
        <v>BUILD</v>
      </c>
      <c r="C47" s="38" t="str">
        <f>IF(C13="","BUILD",IF(ABS(C13)&lt;='Tab 1 – Assumptions'!$B$12,"PASS","CHECK"))</f>
        <v>BUILD</v>
      </c>
      <c r="D47" s="38" t="str">
        <f>IF(D13="","BUILD",IF(ABS(D13)&lt;='Tab 1 – Assumptions'!$B$12,"PASS","CHECK"))</f>
        <v>BUILD</v>
      </c>
      <c r="E47" s="7" t="s">
        <v>38</v>
      </c>
      <c r="F47" s="8" t="s">
        <v>276</v>
      </c>
    </row>
    <row r="48" spans="1:6">
      <c r="A48" s="9" t="s">
        <v>277</v>
      </c>
      <c r="B48" s="38" t="str">
        <f>IF(B35="","BUILD",IF(ABS('Tab 1 – Assumptions'!$B$40-B9-B35)&lt;='Tab 1 – Assumptions'!$B$12,"PASS","CHECK"))</f>
        <v>BUILD</v>
      </c>
      <c r="C48" s="38" t="str">
        <f>IF(C35="","BUILD",IF(ABS('Tab 1 – Assumptions'!$B$40-C9-C35)&lt;='Tab 1 – Assumptions'!$B$12,"PASS","CHECK"))</f>
        <v>BUILD</v>
      </c>
      <c r="D48" s="38" t="str">
        <f>IF(D35="","BUILD",IF(ABS('Tab 1 – Assumptions'!$B$40-D9-D35)&lt;='Tab 1 – Assumptions'!$B$12,"PASS","CHECK"))</f>
        <v>BUILD</v>
      </c>
      <c r="E48" s="10" t="s">
        <v>38</v>
      </c>
      <c r="F48" s="11" t="s">
        <v>278</v>
      </c>
    </row>
    <row r="49" spans="1:6">
      <c r="A49" s="9" t="s">
        <v>279</v>
      </c>
      <c r="B49" s="38" t="str">
        <f>IF(B28="","BUILD",IF(ABS(B28-'Tab 1 – Assumptions'!$B$38-B8)&lt;='Tab 1 – Assumptions'!$B$12,"PASS","CHECK"))</f>
        <v>BUILD</v>
      </c>
      <c r="C49" s="38" t="str">
        <f>IF(C28="","BUILD",IF(ABS(C28-'Tab 1 – Assumptions'!$B$38-C8)&lt;='Tab 1 – Assumptions'!$B$12,"PASS","CHECK"))</f>
        <v>BUILD</v>
      </c>
      <c r="D49" s="38" t="str">
        <f>IF(D28="","BUILD",IF(ABS(D28-'Tab 1 – Assumptions'!$B$38-D8)&lt;='Tab 1 – Assumptions'!$B$12,"PASS","CHECK"))</f>
        <v>BUILD</v>
      </c>
      <c r="E49" s="10" t="s">
        <v>38</v>
      </c>
      <c r="F49" s="11" t="s">
        <v>280</v>
      </c>
    </row>
    <row r="50" spans="1:6">
      <c r="A50" s="9" t="s">
        <v>281</v>
      </c>
      <c r="B50" s="38" t="str">
        <f>IF(B23="","BUILD",IF(ABS(B23-B29)&lt;='Tab 1 – Assumptions'!$B$12,"PASS","CHECK"))</f>
        <v>BUILD</v>
      </c>
      <c r="C50" s="38" t="str">
        <f>IF(C23="","BUILD",IF(ABS(C23-C29)&lt;='Tab 1 – Assumptions'!$B$12,"PASS","CHECK"))</f>
        <v>BUILD</v>
      </c>
      <c r="D50" s="38" t="str">
        <f>IF(D23="","BUILD",IF(ABS(D23-D29)&lt;='Tab 1 – Assumptions'!$B$12,"PASS","CHECK"))</f>
        <v>BUILD</v>
      </c>
      <c r="E50" s="10" t="s">
        <v>38</v>
      </c>
      <c r="F50" s="11" t="s">
        <v>282</v>
      </c>
    </row>
    <row r="51" spans="1:6">
      <c r="A51" s="9" t="s">
        <v>283</v>
      </c>
      <c r="B51" s="38" t="str">
        <f>IF(B38="","BUILD",IF(ABS(B38-'Tab 1 – Assumptions'!$G$19-'Tab 1 – Assumptions'!$G$15)&lt;='Tab 1 – Assumptions'!$B$12,"PASS","CHECK"))</f>
        <v>BUILD</v>
      </c>
      <c r="C51" s="38" t="str">
        <f>IF(C38="","BUILD",IF(ABS(C38-'Tab 1 – Assumptions'!$G$19-'Tab 1 – Assumptions'!$G$15)&lt;='Tab 1 – Assumptions'!$B$12,"PASS","CHECK"))</f>
        <v>BUILD</v>
      </c>
      <c r="D51" s="38" t="str">
        <f>IF(D38="","BUILD",IF(ABS(D38-'Tab 1 – Assumptions'!$G$19-'Tab 1 – Assumptions'!$G$15)&lt;='Tab 1 – Assumptions'!$B$12,"PASS","CHECK"))</f>
        <v>BUILD</v>
      </c>
      <c r="E51" s="10" t="s">
        <v>158</v>
      </c>
      <c r="F51" s="11" t="s">
        <v>284</v>
      </c>
    </row>
    <row r="52" spans="1:6">
      <c r="A52" s="12" t="s">
        <v>285</v>
      </c>
      <c r="B52" s="38" t="str">
        <f>IF(B37="","BUILD",IF(ABS(B37-('Tab 2 – Valuation'!$F$14+B8))&lt;='Tab 1 – Assumptions'!$B$12,"PASS","CHECK"))</f>
        <v>BUILD</v>
      </c>
      <c r="C52" s="38" t="str">
        <f>IF(C37="","BUILD",IF(ABS(C37-('Tab 2 – Valuation'!$F$14+C8))&lt;='Tab 1 – Assumptions'!$B$12,"PASS","CHECK"))</f>
        <v>BUILD</v>
      </c>
      <c r="D52" s="38" t="str">
        <f>IF(D37="","BUILD",IF(ABS(D37-('Tab 2 – Valuation'!$F$14+D8))&lt;='Tab 1 – Assumptions'!$B$12,"PASS","CHECK"))</f>
        <v>BUILD</v>
      </c>
      <c r="E52" s="13" t="s">
        <v>38</v>
      </c>
      <c r="F52" s="14" t="s">
        <v>286</v>
      </c>
    </row>
    <row r="53" spans="1:6">
      <c r="A53" s="49" t="s">
        <v>287</v>
      </c>
      <c r="B53" s="38" t="str">
        <f>IF(B39="","BUILD",IF(ABS(B39-B37/B38)&lt;='Tab 1 – Assumptions'!$B$13,"PASS","CHECK"))</f>
        <v>BUILD</v>
      </c>
      <c r="C53" s="38" t="str">
        <f>IF(C39="","BUILD",IF(ABS(C39-C37/C38)&lt;='Tab 1 – Assumptions'!$B$13,"PASS","CHECK"))</f>
        <v>BUILD</v>
      </c>
      <c r="D53" s="38" t="str">
        <f>IF(D39="","BUILD",IF(ABS(D39-D37/D38)&lt;='Tab 1 – Assumptions'!$B$13,"PASS","CHECK"))</f>
        <v>BUILD</v>
      </c>
      <c r="E53" s="50" t="s">
        <v>42</v>
      </c>
      <c r="F53" s="51" t="s">
        <v>288</v>
      </c>
    </row>
    <row r="55" spans="1:6" ht="23" customHeight="1">
      <c r="A55" s="72" t="s">
        <v>289</v>
      </c>
      <c r="B55" s="72"/>
      <c r="C55" s="72"/>
      <c r="D55" s="72"/>
      <c r="E55" s="72"/>
      <c r="F55" s="72"/>
    </row>
    <row r="56" spans="1:6" ht="43" customHeight="1">
      <c r="A56" t="s">
        <v>290</v>
      </c>
      <c r="B56" s="85"/>
      <c r="C56" s="85"/>
      <c r="D56" s="85"/>
      <c r="E56" s="86" t="s">
        <v>291</v>
      </c>
      <c r="F56" s="86"/>
    </row>
    <row r="57" spans="1:6" ht="43" customHeight="1">
      <c r="A57" t="s">
        <v>292</v>
      </c>
      <c r="B57" s="85"/>
      <c r="C57" s="85"/>
      <c r="D57" s="85"/>
      <c r="E57" s="86" t="s">
        <v>293</v>
      </c>
      <c r="F57" s="86"/>
    </row>
    <row r="58" spans="1:6" ht="43" customHeight="1">
      <c r="A58" t="s">
        <v>294</v>
      </c>
      <c r="B58" s="85"/>
      <c r="C58" s="85"/>
      <c r="D58" s="85"/>
      <c r="E58" s="86" t="s">
        <v>295</v>
      </c>
      <c r="F58" s="86"/>
    </row>
    <row r="59" spans="1:6" ht="43" customHeight="1">
      <c r="A59" t="s">
        <v>296</v>
      </c>
      <c r="B59" s="85"/>
      <c r="C59" s="85"/>
      <c r="D59" s="85"/>
      <c r="E59" s="86" t="s">
        <v>297</v>
      </c>
      <c r="F59" s="86"/>
    </row>
    <row r="60" spans="1:6" ht="43" customHeight="1">
      <c r="A60" t="s">
        <v>298</v>
      </c>
      <c r="B60" s="85"/>
      <c r="C60" s="85"/>
      <c r="D60" s="85"/>
      <c r="E60" s="86" t="s">
        <v>299</v>
      </c>
      <c r="F60" s="86"/>
    </row>
    <row r="61" spans="1:6" ht="43" customHeight="1">
      <c r="A61" t="s">
        <v>300</v>
      </c>
      <c r="B61" s="85"/>
      <c r="C61" s="85"/>
      <c r="D61" s="85"/>
      <c r="E61" s="86" t="s">
        <v>301</v>
      </c>
      <c r="F61" s="86"/>
    </row>
    <row r="62" spans="1:6" ht="43" customHeight="1">
      <c r="A62" t="s">
        <v>302</v>
      </c>
      <c r="B62" s="85"/>
      <c r="C62" s="85"/>
      <c r="D62" s="85"/>
      <c r="E62" s="86" t="s">
        <v>303</v>
      </c>
      <c r="F62" s="86"/>
    </row>
  </sheetData>
  <mergeCells count="21">
    <mergeCell ref="B61:D61"/>
    <mergeCell ref="E61:F61"/>
    <mergeCell ref="B62:D62"/>
    <mergeCell ref="E62:F62"/>
    <mergeCell ref="B58:D58"/>
    <mergeCell ref="E58:F58"/>
    <mergeCell ref="B59:D59"/>
    <mergeCell ref="E59:F59"/>
    <mergeCell ref="B60:D60"/>
    <mergeCell ref="E60:F60"/>
    <mergeCell ref="A45:F45"/>
    <mergeCell ref="A55:F55"/>
    <mergeCell ref="B56:D56"/>
    <mergeCell ref="E56:F56"/>
    <mergeCell ref="B57:D57"/>
    <mergeCell ref="E57:F57"/>
    <mergeCell ref="A1:F1"/>
    <mergeCell ref="A2:F2"/>
    <mergeCell ref="A4:F4"/>
    <mergeCell ref="A15:F15"/>
    <mergeCell ref="A31:F31"/>
  </mergeCells>
  <dataValidations count="1">
    <dataValidation type="list" sqref="B57" xr:uid="{00000000-0002-0000-0300-000000000000}">
      <formula1>"Scenario A,Scenario B,Scenario C"</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
  <sheetViews>
    <sheetView showGridLines="0" workbookViewId="0"/>
  </sheetViews>
  <sheetFormatPr baseColWidth="10" defaultColWidth="8.83203125" defaultRowHeight="14"/>
  <cols>
    <col min="1" max="1" width="27" customWidth="1"/>
    <col min="2" max="2" width="40" customWidth="1"/>
    <col min="3" max="6" width="16" customWidth="1"/>
    <col min="7" max="7" width="50" customWidth="1"/>
  </cols>
  <sheetData>
    <row r="1" spans="1:7" ht="31" customHeight="1">
      <c r="A1" s="70" t="s">
        <v>304</v>
      </c>
      <c r="B1" s="70"/>
      <c r="C1" s="70"/>
      <c r="D1" s="70"/>
      <c r="E1" s="70"/>
      <c r="F1" s="70"/>
      <c r="G1" s="70"/>
    </row>
    <row r="2" spans="1:7" ht="30" customHeight="1">
      <c r="A2" s="71" t="s">
        <v>305</v>
      </c>
      <c r="B2" s="71"/>
      <c r="C2" s="71"/>
      <c r="D2" s="71"/>
      <c r="E2" s="71"/>
      <c r="F2" s="71"/>
      <c r="G2" s="71"/>
    </row>
    <row r="4" spans="1:7" ht="23" customHeight="1">
      <c r="A4" s="72" t="s">
        <v>306</v>
      </c>
      <c r="B4" s="72"/>
      <c r="C4" s="72"/>
      <c r="D4" s="72"/>
      <c r="E4" s="72"/>
      <c r="F4" s="72"/>
      <c r="G4" s="72"/>
    </row>
    <row r="5" spans="1:7" ht="15">
      <c r="A5" s="1" t="s">
        <v>252</v>
      </c>
      <c r="B5" s="1" t="s">
        <v>307</v>
      </c>
      <c r="C5" s="1" t="s">
        <v>214</v>
      </c>
      <c r="D5" s="1" t="s">
        <v>77</v>
      </c>
      <c r="E5" s="1" t="s">
        <v>78</v>
      </c>
      <c r="F5" s="1" t="s">
        <v>79</v>
      </c>
      <c r="G5" s="1" t="s">
        <v>308</v>
      </c>
    </row>
    <row r="6" spans="1:7" ht="38" customHeight="1">
      <c r="A6" s="6" t="s">
        <v>309</v>
      </c>
      <c r="B6" s="7" t="s">
        <v>310</v>
      </c>
      <c r="C6" s="45"/>
      <c r="D6" s="45"/>
      <c r="E6" s="45"/>
      <c r="F6" s="45"/>
      <c r="G6" s="29"/>
    </row>
    <row r="7" spans="1:7" ht="38" customHeight="1">
      <c r="A7" s="9" t="s">
        <v>311</v>
      </c>
      <c r="B7" s="10" t="s">
        <v>312</v>
      </c>
      <c r="C7" s="45"/>
      <c r="D7" s="45"/>
      <c r="E7" s="45"/>
      <c r="F7" s="45"/>
      <c r="G7" s="29"/>
    </row>
    <row r="8" spans="1:7" ht="38" customHeight="1">
      <c r="A8" s="9" t="s">
        <v>313</v>
      </c>
      <c r="B8" s="10" t="s">
        <v>314</v>
      </c>
      <c r="C8" s="45"/>
      <c r="D8" s="45"/>
      <c r="E8" s="45"/>
      <c r="F8" s="45"/>
      <c r="G8" s="29"/>
    </row>
    <row r="9" spans="1:7" ht="38" customHeight="1">
      <c r="A9" s="9" t="s">
        <v>315</v>
      </c>
      <c r="B9" s="10" t="s">
        <v>316</v>
      </c>
      <c r="C9" s="37"/>
      <c r="D9" s="37"/>
      <c r="E9" s="37"/>
      <c r="F9" s="37"/>
      <c r="G9" s="29"/>
    </row>
    <row r="10" spans="1:7" ht="38" customHeight="1">
      <c r="A10" s="9" t="s">
        <v>317</v>
      </c>
      <c r="B10" s="10" t="s">
        <v>318</v>
      </c>
      <c r="C10" s="37"/>
      <c r="D10" s="37"/>
      <c r="E10" s="37"/>
      <c r="F10" s="37"/>
      <c r="G10" s="29"/>
    </row>
    <row r="11" spans="1:7" ht="38" customHeight="1">
      <c r="A11" s="9" t="s">
        <v>319</v>
      </c>
      <c r="B11" s="10" t="s">
        <v>320</v>
      </c>
      <c r="C11" s="37"/>
      <c r="D11" s="37"/>
      <c r="E11" s="37"/>
      <c r="F11" s="37"/>
      <c r="G11" s="29"/>
    </row>
    <row r="12" spans="1:7" ht="38" customHeight="1">
      <c r="A12" s="9" t="s">
        <v>321</v>
      </c>
      <c r="B12" s="10" t="s">
        <v>322</v>
      </c>
      <c r="C12" s="37"/>
      <c r="D12" s="37"/>
      <c r="E12" s="37"/>
      <c r="F12" s="37"/>
      <c r="G12" s="29"/>
    </row>
    <row r="13" spans="1:7" ht="38" customHeight="1">
      <c r="A13" s="9" t="s">
        <v>171</v>
      </c>
      <c r="B13" s="10" t="s">
        <v>323</v>
      </c>
      <c r="C13" s="32"/>
      <c r="D13" s="32"/>
      <c r="E13" s="32"/>
      <c r="F13" s="32"/>
      <c r="G13" s="29"/>
    </row>
    <row r="14" spans="1:7" ht="38" customHeight="1">
      <c r="A14" s="12" t="s">
        <v>266</v>
      </c>
      <c r="B14" s="13" t="s">
        <v>324</v>
      </c>
      <c r="C14" s="32"/>
      <c r="D14" s="32"/>
      <c r="E14" s="32"/>
      <c r="F14" s="32"/>
      <c r="G14" s="29"/>
    </row>
    <row r="17" spans="1:7" ht="23" customHeight="1">
      <c r="A17" s="72" t="s">
        <v>325</v>
      </c>
      <c r="B17" s="72"/>
      <c r="C17" s="72"/>
      <c r="D17" s="72"/>
      <c r="E17" s="72"/>
      <c r="F17" s="72"/>
      <c r="G17" s="72"/>
    </row>
    <row r="18" spans="1:7" ht="44" customHeight="1">
      <c r="A18" s="87" t="s">
        <v>326</v>
      </c>
      <c r="B18" s="87"/>
      <c r="C18" s="85"/>
      <c r="D18" s="85"/>
      <c r="E18" s="85"/>
      <c r="F18" s="85"/>
      <c r="G18" s="85"/>
    </row>
    <row r="19" spans="1:7" ht="44" customHeight="1">
      <c r="A19" s="87" t="s">
        <v>327</v>
      </c>
      <c r="B19" s="87"/>
      <c r="C19" s="85"/>
      <c r="D19" s="85"/>
      <c r="E19" s="85"/>
      <c r="F19" s="85"/>
      <c r="G19" s="85"/>
    </row>
    <row r="20" spans="1:7" ht="44" customHeight="1">
      <c r="A20" s="87" t="s">
        <v>328</v>
      </c>
      <c r="B20" s="87"/>
      <c r="C20" s="85"/>
      <c r="D20" s="85"/>
      <c r="E20" s="85"/>
      <c r="F20" s="85"/>
      <c r="G20" s="85"/>
    </row>
    <row r="21" spans="1:7" ht="44" customHeight="1">
      <c r="A21" s="87" t="s">
        <v>329</v>
      </c>
      <c r="B21" s="87"/>
      <c r="C21" s="85"/>
      <c r="D21" s="85"/>
      <c r="E21" s="85"/>
      <c r="F21" s="85"/>
      <c r="G21" s="85"/>
    </row>
  </sheetData>
  <mergeCells count="12">
    <mergeCell ref="A19:B19"/>
    <mergeCell ref="C19:G19"/>
    <mergeCell ref="A20:B20"/>
    <mergeCell ref="C20:G20"/>
    <mergeCell ref="A21:B21"/>
    <mergeCell ref="C21:G21"/>
    <mergeCell ref="A1:G1"/>
    <mergeCell ref="A2:G2"/>
    <mergeCell ref="A4:G4"/>
    <mergeCell ref="A17:G17"/>
    <mergeCell ref="A18:B18"/>
    <mergeCell ref="C18:G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 1 – Assumptions</vt:lpstr>
      <vt:lpstr>Tab 2 – Valuation</vt:lpstr>
      <vt:lpstr>Tab 2a – Earnings</vt:lpstr>
      <vt:lpstr>Tab 3 – Scenario Analysis</vt:lpstr>
      <vt:lpstr>Tab 4 – Ratio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Bethany Evitts</cp:lastModifiedBy>
  <dcterms:created xsi:type="dcterms:W3CDTF">2026-10-07T12:06:41Z</dcterms:created>
  <dcterms:modified xsi:type="dcterms:W3CDTF">2026-10-07T12:06:41Z</dcterms:modified>
</cp:coreProperties>
</file>