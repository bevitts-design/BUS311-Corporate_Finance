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011f9fa5b46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 1 – Company Profile" sheetId="1" r:id="R702fd57e4f1e429e"/>
    <x:sheet xmlns:r="http://schemas.openxmlformats.org/officeDocument/2006/relationships" name="Tab 2 – Equity Valuation" sheetId="2" r:id="R93c7aba45b9f4d09"/>
    <x:sheet xmlns:r="http://schemas.openxmlformats.org/officeDocument/2006/relationships" name="Tab 2a-Net Income Calc" sheetId="7" r:id="R307887b522944093"/>
    <x:sheet xmlns:r="http://schemas.openxmlformats.org/officeDocument/2006/relationships" name="Tab 3 – Ratio Analysis" sheetId="3" r:id="Rbf9ed6ea5953406b"/>
    <x:sheet xmlns:r="http://schemas.openxmlformats.org/officeDocument/2006/relationships" name="Tab 4 – Scenario Analysis" sheetId="4" r:id="R10703b3bd726411e"/>
    <x:sheet xmlns:r="http://schemas.openxmlformats.org/officeDocument/2006/relationships" name="BUS311 Guide" sheetId="8" r:id="Rabb5d55cc5bc4246"/>
  </x:sheets>
</x:workbook>
</file>

<file path=xl/sharedStrings.xml><?xml version="1.0" encoding="utf-8"?>
<x:sst xmlns:x="http://schemas.openxmlformats.org/spreadsheetml/2006/main">
  <x:si>
    <x:t xml:space="preserve">APEX TECHNOLOGY CORPORATION — COMPANY PROFILE</x:t>
  </x:si>
  <x:si>
    <x:t xml:space="preserve">BUS 311 Corporate Finance  |  Chapter 7: Equity Valuation &amp; IPO Analysis  |  Pre-IPO Financial Data (Fiscal Year Ended Dec 31)</x:t>
  </x:si>
  <x:si>
    <x:t xml:space="preserve">  INCOME STATEMENT  ($ in thousands)</x:t>
  </x:si>
  <x:si>
    <x:t xml:space="preserve">  KEY ASSUMPTIONS FOR THIS EXERCISE</x:t>
  </x:si>
  <x:si>
    <x:t xml:space="preserve">Line Item</x:t>
  </x:si>
  <x:si>
    <x:t xml:space="preserve">Amount ($000s)</x:t>
  </x:si>
  <x:si>
    <x:t xml:space="preserve">Notes</x:t>
  </x:si>
  <x:si>
    <x:t xml:space="preserve">Assumption</x:t>
  </x:si>
  <x:si>
    <x:t xml:space="preserve">Value</x:t>
  </x:si>
  <x:si>
    <x:t xml:space="preserve">Use In Model</x:t>
  </x:si>
  <x:si>
    <x:t xml:space="preserve">Revenue</x:t>
  </x:si>
  <x:si>
    <x:t xml:space="preserve">Software &amp; services</x:t>
  </x:si>
  <x:si>
    <x:t xml:space="preserve">IPO Proceeds (Total)</x:t>
  </x:si>
  <x:si>
    <x:t xml:space="preserve">$400,000</x:t>
  </x:si>
  <x:si>
    <x:t xml:space="preserve">Balance sheet cash injection</x:t>
  </x:si>
  <x:si>
    <x:t xml:space="preserve">Cost of Goods Sold</x:t>
  </x:si>
  <x:si>
    <x:t xml:space="preserve">30% COGS margin</x:t>
  </x:si>
  <x:si>
    <x:t xml:space="preserve">Shares Issued in IPO</x:t>
  </x:si>
  <x:si>
    <x:t xml:space="preserve">20,000,000</x:t>
  </x:si>
  <x:si>
    <x:t xml:space="preserve">New shares at offering price</x:t>
  </x:si>
  <x:si>
    <x:t xml:space="preserve">Gross Profit</x:t>
  </x:si>
  <x:si>
    <x:t xml:space="preserve">IPO Price Per Share</x:t>
  </x:si>
  <x:si>
    <x:t xml:space="preserve">$20.00</x:t>
  </x:si>
  <x:si>
    <x:t xml:space="preserve">Calculated from valuation models</x:t>
  </x:si>
  <x:si>
    <x:t xml:space="preserve">Operating Expenses (SG&amp;A + R&amp;D)</x:t>
  </x:si>
  <x:si>
    <x:t xml:space="preserve">40% of revenue</x:t>
  </x:si>
  <x:si>
    <x:t xml:space="preserve">Pre-IPO Shares Outstanding</x:t>
  </x:si>
  <x:si>
    <x:t xml:space="preserve">50,000,000</x:t>
  </x:si>
  <x:si>
    <x:t xml:space="preserve">Existing equity holders</x:t>
  </x:si>
  <x:si>
    <x:t xml:space="preserve">EBIT (Operating Income)</x:t>
  </x:si>
  <x:si>
    <x:t xml:space="preserve">Earnings Before Interest &amp; Taxes</x:t>
  </x:si>
  <x:si>
    <x:t xml:space="preserve">Post-IPO Total Shares</x:t>
  </x:si>
  <x:si>
    <x:t xml:space="preserve">70,000,000</x:t>
  </x:si>
  <x:si>
    <x:t xml:space="preserve">50M + 20M new shares</x:t>
  </x:si>
  <x:si>
    <x:t xml:space="preserve">Interest Expense</x:t>
  </x:si>
  <x:si>
    <x:t xml:space="preserve">On $300M pre-IPO debt @ 12%</x:t>
  </x:si>
  <x:si>
    <x:t xml:space="preserve">Required Return on Equity (r)</x:t>
  </x:si>
  <x:si>
    <x:t xml:space="preserve">10.5%</x:t>
  </x:si>
  <x:si>
    <x:t xml:space="preserve">DDM &amp; Gordon Growth Model</x:t>
  </x:si>
  <x:si>
    <x:t xml:space="preserve">Earnings Before Tax (EBT)</x:t>
  </x:si>
  <x:si>
    <x:t xml:space="preserve">Dividend Growth Rate (g)</x:t>
  </x:si>
  <x:si>
    <x:t xml:space="preserve">4.0%</x:t>
  </x:si>
  <x:si>
    <x:t xml:space="preserve">Gordon Growth Model</x:t>
  </x:si>
  <x:si>
    <x:t xml:space="preserve">Income Tax (25%)</x:t>
  </x:si>
  <x:si>
    <x:t xml:space="preserve">Next Year Dividend (D₁)</x:t>
  </x:si>
  <x:si>
    <x:t xml:space="preserve">$0.84</x:t>
  </x:si>
  <x:si>
    <x:t xml:space="preserve">DDM numerator</x:t>
  </x:si>
  <x:si>
    <x:t xml:space="preserve">Net Income</x:t>
  </x:si>
  <x:si>
    <x:t xml:space="preserve">WACC (for FCF Model)</x:t>
  </x:si>
  <x:si>
    <x:t xml:space="preserve">9.0%</x:t>
  </x:si>
  <x:si>
    <x:t xml:space="preserve">Weighted avg cost of capital</x:t>
  </x:si>
  <x:si>
    <x:t xml:space="preserve">FCF Growth Rate (long-run)</x:t>
  </x:si>
  <x:si>
    <x:t xml:space="preserve">FCF perpetuity growth</x:t>
  </x:si>
  <x:si>
    <x:t xml:space="preserve">  BALANCE SHEET  ($ in thousands) — Pre-IPO</x:t>
  </x:si>
  <x:si>
    <x:t xml:space="preserve">Projected FCF (Year 1)</x:t>
  </x:si>
  <x:si>
    <x:t xml:space="preserve">$52,000</x:t>
  </x:si>
  <x:si>
    <x:t xml:space="preserve">Free cash flow to firm ($000s)</x:t>
  </x:si>
  <x:si>
    <x:t xml:space="preserve">Balance Sheet Item</x:t>
  </x:si>
  <x:si>
    <x:t xml:space="preserve">Net Debt (Pre-IPO)</x:t>
  </x:si>
  <x:si>
    <x:t xml:space="preserve">$255,000</x:t>
  </x:si>
  <x:si>
    <x:t xml:space="preserve">LT Debt + ST Debt – Cash</x:t>
  </x:si>
  <x:si>
    <x:t xml:space="preserve">ASSETS</x:t>
  </x:si>
  <x:si>
    <x:t xml:space="preserve">IPO Proceeds to Debt Paydown (Scenario A)</x:t>
  </x:si>
  <x:si>
    <x:t xml:space="preserve">50%</x:t>
  </x:si>
  <x:si>
    <x:t xml:space="preserve">Tab 4 Scenario Analysis</x:t>
  </x:si>
  <x:si>
    <x:t xml:space="preserve">Cash &amp; Equivalents</x:t>
  </x:si>
  <x:si>
    <x:t xml:space="preserve">IPO Proceeds to Capex (Scenario B)</x:t>
  </x:si>
  <x:si>
    <x:t xml:space="preserve">100%</x:t>
  </x:si>
  <x:si>
    <x:t xml:space="preserve">Accounts Receivable</x:t>
  </x:si>
  <x:si>
    <x:t xml:space="preserve">Inventory</x:t>
  </x:si>
  <x:si>
    <x:t xml:space="preserve">Total Current Assets</x:t>
  </x:si>
  <x:si>
    <x:t xml:space="preserve">  COLOR CODE LEGEND</x:t>
  </x:si>
  <x:si>
    <x:t xml:space="preserve">Property, Plant &amp; Equipment (Net)</x:t>
  </x:si>
  <x:si>
    <x:t xml:space="preserve">  Blue text on yellow</x:t>
  </x:si>
  <x:si>
    <x:t xml:space="preserve">Student input cell — build your formula here</x:t>
  </x:si>
  <x:si>
    <x:t xml:space="preserve">Intangible Assets &amp; Goodwill</x:t>
  </x:si>
  <x:si>
    <x:t xml:space="preserve">  Black text on white</x:t>
  </x:si>
  <x:si>
    <x:t xml:space="preserve">Provided data or instructor formula</x:t>
  </x:si>
  <x:si>
    <x:t xml:space="preserve">Total Assets</x:t>
  </x:si>
  <x:si>
    <x:t xml:space="preserve">  Bold black</x:t>
  </x:si>
  <x:si>
    <x:t xml:space="preserve">Subtotal or section total</x:t>
  </x:si>
  <x:si>
    <x:t xml:space="preserve">LIABILITIES &amp; EQUITY</x:t>
  </x:si>
  <x:si>
    <x:t xml:space="preserve">Accounts Payable</x:t>
  </x:si>
  <x:si>
    <x:t xml:space="preserve">Short-Term Debt</x:t>
  </x:si>
  <x:si>
    <x:t xml:space="preserve">Total Current Liabilities</x:t>
  </x:si>
  <x:si>
    <x:t xml:space="preserve">Long-Term Debt</x:t>
  </x:si>
  <x:si>
    <x:t xml:space="preserve">$300M total debt</x:t>
  </x:si>
  <x:si>
    <x:t xml:space="preserve">Total Liabilities</x:t>
  </x:si>
  <x:si>
    <x:t xml:space="preserve">Shareholders' Equity</x:t>
  </x:si>
  <x:si>
    <x:t xml:space="preserve">Pre-IPO book value (Assets 630M – Liabilities 385M)</x:t>
  </x:si>
  <x:si>
    <x:t xml:space="preserve">Total Liabilities + Equity</x:t>
  </x:si>
  <x:si>
    <x:t xml:space="preserve">APEX TECHNOLOGY CORPORATION — EQUITY VALUATION MODELS</x:t>
  </x:si>
  <x:si>
    <x:t xml:space="preserve">Tab 2 of 4  |  Build the DDM and FCF models below. Yellow cells require your formula. Reference Tab 1 for inputs.</x:t>
  </x:si>
  <x:si>
    <x:t xml:space="preserve">  PART A — DIVIDEND DISCOUNT MODEL (Gordon Growth)</x:t>
  </x:si>
  <x:si>
    <x:t xml:space="preserve">  PART B — FREE CASH FLOW (FCF) MODEL</x:t>
  </x:si>
  <x:si>
    <x:t xml:space="preserve">Input Variable</x:t>
  </x:si>
  <x:si>
    <x:t xml:space="preserve">Symbol</x:t>
  </x:si>
  <x:si>
    <x:t xml:space="preserve">Value / Formula</x:t>
  </x:si>
  <x:si>
    <x:t xml:space="preserve">Expected Dividend — D₁ (next year)</x:t>
  </x:si>
  <x:si>
    <x:t xml:space="preserve">D₁</x:t>
  </x:si>
  <x:si>
    <x:t xml:space="preserve">Projected FCF — Year 1 ($000s)</x:t>
  </x:si>
  <x:si>
    <x:t xml:space="preserve">FCF₁</x:t>
  </x:si>
  <x:si>
    <x:t xml:space="preserve">Required Return on Equity — r</x:t>
  </x:si>
  <x:si>
    <x:t xml:space="preserve">r</x:t>
  </x:si>
  <x:si>
    <x:t xml:space="preserve">WACC (Weighted Avg Cost of Capital)</x:t>
  </x:si>
  <x:si>
    <x:t xml:space="preserve">WACC</x:t>
  </x:si>
  <x:si>
    <x:t xml:space="preserve">Constant Dividend Growth Rate — g</x:t>
  </x:si>
  <x:si>
    <x:t xml:space="preserve">g</x:t>
  </x:si>
  <x:si>
    <x:t xml:space="preserve">Long-Run FCF Growth Rate</x:t>
  </x:si>
  <x:si>
    <x:t xml:space="preserve">Total Debt (Pre-IPO, $000s)</x:t>
  </x:si>
  <x:si>
    <x:t xml:space="preserve">Debt</x:t>
  </x:si>
  <x:si>
    <x:t xml:space="preserve">$300,000</x:t>
  </x:si>
  <x:si>
    <x:t xml:space="preserve">CALCULATION</x:t>
  </x:si>
  <x:si>
    <x:t xml:space="preserve">CALCULATION STEPS</x:t>
  </x:si>
  <x:si>
    <x:t xml:space="preserve">Cash</x:t>
  </x:si>
  <x:si>
    <x:t xml:space="preserve">Formula:</x:t>
  </x:si>
  <x:si>
    <x:t xml:space="preserve">P₀ = D₁ / (r – g)</x:t>
  </x:si>
  <x:si>
    <x:t xml:space="preserve">Hint: Use the values from rows 6–8 above</x:t>
  </x:si>
  <x:si>
    <x:t xml:space="preserve">Step 1 — Enterprise Value (EV)</x:t>
  </x:si>
  <x:si>
    <x:t xml:space="preserve">← Hint: EV = FCF₁ / (WACC – g)</x:t>
  </x:si>
  <x:si>
    <x:t xml:space="preserve">DDM Stock Price (P₀)</x:t>
  </x:si>
  <x:si>
    <x:t xml:space="preserve">← Enter: =D6/(D7-D8) using row references</x:t>
  </x:si>
  <x:si>
    <x:t xml:space="preserve">Step 2 — Equity Value (K)</x:t>
  </x:si>
  <x:si>
    <x:t xml:space="preserve">← Hint: EV – Debt + Cash</x:t>
  </x:si>
  <x:si>
    <x:t xml:space="preserve">Step 3 — Price Per Share</x:t>
  </x:si>
  <x:si>
    <x:t xml:space="preserve">← Hint: Equity Value / Shares Outstanding Post IPO</x:t>
  </x:si>
  <x:si>
    <x:t xml:space="preserve">  PART C — VALUATION SUMMARY &amp; COMPARISON</x:t>
  </x:si>
  <x:si>
    <x:t xml:space="preserve">Model</x:t>
  </x:si>
  <x:si>
    <x:t xml:space="preserve">Estimated IPO Price</x:t>
  </x:si>
  <x:si>
    <x:t xml:space="preserve">Vs. Actual Offer ($20.00)</x:t>
  </x:si>
  <x:si>
    <x:t xml:space="preserve">Observation / Interpretation</x:t>
  </x:si>
  <x:si>
    <x:t xml:space="preserve">DDM (Gordon Growth Model)</x:t>
  </x:si>
  <x:si>
    <x:t xml:space="preserve">Reference your C12 result above</x:t>
  </x:si>
  <x:si>
    <x:t xml:space="preserve">Write 1 sentence: Is the DDM price above or below the IPO offer? What might explain the difference?</x:t>
  </x:si>
  <x:si>
    <x:t xml:space="preserve">FCF Model (Enterprise Value)</x:t>
  </x:si>
  <x:si>
    <x:t xml:space="preserve">Reference your G13 FCF price result</x:t>
  </x:si>
  <x:si>
    <x:t xml:space="preserve">Write 1 sentence: How does FCF price compare to DDM? Which model do you trust more for a tech firm?</x:t>
  </x:si>
  <x:si>
    <x:t xml:space="preserve">Pre</x:t>
  </x:si>
  <x:si>
    <x:t xml:space="preserve">Scenario A</x:t>
  </x:si>
  <x:si>
    <x:t xml:space="preserve">Scenario B</x:t>
  </x:si>
  <x:si>
    <x:t xml:space="preserve">Scenario C/ Post</x:t>
  </x:si>
  <x:si>
    <x:t xml:space="preserve">APEX TECHNOLOGY CORPORATION — RATIO ANALYSIS</x:t>
  </x:si>
  <x:si>
    <x:t xml:space="preserve">Tab 3 of 4  |  Calculate each ratio BEFORE and AFTER the $400M IPO. Build formulas in yellow cells — do not hardcode numbers.</x:t>
  </x:si>
  <x:si>
    <x:t xml:space="preserve">  POST-IPO BALANCE SHEET ADJUSTMENTS (Scenario: 50% Debt Paydown / 50% Capex)</x:t>
  </x:si>
  <x:si>
    <x:t xml:space="preserve">Formula / Logic</x:t>
  </x:si>
  <x:si>
    <x:t xml:space="preserve">Pre-IPO ($000s)</x:t>
  </x:si>
  <x:si>
    <x:t xml:space="preserve">IPO Impact ($000s)</x:t>
  </x:si>
  <x:si>
    <x:t xml:space="preserve">Post-IPO ($000s)</x:t>
  </x:si>
  <x:si>
    <x:t xml:space="preserve">No Change in Cash $200M to Debt; $200mm to PPE</x:t>
  </x:si>
  <x:si>
    <x:t xml:space="preserve">–$60M paydown (part of 50% debt repayment)</x:t>
  </x:si>
  <x:si>
    <x:t xml:space="preserve">Paid off with IPO proceeds</x:t>
  </x:si>
  <x:si>
    <x:t xml:space="preserve">–$140M paydown ($200M total debt paid)</x:t>
  </x:si>
  <x:si>
    <x:t xml:space="preserve">$300M total – $160M remaining</x:t>
  </x:si>
  <x:si>
    <x:t xml:space="preserve">PP&amp;E (Net)</x:t>
  </x:si>
  <x:si>
    <x:t xml:space="preserve">+$200M capex deployed</x:t>
  </x:si>
  <x:si>
    <x:t xml:space="preserve">50% of IPO to new equipment</x:t>
  </x:si>
  <x:si>
    <x:t xml:space="preserve">+$400M IPO proceeds (new equity)</x:t>
  </x:si>
  <x:si>
    <x:t xml:space="preserve">New equity raised from public</x:t>
  </x:si>
  <x:si>
    <x:t xml:space="preserve">On $300M pre-IPO debt @ 12%; $100M total Debt at 12%</x:t>
  </x:si>
  <x:si>
    <x:t xml:space="preserve">Use Net Income Calculation Tab 2A</x:t>
  </x:si>
  <x:si>
    <x:t xml:space="preserve">  KEY FINANCIAL RATIOS — BEFORE vs. AFTER IPO</x:t>
  </x:si>
  <x:si>
    <x:t xml:space="preserve">Ratio</x:t>
  </x:si>
  <x:si>
    <x:t xml:space="preserve">Formula</x:t>
  </x:si>
  <x:si>
    <x:t xml:space="preserve">Pre-IPO Value</x:t>
  </x:si>
  <x:si>
    <x:t xml:space="preserve">Post-IPO Value ▶ BUILD</x:t>
  </x:si>
  <x:si>
    <x:t xml:space="preserve">Change</x:t>
  </x:si>
  <x:si>
    <x:t xml:space="preserve">Direction</x:t>
  </x:si>
  <x:si>
    <x:t xml:space="preserve">Interpretation (1 sentence)</x:t>
  </x:si>
  <x:si>
    <x:t xml:space="preserve">Debt-to-Equity Ratio</x:t>
  </x:si>
  <x:si>
    <x:t xml:space="preserve">Total Debt / Shareholders' Equity</x:t>
  </x:si>
  <x:si>
    <x:t xml:space="preserve">Current Ratio</x:t>
  </x:si>
  <x:si>
    <x:t xml:space="preserve">Current Assets / Current Liabilities</x:t>
  </x:si>
  <x:si>
    <x:t xml:space="preserve">Interest Coverage</x:t>
  </x:si>
  <x:si>
    <x:t xml:space="preserve">EBIT / Interest Expense</x:t>
  </x:si>
  <x:si>
    <x:t xml:space="preserve">Return on Equity (ROE)</x:t>
  </x:si>
  <x:si>
    <x:t xml:space="preserve">Net Income / Shareholders' Equity</x:t>
  </x:si>
  <x:si>
    <x:t xml:space="preserve">Debt Ratio </x:t>
  </x:si>
  <x:si>
    <x:t xml:space="preserve">Total Liabilities / Total Assets</x:t>
  </x:si>
  <x:si>
    <x:t xml:space="preserve">Return on Assets (ROA)</x:t>
  </x:si>
  <x:si>
    <x:t xml:space="preserve">Net Income / Total Assets</x:t>
  </x:si>
  <x:si>
    <x:t xml:space="preserve">Net Profit Margin</x:t>
  </x:si>
  <x:si>
    <x:t xml:space="preserve">Net Income / Revenue</x:t>
  </x:si>
  <x:si>
    <x:t xml:space="preserve">  REFLECTION QUESTIONS</x:t>
  </x:si>
  <x:si>
    <x:t xml:space="preserve">Q1: Which ratio showed the MOST improvement after the IPO? Why does that make sense given how proceeds were used?</x:t>
  </x:si>
  <x:si>
    <x:t xml:space="preserve">[Type your answer here]</x:t>
  </x:si>
  <x:si>
    <x:t xml:space="preserve">Q2: Why does ROE decline even though net income stays the same? Is this bad for shareholders?</x:t>
  </x:si>
  <x:si>
    <x:t xml:space="preserve">Q3: A credit rating agency reviews Apex after the IPO. Which two ratios would they focus on most, and why?</x:t>
  </x:si>
  <x:si>
    <x:t xml:space="preserve">APEX TECHNOLOGY CORPORATION — SCENARIO ANALYSIS: USES OF IPO PROCEEDS</x:t>
  </x:si>
  <x:si>
    <x:t xml:space="preserve">Tab 4 of 4  |  Apex raised $400M in its IPO. Analyze three different strategies for deploying the proceeds and their ratio impact.- Scnario C already done on Ratio Analysis Page</x:t>
  </x:si>
  <x:si>
    <x:t xml:space="preserve">  THREE SCENARIOS — $400M IPO PROCEEDS DEPLOYMENT</x:t>
  </x:si>
  <x:si>
    <x:t xml:space="preserve">Metric / Ratio</x:t>
  </x:si>
  <x:si>
    <x:t xml:space="preserve">SCENARIO A</x:t>
  </x:si>
  <x:si>
    <x:t xml:space="preserve">SCENARIO B</x:t>
  </x:si>
  <x:si>
    <x:t xml:space="preserve">SCENARIO C</x:t>
  </x:si>
  <x:si>
    <x:t xml:space="preserve">Debt Paydown
(100% to debt retirement)</x:t>
  </x:si>
  <x:si>
    <x:t xml:space="preserve">Capital Investment
(100% to new equipment/R&amp;D)</x:t>
  </x:si>
  <x:si>
    <x:t xml:space="preserve">Balanced Mix
(50% debt / 50% capex)</x:t>
  </x:si>
  <x:si>
    <x:t xml:space="preserve">Debt Retired ($000s)</x:t>
  </x:si>
  <x:si>
    <x:t xml:space="preserve">New Capex / Assets Added ($000s)</x:t>
  </x:si>
  <x:si>
    <x:t xml:space="preserve">Total Debt Post-IPO ($000s)</x:t>
  </x:si>
  <x:si>
    <x:t xml:space="preserve">Annual Interest Saved ($000s)</x:t>
  </x:si>
  <x:si>
    <x:t xml:space="preserve">New Asset Base Addition ($000s)</x:t>
  </x:si>
  <x:si>
    <x:t xml:space="preserve">  RATIO IMPACT BY SCENARIO — STUDENT BUILDS ALL YELLOW CELLS</x:t>
  </x:si>
  <x:si>
    <x:t xml:space="preserve">Pre-IPO (Baseline)</x:t>
  </x:si>
  <x:si>
    <x:t xml:space="preserve">Scenario A: Debt Paydown</x:t>
  </x:si>
  <x:si>
    <x:t xml:space="preserve">Scenario B: Full Capex</x:t>
  </x:si>
  <x:si>
    <x:t xml:space="preserve">Scenario C: Balanced Mix</x:t>
  </x:si>
  <x:si>
    <x:t xml:space="preserve">1.22x</x:t>
  </x:si>
  <x:si>
    <x:t xml:space="preserve">1.38x</x:t>
  </x:si>
  <x:si>
    <x:t xml:space="preserve">Interest Coverage (EBIT/Int)</x:t>
  </x:si>
  <x:si>
    <x:t xml:space="preserve">7.08x</x:t>
  </x:si>
  <x:si>
    <x:t xml:space="preserve">Debt Ratio (Debt/Assets)</x:t>
  </x:si>
  <x:si>
    <x:t xml:space="preserve">61.1%</x:t>
  </x:si>
  <x:si>
    <x:t xml:space="preserve">19.3%</x:t>
  </x:si>
  <x:si>
    <x:t xml:space="preserve">HINT: For Scenario A (all debt paydown): Post-IPO Debt = $0, Post-IPO Equity = $645M, Interest Expense = $0. Recalculate each ratio using the new inputs.</x:t>
  </x:si>
  <x:si>
    <x:t xml:space="preserve">  ANALYSIS — WHICH SCENARIO IS BEST?</x:t>
  </x:si>
  <x:si>
    <x:t xml:space="preserve">Evaluation Criteria</x:t>
  </x:si>
  <x:si>
    <x:t xml:space="preserve">Best Scenario?</x:t>
  </x:si>
  <x:si>
    <x:t xml:space="preserve">Your Reasoning (1 sentence)</x:t>
  </x:si>
  <x:si>
    <x:t xml:space="preserve">Best for Short-Term Liquidity</x:t>
  </x:si>
  <x:si>
    <x:t xml:space="preserve">A / B / C</x:t>
  </x:si>
  <x:si>
    <x:t xml:space="preserve">[Write your reasoning here]</x:t>
  </x:si>
  <x:si>
    <x:t xml:space="preserve">Best for Long-Term Growth</x:t>
  </x:si>
  <x:si>
    <x:t xml:space="preserve">Best for Credit Rating</x:t>
  </x:si>
  <x:si>
    <x:t xml:space="preserve">Best for EPS (Earnings per Share)</x:t>
  </x:si>
  <x:si>
    <x:t xml:space="preserve">Best Overall Strategic Fit for a Tech Company</x:t>
  </x:si>
</x:sst>
</file>

<file path=xl/styles.xml><?xml version="1.0" encoding="utf-8"?>
<x:styleSheet xmlns:x="http://schemas.openxmlformats.org/spreadsheetml/2006/main">
  <x:numFmts count="8">
    <x:numFmt numFmtId="44" formatCode="_(&quot;$&quot;* #,##0.00_);_(&quot;$&quot;* \(#,##0.00\);_(&quot;$&quot;* &quot;-&quot;??_);_(@_)"/>
    <x:numFmt numFmtId="164" formatCode="#,##0;\(#,##0\);\-"/>
    <x:numFmt numFmtId="165" formatCode="\$#,##0.00"/>
    <x:numFmt numFmtId="166" formatCode="0.00\x"/>
    <x:numFmt numFmtId="170" formatCode="0.0%"/>
    <x:numFmt numFmtId="175" formatCode="0.000"/>
    <x:numFmt numFmtId="177" formatCode="&quot;$&quot;#,##0.00"/>
    <x:numFmt numFmtId="179" formatCode="&quot;$&quot;#,##0"/>
  </x:numFmts>
  <x:fonts count="26">
    <x:font>
      <x:sz val="11"/>
      <x:color theme="1"/>
      <x:name val="Calibri"/>
    </x:font>
    <x:font>
      <x:sz val="10"/>
      <x:name val="Arial"/>
    </x:font>
    <x:font>
      <x:b/>
      <x:sz val="16"/>
      <x:color rgb="FFC9A84C"/>
      <x:name val="Georgia"/>
    </x:font>
    <x:font>
      <x:i/>
      <x:sz val="11"/>
      <x:color rgb="FF1E2761"/>
      <x:name val="Calibri"/>
    </x:font>
    <x:font>
      <x:b/>
      <x:sz val="13"/>
      <x:color rgb="FFC9A84C"/>
      <x:name val="Georgia"/>
    </x:font>
    <x:font>
      <x:b/>
      <x:sz val="11"/>
      <x:color rgb="FFFFFFFF"/>
      <x:name val="Calibri"/>
    </x:font>
    <x:font>
      <x:sz val="11"/>
      <x:color rgb="FF334155"/>
      <x:name val="Calibri"/>
    </x:font>
    <x:font>
      <x:sz val="11"/>
      <x:color rgb="FF000000"/>
      <x:name val="Calibri"/>
    </x:font>
    <x:font>
      <x:i/>
      <x:sz val="11"/>
      <x:color rgb="FF64748B"/>
      <x:name val="Calibri"/>
    </x:font>
    <x:font>
      <x:b/>
      <x:sz val="11"/>
      <x:color rgb="FF1E2761"/>
      <x:name val="Calibri"/>
    </x:font>
    <x:font>
      <x:b/>
      <x:sz val="11"/>
      <x:color rgb="FF334155"/>
      <x:name val="Calibri"/>
    </x:font>
    <x:font>
      <x:b/>
      <x:sz val="11"/>
      <x:color rgb="FF000000"/>
      <x:name val="Calibri"/>
    </x:font>
    <x:font>
      <x:sz val="10"/>
      <x:color rgb="FF0000FF"/>
      <x:name val="Calibri"/>
    </x:font>
    <x:font>
      <x:i/>
      <x:sz val="11"/>
      <x:color rgb="FF475569"/>
      <x:name val="Calibri"/>
    </x:font>
    <x:font>
      <x:sz val="10"/>
      <x:color rgb="FF000000"/>
      <x:name val="Calibri"/>
    </x:font>
    <x:font>
      <x:b/>
      <x:sz val="11"/>
      <x:color rgb="FF0000FF"/>
      <x:name val="Calibri"/>
    </x:font>
    <x:font>
      <x:b/>
      <x:sz val="13"/>
      <x:color rgb="FF0000FF"/>
      <x:name val="Calibri"/>
    </x:font>
    <x:font>
      <x:sz val="11"/>
      <x:color rgb="FF0000FF"/>
      <x:name val="Calibri"/>
    </x:font>
    <x:font>
      <x:b/>
      <x:sz val="11"/>
      <x:color rgb="FF991B1B"/>
      <x:name val="Calibri"/>
    </x:font>
    <x:font>
      <x:i/>
      <x:sz val="10"/>
      <x:color rgb="FF0000FF"/>
      <x:name val="Calibri"/>
    </x:font>
    <x:font>
      <x:b/>
      <x:sz val="11"/>
      <x:color rgb="FF166534"/>
      <x:name val="Calibri"/>
    </x:font>
    <x:font>
      <x:b/>
      <x:sz val="15"/>
      <x:color rgb="FFC9A84C"/>
      <x:name val="Georgia"/>
    </x:font>
    <x:font>
      <x:i/>
      <x:sz val="10"/>
      <x:color rgb="FFFFFFFF"/>
      <x:name val="Calibri"/>
    </x:font>
    <x:font>
      <x:i/>
      <x:sz val="10"/>
      <x:color rgb="FF92400E"/>
      <x:name val="Calibri"/>
    </x:font>
    <x:font>
      <x:b/>
      <x:sz val="18"/>
      <x:color rgb="FFFFFFFF"/>
      <x:name val="Calibri"/>
    </x:font>
    <x:font>
      <x:b/>
      <x:sz val="11"/>
      <x:color theme="1"/>
      <x:name val="Calibri"/>
    </x:font>
  </x:fonts>
  <x:fills count="17">
    <x:fill>
      <x:patternFill patternType="none"/>
    </x:fill>
    <x:fill>
      <x:patternFill patternType="gray125"/>
    </x:fill>
    <x:fill>
      <x:patternFill patternType="solid">
        <x:fgColor rgb="FF1E2761"/>
      </x:patternFill>
    </x:fill>
    <x:fill>
      <x:patternFill patternType="solid">
        <x:fgColor rgb="FFCADCFC"/>
      </x:patternFill>
    </x:fill>
    <x:fill>
      <x:patternFill patternType="solid">
        <x:fgColor rgb="FFF8FAFF"/>
      </x:patternFill>
    </x:fill>
    <x:fill>
      <x:patternFill patternType="solid">
        <x:fgColor rgb="FFFFFFFF"/>
      </x:patternFill>
    </x:fill>
    <x:fill>
      <x:patternFill patternType="solid">
        <x:fgColor rgb="FFFFF9E6"/>
      </x:patternFill>
    </x:fill>
    <x:fill>
      <x:patternFill patternType="solid">
        <x:fgColor rgb="FFFAFAFA"/>
      </x:patternFill>
    </x:fill>
    <x:fill>
      <x:patternFill patternType="solid">
        <x:fgColor rgb="FFC9A84C"/>
      </x:patternFill>
    </x:fill>
    <x:fill>
      <x:patternFill patternType="solid">
        <x:fgColor rgb="FF166534"/>
      </x:patternFill>
    </x:fill>
    <x:fill>
      <x:patternFill patternType="solid">
        <x:fgColor rgb="FF1D4ED8"/>
      </x:patternFill>
    </x:fill>
    <x:fill>
      <x:patternFill patternType="solid">
        <x:fgColor rgb="FF6D2E46"/>
      </x:patternFill>
    </x:fill>
    <x:fill>
      <x:patternFill patternType="solid">
        <x:fgColor rgb="FFFFFBEB"/>
      </x:patternFill>
    </x:fill>
    <x:fill>
      <x:patternFill patternType="solid">
        <x:fgColor rgb="FF0E1116"/>
      </x:patternFill>
    </x:fill>
    <x:fill>
      <x:patternFill patternType="solid">
        <x:fgColor rgb="FF9C4A2B"/>
      </x:patternFill>
    </x:fill>
    <x:fill>
      <x:patternFill patternType="solid">
        <x:fgColor rgb="FFF2EEE5"/>
      </x:patternFill>
    </x:fill>
    <x:fill>
      <x:patternFill patternType="solid">
        <x:fgColor rgb="FFFFF2CC"/>
      </x:patternFill>
    </x:fill>
  </x:fills>
  <x:borders count="15">
    <x:border/>
    <x:border>
      <x:left style="thin">
        <x:color rgb="FFCADCFC"/>
      </x:left>
      <x:right style="thin">
        <x:color rgb="FFCADCFC"/>
      </x:right>
      <x:top style="thin">
        <x:color rgb="FFCADCFC"/>
      </x:top>
      <x:bottom style="thin">
        <x:color rgb="FFCADCFC"/>
      </x:bottom>
    </x:border>
    <x:border>
      <x:left style="thin">
        <x:color rgb="FFCADCFC"/>
      </x:left>
      <x:top style="thin">
        <x:color rgb="FFCADCFC"/>
      </x:top>
      <x:bottom style="thin">
        <x:color rgb="FFCADCFC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CADCFC"/>
      </x:left>
      <x:right style="thin">
        <x:color rgb="FFCADCFC"/>
      </x:right>
      <x:top style="thin">
        <x:color rgb="FFCADCFC"/>
      </x:top>
    </x:border>
    <x:border>
      <x:left style="thin">
        <x:color rgb="FFCADCFC"/>
      </x:left>
      <x:right style="thin">
        <x:color rgb="FFCADCFC"/>
      </x:right>
      <x:top style="thin">
        <x:color indexed="64"/>
      </x:top>
      <x:bottom style="double">
        <x:color indexed="64"/>
      </x:bottom>
    </x:border>
    <x:border>
      <x:top style="thin">
        <x:color indexed="64"/>
      </x:top>
      <x:bottom style="double">
        <x:color indexed="64"/>
      </x:bottom>
    </x:border>
    <x:border>
      <x:left style="thin">
        <x:color rgb="FFD9D5CB"/>
      </x:left>
      <x:top style="thin">
        <x:color rgb="FFD9D5CB"/>
      </x:top>
    </x:border>
    <x:border>
      <x:right style="thin">
        <x:color rgb="FFD9D5CB"/>
      </x:right>
      <x:top style="thin">
        <x:color rgb="FFD9D5CB"/>
      </x:top>
    </x:border>
    <x:border>
      <x:left style="thin">
        <x:color rgb="FFD9D5CB"/>
      </x:left>
    </x:border>
    <x:border>
      <x:right style="thin">
        <x:color rgb="FFD9D5CB"/>
      </x:right>
    </x:border>
    <x:border>
      <x:left style="thin">
        <x:color rgb="FFD9D5CB"/>
      </x:left>
      <x:bottom style="thin">
        <x:color rgb="FFD9D5CB"/>
      </x:bottom>
    </x:border>
    <x:border>
      <x:right style="thin">
        <x:color rgb="FFD9D5CB"/>
      </x:right>
      <x:bottom style="thin">
        <x:color rgb="FFD9D5CB"/>
      </x:bottom>
    </x:border>
    <x:border>
      <x:top style="thin">
        <x:color rgb="FFD9D5CB"/>
      </x:top>
    </x:border>
    <x:border>
      <x:bottom style="thin">
        <x:color rgb="FFD9D5CB"/>
      </x:bottom>
    </x:border>
  </x:borders>
  <x:cellStyleXfs count="3">
    <x:xf numFmtId="0" fontId="0" fillId="0" borderId="0"/>
    <x:xf numFmtId="44" fontId="1" fillId="0" borderId="0" applyBorder="0" applyAlignment="0" applyProtection="0"/>
    <x:xf numFmtId="9" fontId="1" fillId="0" borderId="0" applyBorder="0" applyAlignment="0" applyProtection="0"/>
  </x:cellStyleXfs>
  <x:cellXfs count="141">
    <x:xf numFmtId="0" fontId="0" fillId="0" borderId="0" xfId="0"/>
    <x:xf numFmtId="0" fontId="21" fillId="2" borderId="0" xfId="0" applyFont="1" applyFill="1" applyAlignment="1">
      <x:alignment horizontal="center" vertical="center"/>
    </x:xf>
    <x:xf numFmtId="0" fontId="19" fillId="6" borderId="1" xfId="0" applyFont="1" applyFill="1" applyBorder="1" applyAlignment="1">
      <x:alignment horizontal="left" vertical="center" wrapText="1"/>
    </x:xf>
    <x:xf numFmtId="0" fontId="9" fillId="5" borderId="1" xfId="0" applyFont="1" applyFill="1" applyBorder="1" applyAlignment="1">
      <x:alignment horizontal="left" vertical="center"/>
    </x:xf>
    <x:xf numFmtId="0" fontId="8" fillId="5" borderId="1" xfId="0" applyFont="1" applyFill="1" applyBorder="1" applyAlignment="1">
      <x:alignment horizontal="left" vertical="center"/>
    </x:xf>
    <x:xf numFmtId="0" fontId="8" fillId="4" borderId="1" xfId="0" applyFont="1" applyFill="1" applyBorder="1" applyAlignment="1">
      <x:alignment horizontal="left" vertical="center"/>
    </x:xf>
    <x:xf numFmtId="0" fontId="6" fillId="5" borderId="1" xfId="0" applyFont="1" applyFill="1" applyBorder="1" applyAlignment="1">
      <x:alignment horizontal="left" vertical="center"/>
    </x:xf>
    <x:xf numFmtId="0" fontId="6" fillId="4" borderId="1" xfId="0" applyFont="1" applyFill="1" applyBorder="1" applyAlignment="1">
      <x:alignment horizontal="left" vertical="center"/>
    </x:xf>
    <x:xf numFmtId="0" fontId="5" fillId="2" borderId="1" xfId="0" applyFont="1" applyFill="1" applyBorder="1" applyAlignment="1">
      <x:alignment horizontal="left" vertical="center"/>
    </x:xf>
    <x:xf numFmtId="0" fontId="9" fillId="8" borderId="1" xfId="0" applyFont="1" applyFill="1" applyBorder="1" applyAlignment="1">
      <x:alignment horizontal="center" vertical="center"/>
    </x:xf>
    <x:xf numFmtId="0" fontId="0" fillId="8" borderId="1" xfId="0" applyFill="1" applyBorder="1"/>
    <x:xf numFmtId="0" fontId="4" fillId="2" borderId="1" xfId="0" applyFont="1" applyFill="1" applyBorder="1" applyAlignment="1">
      <x:alignment horizontal="left" vertical="center"/>
    </x:xf>
    <x:xf numFmtId="0" fontId="4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center" vertical="center"/>
    </x:xf>
    <x:xf numFmtId="0" fontId="2" fillId="2" borderId="0" xfId="0" applyFont="1" applyFill="1" applyAlignment="1">
      <x:alignment horizontal="center" vertical="center"/>
    </x:xf>
    <x:xf numFmtId="0" fontId="5" fillId="2" borderId="1" xfId="0" applyFont="1" applyFill="1" applyBorder="1" applyAlignment="1">
      <x:alignment horizontal="center" vertical="center"/>
    </x:xf>
    <x:xf numFmtId="0" fontId="6" fillId="4" borderId="1" xfId="0" applyFont="1" applyFill="1" applyBorder="1" applyAlignment="1">
      <x:alignment horizontal="left" vertical="center"/>
    </x:xf>
    <x:xf numFmtId="164" fontId="7" fillId="4" borderId="1" xfId="0" applyNumberFormat="1" applyFont="1" applyFill="1" applyBorder="1" applyAlignment="1">
      <x:alignment horizontal="right" vertical="center"/>
    </x:xf>
    <x:xf numFmtId="0" fontId="8" fillId="4" borderId="1" xfId="0" applyFont="1" applyFill="1" applyBorder="1" applyAlignment="1">
      <x:alignment horizontal="left" vertical="center"/>
    </x:xf>
    <x:xf numFmtId="0" fontId="9" fillId="4" borderId="1" xfId="0" applyFont="1" applyFill="1" applyBorder="1" applyAlignment="1">
      <x:alignment horizontal="center" vertical="center"/>
    </x:xf>
    <x:xf numFmtId="0" fontId="6" fillId="5" borderId="1" xfId="0" applyFont="1" applyFill="1" applyBorder="1" applyAlignment="1">
      <x:alignment horizontal="left" vertical="center"/>
    </x:xf>
    <x:xf numFmtId="164" fontId="7" fillId="5" borderId="1" xfId="0" applyNumberFormat="1" applyFont="1" applyFill="1" applyBorder="1" applyAlignment="1">
      <x:alignment horizontal="right" vertical="center"/>
    </x:xf>
    <x:xf numFmtId="0" fontId="8" fillId="5" borderId="1" xfId="0" applyFont="1" applyFill="1" applyBorder="1" applyAlignment="1">
      <x:alignment horizontal="left" vertical="center"/>
    </x:xf>
    <x:xf numFmtId="0" fontId="9" fillId="5" borderId="1" xfId="0" applyFont="1" applyFill="1" applyBorder="1" applyAlignment="1">
      <x:alignment horizontal="center" vertical="center"/>
    </x:xf>
    <x:xf numFmtId="0" fontId="10" fillId="4" borderId="1" xfId="0" applyFont="1" applyFill="1" applyBorder="1" applyAlignment="1">
      <x:alignment horizontal="left" vertical="center"/>
    </x:xf>
    <x:xf numFmtId="164" fontId="11" fillId="4" borderId="1" xfId="0" applyNumberFormat="1" applyFont="1" applyFill="1" applyBorder="1" applyAlignment="1">
      <x:alignment horizontal="right" vertical="center"/>
    </x:xf>
    <x:xf numFmtId="0" fontId="10" fillId="3" borderId="1" xfId="0" applyFont="1" applyFill="1" applyBorder="1" applyAlignment="1">
      <x:alignment horizontal="left" vertical="center"/>
    </x:xf>
    <x:xf numFmtId="0" fontId="0" fillId="3" borderId="1" xfId="0" applyFill="1" applyBorder="1"/>
    <x:xf numFmtId="0" fontId="8" fillId="3" borderId="1" xfId="0" applyFont="1" applyFill="1" applyBorder="1" applyAlignment="1">
      <x:alignment horizontal="left" vertical="center"/>
    </x:xf>
    <x:xf numFmtId="0" fontId="12" fillId="6" borderId="1" xfId="0" applyFont="1" applyFill="1" applyBorder="1"/>
    <x:xf numFmtId="0" fontId="6" fillId="6" borderId="1" xfId="0" applyFont="1" applyFill="1" applyBorder="1" applyAlignment="1">
      <x:alignment horizontal="center" vertical="center"/>
    </x:xf>
    <x:xf numFmtId="0" fontId="13" fillId="7" borderId="1" xfId="0" applyFont="1" applyFill="1" applyBorder="1" applyAlignment="1">
      <x:alignment horizontal="left" vertical="center"/>
    </x:xf>
    <x:xf numFmtId="0" fontId="14" fillId="5" borderId="1" xfId="0" applyFont="1" applyFill="1" applyBorder="1"/>
    <x:xf numFmtId="0" fontId="6" fillId="5" borderId="1" xfId="0" applyFont="1" applyFill="1" applyBorder="1" applyAlignment="1">
      <x:alignment horizontal="center" vertical="center"/>
    </x:xf>
    <x:xf numFmtId="0" fontId="10" fillId="5" borderId="1" xfId="0" applyFont="1" applyFill="1" applyBorder="1" applyAlignment="1">
      <x:alignment horizontal="left" vertical="center"/>
    </x:xf>
    <x:xf numFmtId="164" fontId="11" fillId="5" borderId="1" xfId="0" applyNumberFormat="1" applyFont="1" applyFill="1" applyBorder="1" applyAlignment="1">
      <x:alignment horizontal="right" vertical="center"/>
    </x:xf>
    <x:xf numFmtId="0" fontId="10" fillId="5" borderId="0" xfId="0" applyFont="1" applyFill="1" applyAlignment="1">
      <x:alignment horizontal="left" vertical="center"/>
    </x:xf>
    <x:xf numFmtId="164" fontId="11" fillId="5" borderId="0" xfId="0" applyNumberFormat="1" applyFont="1" applyFill="1" applyAlignment="1">
      <x:alignment horizontal="right" vertical="center"/>
    </x:xf>
    <x:xf numFmtId="0" fontId="8" fillId="5" borderId="0" xfId="0" applyFont="1" applyFill="1" applyAlignment="1">
      <x:alignment horizontal="left" vertical="center"/>
    </x:xf>
    <x:xf numFmtId="0" fontId="5" fillId="2" borderId="1" xfId="0" applyFont="1" applyFill="1" applyBorder="1" applyAlignment="1">
      <x:alignment horizontal="left" vertical="center"/>
    </x:xf>
    <x:xf numFmtId="0" fontId="6" fillId="4" borderId="1" xfId="0" applyFont="1" applyFill="1" applyBorder="1" applyAlignment="1">
      <x:alignment horizontal="center" vertical="center"/>
    </x:xf>
    <x:xf numFmtId="0" fontId="0" fillId="0" borderId="1" xfId="0" applyBorder="1"/>
    <x:xf numFmtId="0" fontId="9" fillId="8" borderId="1" xfId="0" applyFont="1" applyFill="1" applyBorder="1" applyAlignment="1">
      <x:alignment horizontal="left" vertical="center"/>
    </x:xf>
    <x:xf numFmtId="0" fontId="9" fillId="8" borderId="1" xfId="0" applyFont="1" applyFill="1" applyBorder="1" applyAlignment="1">
      <x:alignment horizontal="center" vertical="center"/>
    </x:xf>
    <x:xf numFmtId="0" fontId="9" fillId="5" borderId="1" xfId="0" applyFont="1" applyFill="1" applyBorder="1" applyAlignment="1">
      <x:alignment horizontal="left" vertical="center"/>
    </x:xf>
    <x:xf numFmtId="0" fontId="3" fillId="5" borderId="1" xfId="0" applyFont="1" applyFill="1" applyBorder="1" applyAlignment="1">
      <x:alignment horizontal="center" vertical="center"/>
    </x:xf>
    <x:xf numFmtId="0" fontId="9" fillId="6" borderId="1" xfId="0" applyFont="1" applyFill="1" applyBorder="1" applyAlignment="1">
      <x:alignment horizontal="left" vertical="center"/>
    </x:xf>
    <x:xf numFmtId="3" fontId="15" fillId="6" borderId="1" xfId="0" applyNumberFormat="1" applyFont="1" applyFill="1" applyBorder="1" applyAlignment="1">
      <x:alignment horizontal="center" vertical="center"/>
    </x:xf>
    <x:xf numFmtId="0" fontId="8" fillId="6" borderId="1" xfId="0" applyFont="1" applyFill="1" applyBorder="1" applyAlignment="1">
      <x:alignment horizontal="left" vertical="center"/>
    </x:xf>
    <x:xf numFmtId="165" fontId="16" fillId="6" borderId="1" xfId="0" applyNumberFormat="1" applyFont="1" applyFill="1" applyBorder="1" applyAlignment="1">
      <x:alignment horizontal="center" vertical="center"/>
    </x:xf>
    <x:xf numFmtId="165" fontId="15" fillId="6" borderId="1" xfId="0" applyNumberFormat="1" applyFont="1" applyFill="1" applyBorder="1" applyAlignment="1">
      <x:alignment horizontal="center" vertical="center"/>
    </x:xf>
    <x:xf numFmtId="0" fontId="13" fillId="4" borderId="1" xfId="0" applyFont="1" applyFill="1" applyBorder="1" applyAlignment="1">
      <x:alignment horizontal="left" vertical="center"/>
    </x:xf>
    <x:xf numFmtId="0" fontId="15" fillId="6" borderId="1" xfId="0" applyFont="1" applyFill="1" applyBorder="1" applyAlignment="1">
      <x:alignment horizontal="center" vertical="center"/>
    </x:xf>
    <x:xf numFmtId="164" fontId="15" fillId="6" borderId="1" xfId="0" applyNumberFormat="1" applyFont="1" applyFill="1" applyBorder="1" applyAlignment="1">
      <x:alignment horizontal="right" vertical="center"/>
    </x:xf>
    <x:xf numFmtId="0" fontId="13" fillId="5" borderId="1" xfId="0" applyFont="1" applyFill="1" applyBorder="1" applyAlignment="1">
      <x:alignment horizontal="left" vertical="center"/>
    </x:xf>
    <x:xf numFmtId="0" fontId="9" fillId="4" borderId="1" xfId="0" applyFont="1" applyFill="1" applyBorder="1" applyAlignment="1">
      <x:alignment horizontal="left" vertical="center"/>
    </x:xf>
    <x:xf numFmtId="166" fontId="7" fillId="4" borderId="1" xfId="0" applyNumberFormat="1" applyFont="1" applyFill="1" applyBorder="1" applyAlignment="1">
      <x:alignment horizontal="center" vertical="center"/>
    </x:xf>
    <x:xf numFmtId="166" fontId="15" fillId="6" borderId="1" xfId="0" applyNumberFormat="1" applyFont="1" applyFill="1" applyBorder="1" applyAlignment="1">
      <x:alignment horizontal="center" vertical="center"/>
    </x:xf>
    <x:xf numFmtId="166" fontId="17" fillId="6" borderId="1" xfId="0" applyNumberFormat="1" applyFont="1" applyFill="1" applyBorder="1" applyAlignment="1">
      <x:alignment horizontal="center" vertical="center"/>
    </x:xf>
    <x:xf numFmtId="0" fontId="18" fillId="4" borderId="1" xfId="0" applyFont="1" applyFill="1" applyBorder="1" applyAlignment="1">
      <x:alignment horizontal="center" vertical="center"/>
    </x:xf>
    <x:xf numFmtId="0" fontId="19" fillId="6" borderId="1" xfId="0" applyFont="1" applyFill="1" applyBorder="1" applyAlignment="1">
      <x:alignment horizontal="left" vertical="center" wrapText="1"/>
    </x:xf>
    <x:xf numFmtId="166" fontId="7" fillId="5" borderId="1" xfId="0" applyNumberFormat="1" applyFont="1" applyFill="1" applyBorder="1" applyAlignment="1">
      <x:alignment horizontal="center" vertical="center"/>
    </x:xf>
    <x:xf numFmtId="0" fontId="20" fillId="5" borderId="1" xfId="0" applyFont="1" applyFill="1" applyBorder="1" applyAlignment="1">
      <x:alignment horizontal="center" vertical="center"/>
    </x:xf>
    <x:xf numFmtId="0" fontId="20" fillId="4" borderId="1" xfId="0" applyFont="1" applyFill="1" applyBorder="1" applyAlignment="1">
      <x:alignment horizontal="center" vertical="center"/>
    </x:xf>
    <x:xf numFmtId="0" fontId="18" fillId="5" borderId="1" xfId="0" applyFont="1" applyFill="1" applyBorder="1" applyAlignment="1">
      <x:alignment horizontal="center" vertical="center"/>
    </x:xf>
    <x:xf numFmtId="0" fontId="5" fillId="2" borderId="0" xfId="0" applyFont="1" applyFill="1" applyAlignment="1">
      <x:alignment horizontal="left" vertical="center"/>
    </x:xf>
    <x:xf numFmtId="0" fontId="5" fillId="9" borderId="0" xfId="0" applyFont="1" applyFill="1" applyAlignment="1">
      <x:alignment horizontal="center" vertical="center"/>
    </x:xf>
    <x:xf numFmtId="0" fontId="5" fillId="10" borderId="0" xfId="0" applyFont="1" applyFill="1" applyAlignment="1">
      <x:alignment horizontal="center" vertical="center"/>
    </x:xf>
    <x:xf numFmtId="0" fontId="5" fillId="11" borderId="0" xfId="0" applyFont="1" applyFill="1" applyAlignment="1">
      <x:alignment horizontal="center" vertical="center"/>
    </x:xf>
    <x:xf numFmtId="0" fontId="0" fillId="2" borderId="0" xfId="0" applyFill="1"/>
    <x:xf numFmtId="0" fontId="22" fillId="9" borderId="0" xfId="0" applyFont="1" applyFill="1" applyAlignment="1">
      <x:alignment horizontal="center" vertical="center" wrapText="1"/>
    </x:xf>
    <x:xf numFmtId="0" fontId="22" fillId="10" borderId="0" xfId="0" applyFont="1" applyFill="1" applyAlignment="1">
      <x:alignment horizontal="center" vertical="center" wrapText="1"/>
    </x:xf>
    <x:xf numFmtId="0" fontId="22" fillId="11" borderId="0" xfId="0" applyFont="1" applyFill="1" applyAlignment="1">
      <x:alignment horizontal="center" vertical="center" wrapText="1"/>
    </x:xf>
    <x:xf numFmtId="0" fontId="10" fillId="4" borderId="0" xfId="0" applyFont="1" applyFill="1" applyAlignment="1">
      <x:alignment horizontal="left" vertical="center"/>
    </x:xf>
    <x:xf numFmtId="0" fontId="6" fillId="4" borderId="0" xfId="0" applyFont="1" applyFill="1" applyAlignment="1">
      <x:alignment horizontal="left" vertical="center"/>
    </x:xf>
    <x:xf numFmtId="0" fontId="6" fillId="5" borderId="0" xfId="0" applyFont="1" applyFill="1" applyAlignment="1">
      <x:alignment horizontal="left" vertical="center"/>
    </x:xf>
    <x:xf numFmtId="0" fontId="5" fillId="2" borderId="1" xfId="0" applyFont="1" applyFill="1" applyBorder="1" applyAlignment="1">
      <x:alignment horizontal="center" vertical="center" wrapText="1"/>
    </x:xf>
    <x:xf numFmtId="0" fontId="5" fillId="9" borderId="1" xfId="0" applyFont="1" applyFill="1" applyBorder="1" applyAlignment="1">
      <x:alignment horizontal="center" vertical="center" wrapText="1"/>
    </x:xf>
    <x:xf numFmtId="0" fontId="5" fillId="10" borderId="1" xfId="0" applyFont="1" applyFill="1" applyBorder="1" applyAlignment="1">
      <x:alignment horizontal="center" vertical="center" wrapText="1"/>
    </x:xf>
    <x:xf numFmtId="0" fontId="5" fillId="11" borderId="0" xfId="0" applyFont="1" applyFill="1" applyAlignment="1">
      <x:alignment horizontal="center" vertical="center" wrapText="1"/>
    </x:xf>
    <x:xf numFmtId="0" fontId="7" fillId="4" borderId="1" xfId="0" applyFont="1" applyFill="1" applyBorder="1" applyAlignment="1">
      <x:alignment horizontal="center" vertical="center"/>
    </x:xf>
    <x:xf numFmtId="0" fontId="7" fillId="5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0" fontId="11" fillId="5" borderId="1" xfId="0" applyFont="1" applyFill="1" applyBorder="1" applyAlignment="1">
      <x:alignment horizontal="center" vertical="center"/>
    </x:xf>
    <x:xf numFmtId="0" fontId="0" fillId="0" borderId="0" xfId="0"/>
    <x:xf numFmtId="0" fontId="4" fillId="2" borderId="2" xfId="0" applyFont="1" applyFill="1" applyBorder="1" applyAlignment="1">
      <x:alignment horizontal="left" vertical="center"/>
    </x:xf>
    <x:xf numFmtId="0" fontId="23" fillId="12" borderId="0" xfId="0" applyFont="1" applyFill="1" applyAlignment="1">
      <x:alignment horizontal="left" vertical="center" wrapText="1"/>
    </x:xf>
    <x:xf numFmtId="0" fontId="19" fillId="6" borderId="1" xfId="0" applyFont="1" applyFill="1" applyBorder="1" applyAlignment="1">
      <x:alignment horizontal="left" vertical="center"/>
    </x:xf>
    <x:xf numFmtId="1" fontId="15" fillId="6" borderId="1" xfId="0" applyNumberFormat="1" applyFont="1" applyFill="1" applyBorder="1" applyAlignment="1">
      <x:alignment horizontal="center" vertical="center"/>
    </x:xf>
    <x:xf numFmtId="0" fontId="10" fillId="4" borderId="0" xfId="0" applyFont="1" applyFill="1" applyBorder="1" applyAlignment="1">
      <x:alignment horizontal="left" vertical="center"/>
    </x:xf>
    <x:xf numFmtId="0" fontId="13" fillId="4" borderId="0" xfId="0" applyFont="1" applyFill="1" applyBorder="1" applyAlignment="1">
      <x:alignment horizontal="left" vertical="center"/>
    </x:xf>
    <x:xf numFmtId="164" fontId="7" fillId="4" borderId="0" xfId="0" applyNumberFormat="1" applyFont="1" applyFill="1" applyBorder="1" applyAlignment="1">
      <x:alignment horizontal="right" vertical="center"/>
    </x:xf>
    <x:xf numFmtId="0" fontId="15" fillId="6" borderId="0" xfId="0" applyFont="1" applyFill="1" applyBorder="1" applyAlignment="1">
      <x:alignment horizontal="center" vertical="center"/>
    </x:xf>
    <x:xf numFmtId="164" fontId="15" fillId="6" borderId="0" xfId="0" applyNumberFormat="1" applyFont="1" applyFill="1" applyBorder="1" applyAlignment="1">
      <x:alignment horizontal="right" vertical="center"/>
    </x:xf>
    <x:xf numFmtId="0" fontId="8" fillId="4" borderId="0" xfId="0" applyFont="1" applyFill="1" applyBorder="1" applyAlignment="1">
      <x:alignment horizontal="left" vertical="center"/>
    </x:xf>
    <x:xf numFmtId="170" fontId="1" fillId="0" borderId="1" xfId="2" applyNumberFormat="1" applyBorder="1" applyAlignment="1">
      <x:alignment horizontal="center" vertical="center"/>
    </x:xf>
    <x:xf numFmtId="10" fontId="1" fillId="0" borderId="1" xfId="2" applyNumberFormat="1" applyBorder="1" applyAlignment="1">
      <x:alignment horizontal="center" vertical="center"/>
    </x:xf>
    <x:xf numFmtId="175" fontId="15" fillId="6" borderId="1" xfId="0" applyNumberFormat="1" applyFont="1" applyFill="1" applyBorder="1" applyAlignment="1">
      <x:alignment horizontal="center" vertical="center"/>
    </x:xf>
    <x:xf numFmtId="0" fontId="9" fillId="5" borderId="0" xfId="0" applyFont="1" applyFill="1" applyBorder="1" applyAlignment="1">
      <x:alignment horizontal="left" vertical="center"/>
    </x:xf>
    <x:xf numFmtId="170" fontId="1" fillId="0" borderId="0" xfId="2" applyNumberFormat="1" applyBorder="1" applyAlignment="1">
      <x:alignment horizontal="center" vertical="center"/>
    </x:xf>
    <x:xf numFmtId="10" fontId="7" fillId="5" borderId="1" xfId="0" applyNumberFormat="1" applyFont="1" applyFill="1" applyBorder="1" applyAlignment="1">
      <x:alignment horizontal="center" vertical="center"/>
    </x:xf>
    <x:xf numFmtId="164" fontId="0" fillId="0" borderId="0" xfId="0" applyNumberFormat="1"/>
    <x:xf numFmtId="170" fontId="1" fillId="0" borderId="0" xfId="2" applyNumberFormat="1"/>
    <x:xf numFmtId="44" fontId="1" fillId="0" borderId="0" xfId="1"/>
    <x:xf numFmtId="170" fontId="11" fillId="5" borderId="1" xfId="0" applyNumberFormat="1" applyFont="1" applyFill="1" applyBorder="1" applyAlignment="1">
      <x:alignment horizontal="center" vertical="center"/>
    </x:xf>
    <x:xf numFmtId="0" fontId="7" fillId="4" borderId="3" xfId="0" applyFont="1" applyFill="1" applyBorder="1" applyAlignment="1">
      <x:alignment horizontal="center" vertical="center"/>
    </x:xf>
    <x:xf numFmtId="179" fontId="7" fillId="4" borderId="3" xfId="0" applyNumberFormat="1" applyFont="1" applyFill="1" applyBorder="1" applyAlignment="1">
      <x:alignment horizontal="center" vertical="center"/>
    </x:xf>
    <x:xf numFmtId="0" fontId="7" fillId="5" borderId="3" xfId="0" applyFont="1" applyFill="1" applyBorder="1" applyAlignment="1">
      <x:alignment horizontal="center" vertical="center"/>
    </x:xf>
    <x:xf numFmtId="179" fontId="7" fillId="5" borderId="3" xfId="0" applyNumberFormat="1" applyFont="1" applyFill="1" applyBorder="1" applyAlignment="1">
      <x:alignment horizontal="center" vertical="center"/>
    </x:xf>
    <x:xf numFmtId="177" fontId="7" fillId="5" borderId="3" xfId="0" applyNumberFormat="1" applyFont="1" applyFill="1" applyBorder="1" applyAlignment="1">
      <x:alignment horizontal="center" vertical="center"/>
    </x:xf>
    <x:xf numFmtId="177" fontId="7" fillId="4" borderId="3" xfId="0" applyNumberFormat="1" applyFont="1" applyFill="1" applyBorder="1" applyAlignment="1">
      <x:alignment horizontal="center" vertical="center"/>
    </x:xf>
    <x:xf numFmtId="179" fontId="1" fillId="0" borderId="3" xfId="1" applyNumberFormat="1" applyBorder="1" applyAlignment="1">
      <x:alignment horizontal="center" vertical="center"/>
    </x:xf>
    <x:xf numFmtId="0" fontId="6" fillId="5" borderId="4" xfId="0" applyFont="1" applyFill="1" applyBorder="1" applyAlignment="1">
      <x:alignment horizontal="left" vertical="center"/>
    </x:xf>
    <x:xf numFmtId="164" fontId="7" fillId="5" borderId="4" xfId="0" applyNumberFormat="1" applyFont="1" applyFill="1" applyBorder="1" applyAlignment="1">
      <x:alignment horizontal="right" vertical="center"/>
    </x:xf>
    <x:xf numFmtId="0" fontId="10" fillId="4" borderId="5" xfId="0" applyFont="1" applyFill="1" applyBorder="1" applyAlignment="1">
      <x:alignment horizontal="left" vertical="center"/>
    </x:xf>
    <x:xf numFmtId="164" fontId="11" fillId="4" borderId="5" xfId="0" applyNumberFormat="1" applyFont="1" applyFill="1" applyBorder="1" applyAlignment="1">
      <x:alignment horizontal="right" vertical="center"/>
    </x:xf>
    <x:xf numFmtId="164" fontId="0" fillId="0" borderId="6" xfId="0" applyNumberFormat="1" applyBorder="1"/>
    <x:xf numFmtId="0" fontId="0" fillId="13" borderId="0" xfId="0" applyNumberFormat="1" applyFont="1" applyFill="1" applyBorder="1"/>
    <x:xf numFmtId="0" fontId="24" fillId="13" borderId="0" xfId="0" applyNumberFormat="1" applyFont="1" applyFill="1" applyBorder="1"/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0" fillId="15" borderId="0" xfId="0" applyNumberFormat="1" applyFont="1" applyFill="1" applyBorder="1"/>
    <x:xf numFmtId="0" fontId="25" fillId="15" borderId="0" xfId="0" applyNumberFormat="1" applyFont="1" applyFill="1" applyBorder="1"/>
    <x:xf numFmtId="0" fontId="25" fillId="15" borderId="7" xfId="0" applyNumberFormat="1" applyFont="1" applyFill="1" applyBorder="1"/>
    <x:xf numFmtId="0" fontId="25" fillId="15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0" fontId="5" fillId="14" borderId="7" xfId="0" applyNumberFormat="1" applyFont="1" applyFill="1" applyBorder="1"/>
    <x:xf numFmtId="0" fontId="5" fillId="14" borderId="13" xfId="0" applyNumberFormat="1" applyFont="1" applyFill="1" applyBorder="1"/>
    <x:xf numFmtId="0" fontId="5" fillId="14" borderId="8" xfId="0" applyNumberFormat="1" applyFont="1" applyFill="1" applyBorder="1"/>
    <x:xf numFmtId="0" fontId="17" fillId="16" borderId="10" xfId="0" applyNumberFormat="1" applyFont="1" applyFill="1" applyBorder="1"/>
    <x:xf numFmtId="0" fontId="17" fillId="16" borderId="14" xfId="0" applyNumberFormat="1" applyFont="1" applyFill="1" applyBorder="1"/>
    <x:xf numFmtId="0" fontId="17" fillId="16" borderId="12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16" borderId="10" xfId="0" applyNumberFormat="1" applyFont="1" applyFill="1" applyBorder="1" applyAlignment="1">
      <x:alignment wrapText="1"/>
    </x:xf>
    <x:xf numFmtId="0" fontId="0" fillId="16" borderId="14" xfId="0" applyNumberFormat="1" applyFont="1" applyFill="1" applyBorder="1" applyAlignment="1">
      <x:alignment wrapText="1"/>
    </x:xf>
    <x:xf numFmtId="0" fontId="0" fillId="16" borderId="12" xfId="0" applyNumberFormat="1" applyFont="1" applyFill="1" applyBorder="1" applyAlignment="1">
      <x:alignment wrapText="1"/>
    </x:xf>
  </x:cellXfs>
  <x:cellStyles count="3">
    <x:cellStyle name="Currency" xfId="1"/>
    <x:cellStyle name="Normal" xfId="0"/>
    <x:cellStyle name="Percent" xfId="2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91B1B"/>
      <x:rgbColor rgb="FF166534"/>
      <x:rgbColor rgb="FF000080"/>
      <x:rgbColor rgb="FF808000"/>
      <x:rgbColor rgb="FF800080"/>
      <x:rgbColor rgb="FF008080"/>
      <x:rgbColor rgb="FFC0C0C0"/>
      <x:rgbColor rgb="FF808080"/>
      <x:rgbColor rgb="FF9999FF"/>
      <x:rgbColor rgb="FF6D2E46"/>
      <x:rgbColor rgb="FFFFF9E6"/>
      <x:rgbColor rgb="FFF8FAFF"/>
      <x:rgbColor rgb="FF660066"/>
      <x:rgbColor rgb="FFFF8080"/>
      <x:rgbColor rgb="FF1D4ED8"/>
      <x:rgbColor rgb="FFCADCFC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AFAFA"/>
      <x:rgbColor rgb="FFFEF2F2"/>
      <x:rgbColor rgb="FFFFFBEB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4748B"/>
      <x:rgbColor rgb="FFC9A84C"/>
      <x:rgbColor rgb="FF1E2761"/>
      <x:rgbColor rgb="FF339966"/>
      <x:rgbColor rgb="FF003300"/>
      <x:rgbColor rgb="FF333300"/>
      <x:rgbColor rgb="FF92400E"/>
      <x:rgbColor rgb="FF993366"/>
      <x:rgbColor rgb="FF475569"/>
      <x:rgbColor rgb="FF334155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77349f22884941" /><Relationship Type="http://schemas.openxmlformats.org/officeDocument/2006/relationships/theme" Target="/xl/theme/theme1.xml" Id="R5039dc19038344ed" /><Relationship Type="http://schemas.openxmlformats.org/officeDocument/2006/relationships/sharedStrings" Target="/xl/sharedStrings.xml" Id="R2b145c065ae449bb" /><Relationship Type="http://schemas.openxmlformats.org/officeDocument/2006/relationships/worksheet" Target="/xl/worksheets/sheet1.xml" Id="R702fd57e4f1e429e" /><Relationship Type="http://schemas.openxmlformats.org/officeDocument/2006/relationships/worksheet" Target="/xl/worksheets/sheet2.xml" Id="R93c7aba45b9f4d09" /><Relationship Type="http://schemas.openxmlformats.org/officeDocument/2006/relationships/worksheet" Target="/xl/worksheets/sheet3.xml" Id="R307887b522944093" /><Relationship Type="http://schemas.openxmlformats.org/officeDocument/2006/relationships/worksheet" Target="/xl/worksheets/sheet4.xml" Id="Rbf9ed6ea5953406b" /><Relationship Type="http://schemas.openxmlformats.org/officeDocument/2006/relationships/worksheet" Target="/xl/worksheets/sheet5.xml" Id="R10703b3bd726411e" /><Relationship Type="http://schemas.openxmlformats.org/officeDocument/2006/relationships/worksheet" Target="/xl/worksheets/sheet6.xml" Id="Rabb5d55cc5bc424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E2761"/>
  </x:sheetPr>
  <x:sheetViews>
    <x:sheetView showGridLines="0" workbookViewId="0"/>
  </x:sheetViews>
  <x:sheetFormatPr defaultColWidth="8.7109375" defaultRowHeight="15"/>
  <x:cols>
    <x:col min="1" max="1" width="2" customWidth="1"/>
    <x:col min="2" max="2" width="32" customWidth="1"/>
    <x:col min="3" max="4" width="18" customWidth="1"/>
    <x:col min="5" max="5" width="3" customWidth="1"/>
    <x:col min="6" max="6" width="39.140625" customWidth="1"/>
    <x:col min="7" max="7" width="18" customWidth="1"/>
    <x:col min="8" max="8" width="38" customWidth="1"/>
  </x:cols>
  <x:sheetData>
    <x:row r="1" ht="36" customHeight="1">
      <x:c r="B1" s="14" t="s">
        <x:v>0</x:v>
      </x:c>
      <x:c r="C1" s="14"/>
      <x:c r="D1" s="14"/>
      <x:c r="E1" s="14"/>
      <x:c r="F1" s="14"/>
      <x:c r="G1" s="14"/>
      <x:c r="H1" s="14"/>
    </x:row>
    <x:row r="2" ht="18" customHeight="1">
      <x:c r="B2" s="13" t="s">
        <x:v>1</x:v>
      </x:c>
      <x:c r="C2" s="13"/>
      <x:c r="D2" s="13"/>
      <x:c r="E2" s="13"/>
      <x:c r="F2" s="13"/>
      <x:c r="G2" s="13"/>
      <x:c r="H2" s="13"/>
    </x:row>
    <x:row r="3" ht="9.75" customHeight="1"/>
    <x:row r="4" ht="21.75" customHeight="1">
      <x:c r="B4" s="12" t="s">
        <x:v>2</x:v>
      </x:c>
      <x:c r="C4" s="12"/>
      <x:c r="D4" s="12"/>
      <x:c r="F4" s="12" t="s">
        <x:v>3</x:v>
      </x:c>
      <x:c r="G4" s="12"/>
      <x:c r="H4" s="12"/>
    </x:row>
    <x:row r="5">
      <x:c r="B5" s="15" t="s">
        <x:v>4</x:v>
      </x:c>
      <x:c r="C5" s="15" t="s">
        <x:v>5</x:v>
      </x:c>
      <x:c r="D5" s="15" t="s">
        <x:v>6</x:v>
      </x:c>
      <x:c r="F5" s="15" t="s">
        <x:v>7</x:v>
      </x:c>
      <x:c r="G5" s="15" t="s">
        <x:v>8</x:v>
      </x:c>
      <x:c r="H5" s="15" t="s">
        <x:v>9</x:v>
      </x:c>
    </x:row>
    <x:row r="6" ht="16.5" customHeight="1">
      <x:c r="B6" s="16" t="s">
        <x:v>10</x:v>
      </x:c>
      <x:c r="C6" s="17">
        <x:v>850000</x:v>
      </x:c>
      <x:c r="D6" s="18" t="s">
        <x:v>11</x:v>
      </x:c>
      <x:c r="F6" s="16" t="s">
        <x:v>12</x:v>
      </x:c>
      <x:c r="G6" s="19" t="s">
        <x:v>13</x:v>
      </x:c>
      <x:c r="H6" s="18" t="s">
        <x:v>14</x:v>
      </x:c>
    </x:row>
    <x:row r="7" ht="16.5" customHeight="1">
      <x:c r="B7" s="20" t="s">
        <x:v>15</x:v>
      </x:c>
      <x:c r="C7" s="21">
        <x:v>255000</x:v>
      </x:c>
      <x:c r="D7" s="22" t="s">
        <x:v>16</x:v>
      </x:c>
      <x:c r="F7" s="20" t="s">
        <x:v>17</x:v>
      </x:c>
      <x:c r="G7" s="23" t="s">
        <x:v>18</x:v>
      </x:c>
      <x:c r="H7" s="22" t="s">
        <x:v>19</x:v>
      </x:c>
    </x:row>
    <x:row r="8" ht="16.5" customHeight="1">
      <x:c r="B8" s="24" t="s">
        <x:v>20</x:v>
      </x:c>
      <x:c r="C8" s="25" t="n">
        <x:f>C6-C7</x:f>
        <x:v>595000</x:v>
      </x:c>
      <x:c r="D8" s="18"/>
      <x:c r="F8" s="16" t="s">
        <x:v>21</x:v>
      </x:c>
      <x:c r="G8" s="19" t="s">
        <x:v>22</x:v>
      </x:c>
      <x:c r="H8" s="18" t="s">
        <x:v>23</x:v>
      </x:c>
    </x:row>
    <x:row r="9" ht="16.5" customHeight="1">
      <x:c r="B9" s="20" t="s">
        <x:v>24</x:v>
      </x:c>
      <x:c r="C9" s="21">
        <x:v>340000</x:v>
      </x:c>
      <x:c r="D9" s="22" t="s">
        <x:v>25</x:v>
      </x:c>
      <x:c r="F9" s="20" t="s">
        <x:v>26</x:v>
      </x:c>
      <x:c r="G9" s="23" t="s">
        <x:v>27</x:v>
      </x:c>
      <x:c r="H9" s="22" t="s">
        <x:v>28</x:v>
      </x:c>
    </x:row>
    <x:row r="10" ht="16.5" customHeight="1">
      <x:c r="B10" s="24" t="s">
        <x:v>29</x:v>
      </x:c>
      <x:c r="C10" s="25" t="n">
        <x:f>C8-C9</x:f>
        <x:v>255000</x:v>
      </x:c>
      <x:c r="D10" s="18" t="s">
        <x:v>30</x:v>
      </x:c>
      <x:c r="F10" s="16" t="s">
        <x:v>31</x:v>
      </x:c>
      <x:c r="G10" s="19" t="s">
        <x:v>32</x:v>
      </x:c>
      <x:c r="H10" s="18" t="s">
        <x:v>33</x:v>
      </x:c>
    </x:row>
    <x:row r="11" ht="16.5" customHeight="1">
      <x:c r="B11" s="20" t="s">
        <x:v>34</x:v>
      </x:c>
      <x:c r="C11" s="21">
        <x:v>36000</x:v>
      </x:c>
      <x:c r="D11" s="22" t="s">
        <x:v>35</x:v>
      </x:c>
      <x:c r="F11" s="20" t="s">
        <x:v>36</x:v>
      </x:c>
      <x:c r="G11" s="23" t="s">
        <x:v>37</x:v>
      </x:c>
      <x:c r="H11" s="22" t="s">
        <x:v>38</x:v>
      </x:c>
    </x:row>
    <x:row r="12" ht="16.5" customHeight="1">
      <x:c r="B12" s="24" t="s">
        <x:v>39</x:v>
      </x:c>
      <x:c r="C12" s="17" t="n">
        <x:f>C10-C11</x:f>
        <x:v>219000</x:v>
      </x:c>
      <x:c r="D12" s="18"/>
      <x:c r="F12" s="16" t="s">
        <x:v>40</x:v>
      </x:c>
      <x:c r="G12" s="19" t="s">
        <x:v>41</x:v>
      </x:c>
      <x:c r="H12" s="18" t="s">
        <x:v>42</x:v>
      </x:c>
    </x:row>
    <x:row r="13" ht="16.5" customHeight="1">
      <x:c r="B13" s="20" t="s">
        <x:v>43</x:v>
      </x:c>
      <x:c r="C13" s="21" t="n">
        <x:f>C12*0.25</x:f>
        <x:v>54750</x:v>
      </x:c>
      <x:c r="D13" s="22"/>
      <x:c r="F13" s="20" t="s">
        <x:v>44</x:v>
      </x:c>
      <x:c r="G13" s="23" t="s">
        <x:v>45</x:v>
      </x:c>
      <x:c r="H13" s="22" t="s">
        <x:v>46</x:v>
      </x:c>
    </x:row>
    <x:row r="14" ht="16.5" customHeight="1">
      <x:c r="B14" s="24" t="s">
        <x:v>47</x:v>
      </x:c>
      <x:c r="C14" s="25" t="n">
        <x:f>C12-C13</x:f>
        <x:v>164250</x:v>
      </x:c>
      <x:c r="D14" s="18"/>
      <x:c r="F14" s="16" t="s">
        <x:v>48</x:v>
      </x:c>
      <x:c r="G14" s="19" t="s">
        <x:v>49</x:v>
      </x:c>
      <x:c r="H14" s="18" t="s">
        <x:v>50</x:v>
      </x:c>
    </x:row>
    <x:row r="15" ht="16.5" customHeight="1">
      <x:c r="F15" s="20" t="s">
        <x:v>51</x:v>
      </x:c>
      <x:c r="G15" s="23" t="s">
        <x:v>41</x:v>
      </x:c>
      <x:c r="H15" s="22" t="s">
        <x:v>52</x:v>
      </x:c>
    </x:row>
    <x:row r="16" ht="16.5" customHeight="1">
      <x:c r="B16" s="12" t="s">
        <x:v>53</x:v>
      </x:c>
      <x:c r="C16" s="12"/>
      <x:c r="D16" s="12"/>
      <x:c r="F16" s="16" t="s">
        <x:v>54</x:v>
      </x:c>
      <x:c r="G16" s="19" t="s">
        <x:v>55</x:v>
      </x:c>
      <x:c r="H16" s="18" t="s">
        <x:v>56</x:v>
      </x:c>
    </x:row>
    <x:row r="17" ht="16.5" customHeight="1">
      <x:c r="B17" s="15" t="s">
        <x:v>57</x:v>
      </x:c>
      <x:c r="C17" s="15" t="s">
        <x:v>5</x:v>
      </x:c>
      <x:c r="D17" s="15" t="s">
        <x:v>6</x:v>
      </x:c>
      <x:c r="F17" s="20" t="s">
        <x:v>58</x:v>
      </x:c>
      <x:c r="G17" s="23" t="s">
        <x:v>59</x:v>
      </x:c>
      <x:c r="H17" s="22" t="s">
        <x:v>60</x:v>
      </x:c>
    </x:row>
    <x:row r="18" ht="16.5" customHeight="1">
      <x:c r="B18" s="26" t="s">
        <x:v>61</x:v>
      </x:c>
      <x:c r="C18" s="27"/>
      <x:c r="D18" s="28"/>
      <x:c r="F18" s="16" t="s">
        <x:v>62</x:v>
      </x:c>
      <x:c r="G18" s="19" t="s">
        <x:v>63</x:v>
      </x:c>
      <x:c r="H18" s="18" t="s">
        <x:v>64</x:v>
      </x:c>
    </x:row>
    <x:row r="19" ht="16.5" customHeight="1">
      <x:c r="B19" s="20" t="s">
        <x:v>65</x:v>
      </x:c>
      <x:c r="C19" s="21">
        <x:v>45000</x:v>
      </x:c>
      <x:c r="D19" s="22"/>
      <x:c r="F19" s="20" t="s">
        <x:v>66</x:v>
      </x:c>
      <x:c r="G19" s="23" t="s">
        <x:v>67</x:v>
      </x:c>
      <x:c r="H19" s="22" t="s">
        <x:v>64</x:v>
      </x:c>
    </x:row>
    <x:row r="20" ht="16.5" customHeight="1">
      <x:c r="B20" s="16" t="s">
        <x:v>68</x:v>
      </x:c>
      <x:c r="C20" s="17">
        <x:v>120000</x:v>
      </x:c>
      <x:c r="D20" s="18"/>
    </x:row>
    <x:row r="21" ht="19.5" customHeight="1">
      <x:c r="B21" s="20" t="s">
        <x:v>69</x:v>
      </x:c>
      <x:c r="C21" s="21">
        <x:v>35000</x:v>
      </x:c>
      <x:c r="D21" s="22"/>
    </x:row>
    <x:row r="22" ht="21.75" customHeight="1">
      <x:c r="B22" s="24" t="s">
        <x:v>70</x:v>
      </x:c>
      <x:c r="C22" s="25" t="n">
        <x:f>C19+C20+C21</x:f>
        <x:v>200000</x:v>
      </x:c>
      <x:c r="D22" s="18"/>
      <x:c r="F22" s="11" t="s">
        <x:v>71</x:v>
      </x:c>
      <x:c r="G22" s="11"/>
      <x:c r="H22" s="11"/>
    </x:row>
    <x:row r="23" ht="15.75" customHeight="1">
      <x:c r="B23" s="20" t="s">
        <x:v>72</x:v>
      </x:c>
      <x:c r="C23" s="21">
        <x:v>280000</x:v>
      </x:c>
      <x:c r="D23" s="22"/>
      <x:c r="F23" s="29" t="s">
        <x:v>73</x:v>
      </x:c>
      <x:c r="G23" s="30"/>
      <x:c r="H23" s="31" t="s">
        <x:v>74</x:v>
      </x:c>
    </x:row>
    <x:row r="24" ht="15.75" customHeight="1">
      <x:c r="B24" s="16" t="s">
        <x:v>75</x:v>
      </x:c>
      <x:c r="C24" s="17">
        <x:v>150000</x:v>
      </x:c>
      <x:c r="D24" s="18"/>
      <x:c r="F24" s="32" t="s">
        <x:v>76</x:v>
      </x:c>
      <x:c r="G24" s="33"/>
      <x:c r="H24" s="31" t="s">
        <x:v>77</x:v>
      </x:c>
    </x:row>
    <x:row r="25" ht="15.75" customHeight="1">
      <x:c r="B25" s="34" t="s">
        <x:v>78</x:v>
      </x:c>
      <x:c r="C25" s="35" t="n">
        <x:f>C22+C23+C24</x:f>
        <x:v>630000</x:v>
      </x:c>
      <x:c r="D25" s="22"/>
      <x:c r="F25" s="32" t="s">
        <x:v>79</x:v>
      </x:c>
      <x:c r="G25" s="33"/>
      <x:c r="H25" s="31" t="s">
        <x:v>80</x:v>
      </x:c>
    </x:row>
    <x:row r="26" ht="16.5" customHeight="1">
      <x:c r="B26" s="26" t="s">
        <x:v>81</x:v>
      </x:c>
      <x:c r="C26" s="27"/>
      <x:c r="D26" s="28"/>
    </x:row>
    <x:row r="27" ht="16.5" customHeight="1">
      <x:c r="B27" s="20" t="s">
        <x:v>82</x:v>
      </x:c>
      <x:c r="C27" s="21">
        <x:v>85000</x:v>
      </x:c>
      <x:c r="D27" s="22"/>
    </x:row>
    <x:row r="28" ht="16.5" customHeight="1">
      <x:c r="B28" s="16" t="s">
        <x:v>83</x:v>
      </x:c>
      <x:c r="C28" s="17">
        <x:v>60000</x:v>
      </x:c>
      <x:c r="D28" s="18"/>
    </x:row>
    <x:row r="29" ht="16.5" customHeight="1">
      <x:c r="B29" s="34" t="s">
        <x:v>84</x:v>
      </x:c>
      <x:c r="C29" s="35" t="n">
        <x:f>C27+C28</x:f>
        <x:v>145000</x:v>
      </x:c>
      <x:c r="D29" s="22"/>
    </x:row>
    <x:row r="30" ht="16.5" customHeight="1">
      <x:c r="B30" s="16" t="s">
        <x:v>85</x:v>
      </x:c>
      <x:c r="C30" s="17">
        <x:v>240000</x:v>
      </x:c>
      <x:c r="D30" s="18" t="s">
        <x:v>86</x:v>
      </x:c>
    </x:row>
    <x:row r="31" ht="16.5" customHeight="1">
      <x:c r="B31" s="34" t="s">
        <x:v>87</x:v>
      </x:c>
      <x:c r="C31" s="35" t="n">
        <x:f>C29+C30</x:f>
        <x:v>385000</x:v>
      </x:c>
      <x:c r="D31" s="22"/>
    </x:row>
    <x:row r="32" ht="16.5" customHeight="1">
      <x:c r="B32" s="16" t="s">
        <x:v>88</x:v>
      </x:c>
      <x:c r="C32" s="17">
        <x:v>245000</x:v>
      </x:c>
      <x:c r="D32" s="18" t="s">
        <x:v>89</x:v>
      </x:c>
    </x:row>
    <x:row r="33" ht="16.5" customHeight="1">
      <x:c r="B33" s="36" t="s">
        <x:v>90</x:v>
      </x:c>
      <x:c r="C33" s="37" t="n">
        <x:f>C31+C32</x:f>
        <x:v>630000</x:v>
      </x:c>
      <x:c r="D33" s="38"/>
    </x:row>
  </x:sheetData>
  <x:mergeCells>
    <x:mergeCell ref="F22:H22"/>
    <x:mergeCell ref="B1:H1"/>
    <x:mergeCell ref="B2:H2"/>
    <x:mergeCell ref="B4:D4"/>
    <x:mergeCell ref="F4:H4"/>
    <x:mergeCell ref="B16:D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9A84C"/>
  </x:sheetPr>
  <x:sheetViews>
    <x:sheetView showGridLines="0" workbookViewId="0"/>
  </x:sheetViews>
  <x:sheetFormatPr defaultColWidth="8.7109375" defaultRowHeight="15"/>
  <x:cols>
    <x:col min="1" max="1" width="2" customWidth="1"/>
    <x:col min="2" max="2" width="36" customWidth="1"/>
    <x:col min="3" max="3" width="29.7109375" customWidth="1"/>
    <x:col min="4" max="4" width="43.28515625" customWidth="1"/>
    <x:col min="5" max="5" width="3" customWidth="1"/>
    <x:col min="6" max="6" width="36" customWidth="1"/>
    <x:col min="7" max="7" width="20" customWidth="1"/>
    <x:col min="8" max="8" width="24" customWidth="1"/>
  </x:cols>
  <x:sheetData>
    <x:row r="1" ht="36" customHeight="1">
      <x:c r="B1" s="14" t="s">
        <x:v>91</x:v>
      </x:c>
      <x:c r="C1" s="14"/>
      <x:c r="D1" s="14"/>
      <x:c r="E1" s="14"/>
      <x:c r="F1" s="14"/>
      <x:c r="G1" s="14"/>
      <x:c r="H1" s="14"/>
    </x:row>
    <x:row r="2" ht="18" customHeight="1">
      <x:c r="B2" s="13" t="s">
        <x:v>92</x:v>
      </x:c>
      <x:c r="C2" s="13"/>
      <x:c r="D2" s="13"/>
      <x:c r="E2" s="13"/>
      <x:c r="F2" s="13"/>
      <x:c r="G2" s="13"/>
      <x:c r="H2" s="13"/>
    </x:row>
    <x:row r="3" ht="9.75" customHeight="1"/>
    <x:row r="4" ht="21.75" customHeight="1">
      <x:c r="B4" s="12" t="s">
        <x:v>93</x:v>
      </x:c>
      <x:c r="C4" s="12"/>
      <x:c r="D4" s="12"/>
      <x:c r="F4" s="12" t="s">
        <x:v>94</x:v>
      </x:c>
      <x:c r="G4" s="12"/>
      <x:c r="H4" s="12"/>
    </x:row>
    <x:row r="5">
      <x:c r="B5" s="39" t="s">
        <x:v>95</x:v>
      </x:c>
      <x:c r="C5" s="15" t="s">
        <x:v>96</x:v>
      </x:c>
      <x:c r="D5" s="15" t="s">
        <x:v>97</x:v>
      </x:c>
      <x:c r="F5" s="39" t="s">
        <x:v>95</x:v>
      </x:c>
      <x:c r="G5" s="15" t="s">
        <x:v>96</x:v>
      </x:c>
      <x:c r="H5" s="15" t="s">
        <x:v>97</x:v>
      </x:c>
    </x:row>
    <x:row r="6" ht="16.5" customHeight="1">
      <x:c r="B6" s="16" t="s">
        <x:v>98</x:v>
      </x:c>
      <x:c r="C6" s="19" t="s">
        <x:v>99</x:v>
      </x:c>
      <x:c r="D6" s="40" t="s">
        <x:v>45</x:v>
      </x:c>
      <x:c r="F6" s="16" t="s">
        <x:v>100</x:v>
      </x:c>
      <x:c r="G6" s="19" t="s">
        <x:v>101</x:v>
      </x:c>
      <x:c r="H6" s="40" t="s">
        <x:v>55</x:v>
      </x:c>
    </x:row>
    <x:row r="7" ht="16.5" customHeight="1">
      <x:c r="B7" s="20" t="s">
        <x:v>102</x:v>
      </x:c>
      <x:c r="C7" s="23" t="s">
        <x:v>103</x:v>
      </x:c>
      <x:c r="D7" s="33" t="s">
        <x:v>37</x:v>
      </x:c>
      <x:c r="F7" s="20" t="s">
        <x:v>104</x:v>
      </x:c>
      <x:c r="G7" s="23" t="s">
        <x:v>105</x:v>
      </x:c>
      <x:c r="H7" s="33" t="s">
        <x:v>49</x:v>
      </x:c>
    </x:row>
    <x:row r="8" ht="16.5" customHeight="1">
      <x:c r="B8" s="16" t="s">
        <x:v>106</x:v>
      </x:c>
      <x:c r="C8" s="19" t="s">
        <x:v>107</x:v>
      </x:c>
      <x:c r="D8" s="40" t="s">
        <x:v>41</x:v>
      </x:c>
      <x:c r="F8" s="16" t="s">
        <x:v>108</x:v>
      </x:c>
      <x:c r="G8" s="19" t="s">
        <x:v>107</x:v>
      </x:c>
      <x:c r="H8" s="40" t="s">
        <x:v>41</x:v>
      </x:c>
    </x:row>
    <x:row r="9" ht="16.5" customHeight="1">
      <x:c r="B9" s="41"/>
      <x:c r="C9" s="41"/>
      <x:c r="D9" s="41"/>
      <x:c r="F9" s="20" t="s">
        <x:v>109</x:v>
      </x:c>
      <x:c r="G9" s="23" t="s">
        <x:v>110</x:v>
      </x:c>
      <x:c r="H9" s="33" t="s">
        <x:v>111</x:v>
      </x:c>
    </x:row>
    <x:row r="10" ht="16.5" customHeight="1">
      <x:c r="B10" s="42" t="s">
        <x:v>112</x:v>
      </x:c>
      <x:c r="C10" s="10"/>
      <x:c r="D10" s="10"/>
      <x:c r="F10" s="42" t="s">
        <x:v>113</x:v>
      </x:c>
      <x:c r="G10" s="9" t="s">
        <x:v>114</x:v>
      </x:c>
      <x:c r="H10" s="9"/>
    </x:row>
    <x:row r="11" ht="19.5" customHeight="1">
      <x:c r="B11" s="44" t="s">
        <x:v>115</x:v>
      </x:c>
      <x:c r="C11" s="45" t="s">
        <x:v>116</x:v>
      </x:c>
      <x:c r="D11" s="22" t="s">
        <x:v>117</x:v>
      </x:c>
      <x:c r="F11" s="46" t="s">
        <x:v>118</x:v>
      </x:c>
      <x:c r="G11" s="47"/>
      <x:c r="H11" s="48" t="s">
        <x:v>119</x:v>
      </x:c>
    </x:row>
    <x:row r="12" ht="19.5" customHeight="1">
      <x:c r="B12" s="46" t="s">
        <x:v>120</x:v>
      </x:c>
      <x:c r="C12" s="49"/>
      <x:c r="D12" s="48" t="s">
        <x:v>121</x:v>
      </x:c>
      <x:c r="F12" s="46" t="s">
        <x:v>122</x:v>
      </x:c>
      <x:c r="G12" s="47"/>
      <x:c r="H12" s="48" t="s">
        <x:v>123</x:v>
      </x:c>
    </x:row>
    <x:row r="13" ht="19.5" customHeight="1">
      <x:c r="F13" s="46" t="s">
        <x:v>124</x:v>
      </x:c>
      <x:c r="G13" s="50"/>
      <x:c r="H13" s="48" t="s">
        <x:v>125</x:v>
      </x:c>
    </x:row>
    <x:row r="14" ht="13.5" customHeight="1"/>
    <x:row r="15" ht="21.75" customHeight="1">
      <x:c r="B15" s="11" t="s">
        <x:v>126</x:v>
      </x:c>
      <x:c r="C15" s="11"/>
      <x:c r="D15" s="11"/>
      <x:c r="E15" s="11"/>
      <x:c r="F15" s="11"/>
      <x:c r="G15" s="11"/>
      <x:c r="H15" s="11"/>
    </x:row>
    <x:row r="16">
      <x:c r="B16" s="15" t="s">
        <x:v>127</x:v>
      </x:c>
      <x:c r="C16" s="15" t="s">
        <x:v>128</x:v>
      </x:c>
      <x:c r="D16" s="15" t="s">
        <x:v>129</x:v>
      </x:c>
      <x:c r="E16" s="15"/>
      <x:c r="F16" s="8" t="s">
        <x:v>130</x:v>
      </x:c>
      <x:c r="G16" s="8"/>
      <x:c r="H16" s="8"/>
    </x:row>
    <x:row r="17" ht="19.5" customHeight="1">
      <x:c r="B17" s="24" t="s">
        <x:v>131</x:v>
      </x:c>
      <x:c r="C17" s="50"/>
      <x:c r="D17" s="18" t="s">
        <x:v>132</x:v>
      </x:c>
      <x:c r="E17" s="40"/>
      <x:c r="F17" s="7" t="s">
        <x:v>133</x:v>
      </x:c>
      <x:c r="G17" s="7"/>
      <x:c r="H17" s="7"/>
    </x:row>
    <x:row r="18" ht="19.5" customHeight="1">
      <x:c r="B18" s="34" t="s">
        <x:v>134</x:v>
      </x:c>
      <x:c r="C18" s="50"/>
      <x:c r="D18" s="22" t="s">
        <x:v>135</x:v>
      </x:c>
      <x:c r="E18" s="33"/>
      <x:c r="F18" s="6" t="s">
        <x:v>136</x:v>
      </x:c>
      <x:c r="G18" s="6"/>
      <x:c r="H18" s="6"/>
    </x:row>
  </x:sheetData>
  <x:mergeCells>
    <x:mergeCell ref="B15:H15"/>
    <x:mergeCell ref="F16:H16"/>
    <x:mergeCell ref="F17:H17"/>
    <x:mergeCell ref="F18:H18"/>
    <x:mergeCell ref="B1:H1"/>
    <x:mergeCell ref="B2:H2"/>
    <x:mergeCell ref="B4:D4"/>
    <x:mergeCell ref="F4:H4"/>
    <x:mergeCell ref="C10:D10"/>
    <x:mergeCell ref="G10:H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theme="9" tint="0.39998"/>
  </x:sheetPr>
  <x:sheetFormatPr defaultRowHeight="15"/>
  <x:cols>
    <x:col min="1" max="1" width="31.85546875" customWidth="1"/>
    <x:col min="2" max="5" width="15" customWidth="1"/>
  </x:cols>
  <x:sheetData>
    <x:row r="2">
      <x:c r="B2" t="s">
        <x:v>137</x:v>
      </x:c>
      <x:c r="C2" t="s">
        <x:v>138</x:v>
      </x:c>
      <x:c r="D2" t="s">
        <x:v>139</x:v>
      </x:c>
      <x:c r="E2" t="s">
        <x:v>140</x:v>
      </x:c>
    </x:row>
    <x:row r="3">
      <x:c r="A3" s="15" t="s">
        <x:v>4</x:v>
      </x:c>
      <x:c r="B3" s="15" t="s">
        <x:v>5</x:v>
      </x:c>
      <x:c r="C3" s="15" t="s">
        <x:v>5</x:v>
      </x:c>
      <x:c r="D3" s="15" t="s">
        <x:v>5</x:v>
      </x:c>
      <x:c r="E3" s="15" t="s">
        <x:v>5</x:v>
      </x:c>
    </x:row>
    <x:row r="4">
      <x:c r="A4" s="16" t="s">
        <x:v>10</x:v>
      </x:c>
      <x:c r="B4" s="17">
        <x:v>850000</x:v>
      </x:c>
      <x:c r="C4" s="17"/>
      <x:c r="D4" s="17"/>
      <x:c r="E4" s="17"/>
    </x:row>
    <x:row r="5">
      <x:c r="A5" s="20" t="s">
        <x:v>15</x:v>
      </x:c>
      <x:c r="B5" s="21">
        <x:v>255000</x:v>
      </x:c>
      <x:c r="C5" s="21"/>
      <x:c r="D5" s="21"/>
      <x:c r="E5" s="21"/>
    </x:row>
    <x:row r="6">
      <x:c r="A6" s="24" t="s">
        <x:v>20</x:v>
      </x:c>
      <x:c r="B6" s="25" t="n">
        <x:f>B4-B5</x:f>
        <x:v>595000</x:v>
      </x:c>
      <x:c r="C6" s="25"/>
      <x:c r="D6" s="25"/>
      <x:c r="E6" s="25"/>
    </x:row>
    <x:row r="7">
      <x:c r="A7" s="20" t="s">
        <x:v>24</x:v>
      </x:c>
      <x:c r="B7" s="21">
        <x:v>340000</x:v>
      </x:c>
      <x:c r="C7" s="21"/>
      <x:c r="D7" s="21"/>
      <x:c r="E7" s="21"/>
    </x:row>
    <x:row r="8">
      <x:c r="A8" s="24" t="s">
        <x:v>29</x:v>
      </x:c>
      <x:c r="B8" s="25" t="n">
        <x:f>B6-B7</x:f>
        <x:v>255000</x:v>
      </x:c>
      <x:c r="C8" s="25"/>
      <x:c r="D8" s="25"/>
      <x:c r="E8" s="25"/>
    </x:row>
    <x:row r="9">
      <x:c r="A9" s="20" t="s">
        <x:v>34</x:v>
      </x:c>
      <x:c r="B9" s="21">
        <x:v>36000</x:v>
      </x:c>
    </x:row>
    <x:row r="10">
      <x:c r="A10" s="24" t="s">
        <x:v>39</x:v>
      </x:c>
      <x:c r="B10" s="17" t="n">
        <x:f>B8-B9</x:f>
        <x:v>219000</x:v>
      </x:c>
      <x:c r="C10" s="101"/>
      <x:c r="D10" s="101"/>
      <x:c r="E10" s="101"/>
    </x:row>
    <x:row r="11">
      <x:c r="A11" s="112" t="s">
        <x:v>43</x:v>
      </x:c>
      <x:c r="B11" s="113" t="n">
        <x:f>B10*0.25</x:f>
        <x:v>54750</x:v>
      </x:c>
      <x:c r="C11" s="103"/>
    </x:row>
    <x:row r="12" ht="15.75">
      <x:c r="A12" s="114" t="s">
        <x:v>47</x:v>
      </x:c>
      <x:c r="B12" s="115" t="n">
        <x:f>B10-B11</x:f>
        <x:v>164250</x:v>
      </x:c>
      <x:c r="C12" s="116"/>
      <x:c r="D12" s="116"/>
      <x:c r="E12" s="116"/>
    </x:row>
    <x:row r="13" ht="15.75"/>
    <x:row r="14">
      <x:c r="C14" s="102"/>
      <x:c r="D14" s="102"/>
      <x:c r="E14" s="10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9A84C"/>
  </x:sheetPr>
  <x:sheetViews>
    <x:sheetView showGridLines="0" workbookViewId="0"/>
  </x:sheetViews>
  <x:sheetFormatPr defaultColWidth="8.7109375" defaultRowHeight="15"/>
  <x:cols>
    <x:col min="1" max="1" width="2" customWidth="1"/>
    <x:col min="2" max="2" width="28" customWidth="1"/>
    <x:col min="3" max="3" width="43.5703125" customWidth="1"/>
    <x:col min="4" max="4" width="16" customWidth="1"/>
    <x:col min="5" max="5" width="23.140625" customWidth="1"/>
    <x:col min="6" max="6" width="16" customWidth="1"/>
    <x:col min="7" max="7" width="26.42578125" customWidth="1"/>
    <x:col min="8" max="8" width="30" customWidth="1"/>
  </x:cols>
  <x:sheetData>
    <x:row r="1" ht="36" customHeight="1">
      <x:c r="B1" s="14" t="s">
        <x:v>141</x:v>
      </x:c>
      <x:c r="C1" s="14"/>
      <x:c r="D1" s="14"/>
      <x:c r="E1" s="14"/>
      <x:c r="F1" s="14"/>
      <x:c r="G1" s="14"/>
      <x:c r="H1" s="14"/>
    </x:row>
    <x:row r="2" ht="18" customHeight="1">
      <x:c r="B2" s="13" t="s">
        <x:v>142</x:v>
      </x:c>
      <x:c r="C2" s="13"/>
      <x:c r="D2" s="13"/>
      <x:c r="E2" s="13"/>
      <x:c r="F2" s="13"/>
      <x:c r="G2" s="13"/>
      <x:c r="H2" s="13"/>
    </x:row>
    <x:row r="3" ht="12" customHeight="1"/>
    <x:row r="4" ht="21.75" customHeight="1">
      <x:c r="B4" s="12" t="s">
        <x:v>143</x:v>
      </x:c>
      <x:c r="C4" s="12"/>
      <x:c r="D4" s="12"/>
      <x:c r="E4" s="12"/>
      <x:c r="F4" s="12"/>
      <x:c r="G4" s="12"/>
      <x:c r="H4" s="12"/>
    </x:row>
    <x:row r="5">
      <x:c r="B5" s="39" t="s">
        <x:v>57</x:v>
      </x:c>
      <x:c r="C5" s="39" t="s">
        <x:v>144</x:v>
      </x:c>
      <x:c r="D5" s="15" t="s">
        <x:v>145</x:v>
      </x:c>
      <x:c r="E5" s="43" t="s">
        <x:v>146</x:v>
      </x:c>
      <x:c r="F5" s="15" t="s">
        <x:v>147</x:v>
      </x:c>
      <x:c r="G5" s="8" t="s">
        <x:v>6</x:v>
      </x:c>
      <x:c r="H5" s="8"/>
    </x:row>
    <x:row r="6" ht="16.5" customHeight="1">
      <x:c r="B6" s="24" t="s">
        <x:v>65</x:v>
      </x:c>
      <x:c r="C6" s="51" t="s">
        <x:v>148</x:v>
      </x:c>
      <x:c r="D6" s="17">
        <x:v>45000</x:v>
      </x:c>
      <x:c r="E6" s="52"/>
      <x:c r="F6" s="53"/>
      <x:c r="G6" s="5"/>
      <x:c r="H6" s="5"/>
    </x:row>
    <x:row r="7" ht="16.5" customHeight="1">
      <x:c r="B7" s="34" t="s">
        <x:v>83</x:v>
      </x:c>
      <x:c r="C7" s="54" t="s">
        <x:v>149</x:v>
      </x:c>
      <x:c r="D7" s="21">
        <x:v>60000</x:v>
      </x:c>
      <x:c r="E7" s="88"/>
      <x:c r="F7" s="53"/>
      <x:c r="G7" s="4" t="s">
        <x:v>150</x:v>
      </x:c>
      <x:c r="H7" s="4"/>
    </x:row>
    <x:row r="8" ht="16.5" customHeight="1">
      <x:c r="B8" s="24" t="s">
        <x:v>85</x:v>
      </x:c>
      <x:c r="C8" s="51" t="s">
        <x:v>151</x:v>
      </x:c>
      <x:c r="D8" s="17">
        <x:v>240000</x:v>
      </x:c>
      <x:c r="E8" s="52"/>
      <x:c r="F8" s="53"/>
      <x:c r="G8" s="5" t="s">
        <x:v>152</x:v>
      </x:c>
      <x:c r="H8" s="5"/>
    </x:row>
    <x:row r="9" ht="16.5" customHeight="1">
      <x:c r="B9" s="34" t="s">
        <x:v>153</x:v>
      </x:c>
      <x:c r="C9" s="54" t="s">
        <x:v>154</x:v>
      </x:c>
      <x:c r="D9" s="21">
        <x:v>280000</x:v>
      </x:c>
      <x:c r="E9" s="52"/>
      <x:c r="F9" s="53"/>
      <x:c r="G9" s="4" t="s">
        <x:v>155</x:v>
      </x:c>
      <x:c r="H9" s="4"/>
    </x:row>
    <x:row r="10" ht="16.5" customHeight="1">
      <x:c r="B10" s="24" t="s">
        <x:v>88</x:v>
      </x:c>
      <x:c r="C10" s="51" t="s">
        <x:v>156</x:v>
      </x:c>
      <x:c r="D10" s="17">
        <x:v>245000</x:v>
      </x:c>
      <x:c r="E10" s="52"/>
      <x:c r="F10" s="53"/>
      <x:c r="G10" s="5" t="s">
        <x:v>157</x:v>
      </x:c>
      <x:c r="H10" s="5"/>
    </x:row>
    <x:row r="11" ht="16.5" customHeight="1">
      <x:c r="B11" s="24" t="s">
        <x:v>34</x:v>
      </x:c>
      <x:c r="C11" s="51" t="s">
        <x:v>158</x:v>
      </x:c>
      <x:c r="D11" s="17" t="n">
        <x:f>'Tab 1 – Company Profile'!C11</x:f>
        <x:v>36000</x:v>
      </x:c>
      <x:c r="E11" s="52"/>
      <x:c r="F11" s="53"/>
      <x:c r="G11" s="5"/>
      <x:c r="H11" s="5"/>
    </x:row>
    <x:row r="12" ht="16.5" customHeight="1">
      <x:c r="B12" s="89" t="s">
        <x:v>47</x:v>
      </x:c>
      <x:c r="C12" s="90" t="s">
        <x:v>159</x:v>
      </x:c>
      <x:c r="D12" s="91">
        <x:v>164250</x:v>
      </x:c>
      <x:c r="E12" s="92"/>
      <x:c r="F12" s="93"/>
      <x:c r="G12" s="94"/>
      <x:c r="H12" s="94"/>
    </x:row>
    <x:row r="13" ht="12" customHeight="1"/>
    <x:row r="14" ht="21.75" customHeight="1">
      <x:c r="B14" s="12" t="s">
        <x:v>160</x:v>
      </x:c>
      <x:c r="C14" s="12"/>
      <x:c r="D14" s="12"/>
      <x:c r="E14" s="12"/>
      <x:c r="F14" s="12"/>
      <x:c r="G14" s="12"/>
      <x:c r="H14" s="12"/>
    </x:row>
    <x:row r="15">
      <x:c r="B15" s="39" t="s">
        <x:v>161</x:v>
      </x:c>
      <x:c r="C15" s="15" t="s">
        <x:v>162</x:v>
      </x:c>
      <x:c r="D15" s="15" t="s">
        <x:v>163</x:v>
      </x:c>
      <x:c r="E15" s="43" t="s">
        <x:v>164</x:v>
      </x:c>
      <x:c r="F15" s="15" t="s">
        <x:v>165</x:v>
      </x:c>
      <x:c r="G15" s="15" t="s">
        <x:v>166</x:v>
      </x:c>
      <x:c r="H15" s="15" t="s">
        <x:v>167</x:v>
      </x:c>
    </x:row>
    <x:row r="16" ht="21.75" customHeight="1">
      <x:c r="B16" s="55" t="s">
        <x:v>168</x:v>
      </x:c>
      <x:c r="C16" s="51" t="s">
        <x:v>169</x:v>
      </x:c>
      <x:c r="D16" s="56" t="n">
        <x:f>(D7+D8)/D10</x:f>
        <x:v>1.2244897959183674</x:v>
      </x:c>
      <x:c r="E16" s="57"/>
      <x:c r="F16" s="58"/>
      <x:c r="G16" s="59"/>
      <x:c r="H16" s="60"/>
    </x:row>
    <x:row r="17" ht="21.75" customHeight="1">
      <x:c r="B17" s="44" t="s">
        <x:v>170</x:v>
      </x:c>
      <x:c r="C17" s="54" t="s">
        <x:v>171</x:v>
      </x:c>
      <x:c r="D17" s="61" t="n">
        <x:f>(45000+120000+35000)/(60000+85000)</x:f>
        <x:v>1.3793103448275863</x:v>
      </x:c>
      <x:c r="E17" s="57"/>
      <x:c r="F17" s="58"/>
      <x:c r="G17" s="62"/>
      <x:c r="H17" s="60"/>
    </x:row>
    <x:row r="18" ht="21.75" customHeight="1">
      <x:c r="B18" s="55" t="s">
        <x:v>172</x:v>
      </x:c>
      <x:c r="C18" s="51" t="s">
        <x:v>173</x:v>
      </x:c>
      <x:c r="D18" s="56" t="n">
        <x:f>'Tab 1 – Company Profile'!C10/'Tab 1 – Company Profile'!C11</x:f>
        <x:v>7.083333333333333</x:v>
      </x:c>
      <x:c r="E18" s="57"/>
      <x:c r="F18" s="58"/>
      <x:c r="G18" s="63"/>
      <x:c r="H18" s="60"/>
    </x:row>
    <x:row r="19" ht="21.75" customHeight="1">
      <x:c r="B19" s="44" t="s">
        <x:v>174</x:v>
      </x:c>
      <x:c r="C19" s="54" t="s">
        <x:v>175</x:v>
      </x:c>
      <x:c r="D19" s="96" t="n">
        <x:f>164500/245000</x:f>
        <x:v>0.6714285714285714</x:v>
      </x:c>
      <x:c r="E19" s="95"/>
      <x:c r="F19" s="95"/>
      <x:c r="G19" s="64"/>
      <x:c r="H19" s="60"/>
    </x:row>
    <x:row r="20" ht="21.75" customHeight="1">
      <x:c r="B20" s="55" t="s">
        <x:v>176</x:v>
      </x:c>
      <x:c r="C20" s="51" t="s">
        <x:v>177</x:v>
      </x:c>
      <x:c r="D20" s="96" t="n">
        <x:f>'Tab 1 – Company Profile'!C31/'Tab 1 – Company Profile'!C25</x:f>
        <x:v>0.6111111111111112</x:v>
      </x:c>
      <x:c r="E20" s="95"/>
      <x:c r="F20" s="95"/>
      <x:c r="G20" s="59"/>
      <x:c r="H20" s="60"/>
    </x:row>
    <x:row r="21" ht="21.75" customHeight="1">
      <x:c r="B21" s="44" t="s">
        <x:v>178</x:v>
      </x:c>
      <x:c r="C21" s="54" t="s">
        <x:v>179</x:v>
      </x:c>
      <x:c r="D21" s="61" t="n">
        <x:f>'Tab 1 – Company Profile'!C14/(45000+120000+35000+280000+150000)</x:f>
        <x:v>0.26071428571428573</x:v>
      </x:c>
      <x:c r="E21" s="57"/>
      <x:c r="F21" s="58"/>
      <x:c r="G21" s="23"/>
      <x:c r="H21" s="60"/>
    </x:row>
    <x:row r="22" ht="21.75" customHeight="1">
      <x:c r="B22" s="98" t="s">
        <x:v>180</x:v>
      </x:c>
      <x:c r="C22" s="54" t="s">
        <x:v>181</x:v>
      </x:c>
      <x:c r="D22" s="99" t="n">
        <x:f>'Tab 1 – Company Profile'!C14/'Tab 1 – Company Profile'!C6</x:f>
        <x:v>0.19323529411764706</x:v>
      </x:c>
      <x:c r="E22" s="99"/>
      <x:c r="F22" s="95"/>
      <x:c r="G22" s="63"/>
      <x:c r="H22" s="60"/>
    </x:row>
    <x:row r="23" ht="12" customHeight="1"/>
    <x:row r="24" ht="21.75" customHeight="1">
      <x:c r="B24" s="11" t="s">
        <x:v>182</x:v>
      </x:c>
      <x:c r="C24" s="11"/>
      <x:c r="D24" s="11"/>
      <x:c r="E24" s="11"/>
      <x:c r="F24" s="11"/>
      <x:c r="G24" s="11"/>
      <x:c r="H24" s="11"/>
    </x:row>
    <x:row r="25" ht="21.75" customHeight="1">
      <x:c r="B25" s="3" t="s">
        <x:v>183</x:v>
      </x:c>
      <x:c r="C25" s="3"/>
      <x:c r="D25" s="3"/>
      <x:c r="E25" s="2" t="s">
        <x:v>184</x:v>
      </x:c>
      <x:c r="F25" s="2"/>
      <x:c r="G25" s="2"/>
      <x:c r="H25" s="2"/>
    </x:row>
    <x:row r="26" ht="21.75" customHeight="1">
      <x:c r="B26" s="3" t="s">
        <x:v>185</x:v>
      </x:c>
      <x:c r="C26" s="3"/>
      <x:c r="D26" s="3"/>
      <x:c r="E26" s="2" t="s">
        <x:v>184</x:v>
      </x:c>
      <x:c r="F26" s="2"/>
      <x:c r="G26" s="2"/>
      <x:c r="H26" s="2"/>
    </x:row>
    <x:row r="27" ht="21.75" customHeight="1">
      <x:c r="B27" s="3" t="s">
        <x:v>186</x:v>
      </x:c>
      <x:c r="C27" s="3"/>
      <x:c r="D27" s="3"/>
      <x:c r="E27" s="2" t="s">
        <x:v>184</x:v>
      </x:c>
      <x:c r="F27" s="2"/>
      <x:c r="G27" s="2"/>
      <x:c r="H27" s="2"/>
    </x:row>
  </x:sheetData>
  <x:mergeCells>
    <x:mergeCell ref="B27:D27"/>
    <x:mergeCell ref="E27:H27"/>
    <x:mergeCell ref="G11:H11"/>
    <x:mergeCell ref="B24:H24"/>
    <x:mergeCell ref="B25:D25"/>
    <x:mergeCell ref="E25:H25"/>
    <x:mergeCell ref="B26:D26"/>
    <x:mergeCell ref="E26:H26"/>
    <x:mergeCell ref="G7:H7"/>
    <x:mergeCell ref="G8:H8"/>
    <x:mergeCell ref="G9:H9"/>
    <x:mergeCell ref="G10:H10"/>
    <x:mergeCell ref="B14:H14"/>
    <x:mergeCell ref="B1:H1"/>
    <x:mergeCell ref="B2:H2"/>
    <x:mergeCell ref="B4:H4"/>
    <x:mergeCell ref="G5:H5"/>
    <x:mergeCell ref="G6:H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C9A84C"/>
  </x:sheetPr>
  <x:sheetViews>
    <x:sheetView showGridLines="0" workbookViewId="0"/>
  </x:sheetViews>
  <x:sheetFormatPr defaultColWidth="8.7109375" defaultRowHeight="15"/>
  <x:cols>
    <x:col min="1" max="1" width="2" customWidth="1"/>
    <x:col min="2" max="2" width="37.28515625" customWidth="1"/>
    <x:col min="3" max="4" width="17" customWidth="1"/>
    <x:col min="5" max="5" width="21.42578125" customWidth="1"/>
    <x:col min="6" max="6" width="13.7109375" customWidth="1"/>
    <x:col min="7" max="8" width="30" customWidth="1"/>
  </x:cols>
  <x:sheetData>
    <x:row r="1" ht="36" customHeight="1">
      <x:c r="B1" s="1" t="s">
        <x:v>187</x:v>
      </x:c>
      <x:c r="C1" s="1"/>
      <x:c r="D1" s="1"/>
      <x:c r="E1" s="1"/>
      <x:c r="F1" s="1"/>
      <x:c r="G1" s="1"/>
      <x:c r="H1" s="1"/>
    </x:row>
    <x:row r="2" ht="18" customHeight="1">
      <x:c r="B2" s="13" t="s">
        <x:v>188</x:v>
      </x:c>
      <x:c r="C2" s="13"/>
      <x:c r="D2" s="13"/>
      <x:c r="E2" s="13"/>
      <x:c r="F2" s="13"/>
      <x:c r="G2" s="13"/>
      <x:c r="H2" s="13"/>
    </x:row>
    <x:row r="3" ht="12" customHeight="1"/>
    <x:row r="4" ht="21.75" customHeight="1">
      <x:c r="B4" s="12" t="s">
        <x:v>189</x:v>
      </x:c>
      <x:c r="C4" s="12"/>
      <x:c r="D4" s="12"/>
      <x:c r="E4" s="12"/>
      <x:c r="F4" s="12"/>
      <x:c r="G4" s="12"/>
      <x:c r="H4" s="12"/>
    </x:row>
    <x:row r="5">
      <x:c r="B5" s="65" t="s">
        <x:v>190</x:v>
      </x:c>
      <x:c r="C5" s="66" t="s">
        <x:v>191</x:v>
      </x:c>
      <x:c r="D5" s="67" t="s">
        <x:v>192</x:v>
      </x:c>
      <x:c r="E5" s="68" t="s">
        <x:v>193</x:v>
      </x:c>
      <x:c r="F5" s="69"/>
      <x:c r="G5" s="84"/>
      <x:c r="H5" s="84"/>
    </x:row>
    <x:row r="6" ht="41.25" customHeight="1">
      <x:c r="C6" s="70" t="s">
        <x:v>194</x:v>
      </x:c>
      <x:c r="D6" s="71" t="s">
        <x:v>195</x:v>
      </x:c>
      <x:c r="E6" s="72" t="s">
        <x:v>196</x:v>
      </x:c>
    </x:row>
    <x:row r="7" ht="16.5" customHeight="1">
      <x:c r="B7" s="73" t="s">
        <x:v>197</x:v>
      </x:c>
      <x:c r="C7" s="105"/>
      <x:c r="D7" s="105"/>
      <x:c r="E7" s="106"/>
    </x:row>
    <x:row r="8" ht="16.5" customHeight="1">
      <x:c r="B8" s="36" t="s">
        <x:v>198</x:v>
      </x:c>
      <x:c r="C8" s="107"/>
      <x:c r="D8" s="107"/>
      <x:c r="E8" s="108"/>
    </x:row>
    <x:row r="9" ht="16.5" customHeight="1">
      <x:c r="B9" s="74" t="s">
        <x:v>199</x:v>
      </x:c>
      <x:c r="C9" s="105"/>
      <x:c r="D9" s="105"/>
      <x:c r="E9" s="106"/>
    </x:row>
    <x:row r="10" ht="16.5" customHeight="1">
      <x:c r="B10" s="75" t="s">
        <x:v>200</x:v>
      </x:c>
      <x:c r="C10" s="107"/>
      <x:c r="D10" s="107"/>
      <x:c r="E10" s="109"/>
    </x:row>
    <x:row r="11" ht="16.5" customHeight="1">
      <x:c r="B11" s="74" t="s">
        <x:v>201</x:v>
      </x:c>
      <x:c r="C11" s="105"/>
      <x:c r="D11" s="105"/>
      <x:c r="E11" s="110"/>
    </x:row>
    <x:row r="12" ht="16.5" customHeight="1">
      <x:c r="B12" s="74" t="s">
        <x:v>47</x:v>
      </x:c>
      <x:c r="C12" s="111"/>
      <x:c r="D12" s="111"/>
      <x:c r="E12" s="111"/>
    </x:row>
    <x:row r="13" ht="12" customHeight="1"/>
    <x:row r="14" ht="21.75" customHeight="1">
      <x:c r="B14" s="85" t="s">
        <x:v>202</x:v>
      </x:c>
      <x:c r="C14" s="85"/>
      <x:c r="D14" s="85"/>
      <x:c r="E14" s="85"/>
      <x:c r="F14" s="85"/>
      <x:c r="G14" s="85"/>
      <x:c r="H14" s="85"/>
    </x:row>
    <x:row r="15" ht="30">
      <x:c r="B15" s="76" t="s">
        <x:v>161</x:v>
      </x:c>
      <x:c r="C15" s="76" t="s">
        <x:v>203</x:v>
      </x:c>
      <x:c r="D15" s="77" t="s">
        <x:v>204</x:v>
      </x:c>
      <x:c r="E15" s="78" t="s">
        <x:v>205</x:v>
      </x:c>
      <x:c r="F15" s="79" t="s">
        <x:v>206</x:v>
      </x:c>
    </x:row>
    <x:row r="16" ht="18" customHeight="1">
      <x:c r="B16" s="55" t="s">
        <x:v>168</x:v>
      </x:c>
      <x:c r="C16" s="80" t="s">
        <x:v>207</x:v>
      </x:c>
      <x:c r="D16" s="82"/>
      <x:c r="E16" s="82"/>
      <x:c r="F16" s="97"/>
      <x:c r="G16" s="51" t="s">
        <x:v>169</x:v>
      </x:c>
    </x:row>
    <x:row r="17" ht="18" customHeight="1">
      <x:c r="B17" s="44" t="s">
        <x:v>170</x:v>
      </x:c>
      <x:c r="C17" s="81" t="s">
        <x:v>208</x:v>
      </x:c>
      <x:c r="D17" s="83"/>
      <x:c r="E17" s="83"/>
      <x:c r="F17" s="97"/>
      <x:c r="G17" s="54" t="s">
        <x:v>171</x:v>
      </x:c>
    </x:row>
    <x:row r="18" ht="18" customHeight="1">
      <x:c r="B18" s="55" t="s">
        <x:v>209</x:v>
      </x:c>
      <x:c r="C18" s="80" t="s">
        <x:v>210</x:v>
      </x:c>
      <x:c r="D18" s="82"/>
      <x:c r="E18" s="82"/>
      <x:c r="F18" s="97"/>
      <x:c r="G18" s="51" t="s">
        <x:v>173</x:v>
      </x:c>
    </x:row>
    <x:row r="19" ht="18" customHeight="1">
      <x:c r="B19" s="44" t="s">
        <x:v>174</x:v>
      </x:c>
      <x:c r="C19" s="100">
        <x:v>0.67</x:v>
      </x:c>
      <x:c r="D19" s="104"/>
      <x:c r="E19" s="95"/>
      <x:c r="F19" s="95"/>
      <x:c r="G19" s="54" t="s">
        <x:v>175</x:v>
      </x:c>
    </x:row>
    <x:row r="20" ht="18" customHeight="1">
      <x:c r="B20" s="55" t="s">
        <x:v>211</x:v>
      </x:c>
      <x:c r="C20" s="80" t="s">
        <x:v>212</x:v>
      </x:c>
      <x:c r="D20" s="82"/>
      <x:c r="E20" s="82"/>
      <x:c r="F20" s="95"/>
      <x:c r="G20" s="51" t="s">
        <x:v>177</x:v>
      </x:c>
    </x:row>
    <x:row r="21" ht="18" customHeight="1">
      <x:c r="B21" s="44" t="s">
        <x:v>180</x:v>
      </x:c>
      <x:c r="C21" s="81" t="s">
        <x:v>213</x:v>
      </x:c>
      <x:c r="D21" s="83"/>
      <x:c r="E21" s="83"/>
      <x:c r="F21" s="95"/>
      <x:c r="G21" s="54" t="s">
        <x:v>179</x:v>
      </x:c>
    </x:row>
    <x:row r="22" ht="27.75" customHeight="1">
      <x:c r="B22" s="86" t="s">
        <x:v>214</x:v>
      </x:c>
      <x:c r="C22" s="86"/>
      <x:c r="D22" s="86"/>
      <x:c r="E22" s="86"/>
    </x:row>
    <x:row r="23" ht="12" customHeight="1"/>
    <x:row r="24" ht="21.75" customHeight="1">
      <x:c r="B24" s="85" t="s">
        <x:v>215</x:v>
      </x:c>
      <x:c r="C24" s="85"/>
      <x:c r="D24" s="85"/>
      <x:c r="E24" s="85"/>
      <x:c r="F24" s="85"/>
      <x:c r="G24" s="85"/>
      <x:c r="H24" s="85"/>
    </x:row>
    <x:row r="25">
      <x:c r="B25" s="39" t="s">
        <x:v>216</x:v>
      </x:c>
      <x:c r="C25" s="15" t="s">
        <x:v>217</x:v>
      </x:c>
      <x:c r="D25" s="8" t="s">
        <x:v>218</x:v>
      </x:c>
      <x:c r="E25" s="8"/>
    </x:row>
    <x:row r="26" ht="18" customHeight="1">
      <x:c r="B26" s="24" t="s">
        <x:v>219</x:v>
      </x:c>
      <x:c r="C26" s="52" t="s">
        <x:v>220</x:v>
      </x:c>
      <x:c r="D26" s="87" t="s">
        <x:v>221</x:v>
      </x:c>
      <x:c r="E26" s="87"/>
    </x:row>
    <x:row r="27" ht="18" customHeight="1">
      <x:c r="B27" s="34" t="s">
        <x:v>222</x:v>
      </x:c>
      <x:c r="C27" s="52" t="s">
        <x:v>220</x:v>
      </x:c>
      <x:c r="D27" s="87" t="s">
        <x:v>221</x:v>
      </x:c>
      <x:c r="E27" s="87"/>
    </x:row>
    <x:row r="28" ht="18" customHeight="1">
      <x:c r="B28" s="24" t="s">
        <x:v>223</x:v>
      </x:c>
      <x:c r="C28" s="52" t="s">
        <x:v>220</x:v>
      </x:c>
      <x:c r="D28" s="87" t="s">
        <x:v>221</x:v>
      </x:c>
      <x:c r="E28" s="87"/>
    </x:row>
    <x:row r="29" ht="18" customHeight="1">
      <x:c r="B29" s="34" t="s">
        <x:v>224</x:v>
      </x:c>
      <x:c r="C29" s="52" t="s">
        <x:v>220</x:v>
      </x:c>
      <x:c r="D29" s="87" t="s">
        <x:v>221</x:v>
      </x:c>
      <x:c r="E29" s="87"/>
    </x:row>
    <x:row r="30" ht="18" customHeight="1">
      <x:c r="B30" s="24" t="s">
        <x:v>225</x:v>
      </x:c>
      <x:c r="C30" s="52" t="s">
        <x:v>220</x:v>
      </x:c>
      <x:c r="D30" s="87" t="s">
        <x:v>221</x:v>
      </x:c>
      <x:c r="E30" s="87"/>
    </x:row>
  </x:sheetData>
  <x:mergeCells>
    <x:mergeCell ref="D28:E28"/>
    <x:mergeCell ref="D29:E29"/>
    <x:mergeCell ref="D30:E30"/>
    <x:mergeCell ref="B22:E22"/>
    <x:mergeCell ref="B24:H24"/>
    <x:mergeCell ref="D25:E25"/>
    <x:mergeCell ref="D26:E26"/>
    <x:mergeCell ref="D27:E27"/>
    <x:mergeCell ref="B1:H1"/>
    <x:mergeCell ref="B2:H2"/>
    <x:mergeCell ref="B4:H4"/>
    <x:mergeCell ref="G5:H5"/>
    <x:mergeCell ref="B14:H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2" hidden="0" customWidth="1"/>
    <x:col min="4" max="4" width="22" hidden="0" customWidth="1"/>
    <x:col min="5" max="5" width="18" hidden="0" customWidth="1"/>
    <x:col min="6" max="6" width="18" hidden="0" customWidth="1"/>
  </x:cols>
  <x:sheetData>
    <x:row r="1">
      <x:c r="A1" s="118" t="str">
        <x:v>Equity Valuation and IPO Analysis</x:v>
      </x:c>
      <x:c r="B1" s="118"/>
      <x:c r="C1" s="118"/>
      <x:c r="D1" s="118"/>
      <x:c r="E1" s="118"/>
      <x:c r="F1" s="118"/>
    </x:row>
    <x:row r="3">
      <x:c r="A3" s="120" t="str">
        <x:v>BUS311 · valuation-m03-l01 · FactSet required · student starter</x:v>
      </x:c>
      <x:c r="B3" s="120"/>
      <x:c r="C3" s="120"/>
      <x:c r="D3" s="120"/>
      <x:c r="E3" s="120"/>
      <x:c r="F3" s="120"/>
    </x:row>
    <x:row r="5">
      <x:c r="A5" s="123" t="str">
        <x:v>Step</x:v>
      </x:c>
      <x:c r="B5" s="124" t="str">
        <x:v>Required workflow</x:v>
      </x:c>
    </x:row>
    <x:row r="6">
      <x:c r="A6" s="125" t="n">
        <x:v>1</x:v>
      </x:c>
      <x:c r="B6" s="126" t="str">
        <x:v>Read the lesson pre-reading and confirm FactSet access.</x:v>
      </x:c>
    </x:row>
    <x:row r="7">
      <x:c r="A7" s="125" t="n">
        <x:v>2</x:v>
      </x:c>
      <x:c r="B7" s="126" t="str">
        <x:v>Enter or verify source values; keep units and periods consistent.</x:v>
      </x:c>
    </x:row>
    <x:row r="8">
      <x:c r="A8" s="125" t="n">
        <x:v>3</x:v>
      </x:c>
      <x:c r="B8" s="126" t="str">
        <x:v>Document every FactSet field, period, and retrieval date below.</x:v>
      </x:c>
    </x:row>
    <x:row r="9">
      <x:c r="A9" s="125" t="n">
        <x:v>4</x:v>
      </x:c>
      <x:c r="B9" s="126" t="str">
        <x:v>Complete calculations with visible, auditable Excel formulas.</x:v>
      </x:c>
    </x:row>
    <x:row r="10">
      <x:c r="A10" s="127" t="n">
        <x:v>5</x:v>
      </x:c>
      <x:c r="B10" s="128" t="str">
        <x:v>Use the model outputs to state a decision, evidence, risk, and monitoring trigger.</x:v>
      </x:c>
    </x:row>
    <x:row r="12">
      <x:c r="A12" s="131" t="str">
        <x:v>FactSet input</x:v>
      </x:c>
      <x:c r="B12" s="132" t="str">
        <x:v>Field / definition</x:v>
      </x:c>
      <x:c r="C12" s="132" t="str">
        <x:v>Period / units</x:v>
      </x:c>
      <x:c r="D12" s="133" t="str">
        <x:v>Source note</x:v>
      </x:c>
    </x:row>
    <x:row r="13">
      <x:c r="A13" s="125" t="str">
        <x:v>Company identifier</x:v>
      </x:c>
      <x:c r="B13" s="130" t="str"/>
      <x:c r="C13" s="130" t="str"/>
      <x:c r="D13" s="134" t="str"/>
    </x:row>
    <x:row r="14">
      <x:c r="A14" s="125" t="str">
        <x:v>Market or price input</x:v>
      </x:c>
      <x:c r="B14" s="130" t="str"/>
      <x:c r="C14" s="130" t="str"/>
      <x:c r="D14" s="134" t="str"/>
    </x:row>
    <x:row r="15">
      <x:c r="A15" s="125" t="str">
        <x:v>Financial statement input</x:v>
      </x:c>
      <x:c r="B15" s="130" t="str"/>
      <x:c r="C15" s="130" t="str"/>
      <x:c r="D15" s="134" t="str"/>
    </x:row>
    <x:row r="16">
      <x:c r="A16" s="125" t="str">
        <x:v>Risk or discount-rate input</x:v>
      </x:c>
      <x:c r="B16" s="130" t="str"/>
      <x:c r="C16" s="130" t="str"/>
      <x:c r="D16" s="134" t="str"/>
    </x:row>
    <x:row r="17">
      <x:c r="A17" s="127" t="str">
        <x:v>Comparison-company input</x:v>
      </x:c>
      <x:c r="B17" s="135" t="str"/>
      <x:c r="C17" s="135" t="str"/>
      <x:c r="D17" s="136" t="str"/>
    </x:row>
    <x:row r="19">
      <x:c r="A19" s="131" t="str">
        <x:v>Decision output</x:v>
      </x:c>
      <x:c r="B19" s="132" t="str">
        <x:v>Response</x:v>
      </x:c>
      <x:c r="C19" s="132" t="str"/>
      <x:c r="D19" s="132" t="str"/>
      <x:c r="E19" s="132" t="str"/>
      <x:c r="F19" s="133" t="str"/>
    </x:row>
    <x:row r="20">
      <x:c r="A20" s="125" t="str">
        <x:v>Recommendation</x:v>
      </x:c>
      <x:c r="B20" s="137" t="str"/>
      <x:c r="C20" s="137" t="str"/>
      <x:c r="D20" s="137" t="str"/>
      <x:c r="E20" s="137" t="str"/>
      <x:c r="F20" s="138" t="str"/>
    </x:row>
    <x:row r="21">
      <x:c r="A21" s="125" t="str">
        <x:v>Evidence from the model</x:v>
      </x:c>
      <x:c r="B21" s="137" t="str"/>
      <x:c r="C21" s="137" t="str"/>
      <x:c r="D21" s="137" t="str"/>
      <x:c r="E21" s="137" t="str"/>
      <x:c r="F21" s="138" t="str"/>
    </x:row>
    <x:row r="22">
      <x:c r="A22" s="125" t="str">
        <x:v>Primary risk or limitation</x:v>
      </x:c>
      <x:c r="B22" s="137" t="str"/>
      <x:c r="C22" s="137" t="str"/>
      <x:c r="D22" s="137" t="str"/>
      <x:c r="E22" s="137" t="str"/>
      <x:c r="F22" s="138" t="str"/>
    </x:row>
    <x:row r="23">
      <x:c r="A23" s="127" t="str">
        <x:v>Monitoring trigger</x:v>
      </x:c>
      <x:c r="B23" s="139" t="str"/>
      <x:c r="C23" s="139" t="str"/>
      <x:c r="D23" s="139" t="str"/>
      <x:c r="E23" s="139" t="str"/>
      <x:c r="F23" s="140" t="str"/>
    </x:row>
  </x:sheetData>
  <x:mergeCells>
    <x:mergeCell ref="A1:F1"/>
    <x:mergeCell ref="A3:F3"/>
  </x:mergeCells>
  <x:pageMargins left="0.7" right="0.7" top="0.75" bottom="0.75" header="0.3" footer="0.3"/>
</x:worksheet>
</file>