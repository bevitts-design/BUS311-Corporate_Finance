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ad036372014b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 1 – Assumptions" sheetId="1" r:id="R53bef45bda014d5b"/>
    <x:sheet xmlns:r="http://schemas.openxmlformats.org/officeDocument/2006/relationships" name="Tab 2 – Valuation" sheetId="2" r:id="Rc3c4ab43cd664cac"/>
    <x:sheet xmlns:r="http://schemas.openxmlformats.org/officeDocument/2006/relationships" name="Tab 2a – Earnings" sheetId="3" r:id="R091f52d3c82e4f1b"/>
    <x:sheet xmlns:r="http://schemas.openxmlformats.org/officeDocument/2006/relationships" name="Tab 3 – Ratio Analysis" sheetId="4" r:id="R3cfc6ee827b743d0"/>
    <x:sheet xmlns:r="http://schemas.openxmlformats.org/officeDocument/2006/relationships" name="Tab 4 – Scenario Analysis" sheetId="5" r:id="Rdfa2612cb2b64e9c"/>
    <x:sheet xmlns:r="http://schemas.openxmlformats.org/officeDocument/2006/relationships" name="BUS311 Guide" sheetId="6" r:id="Rbadbe1b89c0749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;[Red](0.0%);-"/>
    <x:numFmt numFmtId="201" formatCode="$#,##0;[Red]($#,##0);-"/>
    <x:numFmt numFmtId="202" formatCode="$0.00;[Red]($0.00);-"/>
    <x:numFmt numFmtId="203" formatCode="0.00x;[Red](0.00x);-"/>
    <x:numFmt numFmtId="204" formatCode="#,##0;[Red](#,##0);-"/>
  </x:numFmts>
  <x:fonts count="12">
    <x:font>
      <x:sz val="11"/>
      <x:name val="Carlito"/>
    </x:font>
    <x:font>
      <x:b/>
      <x:sz val="18"/>
      <x:color rgb="FFD4AF37"/>
      <x:name val="Aptos Display"/>
    </x:font>
    <x:font>
      <x:i/>
      <x:sz val="10"/>
      <x:color rgb="FF1F2A5C"/>
      <x:name val="Aptos"/>
    </x:font>
    <x:font>
      <x:b/>
      <x:sz val="12"/>
      <x:color rgb="FFD4AF37"/>
      <x:name val="Aptos Display"/>
    </x:font>
    <x:font>
      <x:b/>
      <x:sz val="10"/>
      <x:color rgb="FFFFFFFF"/>
      <x:name val="Aptos"/>
    </x:font>
    <x:font>
      <x:sz val="10"/>
      <x:color rgb="FF1F2937"/>
      <x:name val="Aptos"/>
    </x:font>
    <x:font>
      <x:i/>
      <x:sz val="9"/>
      <x:color rgb="FF1F2A5C"/>
      <x:name val="Aptos"/>
    </x:font>
    <x:font>
      <x:sz val="9"/>
      <x:color rgb="FF0000FF"/>
      <x:name val="Aptos"/>
    </x:font>
    <x:font>
      <x:sz val="9"/>
      <x:color rgb="FF008000"/>
      <x:name val="Aptos"/>
    </x:font>
    <x:font>
      <x:sz val="10"/>
      <x:color rgb="FF0000FF"/>
      <x:name val="Aptos"/>
    </x:font>
    <x:font>
      <x:b/>
      <x:sz val="10"/>
      <x:color rgb="FF5B677A"/>
      <x:name val="Aptos"/>
    </x:font>
    <x:font>
      <x:sz val="9"/>
      <x:color rgb="FF1F2A5C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F2A5C"/>
      </x:patternFill>
    </x:fill>
    <x:fill>
      <x:patternFill patternType="solid">
        <x:fgColor rgb="FFDCE8F8"/>
      </x:patternFill>
    </x:fill>
    <x:fill>
      <x:patternFill patternType="solid">
        <x:fgColor rgb="FFF3F5F7"/>
      </x:patternFill>
    </x:fill>
    <x:fill>
      <x:patternFill patternType="solid">
        <x:fgColor rgb="FFFFF4CC"/>
      </x:patternFill>
    </x:fill>
    <x:fill>
      <x:patternFill patternType="solid">
        <x:fgColor rgb="FFE2F0D9"/>
      </x:patternFill>
    </x:fill>
  </x:fills>
  <x:borders count="15">
    <x:border/>
    <x:border>
      <x:left style="thin">
        <x:color rgb="FFC8D2E3"/>
      </x:left>
      <x:right style="thin">
        <x:color rgb="FFC8D2E3"/>
      </x:right>
      <x:top style="thin">
        <x:color rgb="FFC8D2E3"/>
      </x:top>
      <x:bottom style="thin">
        <x:color rgb="FFC8D2E3"/>
      </x:bottom>
    </x:border>
    <x:border>
      <x:right style="thin">
        <x:color rgb="FFC8D2E3"/>
      </x:right>
      <x:bottom style="thin">
        <x:color rgb="FFC8D2E3"/>
      </x:bottom>
    </x:border>
    <x:border>
      <x:left style="thin">
        <x:color rgb="FFC8D2E3"/>
      </x:left>
      <x:right style="thin">
        <x:color rgb="FFC8D2E3"/>
      </x:right>
      <x:bottom style="thin">
        <x:color rgb="FFC8D2E3"/>
      </x:bottom>
    </x:border>
    <x:border>
      <x:left style="thin">
        <x:color rgb="FFC8D2E3"/>
      </x:left>
      <x:bottom style="thin">
        <x:color rgb="FFC8D2E3"/>
      </x:bottom>
    </x:border>
    <x:border>
      <x:right style="thin">
        <x:color rgb="FFC8D2E3"/>
      </x:right>
      <x:top style="thin">
        <x:color rgb="FFC8D2E3"/>
      </x:top>
      <x:bottom style="thin">
        <x:color rgb="FFC8D2E3"/>
      </x:bottom>
    </x:border>
    <x:border>
      <x:left style="thin">
        <x:color rgb="FFC8D2E3"/>
      </x:left>
      <x:top style="thin">
        <x:color rgb="FFC8D2E3"/>
      </x:top>
      <x:bottom style="thin">
        <x:color rgb="FFC8D2E3"/>
      </x:bottom>
    </x:border>
    <x:border>
      <x:right style="thin">
        <x:color rgb="FFC8D2E3"/>
      </x:right>
      <x:top style="thin">
        <x:color rgb="FFC8D2E3"/>
      </x:top>
    </x:border>
    <x:border>
      <x:left style="thin">
        <x:color rgb="FFC8D2E3"/>
      </x:left>
      <x:right style="thin">
        <x:color rgb="FFC8D2E3"/>
      </x:right>
      <x:top style="thin">
        <x:color rgb="FFC8D2E3"/>
      </x:top>
    </x:border>
    <x:border>
      <x:left style="thin">
        <x:color rgb="FFC8D2E3"/>
      </x:left>
      <x:top style="thin">
        <x:color rgb="FFC8D2E3"/>
      </x:top>
    </x:border>
    <x:border>
      <x:top style="thin">
        <x:color rgb="FFC8D2E3"/>
      </x:top>
    </x:border>
    <x:border>
      <x:bottom style="thin">
        <x:color rgb="FFC8D2E3"/>
      </x:bottom>
    </x:border>
    <x:border>
      <x:right style="thin">
        <x:color rgb="FFC8D2E3"/>
      </x:right>
    </x:border>
    <x:border>
      <x:left style="thin">
        <x:color rgb="FFC8D2E3"/>
      </x:left>
      <x:right style="thin">
        <x:color rgb="FFC8D2E3"/>
      </x:right>
    </x:border>
    <x:border>
      <x:left style="thin">
        <x:color rgb="FFC8D2E3"/>
      </x:left>
    </x:border>
  </x:borders>
  <x:cellStyleXfs count="1">
    <x:xf numFmtId="0" fontId="0" fillId="0" borderId="0"/>
  </x:cellStyleXfs>
  <x:cellXfs count="1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center" wrapText="1"/>
    </x:xf>
    <x:xf numFmtId="200" fontId="5" fillId="4" borderId="1" xfId="0" applyNumberFormat="1" applyFont="1" applyFill="1" applyBorder="1" applyAlignment="1">
      <x:alignment vertical="center" wrapText="1"/>
    </x:xf>
    <x:xf numFmtId="201" fontId="5" fillId="4" borderId="1" xfId="0" applyNumberFormat="1" applyFont="1" applyFill="1" applyBorder="1" applyAlignment="1">
      <x:alignment vertical="center" wrapText="1"/>
    </x:xf>
    <x:xf numFmtId="202" fontId="5" fillId="4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1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201" fontId="5" fillId="0" borderId="3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1" fontId="5" fillId="0" borderId="8" xfId="0" applyNumberFormat="1" applyFont="1" applyFill="1" applyBorder="1" applyAlignment="1">
      <x:alignment vertical="center"/>
    </x:xf>
    <x:xf numFmtId="203" fontId="5" fillId="4" borderId="1" xfId="0" applyNumberFormat="1" applyFont="1" applyFill="1" applyBorder="1" applyAlignment="1">
      <x:alignment vertical="center" wrapText="1"/>
    </x:xf>
    <x:xf numFmtId="204" fontId="5" fillId="4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9" xfId="0" applyNumberFormat="1" applyFont="1" applyFill="1" applyBorder="1"/>
    <x:xf numFmtId="0" fontId="6" fillId="3" borderId="10" xfId="0" applyNumberFormat="1" applyFont="1" applyFill="1" applyBorder="1"/>
    <x:xf numFmtId="0" fontId="6" fillId="3" borderId="7" xfId="0" applyNumberFormat="1" applyFont="1" applyFill="1" applyBorder="1"/>
    <x:xf numFmtId="0" fontId="6" fillId="3" borderId="4" xfId="0" applyNumberFormat="1" applyFont="1" applyFill="1" applyBorder="1"/>
    <x:xf numFmtId="0" fontId="6" fillId="3" borderId="11" xfId="0" applyNumberFormat="1" applyFont="1" applyFill="1" applyBorder="1"/>
    <x:xf numFmtId="0" fontId="6" fillId="3" borderId="2" xfId="0" applyNumberFormat="1" applyFont="1" applyFill="1" applyBorder="1"/>
    <x:xf numFmtId="0" fontId="6" fillId="3" borderId="9" xfId="0" applyNumberFormat="1" applyFont="1" applyFill="1" applyBorder="1" applyAlignment="1">
      <x:alignment wrapText="1"/>
    </x:xf>
    <x:xf numFmtId="0" fontId="6" fillId="3" borderId="10" xfId="0" applyNumberFormat="1" applyFont="1" applyFill="1" applyBorder="1" applyAlignment="1">
      <x:alignment wrapText="1"/>
    </x:xf>
    <x:xf numFmtId="0" fontId="6" fillId="3" borderId="7" xfId="0" applyNumberFormat="1" applyFont="1" applyFill="1" applyBorder="1" applyAlignment="1">
      <x:alignment wrapText="1"/>
    </x:xf>
    <x:xf numFmtId="0" fontId="6" fillId="3" borderId="4" xfId="0" applyNumberFormat="1" applyFont="1" applyFill="1" applyBorder="1" applyAlignment="1">
      <x:alignment wrapText="1"/>
    </x:xf>
    <x:xf numFmtId="0" fontId="6" fillId="3" borderId="11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wrapText="1"/>
    </x:xf>
    <x:xf numFmtId="0" fontId="6" fillId="3" borderId="9" xfId="0" applyNumberFormat="1" applyFont="1" applyFill="1" applyBorder="1" applyAlignment="1">
      <x:alignment vertical="center" wrapText="1"/>
    </x:xf>
    <x:xf numFmtId="0" fontId="6" fillId="3" borderId="10" xfId="0" applyNumberFormat="1" applyFont="1" applyFill="1" applyBorder="1" applyAlignment="1">
      <x:alignment vertical="center" wrapText="1"/>
    </x:xf>
    <x:xf numFmtId="0" fontId="6" fillId="3" borderId="7" xfId="0" applyNumberFormat="1" applyFont="1" applyFill="1" applyBorder="1" applyAlignment="1">
      <x:alignment vertical="center" wrapText="1"/>
    </x:xf>
    <x:xf numFmtId="0" fontId="6" fillId="3" borderId="4" xfId="0" applyNumberFormat="1" applyFont="1" applyFill="1" applyBorder="1" applyAlignment="1">
      <x:alignment vertical="center" wrapText="1"/>
    </x:xf>
    <x:xf numFmtId="0" fontId="6" fillId="3" borderId="11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0" fontId="7" fillId="5" borderId="3" xfId="0" applyNumberFormat="1" applyFont="1" applyFill="1" applyBorder="1" applyAlignment="1">
      <x:alignment vertical="center"/>
    </x:xf>
    <x:xf numFmtId="0" fontId="7" fillId="5" borderId="4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  <x:xf numFmtId="0" fontId="5" fillId="6" borderId="7" xfId="0" applyNumberFormat="1" applyFont="1" applyFill="1" applyBorder="1" applyAlignment="1">
      <x:alignment vertical="center"/>
    </x:xf>
    <x:xf numFmtId="0" fontId="5" fillId="6" borderId="8" xfId="0" applyNumberFormat="1" applyFont="1" applyFill="1" applyBorder="1" applyAlignment="1">
      <x:alignment vertical="center"/>
    </x:xf>
    <x:xf numFmtId="0" fontId="5" fillId="6" borderId="9" xfId="0" applyNumberFormat="1" applyFont="1" applyFill="1" applyBorder="1" applyAlignment="1">
      <x:alignment vertical="center"/>
    </x:xf>
    <x:xf numFmtId="0" fontId="8" fillId="6" borderId="7" xfId="0" applyNumberFormat="1" applyFont="1" applyFill="1" applyBorder="1" applyAlignment="1">
      <x:alignment vertical="center"/>
    </x:xf>
    <x:xf numFmtId="0" fontId="8" fillId="6" borderId="8" xfId="0" applyNumberFormat="1" applyFont="1" applyFill="1" applyBorder="1" applyAlignment="1">
      <x:alignment vertical="center"/>
    </x:xf>
    <x:xf numFmtId="0" fontId="8" fillId="6" borderId="9" xfId="0" applyNumberFormat="1" applyFont="1" applyFill="1" applyBorder="1" applyAlignment="1">
      <x:alignment vertical="center"/>
    </x:xf>
    <x:xf numFmtId="0" fontId="5" fillId="5" borderId="8" xfId="0" applyNumberFormat="1" applyFont="1" applyFill="1" applyBorder="1" applyAlignment="1">
      <x:alignment vertical="center"/>
    </x:xf>
    <x:xf numFmtId="0" fontId="9" fillId="5" borderId="8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vertical="center" wrapText="1"/>
    </x:xf>
    <x:xf numFmtId="202" fontId="5" fillId="0" borderId="3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2" fontId="9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/>
    </x:xf>
    <x:xf numFmtId="204" fontId="5" fillId="0" borderId="1" xfId="0" applyNumberFormat="1" applyFont="1" applyFill="1" applyBorder="1" applyAlignment="1">
      <x:alignment vertical="center"/>
    </x:xf>
    <x:xf numFmtId="201" fontId="9" fillId="5" borderId="1" xfId="0" applyNumberFormat="1" applyFont="1" applyFill="1" applyBorder="1" applyAlignment="1">
      <x:alignment vertical="center" wrapText="1"/>
    </x:xf>
    <x:xf numFmtId="203" fontId="5" fillId="0" borderId="1" xfId="0" applyNumberFormat="1" applyFont="1" applyFill="1" applyBorder="1" applyAlignment="1">
      <x:alignment vertical="center"/>
    </x:xf>
    <x:xf numFmtId="0" fontId="9" fillId="5" borderId="3" xfId="0" applyNumberFormat="1" applyFont="1" applyFill="1" applyBorder="1" applyAlignment="1">
      <x:alignment vertical="center"/>
    </x:xf>
    <x:xf numFmtId="0" fontId="9" fillId="5" borderId="4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9" fillId="5" borderId="6" xfId="0" applyNumberFormat="1" applyFont="1" applyFill="1" applyBorder="1" applyAlignment="1">
      <x:alignment vertical="center"/>
    </x:xf>
    <x:xf numFmtId="0" fontId="5" fillId="5" borderId="9" xfId="0" applyNumberFormat="1" applyFont="1" applyFill="1" applyBorder="1" applyAlignment="1">
      <x:alignment vertical="center"/>
    </x:xf>
    <x:xf numFmtId="0" fontId="9" fillId="5" borderId="9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2" fontId="5" fillId="0" borderId="8" xfId="0" applyNumberFormat="1" applyFont="1" applyFill="1" applyBorder="1" applyAlignment="1">
      <x:alignment vertical="center"/>
    </x:xf>
    <x:xf numFmtId="200" fontId="9" fillId="5" borderId="1" xfId="0" applyNumberFormat="1" applyFont="1" applyFill="1" applyBorder="1" applyAlignment="1">
      <x:alignment vertical="center" wrapText="1"/>
    </x:xf>
    <x:xf numFmtId="0" fontId="10" fillId="5" borderId="3" xfId="0" applyNumberFormat="1" applyFont="1" applyFill="1" applyBorder="1" applyAlignment="1">
      <x:alignment vertical="center"/>
    </x:xf>
    <x:xf numFmtId="0" fontId="10" fillId="5" borderId="1" xfId="0" applyNumberFormat="1" applyFont="1" applyFill="1" applyBorder="1" applyAlignment="1">
      <x:alignment vertical="center"/>
    </x:xf>
    <x:xf numFmtId="0" fontId="10" fillId="5" borderId="8" xfId="0" applyNumberFormat="1" applyFont="1" applyFill="1" applyBorder="1" applyAlignment="1">
      <x:alignment vertical="center"/>
    </x:xf>
    <x:xf numFmtId="0" fontId="10" fillId="5" borderId="1" xfId="0" applyNumberFormat="1" applyFont="1" applyFill="1" applyBorder="1" applyAlignment="1">
      <x:alignment horizontal="center" vertical="center"/>
    </x:xf>
    <x:xf numFmtId="200" fontId="5" fillId="0" borderId="3" xfId="0" applyNumberFormat="1" applyFont="1" applyFill="1" applyBorder="1" applyAlignment="1">
      <x:alignment vertical="center"/>
    </x:xf>
    <x:xf numFmtId="204" fontId="9" fillId="5" borderId="1" xfId="0" applyNumberFormat="1" applyFont="1" applyFill="1" applyBorder="1" applyAlignment="1">
      <x:alignment vertical="center" wrapText="1"/>
    </x:xf>
    <x:xf numFmtId="201" fontId="5" fillId="4" borderId="3" xfId="0" applyNumberFormat="1" applyFont="1" applyFill="1" applyBorder="1" applyAlignment="1">
      <x:alignment vertical="center"/>
    </x:xf>
    <x:xf numFmtId="201" fontId="5" fillId="4" borderId="1" xfId="0" applyNumberFormat="1" applyFont="1" applyFill="1" applyBorder="1" applyAlignment="1">
      <x:alignment vertical="center"/>
    </x:xf>
    <x:xf numFmtId="204" fontId="5" fillId="4" borderId="1" xfId="0" applyNumberFormat="1" applyFont="1" applyFill="1" applyBorder="1" applyAlignment="1">
      <x:alignment vertical="center"/>
    </x:xf>
    <x:xf numFmtId="202" fontId="5" fillId="4" borderId="8" xfId="0" applyNumberFormat="1" applyFont="1" applyFill="1" applyBorder="1" applyAlignment="1">
      <x:alignment vertical="center"/>
    </x:xf>
    <x:xf numFmtId="203" fontId="9" fillId="5" borderId="1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/>
    <x:xf numFmtId="0" fontId="11" fillId="3" borderId="1" xfId="0" applyNumberFormat="1" applyFont="1" applyFill="1" applyBorder="1"/>
    <x:xf numFmtId="0" fontId="11" fillId="3" borderId="1" xfId="0" applyNumberFormat="1" applyFont="1" applyFill="1" applyBorder="1" applyAlignment="1">
      <x:alignment wrapText="1"/>
    </x:xf>
    <x:xf numFmtId="0" fontId="11" fillId="3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5" borderId="8" xfId="0" applyNumberFormat="1" applyFont="1" applyFill="1" applyBorder="1" applyAlignment="1">
      <x:alignment vertical="center" wrapText="1"/>
    </x:xf>
    <x:xf numFmtId="0" fontId="9" fillId="5" borderId="8" xfId="0" applyNumberFormat="1" applyFont="1" applyFill="1" applyBorder="1" applyAlignment="1">
      <x:alignment vertical="center" wrapText="1"/>
    </x:xf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12" xfId="0" applyNumberFormat="1" applyFont="1" applyFill="1" applyBorder="1" applyAlignment="1">
      <x:alignment vertical="center"/>
    </x:xf>
    <x:xf numFmtId="0" fontId="5" fillId="0" borderId="13" xfId="0" applyNumberFormat="1" applyFont="1" applyFill="1" applyBorder="1" applyAlignment="1">
      <x:alignment vertical="center"/>
    </x:xf>
    <x:xf numFmtId="0" fontId="5" fillId="0" borderId="14" xfId="0" applyNumberFormat="1" applyFont="1" applyFill="1" applyBorder="1" applyAlignment="1">
      <x:alignment vertical="center"/>
    </x:xf>
    <x:xf numFmtId="0" fontId="5" fillId="5" borderId="13" xfId="0" applyNumberFormat="1" applyFont="1" applyFill="1" applyBorder="1" applyAlignment="1">
      <x:alignment vertical="center"/>
    </x:xf>
    <x:xf numFmtId="0" fontId="10" fillId="5" borderId="13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7" xfId="0" applyNumberFormat="1" applyFont="1" applyFill="1" applyBorder="1"/>
    <x:xf numFmtId="0" fontId="2" fillId="3" borderId="14" xfId="0" applyNumberFormat="1" applyFont="1" applyFill="1" applyBorder="1"/>
    <x:xf numFmtId="0" fontId="2" fillId="3" borderId="12" xfId="0" applyNumberFormat="1" applyFont="1" applyFill="1" applyBorder="1"/>
    <x:xf numFmtId="0" fontId="2" fillId="3" borderId="4" xfId="0" applyNumberFormat="1" applyFont="1" applyFill="1" applyBorder="1"/>
    <x:xf numFmtId="0" fontId="2" fillId="3" borderId="11" xfId="0" applyNumberFormat="1" applyFont="1" applyFill="1" applyBorder="1"/>
    <x:xf numFmtId="0" fontId="2" fillId="3" borderId="2" xfId="0" applyNumberFormat="1" applyFont="1" applyFill="1" applyBorder="1"/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14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2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1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f850b84ae74bd7" /><Relationship Type="http://schemas.openxmlformats.org/officeDocument/2006/relationships/theme" Target="/xl/theme/theme1.xml" Id="R160604af37764e41" /><Relationship Type="http://schemas.openxmlformats.org/officeDocument/2006/relationships/sharedStrings" Target="/xl/sharedStrings.xml" Id="Rcf25416624ec48c6" /><Relationship Type="http://schemas.openxmlformats.org/officeDocument/2006/relationships/worksheet" Target="/xl/worksheets/sheet1.xml" Id="R53bef45bda014d5b" /><Relationship Type="http://schemas.openxmlformats.org/officeDocument/2006/relationships/worksheet" Target="/xl/worksheets/sheet2.xml" Id="Rc3c4ab43cd664cac" /><Relationship Type="http://schemas.openxmlformats.org/officeDocument/2006/relationships/worksheet" Target="/xl/worksheets/sheet3.xml" Id="R091f52d3c82e4f1b" /><Relationship Type="http://schemas.openxmlformats.org/officeDocument/2006/relationships/worksheet" Target="/xl/worksheets/sheet4.xml" Id="R3cfc6ee827b743d0" /><Relationship Type="http://schemas.openxmlformats.org/officeDocument/2006/relationships/worksheet" Target="/xl/worksheets/sheet5.xml" Id="Rdfa2612cb2b64e9c" /><Relationship Type="http://schemas.openxmlformats.org/officeDocument/2006/relationships/worksheet" Target="/xl/worksheets/sheet6.xml" Id="Rbadbe1b89c0749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15" hidden="0" customWidth="1"/>
    <x:col min="4" max="4" width="39" hidden="0" customWidth="1"/>
    <x:col min="5" max="5" width="27" hidden="0" customWidth="1"/>
    <x:col min="6" max="6" width="24" hidden="0" customWidth="1"/>
    <x:col min="7" max="7" width="20" hidden="0" customWidth="1"/>
    <x:col min="8" max="8" width="38" hidden="0" customWidth="1"/>
  </x:cols>
  <x:sheetData>
    <x:row r="1" ht="31" customHeight="1">
      <x:c r="A1" s="4" t="str">
        <x:v>APEX TECHNOLOGY CORPORATION — ASSUMPTIONS &amp; SOURCE DATA</x:v>
      </x:c>
      <x:c r="B1" s="4"/>
      <x:c r="C1" s="4"/>
      <x:c r="D1" s="4"/>
      <x:c r="E1" s="4"/>
      <x:c r="F1" s="4"/>
      <x:c r="G1" s="4"/>
      <x:c r="H1" s="4"/>
    </x:row>
    <x:row r="2" ht="30" customHeight="1">
      <x:c r="A2" s="9" t="str">
        <x:v>All hardcoded case facts live here. Build every downstream calculation with cell links; do not embed case numbers in formulas.</x:v>
      </x:c>
      <x:c r="B2" s="9"/>
      <x:c r="C2" s="9"/>
      <x:c r="D2" s="9"/>
      <x:c r="E2" s="9"/>
      <x:c r="F2" s="9"/>
      <x:c r="G2" s="9"/>
      <x:c r="H2" s="9"/>
    </x:row>
    <x:row r="4" ht="23" customHeight="1">
      <x:c r="A4" s="11" t="str">
        <x:v>MODEL CONVENTIONS</x:v>
      </x:c>
      <x:c r="B4" s="11"/>
      <x:c r="C4" s="11"/>
      <x:c r="D4" s="11"/>
      <x:c r="F4" s="11" t="str">
        <x:v>VALUATION &amp; IPO DEAL ASSUMPTIONS</x:v>
      </x:c>
      <x:c r="G4" s="11"/>
      <x:c r="H4" s="11"/>
    </x:row>
    <x:row r="5">
      <x:c r="A5" s="16" t="str">
        <x:v>Item</x:v>
      </x:c>
      <x:c r="B5" s="16" t="str">
        <x:v>Value</x:v>
      </x:c>
      <x:c r="C5" s="16" t="str">
        <x:v>Units</x:v>
      </x:c>
      <x:c r="D5" s="16" t="str">
        <x:v>Source / modeling note</x:v>
      </x:c>
      <x:c r="F5" s="16" t="str">
        <x:v>Assumption</x:v>
      </x:c>
      <x:c r="G5" s="16" t="str">
        <x:v>Value</x:v>
      </x:c>
      <x:c r="H5" s="16" t="str">
        <x:v>Use in model</x:v>
      </x:c>
    </x:row>
    <x:row r="6">
      <x:c r="A6" s="21" t="str">
        <x:v>Company</x:v>
      </x:c>
      <x:c r="B6" s="21" t="str">
        <x:v>Apex Technology Corporation</x:v>
      </x:c>
      <x:c r="C6" s="21" t="str">
        <x:v>Fictional case</x:v>
      </x:c>
      <x:c r="D6" s="21" t="str">
        <x:v>Maintained M07 assignment guide</x:v>
      </x:c>
      <x:c r="F6" s="21" t="str">
        <x:v>Next-year dividend (D₁)</x:v>
      </x:c>
      <x:c r="G6" s="24" t="n">
        <x:v>0.84</x:v>
      </x:c>
      <x:c r="H6" s="21" t="str">
        <x:v>DDM numerator</x:v>
      </x:c>
    </x:row>
    <x:row r="7">
      <x:c r="A7" s="21" t="str">
        <x:v>Financial period</x:v>
      </x:c>
      <x:c r="B7" s="21" t="str">
        <x:v>Fiscal year ended Dec 31</x:v>
      </x:c>
      <x:c r="C7" s="21" t="str">
        <x:v>Annual</x:v>
      </x:c>
      <x:c r="D7" s="21" t="str">
        <x:v>Pre-IPO source period</x:v>
      </x:c>
      <x:c r="F7" s="21" t="str">
        <x:v>Required return on equity</x:v>
      </x:c>
      <x:c r="G7" s="22" t="n">
        <x:v>0.105</x:v>
      </x:c>
      <x:c r="H7" s="21" t="str">
        <x:v>DDM discount rate</x:v>
      </x:c>
    </x:row>
    <x:row r="8">
      <x:c r="A8" s="21" t="str">
        <x:v>Model scale</x:v>
      </x:c>
      <x:c r="B8" s="21" t="str">
        <x:v>$ in thousands; shares in thousands</x:v>
      </x:c>
      <x:c r="C8" s="21" t="str">
        <x:v>Consistent units</x:v>
      </x:c>
      <x:c r="D8" s="21" t="str">
        <x:v>Per-share outputs remain dollars per share</x:v>
      </x:c>
      <x:c r="F8" s="21" t="str">
        <x:v>Perpetual dividend growth</x:v>
      </x:c>
      <x:c r="G8" s="22" t="n">
        <x:v>0.04</x:v>
      </x:c>
      <x:c r="H8" s="21" t="str">
        <x:v>DDM growth rate</x:v>
      </x:c>
    </x:row>
    <x:row r="9">
      <x:c r="A9" s="21" t="str">
        <x:v>Income tax rate</x:v>
      </x:c>
      <x:c r="B9" s="22" t="n">
        <x:v>0.25</x:v>
      </x:c>
      <x:c r="C9" s="21" t="str">
        <x:v>%</x:v>
      </x:c>
      <x:c r="D9" s="21" t="str">
        <x:v>Applied to positive pre-tax income</x:v>
      </x:c>
      <x:c r="F9" s="21" t="str">
        <x:v>Projected FCFF — Year 1</x:v>
      </x:c>
      <x:c r="G9" s="23" t="n">
        <x:v>52000</x:v>
      </x:c>
      <x:c r="H9" s="21" t="str">
        <x:v>Enterprise-value perpetuity</x:v>
      </x:c>
    </x:row>
    <x:row r="10">
      <x:c r="A10" s="21" t="str">
        <x:v>Short-term debt rate</x:v>
      </x:c>
      <x:c r="B10" s="22" t="n">
        <x:v>0.12</x:v>
      </x:c>
      <x:c r="C10" s="21" t="str">
        <x:v>%</x:v>
      </x:c>
      <x:c r="D10" s="21" t="str">
        <x:v>Case assumption</x:v>
      </x:c>
      <x:c r="F10" s="21" t="str">
        <x:v>WACC</x:v>
      </x:c>
      <x:c r="G10" s="22" t="n">
        <x:v>0.09</x:v>
      </x:c>
      <x:c r="H10" s="21" t="str">
        <x:v>FCFF discount rate</x:v>
      </x:c>
    </x:row>
    <x:row r="11">
      <x:c r="A11" s="21" t="str">
        <x:v>Long-term debt rate</x:v>
      </x:c>
      <x:c r="B11" s="22" t="n">
        <x:v>0.12</x:v>
      </x:c>
      <x:c r="C11" s="21" t="str">
        <x:v>%</x:v>
      </x:c>
      <x:c r="D11" s="21" t="str">
        <x:v>Case assumption</x:v>
      </x:c>
      <x:c r="F11" s="21" t="str">
        <x:v>Long-run FCFF growth</x:v>
      </x:c>
      <x:c r="G11" s="22" t="n">
        <x:v>0.04</x:v>
      </x:c>
      <x:c r="H11" s="21" t="str">
        <x:v>FCFF growth rate</x:v>
      </x:c>
    </x:row>
    <x:row r="12">
      <x:c r="A12" s="21" t="str">
        <x:v>Tie-out tolerance</x:v>
      </x:c>
      <x:c r="B12" s="23" t="n">
        <x:v>1</x:v>
      </x:c>
      <x:c r="C12" s="21" t="str">
        <x:v>$000s</x:v>
      </x:c>
      <x:c r="D12" s="21" t="str">
        <x:v>Rounding threshold for dollar checks</x:v>
      </x:c>
      <x:c r="F12" s="21" t="str">
        <x:v>Illustrative peer P/E</x:v>
      </x:c>
      <x:c r="G12" s="47" t="n">
        <x:v>18</x:v>
      </x:c>
      <x:c r="H12" s="21" t="str">
        <x:v>Replace or defend with FactSet evidence</x:v>
      </x:c>
    </x:row>
    <x:row r="13">
      <x:c r="A13" s="21" t="str">
        <x:v>Per-share tolerance</x:v>
      </x:c>
      <x:c r="B13" s="24" t="n">
        <x:v>0.01</x:v>
      </x:c>
      <x:c r="C13" s="21" t="str">
        <x:v>$ / share</x:v>
      </x:c>
      <x:c r="D13" s="21" t="str">
        <x:v>Rounding threshold for per-share checks</x:v>
      </x:c>
      <x:c r="F13" s="21" t="str">
        <x:v>Illustrative peer P/S</x:v>
      </x:c>
      <x:c r="G13" s="47" t="n">
        <x:v>2.2</x:v>
      </x:c>
      <x:c r="H13" s="21" t="str">
        <x:v>Replace or defend with FactSet evidence</x:v>
      </x:c>
    </x:row>
    <x:row r="14">
      <x:c r="A14" s="21" t="str">
        <x:v>Immediate EV recognition for capex</x:v>
      </x:c>
      <x:c r="B14" s="22" t="n">
        <x:v>1</x:v>
      </x:c>
      <x:c r="C14" s="21" t="str">
        <x:v>%</x:v>
      </x:c>
      <x:c r="D14" s="21" t="str">
        <x:v>Simplified case: deployed capital enters EV dollar-for-dollar at closing</x:v>
      </x:c>
      <x:c r="F14" s="21" t="str">
        <x:v>Proposed IPO price</x:v>
      </x:c>
      <x:c r="G14" s="24" t="n">
        <x:v>20</x:v>
      </x:c>
      <x:c r="H14" s="21" t="str">
        <x:v>Primary offering price per share</x:v>
      </x:c>
    </x:row>
    <x:row r="15">
      <x:c r="F15" s="21" t="str">
        <x:v>New primary shares issued</x:v>
      </x:c>
      <x:c r="G15" s="48" t="n">
        <x:v>20000</x:v>
      </x:c>
      <x:c r="H15" s="21" t="str">
        <x:v>Shares in thousands</x:v>
      </x:c>
    </x:row>
    <x:row r="16" ht="23" customHeight="1">
      <x:c r="A16" s="11" t="str">
        <x:v>PRE-IPO INCOME STATEMENT</x:v>
      </x:c>
      <x:c r="B16" s="11"/>
      <x:c r="C16" s="11"/>
      <x:c r="D16" s="11"/>
      <x:c r="F16" s="21" t="str">
        <x:v>Stated gross proceeds</x:v>
      </x:c>
      <x:c r="G16" s="23" t="n">
        <x:v>400000</x:v>
      </x:c>
      <x:c r="H16" s="21" t="str">
        <x:v>$000s from assignment guide</x:v>
      </x:c>
    </x:row>
    <x:row r="17">
      <x:c r="A17" s="16" t="str">
        <x:v>Line item</x:v>
      </x:c>
      <x:c r="B17" s="16" t="str">
        <x:v>Value</x:v>
      </x:c>
      <x:c r="C17" s="16" t="str">
        <x:v>Units</x:v>
      </x:c>
      <x:c r="D17" s="16" t="str">
        <x:v>Source / logic</x:v>
      </x:c>
      <x:c r="F17" s="21" t="str">
        <x:v>IPO issuance fees</x:v>
      </x:c>
      <x:c r="G17" s="23" t="n">
        <x:v>0</x:v>
      </x:c>
      <x:c r="H17" s="21" t="str">
        <x:v>$000s; simplified case, explicitly modeled</x:v>
      </x:c>
    </x:row>
    <x:row r="18">
      <x:c r="A18" s="35" t="str">
        <x:v>Revenue</x:v>
      </x:c>
      <x:c r="B18" s="44" t="n">
        <x:v>850000</x:v>
      </x:c>
      <x:c r="C18" s="36" t="str">
        <x:v>$000s</x:v>
      </x:c>
      <x:c r="D18" s="37" t="str">
        <x:v>Apex assignment guide</x:v>
      </x:c>
      <x:c r="F18" s="21" t="str">
        <x:v>Net proceeds</x:v>
      </x:c>
      <x:c r="G18" s="23" t="n">
        <x:f>G16-G17</x:f>
        <x:v>400000</x:v>
      </x:c>
      <x:c r="H18" s="21" t="str">
        <x:v>Gross proceeds less fees</x:v>
      </x:c>
    </x:row>
    <x:row r="19">
      <x:c r="A19" s="38" t="str">
        <x:v>Cost of goods sold</x:v>
      </x:c>
      <x:c r="B19" s="45" t="n">
        <x:v>255000</x:v>
      </x:c>
      <x:c r="C19" s="39" t="str">
        <x:v>$000s</x:v>
      </x:c>
      <x:c r="D19" s="40" t="str">
        <x:v>Apex assignment guide</x:v>
      </x:c>
      <x:c r="F19" s="21" t="str">
        <x:v>Pre-IPO shares</x:v>
      </x:c>
      <x:c r="G19" s="48" t="n">
        <x:v>50000</x:v>
      </x:c>
      <x:c r="H19" s="21" t="str">
        <x:v>Shares in thousands</x:v>
      </x:c>
    </x:row>
    <x:row r="20">
      <x:c r="A20" s="38" t="str">
        <x:v>Gross profit</x:v>
      </x:c>
      <x:c r="B20" s="45" t="n">
        <x:f>B18-B19</x:f>
        <x:v>595000</x:v>
      </x:c>
      <x:c r="C20" s="39" t="str">
        <x:v>$000s</x:v>
      </x:c>
      <x:c r="D20" s="40" t="str">
        <x:v>Revenue less cost of goods sold</x:v>
      </x:c>
      <x:c r="F20" s="21" t="str">
        <x:v>Post-IPO shares</x:v>
      </x:c>
      <x:c r="G20" s="48" t="n">
        <x:f>G19+G15</x:f>
        <x:v>70000</x:v>
      </x:c>
      <x:c r="H20" s="21" t="str">
        <x:v>Pre-IPO plus new shares</x:v>
      </x:c>
    </x:row>
    <x:row r="21">
      <x:c r="A21" s="38" t="str">
        <x:v>Operating expenses</x:v>
      </x:c>
      <x:c r="B21" s="45" t="n">
        <x:v>340000</x:v>
      </x:c>
      <x:c r="C21" s="39" t="str">
        <x:v>$000s</x:v>
      </x:c>
      <x:c r="D21" s="40" t="str">
        <x:v>SG&amp;A plus R&amp;D</x:v>
      </x:c>
      <x:c r="F21" s="21" t="str">
        <x:v>Gross proceeds check</x:v>
      </x:c>
      <x:c r="G21" s="23" t="n">
        <x:f>G14*G15-G16</x:f>
        <x:v>0</x:v>
      </x:c>
      <x:c r="H21" s="21" t="str">
        <x:v>Price × new shares less stated gross proceeds</x:v>
      </x:c>
    </x:row>
    <x:row r="22">
      <x:c r="A22" s="38" t="str">
        <x:v>EBIT</x:v>
      </x:c>
      <x:c r="B22" s="45" t="n">
        <x:f>B20-B21</x:f>
        <x:v>255000</x:v>
      </x:c>
      <x:c r="C22" s="39" t="str">
        <x:v>$000s</x:v>
      </x:c>
      <x:c r="D22" s="40" t="str">
        <x:v>Gross profit less operating expenses</x:v>
      </x:c>
    </x:row>
    <x:row r="23" ht="23" customHeight="1">
      <x:c r="A23" s="38" t="str">
        <x:v>Interest expense</x:v>
      </x:c>
      <x:c r="B23" s="45" t="n">
        <x:f>B36*B10+B37*B11</x:f>
        <x:v>36000</x:v>
      </x:c>
      <x:c r="C23" s="39" t="str">
        <x:v>$000s</x:v>
      </x:c>
      <x:c r="D23" s="40" t="str">
        <x:v>Debt balance times stated rates</x:v>
      </x:c>
      <x:c r="E23" s="11" t="str">
        <x:v>SCENARIO DEPLOYMENT ASSUMPTIONS</x:v>
      </x:c>
      <x:c r="F23" s="11"/>
      <x:c r="G23" s="11"/>
      <x:c r="H23" s="11"/>
    </x:row>
    <x:row r="24">
      <x:c r="A24" s="38" t="str">
        <x:v>Earnings before tax</x:v>
      </x:c>
      <x:c r="B24" s="45" t="n">
        <x:f>B22-B23</x:f>
        <x:v>219000</x:v>
      </x:c>
      <x:c r="C24" s="39" t="str">
        <x:v>$000s</x:v>
      </x:c>
      <x:c r="D24" s="40" t="str">
        <x:v>EBIT less interest expense</x:v>
      </x:c>
      <x:c r="E24" s="16" t="str">
        <x:v>Use of net proceeds</x:v>
      </x:c>
      <x:c r="F24" s="16" t="str">
        <x:v>Scenario A</x:v>
      </x:c>
      <x:c r="G24" s="16" t="str">
        <x:v>Scenario B</x:v>
      </x:c>
      <x:c r="H24" s="16" t="str">
        <x:v>Scenario C</x:v>
      </x:c>
    </x:row>
    <x:row r="25">
      <x:c r="A25" s="38" t="str">
        <x:v>Income tax</x:v>
      </x:c>
      <x:c r="B25" s="45" t="n">
        <x:f>B24*B9</x:f>
        <x:v>54750</x:v>
      </x:c>
      <x:c r="C25" s="39" t="str">
        <x:v>$000s</x:v>
      </x:c>
      <x:c r="D25" s="40" t="str">
        <x:v>Earnings before tax times tax rate</x:v>
      </x:c>
      <x:c r="E25" s="21" t="str">
        <x:v>Scenario label</x:v>
      </x:c>
      <x:c r="F25" s="21" t="str">
        <x:v>Maximum debt reduction</x:v>
      </x:c>
      <x:c r="G25" s="21" t="str">
        <x:v>Growth investment</x:v>
      </x:c>
      <x:c r="H25" s="21" t="str">
        <x:v>Balanced mix</x:v>
      </x:c>
    </x:row>
    <x:row r="26">
      <x:c r="A26" s="41" t="str">
        <x:v>Net income</x:v>
      </x:c>
      <x:c r="B26" s="46" t="n">
        <x:f>B24-B25</x:f>
        <x:v>164250</x:v>
      </x:c>
      <x:c r="C26" s="42" t="str">
        <x:v>$000s</x:v>
      </x:c>
      <x:c r="D26" s="43" t="str">
        <x:v>Earnings before tax less income tax</x:v>
      </x:c>
      <x:c r="E26" s="21" t="str">
        <x:v>Debt repayment</x:v>
      </x:c>
      <x:c r="F26" s="23" t="n">
        <x:v>300000</x:v>
      </x:c>
      <x:c r="G26" s="23" t="n">
        <x:v>0</x:v>
      </x:c>
      <x:c r="H26" s="23" t="n">
        <x:v>200000</x:v>
      </x:c>
    </x:row>
    <x:row r="27">
      <x:c r="E27" s="21" t="str">
        <x:v>Growth capex / operating assets</x:v>
      </x:c>
      <x:c r="F27" s="23" t="n">
        <x:v>0</x:v>
      </x:c>
      <x:c r="G27" s="23" t="n">
        <x:v>400000</x:v>
      </x:c>
      <x:c r="H27" s="23" t="n">
        <x:v>200000</x:v>
      </x:c>
    </x:row>
    <x:row r="28" ht="23" customHeight="1">
      <x:c r="A28" s="11" t="str">
        <x:v>PRE-IPO BALANCE SHEET</x:v>
      </x:c>
      <x:c r="B28" s="11"/>
      <x:c r="C28" s="11"/>
      <x:c r="D28" s="11"/>
      <x:c r="E28" s="21" t="str">
        <x:v>Cash retained</x:v>
      </x:c>
      <x:c r="F28" s="23" t="n">
        <x:v>100000</x:v>
      </x:c>
      <x:c r="G28" s="23" t="n">
        <x:v>0</x:v>
      </x:c>
      <x:c r="H28" s="23" t="n">
        <x:v>0</x:v>
      </x:c>
    </x:row>
    <x:row r="29">
      <x:c r="A29" s="16" t="str">
        <x:v>Line item</x:v>
      </x:c>
      <x:c r="B29" s="16" t="str">
        <x:v>Value</x:v>
      </x:c>
      <x:c r="C29" s="16" t="str">
        <x:v>Units</x:v>
      </x:c>
      <x:c r="D29" s="16" t="str">
        <x:v>Source / logic</x:v>
      </x:c>
      <x:c r="E29" s="21" t="str">
        <x:v>Total uses</x:v>
      </x:c>
      <x:c r="F29" s="23" t="n">
        <x:f>SUM(F26:F28)</x:f>
        <x:v>400000</x:v>
      </x:c>
      <x:c r="G29" s="23" t="n">
        <x:f>SUM(G26:G28)</x:f>
        <x:v>400000</x:v>
      </x:c>
      <x:c r="H29" s="23" t="n">
        <x:f>SUM(H26:H28)</x:f>
        <x:v>400000</x:v>
      </x:c>
    </x:row>
    <x:row r="30">
      <x:c r="A30" s="35" t="str">
        <x:v>Cash &amp; equivalents</x:v>
      </x:c>
      <x:c r="B30" s="44" t="n">
        <x:v>45000</x:v>
      </x:c>
      <x:c r="C30" s="36" t="str">
        <x:v>$000s</x:v>
      </x:c>
      <x:c r="D30" s="37" t="str">
        <x:v>Apex assignment guide</x:v>
      </x:c>
      <x:c r="E30" s="21" t="str">
        <x:v>Sources &amp; uses check</x:v>
      </x:c>
      <x:c r="F30" s="23" t="n">
        <x:f>$G$18-F29</x:f>
        <x:v>0</x:v>
      </x:c>
      <x:c r="G30" s="23" t="n">
        <x:f>$G$18-G29</x:f>
        <x:v>0</x:v>
      </x:c>
      <x:c r="H30" s="23" t="n">
        <x:f>$G$18-H29</x:f>
        <x:v>0</x:v>
      </x:c>
    </x:row>
    <x:row r="31" ht="38" customHeight="1">
      <x:c r="A31" s="38" t="str">
        <x:v>Accounts receivable</x:v>
      </x:c>
      <x:c r="B31" s="45" t="n">
        <x:v>120000</x:v>
      </x:c>
      <x:c r="C31" s="39" t="str">
        <x:v>$000s</x:v>
      </x:c>
      <x:c r="D31" s="40" t="str">
        <x:v>Apex assignment guide</x:v>
      </x:c>
      <x:c r="E31" s="21" t="str">
        <x:v>Rationale</x:v>
      </x:c>
      <x:c r="F31" s="21" t="str">
        <x:v>Repay all existing debt; retain excess cash</x:v>
      </x:c>
      <x:c r="G31" s="21" t="str">
        <x:v>Fund operating assets; retain existing debt</x:v>
      </x:c>
      <x:c r="H31" s="21" t="str">
        <x:v>Reduce leverage while funding growth</x:v>
      </x:c>
    </x:row>
    <x:row r="32">
      <x:c r="A32" s="38" t="str">
        <x:v>Inventory</x:v>
      </x:c>
      <x:c r="B32" s="45" t="n">
        <x:v>35000</x:v>
      </x:c>
      <x:c r="C32" s="39" t="str">
        <x:v>$000s</x:v>
      </x:c>
      <x:c r="D32" s="40" t="str">
        <x:v>Apex assignment guide</x:v>
      </x:c>
    </x:row>
    <x:row r="33" ht="34" customHeight="1">
      <x:c r="A33" s="38" t="str">
        <x:v>Property, plant &amp; equipment</x:v>
      </x:c>
      <x:c r="B33" s="45" t="n">
        <x:v>280000</x:v>
      </x:c>
      <x:c r="C33" s="39" t="str">
        <x:v>$000s</x:v>
      </x:c>
      <x:c r="D33" s="40" t="str">
        <x:v>Apex assignment guide</x:v>
      </x:c>
      <x:c r="F33" s="62" t="str">
        <x:v>Source note: Apex is a fictional instructional case. The maintained assignment guide states net income of $164.25 million, consistent with $219.0 million EBT less $54.75 million tax. This workbook therefore uses $164,250 ($000s), not the erroneous $164,500.</x:v>
      </x:c>
      <x:c r="G33" s="63"/>
      <x:c r="H33" s="64"/>
    </x:row>
    <x:row r="34" ht="34" customHeight="1">
      <x:c r="A34" s="38" t="str">
        <x:v>Intangibles &amp; goodwill</x:v>
      </x:c>
      <x:c r="B34" s="45" t="n">
        <x:v>150000</x:v>
      </x:c>
      <x:c r="C34" s="39" t="str">
        <x:v>$000s</x:v>
      </x:c>
      <x:c r="D34" s="40" t="str">
        <x:v>Apex assignment guide</x:v>
      </x:c>
      <x:c r="F34" s="65"/>
      <x:c r="G34" s="66"/>
      <x:c r="H34" s="67"/>
    </x:row>
    <x:row r="35">
      <x:c r="A35" s="38" t="str">
        <x:v>Accounts payable</x:v>
      </x:c>
      <x:c r="B35" s="45" t="n">
        <x:v>85000</x:v>
      </x:c>
      <x:c r="C35" s="39" t="str">
        <x:v>$000s</x:v>
      </x:c>
      <x:c r="D35" s="40" t="str">
        <x:v>Apex assignment guide</x:v>
      </x:c>
    </x:row>
    <x:row r="36" ht="23" customHeight="1">
      <x:c r="A36" s="38" t="str">
        <x:v>Short-term debt</x:v>
      </x:c>
      <x:c r="B36" s="45" t="n">
        <x:v>60000</x:v>
      </x:c>
      <x:c r="C36" s="39" t="str">
        <x:v>$000s</x:v>
      </x:c>
      <x:c r="D36" s="40" t="str">
        <x:v>Apex assignment guide</x:v>
      </x:c>
      <x:c r="F36" s="11" t="str">
        <x:v>COLOR &amp; FORMULA LEGEND</x:v>
      </x:c>
      <x:c r="G36" s="11"/>
      <x:c r="H36" s="11"/>
    </x:row>
    <x:row r="37">
      <x:c r="A37" s="38" t="str">
        <x:v>Long-term debt</x:v>
      </x:c>
      <x:c r="B37" s="45" t="n">
        <x:v>240000</x:v>
      </x:c>
      <x:c r="C37" s="39" t="str">
        <x:v>$000s</x:v>
      </x:c>
      <x:c r="D37" s="40" t="str">
        <x:v>Apex assignment guide</x:v>
      </x:c>
      <x:c r="F37" s="71" t="str">
        <x:v>Yellow fill + blue text</x:v>
      </x:c>
      <x:c r="G37" s="72" t="str">
        <x:v>Student build cell</x:v>
      </x:c>
      <x:c r="H37" s="73" t="str">
        <x:v>Enter a formula or written response</x:v>
      </x:c>
    </x:row>
    <x:row r="38">
      <x:c r="A38" s="38" t="str">
        <x:v>Common equity</x:v>
      </x:c>
      <x:c r="B38" s="45" t="n">
        <x:v>245000</x:v>
      </x:c>
      <x:c r="C38" s="39" t="str">
        <x:v>$000s</x:v>
      </x:c>
      <x:c r="D38" s="40" t="str">
        <x:v>Apex assignment guide</x:v>
      </x:c>
      <x:c r="F38" s="74" t="str">
        <x:v>Gray fill + black text</x:v>
      </x:c>
      <x:c r="G38" s="75" t="str">
        <x:v>Provided assumption</x:v>
      </x:c>
      <x:c r="H38" s="76" t="str">
        <x:v>Reference; do not retype downstream</x:v>
      </x:c>
    </x:row>
    <x:row r="39">
      <x:c r="A39" s="38" t="str">
        <x:v>Total current assets</x:v>
      </x:c>
      <x:c r="B39" s="45" t="n">
        <x:f>SUM(B30:B32)</x:f>
        <x:v>200000</x:v>
      </x:c>
      <x:c r="C39" s="39" t="str">
        <x:v>$000s</x:v>
      </x:c>
      <x:c r="D39" s="40" t="str">
        <x:v>Cash plus receivables plus inventory</x:v>
      </x:c>
      <x:c r="F39" s="80" t="str">
        <x:v>Green text</x:v>
      </x:c>
      <x:c r="G39" s="81" t="str">
        <x:v>Linked formula output</x:v>
      </x:c>
      <x:c r="H39" s="82" t="str">
        <x:v>Use only after the related formula is built</x:v>
      </x:c>
    </x:row>
    <x:row r="40">
      <x:c r="A40" s="38" t="str">
        <x:v>Total debt</x:v>
      </x:c>
      <x:c r="B40" s="45" t="n">
        <x:f>SUM(B36:B37)</x:f>
        <x:v>300000</x:v>
      </x:c>
      <x:c r="C40" s="39" t="str">
        <x:v>$000s</x:v>
      </x:c>
      <x:c r="D40" s="40" t="str">
        <x:v>Short-term plus long-term debt</x:v>
      </x:c>
    </x:row>
    <x:row r="41">
      <x:c r="A41" s="38" t="str">
        <x:v>Total liabilities</x:v>
      </x:c>
      <x:c r="B41" s="45" t="n">
        <x:f>B35+B40</x:f>
        <x:v>385000</x:v>
      </x:c>
      <x:c r="C41" s="39" t="str">
        <x:v>$000s</x:v>
      </x:c>
      <x:c r="D41" s="40" t="str">
        <x:v>Accounts payable plus total debt</x:v>
      </x:c>
    </x:row>
    <x:row r="42">
      <x:c r="A42" s="38" t="str">
        <x:v>Total assets</x:v>
      </x:c>
      <x:c r="B42" s="45" t="n">
        <x:f>B39+B33+B34</x:f>
        <x:v>630000</x:v>
      </x:c>
      <x:c r="C42" s="39" t="str">
        <x:v>$000s</x:v>
      </x:c>
      <x:c r="D42" s="40" t="str">
        <x:v>Current assets plus PP&amp;E plus intangibles</x:v>
      </x:c>
    </x:row>
    <x:row r="43">
      <x:c r="A43" s="38" t="str">
        <x:v>Total liabilities &amp; equity</x:v>
      </x:c>
      <x:c r="B43" s="45" t="n">
        <x:f>B41+B38</x:f>
        <x:v>630000</x:v>
      </x:c>
      <x:c r="C43" s="39" t="str">
        <x:v>$000s</x:v>
      </x:c>
      <x:c r="D43" s="40" t="str">
        <x:v>Total liabilities plus common equity</x:v>
      </x:c>
    </x:row>
    <x:row r="44">
      <x:c r="A44" s="41" t="str">
        <x:v>Balance sheet check</x:v>
      </x:c>
      <x:c r="B44" s="46" t="n">
        <x:f>B42-B43</x:f>
        <x:v>0</x:v>
      </x:c>
      <x:c r="C44" s="42" t="str">
        <x:v>$000s</x:v>
      </x:c>
      <x:c r="D44" s="43" t="str">
        <x:v>Total assets less liabilities and equity; must equal zero</x:v>
      </x:c>
    </x:row>
  </x:sheetData>
  <x:mergeCells>
    <x:mergeCell ref="A1:H1"/>
    <x:mergeCell ref="A2:H2"/>
    <x:mergeCell ref="A4:D4"/>
    <x:mergeCell ref="A16:D16"/>
    <x:mergeCell ref="A28:D28"/>
    <x:mergeCell ref="F4:H4"/>
    <x:mergeCell ref="E23:H23"/>
    <x:mergeCell ref="F33:H34"/>
    <x:mergeCell ref="F36:H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0" hidden="0" customWidth="1"/>
    <x:col min="3" max="3" width="16" hidden="0" customWidth="1"/>
    <x:col min="4" max="4" width="34" hidden="0" customWidth="1"/>
    <x:col min="5" max="5" width="31" hidden="0" customWidth="1"/>
    <x:col min="6" max="6" width="20" hidden="0" customWidth="1"/>
    <x:col min="7" max="7" width="16" hidden="0" customWidth="1"/>
    <x:col min="8" max="8" width="35" hidden="0" customWidth="1"/>
  </x:cols>
  <x:sheetData>
    <x:row r="1" ht="31" customHeight="1">
      <x:c r="A1" s="4" t="str">
        <x:v>APEX TECHNOLOGY CORPORATION — EQUITY VALUATION</x:v>
      </x:c>
      <x:c r="B1" s="4"/>
      <x:c r="C1" s="4"/>
      <x:c r="D1" s="4"/>
      <x:c r="E1" s="4"/>
      <x:c r="F1" s="4"/>
      <x:c r="G1" s="4"/>
      <x:c r="H1" s="4"/>
    </x:row>
    <x:row r="2" ht="30" customHeight="1">
      <x:c r="A2" s="9" t="str">
        <x:v>Build DDM, FCFF, and relative valuation formulas from the assumptions tab; then compare methods without mechanically averaging them.</x:v>
      </x:c>
      <x:c r="B2" s="9"/>
      <x:c r="C2" s="9"/>
      <x:c r="D2" s="9"/>
      <x:c r="E2" s="9"/>
      <x:c r="F2" s="9"/>
      <x:c r="G2" s="9"/>
      <x:c r="H2" s="9"/>
    </x:row>
    <x:row r="4" ht="23" customHeight="1">
      <x:c r="A4" s="11" t="str">
        <x:v>PART A — DIVIDEND DISCOUNT MODEL</x:v>
      </x:c>
      <x:c r="B4" s="11"/>
      <x:c r="C4" s="11"/>
      <x:c r="D4" s="11"/>
      <x:c r="E4" s="11" t="str">
        <x:v>PART B — FREE CASH FLOW TO FIRM</x:v>
      </x:c>
      <x:c r="F4" s="11"/>
      <x:c r="G4" s="11"/>
      <x:c r="H4" s="11"/>
    </x:row>
    <x:row r="5">
      <x:c r="A5" s="16" t="str">
        <x:v>Input / output</x:v>
      </x:c>
      <x:c r="B5" s="16" t="str">
        <x:v>Value</x:v>
      </x:c>
      <x:c r="C5" s="16" t="str">
        <x:v>Units</x:v>
      </x:c>
      <x:c r="D5" s="16" t="str">
        <x:v>Formula logic</x:v>
      </x:c>
      <x:c r="E5" s="16" t="str">
        <x:v>Input / output</x:v>
      </x:c>
      <x:c r="F5" s="16" t="str">
        <x:v>Value</x:v>
      </x:c>
      <x:c r="G5" s="16" t="str">
        <x:v>Units</x:v>
      </x:c>
      <x:c r="H5" s="16" t="str">
        <x:v>Formula logic</x:v>
      </x:c>
    </x:row>
    <x:row r="6">
      <x:c r="A6" s="35" t="str">
        <x:v>Next-year dividend (D₁)</x:v>
      </x:c>
      <x:c r="B6" s="87" t="n">
        <x:f>'Tab 1 – Assumptions'!$G$6</x:f>
        <x:v>0.84</x:v>
      </x:c>
      <x:c r="C6" s="36" t="str">
        <x:v>$ / share</x:v>
      </x:c>
      <x:c r="D6" s="37" t="str">
        <x:v>Link to assumptions</x:v>
      </x:c>
      <x:c r="E6" s="35" t="str">
        <x:v>Projected FCFF — Year 1</x:v>
      </x:c>
      <x:c r="F6" s="44" t="n">
        <x:f>'Tab 1 – Assumptions'!$G$9</x:f>
        <x:v>52000</x:v>
      </x:c>
      <x:c r="G6" s="36" t="str">
        <x:v>$000s</x:v>
      </x:c>
      <x:c r="H6" s="37" t="str">
        <x:v>Link to assumptions</x:v>
      </x:c>
    </x:row>
    <x:row r="7">
      <x:c r="A7" s="38" t="str">
        <x:v>Required return (r)</x:v>
      </x:c>
      <x:c r="B7" s="88" t="n">
        <x:f>'Tab 1 – Assumptions'!$G$7</x:f>
        <x:v>0.105</x:v>
      </x:c>
      <x:c r="C7" s="39" t="str">
        <x:v>%</x:v>
      </x:c>
      <x:c r="D7" s="40" t="str">
        <x:v>Link to assumptions</x:v>
      </x:c>
      <x:c r="E7" s="38" t="str">
        <x:v>WACC</x:v>
      </x:c>
      <x:c r="F7" s="88" t="n">
        <x:f>'Tab 1 – Assumptions'!$G$10</x:f>
        <x:v>0.09</x:v>
      </x:c>
      <x:c r="G7" s="39" t="str">
        <x:v>%</x:v>
      </x:c>
      <x:c r="H7" s="40" t="str">
        <x:v>Link to assumptions</x:v>
      </x:c>
    </x:row>
    <x:row r="8">
      <x:c r="A8" s="38" t="str">
        <x:v>Perpetual growth (g)</x:v>
      </x:c>
      <x:c r="B8" s="88" t="n">
        <x:f>'Tab 1 – Assumptions'!$G$8</x:f>
        <x:v>0.04</x:v>
      </x:c>
      <x:c r="C8" s="39" t="str">
        <x:v>%</x:v>
      </x:c>
      <x:c r="D8" s="40" t="str">
        <x:v>Link to assumptions</x:v>
      </x:c>
      <x:c r="E8" s="38" t="str">
        <x:v>Perpetual FCFF growth</x:v>
      </x:c>
      <x:c r="F8" s="88" t="n">
        <x:f>'Tab 1 – Assumptions'!$G$11</x:f>
        <x:v>0.04</x:v>
      </x:c>
      <x:c r="G8" s="39" t="str">
        <x:v>%</x:v>
      </x:c>
      <x:c r="H8" s="40" t="str">
        <x:v>Link to assumptions</x:v>
      </x:c>
    </x:row>
    <x:row r="9">
      <x:c r="A9" s="38" t="str">
        <x:v>DDM denominator</x:v>
      </x:c>
      <x:c r="B9" s="88" t="n">
        <x:f>B7-B8</x:f>
        <x:v>0.065</x:v>
      </x:c>
      <x:c r="C9" s="39" t="str">
        <x:v>%</x:v>
      </x:c>
      <x:c r="D9" s="40" t="str">
        <x:v>Required return less growth</x:v>
      </x:c>
      <x:c r="E9" s="38" t="str">
        <x:v>Total debt</x:v>
      </x:c>
      <x:c r="F9" s="45" t="n">
        <x:f>'Tab 1 – Assumptions'!$B$40</x:f>
        <x:v>300000</x:v>
      </x:c>
      <x:c r="G9" s="39" t="str">
        <x:v>$000s</x:v>
      </x:c>
      <x:c r="H9" s="40" t="str">
        <x:v>Link to assumptions</x:v>
      </x:c>
    </x:row>
    <x:row r="10">
      <x:c r="A10" s="38" t="str">
        <x:v>Student build</x:v>
      </x:c>
      <x:c r="B10" s="39"/>
      <x:c r="C10" s="39"/>
      <x:c r="D10" s="40" t="str">
        <x:v>Use linked inputs; r must exceed g</x:v>
      </x:c>
      <x:c r="E10" s="38" t="str">
        <x:v>Cash</x:v>
      </x:c>
      <x:c r="F10" s="45" t="n">
        <x:f>'Tab 1 – Assumptions'!$B$30</x:f>
        <x:v>45000</x:v>
      </x:c>
      <x:c r="G10" s="39" t="str">
        <x:v>$000s</x:v>
      </x:c>
      <x:c r="H10" s="40" t="str">
        <x:v>Link to assumptions</x:v>
      </x:c>
    </x:row>
    <x:row r="11">
      <x:c r="A11" s="41" t="str">
        <x:v>DDM value per share</x:v>
      </x:c>
      <x:c r="B11" s="89"/>
      <x:c r="C11" s="42" t="str">
        <x:v>$ / share</x:v>
      </x:c>
      <x:c r="D11" s="43" t="str">
        <x:v>D₁ divided by (r − g)</x:v>
      </x:c>
      <x:c r="E11" s="38" t="str">
        <x:v>Pre-IPO shares</x:v>
      </x:c>
      <x:c r="F11" s="91" t="n">
        <x:f>'Tab 1 – Assumptions'!$G$19</x:f>
        <x:v>50000</x:v>
      </x:c>
      <x:c r="G11" s="39" t="str">
        <x:v>000s shares</x:v>
      </x:c>
      <x:c r="H11" s="40" t="str">
        <x:v>Link to assumptions</x:v>
      </x:c>
    </x:row>
    <x:row r="12">
      <x:c r="E12" s="38" t="str">
        <x:v>FCFF denominator</x:v>
      </x:c>
      <x:c r="F12" s="88" t="n">
        <x:f>F7-F8</x:f>
        <x:v>0.049999999999999996</x:v>
      </x:c>
      <x:c r="G12" s="39" t="str">
        <x:v>%</x:v>
      </x:c>
      <x:c r="H12" s="40" t="str">
        <x:v>WACC less growth</x:v>
      </x:c>
    </x:row>
    <x:row r="13">
      <x:c r="E13" s="38" t="str">
        <x:v>Enterprise value</x:v>
      </x:c>
      <x:c r="F13" s="92"/>
      <x:c r="G13" s="39" t="str">
        <x:v>$000s</x:v>
      </x:c>
      <x:c r="H13" s="40" t="str">
        <x:v>FCFF₁ divided by (WACC − g)</x:v>
      </x:c>
    </x:row>
    <x:row r="14">
      <x:c r="E14" s="38" t="str">
        <x:v>Pre-money equity value</x:v>
      </x:c>
      <x:c r="F14" s="92"/>
      <x:c r="G14" s="39" t="str">
        <x:v>$000s</x:v>
      </x:c>
      <x:c r="H14" s="40" t="str">
        <x:v>Enterprise value less debt plus cash</x:v>
      </x:c>
    </x:row>
    <x:row r="15">
      <x:c r="E15" s="41" t="str">
        <x:v>FCFF value per pre-IPO share</x:v>
      </x:c>
      <x:c r="F15" s="89"/>
      <x:c r="G15" s="42" t="str">
        <x:v>$ / share</x:v>
      </x:c>
      <x:c r="H15" s="43" t="str">
        <x:v>Pre-money equity value divided by pre-IPO shares</x:v>
      </x:c>
    </x:row>
    <x:row r="18" ht="23" customHeight="1">
      <x:c r="A18" s="11" t="str">
        <x:v>PART C — RELATIVE VALUATION</x:v>
      </x:c>
      <x:c r="B18" s="11"/>
      <x:c r="C18" s="11"/>
      <x:c r="D18" s="11"/>
      <x:c r="E18" s="11"/>
      <x:c r="F18" s="11"/>
      <x:c r="G18" s="11"/>
      <x:c r="H18" s="11"/>
    </x:row>
    <x:row r="19">
      <x:c r="A19" s="16" t="str">
        <x:v>Input</x:v>
      </x:c>
      <x:c r="B19" s="16" t="str">
        <x:v>Value</x:v>
      </x:c>
      <x:c r="C19" s="16" t="str">
        <x:v>Units</x:v>
      </x:c>
      <x:c r="D19" s="16" t="str">
        <x:v>Source / logic</x:v>
      </x:c>
      <x:c r="E19" s="16" t="str">
        <x:v>Student calculation</x:v>
      </x:c>
      <x:c r="F19" s="16" t="str">
        <x:v>Value</x:v>
      </x:c>
      <x:c r="G19" s="16" t="str">
        <x:v>Units</x:v>
      </x:c>
      <x:c r="H19" s="16" t="str">
        <x:v>Formula logic</x:v>
      </x:c>
    </x:row>
    <x:row r="20">
      <x:c r="A20" s="35" t="str">
        <x:v>Pre-IPO net income</x:v>
      </x:c>
      <x:c r="B20" s="44" t="n">
        <x:f>'Tab 1 – Assumptions'!$B$26</x:f>
        <x:v>164250</x:v>
      </x:c>
      <x:c r="C20" s="36" t="str">
        <x:v>$000s</x:v>
      </x:c>
      <x:c r="D20" s="37" t="str">
        <x:v>Link to assumptions</x:v>
      </x:c>
      <x:c r="E20" s="35" t="str">
        <x:v>Earnings per share</x:v>
      </x:c>
      <x:c r="F20" s="89"/>
      <x:c r="G20" s="36" t="str">
        <x:v>$ / share</x:v>
      </x:c>
      <x:c r="H20" s="37" t="str">
        <x:v>Net income divided by pre-IPO shares</x:v>
      </x:c>
    </x:row>
    <x:row r="21">
      <x:c r="A21" s="38" t="str">
        <x:v>Pre-IPO shares</x:v>
      </x:c>
      <x:c r="B21" s="91" t="n">
        <x:f>'Tab 1 – Assumptions'!$G$19</x:f>
        <x:v>50000</x:v>
      </x:c>
      <x:c r="C21" s="39" t="str">
        <x:v>000s shares</x:v>
      </x:c>
      <x:c r="D21" s="40" t="str">
        <x:v>Link to assumptions</x:v>
      </x:c>
      <x:c r="E21" s="38" t="str">
        <x:v>P/E implied price</x:v>
      </x:c>
      <x:c r="F21" s="89"/>
      <x:c r="G21" s="39" t="str">
        <x:v>$ / share</x:v>
      </x:c>
      <x:c r="H21" s="40" t="str">
        <x:v>EPS times peer P/E</x:v>
      </x:c>
    </x:row>
    <x:row r="22">
      <x:c r="A22" s="38" t="str">
        <x:v>Revenue</x:v>
      </x:c>
      <x:c r="B22" s="45" t="n">
        <x:f>'Tab 1 – Assumptions'!$B$18</x:f>
        <x:v>850000</x:v>
      </x:c>
      <x:c r="C22" s="39" t="str">
        <x:v>$000s</x:v>
      </x:c>
      <x:c r="D22" s="40" t="str">
        <x:v>Link to assumptions</x:v>
      </x:c>
      <x:c r="E22" s="38" t="str">
        <x:v>Revenue per share</x:v>
      </x:c>
      <x:c r="F22" s="89"/>
      <x:c r="G22" s="39" t="str">
        <x:v>$ / share</x:v>
      </x:c>
      <x:c r="H22" s="40" t="str">
        <x:v>Revenue divided by pre-IPO shares</x:v>
      </x:c>
    </x:row>
    <x:row r="23">
      <x:c r="A23" s="38" t="str">
        <x:v>Illustrative peer P/E</x:v>
      </x:c>
      <x:c r="B23" s="93" t="n">
        <x:f>'Tab 1 – Assumptions'!$G$12</x:f>
        <x:v>18</x:v>
      </x:c>
      <x:c r="C23" s="39" t="str">
        <x:v>x</x:v>
      </x:c>
      <x:c r="D23" s="40" t="str">
        <x:v>Replace or defend with FactSet evidence</x:v>
      </x:c>
      <x:c r="E23" s="41" t="str">
        <x:v>P/S implied price</x:v>
      </x:c>
      <x:c r="F23" s="89"/>
      <x:c r="G23" s="42" t="str">
        <x:v>$ / share</x:v>
      </x:c>
      <x:c r="H23" s="43" t="str">
        <x:v>Revenue per share times peer P/S</x:v>
      </x:c>
    </x:row>
    <x:row r="24">
      <x:c r="A24" s="38" t="str">
        <x:v>Illustrative peer P/S</x:v>
      </x:c>
      <x:c r="B24" s="93" t="n">
        <x:f>'Tab 1 – Assumptions'!$G$13</x:f>
        <x:v>2.2</x:v>
      </x:c>
      <x:c r="C24" s="39" t="str">
        <x:v>x</x:v>
      </x:c>
      <x:c r="D24" s="40" t="str">
        <x:v>Replace or defend with FactSet evidence</x:v>
      </x:c>
    </x:row>
    <x:row r="25">
      <x:c r="A25" s="41" t="str">
        <x:v>FactSet evidence note</x:v>
      </x:c>
      <x:c r="B25" s="86"/>
      <x:c r="C25" s="42" t="str">
        <x:v>Text</x:v>
      </x:c>
      <x:c r="D25" s="43" t="str">
        <x:v>Record field, period, units, currency, and retrieval date on BUS311 Guide</x:v>
      </x:c>
    </x:row>
    <x:row r="27" ht="23" customHeight="1">
      <x:c r="A27" s="11" t="str">
        <x:v>PART D — VALUATION COMPARISON &amp; INTERPRETATION</x:v>
      </x:c>
      <x:c r="B27" s="11"/>
      <x:c r="C27" s="11"/>
      <x:c r="D27" s="11"/>
      <x:c r="E27" s="11"/>
      <x:c r="F27" s="11"/>
      <x:c r="G27" s="11"/>
      <x:c r="H27" s="11"/>
    </x:row>
    <x:row r="28">
      <x:c r="A28" s="16" t="str">
        <x:v>Method</x:v>
      </x:c>
      <x:c r="B28" s="16" t="str">
        <x:v>Implied value / share</x:v>
      </x:c>
      <x:c r="C28" s="16" t="str">
        <x:v>Proposed offer</x:v>
      </x:c>
      <x:c r="D28" s="16" t="str">
        <x:v>Premium / (discount) to model</x:v>
      </x:c>
      <x:c r="E28" s="16" t="str">
        <x:v>Interpretation / reliability</x:v>
      </x:c>
      <x:c r="F28" s="16"/>
      <x:c r="G28" s="16"/>
      <x:c r="H28" s="16"/>
    </x:row>
    <x:row r="29" ht="35" customHeight="1">
      <x:c r="A29" s="35" t="str">
        <x:v>DDM</x:v>
      </x:c>
      <x:c r="B29" s="89"/>
      <x:c r="C29" s="87" t="n">
        <x:f>'Tab 1 – Assumptions'!$G$14</x:f>
        <x:v>20</x:v>
      </x:c>
      <x:c r="D29" s="102"/>
      <x:c r="E29" s="86"/>
      <x:c r="F29" s="86"/>
      <x:c r="G29" s="86"/>
      <x:c r="H29" s="86"/>
    </x:row>
    <x:row r="30" ht="35" customHeight="1">
      <x:c r="A30" s="38" t="str">
        <x:v>FCFF</x:v>
      </x:c>
      <x:c r="B30" s="89"/>
      <x:c r="C30" s="100" t="n">
        <x:f>'Tab 1 – Assumptions'!$G$14</x:f>
        <x:v>20</x:v>
      </x:c>
      <x:c r="D30" s="102"/>
      <x:c r="E30" s="86"/>
      <x:c r="F30" s="86"/>
      <x:c r="G30" s="86"/>
      <x:c r="H30" s="86"/>
    </x:row>
    <x:row r="31" ht="35" customHeight="1">
      <x:c r="A31" s="38" t="str">
        <x:v>Peer P/E</x:v>
      </x:c>
      <x:c r="B31" s="89"/>
      <x:c r="C31" s="100" t="n">
        <x:f>'Tab 1 – Assumptions'!$G$14</x:f>
        <x:v>20</x:v>
      </x:c>
      <x:c r="D31" s="102"/>
      <x:c r="E31" s="86"/>
      <x:c r="F31" s="86"/>
      <x:c r="G31" s="86"/>
      <x:c r="H31" s="86"/>
    </x:row>
    <x:row r="32" ht="35" customHeight="1">
      <x:c r="A32" s="41" t="str">
        <x:v>Peer P/S</x:v>
      </x:c>
      <x:c r="B32" s="89"/>
      <x:c r="C32" s="101" t="n">
        <x:f>'Tab 1 – Assumptions'!$G$14</x:f>
        <x:v>20</x:v>
      </x:c>
      <x:c r="D32" s="102"/>
      <x:c r="E32" s="86"/>
      <x:c r="F32" s="86"/>
      <x:c r="G32" s="86"/>
      <x:c r="H32" s="86"/>
    </x:row>
    <x:row r="35" ht="23" customHeight="1">
      <x:c r="A35" s="11" t="str">
        <x:v>VALUATION CHECKS</x:v>
      </x:c>
      <x:c r="B35" s="11"/>
      <x:c r="C35" s="11"/>
      <x:c r="D35" s="11"/>
    </x:row>
    <x:row r="36">
      <x:c r="A36" s="16" t="str">
        <x:v>Check</x:v>
      </x:c>
      <x:c r="B36" s="16" t="str">
        <x:v>Status</x:v>
      </x:c>
      <x:c r="C36" s="16" t="str">
        <x:v>Delta / condition</x:v>
      </x:c>
      <x:c r="D36" s="16" t="str">
        <x:v>What it tests</x:v>
      </x:c>
    </x:row>
    <x:row r="37">
      <x:c r="A37" s="35" t="str">
        <x:v>DDM denominator</x:v>
      </x:c>
      <x:c r="B37" s="106" t="str">
        <x:f>IF(B11="","BUILD",IF(B7&gt;B8,"PASS","CHECK"))</x:f>
        <x:v>BUILD</x:v>
      </x:c>
      <x:c r="C37" s="107" t="n">
        <x:f>B9</x:f>
        <x:v>0.065</x:v>
      </x:c>
      <x:c r="D37" s="37" t="str">
        <x:v>Required return must exceed perpetual growth</x:v>
      </x:c>
    </x:row>
    <x:row r="38">
      <x:c r="A38" s="38" t="str">
        <x:v>FCFF denominator</x:v>
      </x:c>
      <x:c r="B38" s="106" t="str">
        <x:f>IF(F13="","BUILD",IF(F7&gt;F8,"PASS","CHECK"))</x:f>
        <x:v>BUILD</x:v>
      </x:c>
      <x:c r="C38" s="88" t="n">
        <x:f>F12</x:f>
        <x:v>0.049999999999999996</x:v>
      </x:c>
      <x:c r="D38" s="40" t="str">
        <x:v>WACC must exceed perpetual growth</x:v>
      </x:c>
    </x:row>
    <x:row r="39">
      <x:c r="A39" s="38" t="str">
        <x:v>Offer proceeds</x:v>
      </x:c>
      <x:c r="B39" s="106" t="str">
        <x:f>IF(ABS('Tab 1 – Assumptions'!$G$21)&lt;='Tab 1 – Assumptions'!$B$12,"PASS","CHECK")</x:f>
        <x:v>PASS</x:v>
      </x:c>
      <x:c r="C39" s="45" t="n">
        <x:f>'Tab 1 – Assumptions'!$G$21</x:f>
        <x:v>0</x:v>
      </x:c>
      <x:c r="D39" s="40" t="str">
        <x:v>Offer price × new shares agrees with stated gross proceeds</x:v>
      </x:c>
    </x:row>
    <x:row r="40">
      <x:c r="A40" s="41" t="str">
        <x:v>FCFF equity bridge</x:v>
      </x:c>
      <x:c r="B40" s="106" t="str">
        <x:f>IF(F14="","BUILD",IF(ABS(F14-(F13-F9+F10))&lt;='Tab 1 – Assumptions'!$B$12,"PASS","CHECK"))</x:f>
        <x:v>BUILD</x:v>
      </x:c>
      <x:c r="C40" s="46" t="str">
        <x:f>IF(F14="","",F14-(F13-F9+F10))</x:f>
      </x:c>
      <x:c r="D40" s="43" t="str">
        <x:v>EV less debt plus cash equals pre-money equity value</x:v>
      </x:c>
    </x:row>
  </x:sheetData>
  <x:mergeCells>
    <x:mergeCell ref="A1:H1"/>
    <x:mergeCell ref="A2:H2"/>
    <x:mergeCell ref="A4:D4"/>
    <x:mergeCell ref="E4:H4"/>
    <x:mergeCell ref="A18:H18"/>
    <x:mergeCell ref="A27:H27"/>
    <x:mergeCell ref="E28:H28"/>
    <x:mergeCell ref="E29:H29"/>
    <x:mergeCell ref="E30:H30"/>
    <x:mergeCell ref="E31:H31"/>
    <x:mergeCell ref="E32:H32"/>
    <x:mergeCell ref="A35:D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42" hidden="0" customWidth="1"/>
  </x:cols>
  <x:sheetData>
    <x:row r="1" ht="31" customHeight="1">
      <x:c r="A1" s="4" t="str">
        <x:v>APEX TECHNOLOGY CORPORATION — SCENARIO EARNINGS</x:v>
      </x:c>
      <x:c r="B1" s="4"/>
      <x:c r="C1" s="4"/>
      <x:c r="D1" s="4"/>
      <x:c r="E1" s="4"/>
      <x:c r="F1" s="4"/>
    </x:row>
    <x:row r="2" ht="30" customHeight="1">
      <x:c r="A2" s="9" t="str">
        <x:v>Build each scenario income statement from operating assumptions and post-transaction debt. Interest savings change taxes, net income, and EPS.</x:v>
      </x:c>
      <x:c r="B2" s="9"/>
      <x:c r="C2" s="9"/>
      <x:c r="D2" s="9"/>
      <x:c r="E2" s="9"/>
      <x:c r="F2" s="9"/>
    </x:row>
    <x:row r="4" ht="23" customHeight="1">
      <x:c r="A4" s="11" t="str">
        <x:v>PRE-IPO AND POST-IPO SCENARIO EARNINGS</x:v>
      </x:c>
      <x:c r="B4" s="11"/>
      <x:c r="C4" s="11"/>
      <x:c r="D4" s="11"/>
      <x:c r="E4" s="11"/>
      <x:c r="F4" s="11"/>
    </x:row>
    <x:row r="5">
      <x:c r="A5" s="16" t="str">
        <x:v>Line item</x:v>
      </x:c>
      <x:c r="B5" s="16" t="str">
        <x:v>Pre-IPO</x:v>
      </x:c>
      <x:c r="C5" s="16" t="str">
        <x:v>Scenario A</x:v>
      </x:c>
      <x:c r="D5" s="16" t="str">
        <x:v>Scenario B</x:v>
      </x:c>
      <x:c r="E5" s="16" t="str">
        <x:v>Scenario C</x:v>
      </x:c>
      <x:c r="F5" s="16" t="str">
        <x:v>Formula logic</x:v>
      </x:c>
    </x:row>
    <x:row r="6">
      <x:c r="A6" s="35" t="str">
        <x:v>Revenue</x:v>
      </x:c>
      <x:c r="B6" s="109" t="n">
        <x:f>'Tab 1 – Assumptions'!$B$18</x:f>
        <x:v>850000</x:v>
      </x:c>
      <x:c r="C6" s="92"/>
      <x:c r="D6" s="92"/>
      <x:c r="E6" s="92"/>
      <x:c r="F6" s="37" t="str">
        <x:v>Link to the same operating case</x:v>
      </x:c>
    </x:row>
    <x:row r="7">
      <x:c r="A7" s="38" t="str">
        <x:v>Cost of goods sold</x:v>
      </x:c>
      <x:c r="B7" s="110" t="n">
        <x:f>'Tab 1 – Assumptions'!$B$19</x:f>
        <x:v>255000</x:v>
      </x:c>
      <x:c r="C7" s="92"/>
      <x:c r="D7" s="92"/>
      <x:c r="E7" s="92"/>
      <x:c r="F7" s="40" t="str">
        <x:v>Link to the same operating case</x:v>
      </x:c>
    </x:row>
    <x:row r="8">
      <x:c r="A8" s="38" t="str">
        <x:v>Gross profit</x:v>
      </x:c>
      <x:c r="B8" s="110" t="n">
        <x:f>B6-B7</x:f>
        <x:v>595000</x:v>
      </x:c>
      <x:c r="C8" s="92"/>
      <x:c r="D8" s="92"/>
      <x:c r="E8" s="92"/>
      <x:c r="F8" s="40" t="str">
        <x:v>Revenue less cost of goods sold</x:v>
      </x:c>
    </x:row>
    <x:row r="9">
      <x:c r="A9" s="38" t="str">
        <x:v>Operating expenses</x:v>
      </x:c>
      <x:c r="B9" s="110" t="n">
        <x:f>'Tab 1 – Assumptions'!$B$21</x:f>
        <x:v>340000</x:v>
      </x:c>
      <x:c r="C9" s="92"/>
      <x:c r="D9" s="92"/>
      <x:c r="E9" s="92"/>
      <x:c r="F9" s="40" t="str">
        <x:v>Link to the same operating case</x:v>
      </x:c>
    </x:row>
    <x:row r="10">
      <x:c r="A10" s="38" t="str">
        <x:v>EBIT</x:v>
      </x:c>
      <x:c r="B10" s="110" t="n">
        <x:f>B8-B9</x:f>
        <x:v>255000</x:v>
      </x:c>
      <x:c r="C10" s="92"/>
      <x:c r="D10" s="92"/>
      <x:c r="E10" s="92"/>
      <x:c r="F10" s="40" t="str">
        <x:v>Gross profit less operating expenses</x:v>
      </x:c>
    </x:row>
    <x:row r="11">
      <x:c r="A11" s="38" t="str">
        <x:v>Short-term debt</x:v>
      </x:c>
      <x:c r="B11" s="110" t="n">
        <x:f>'Tab 1 – Assumptions'!$B$36</x:f>
        <x:v>60000</x:v>
      </x:c>
      <x:c r="C11" s="92"/>
      <x:c r="D11" s="92"/>
      <x:c r="E11" s="92"/>
      <x:c r="F11" s="40" t="str">
        <x:v>Pay down short-term debt first</x:v>
      </x:c>
    </x:row>
    <x:row r="12">
      <x:c r="A12" s="38" t="str">
        <x:v>Long-term debt</x:v>
      </x:c>
      <x:c r="B12" s="110" t="n">
        <x:f>'Tab 1 – Assumptions'!$B$37</x:f>
        <x:v>240000</x:v>
      </x:c>
      <x:c r="C12" s="92"/>
      <x:c r="D12" s="92"/>
      <x:c r="E12" s="92"/>
      <x:c r="F12" s="40" t="str">
        <x:v>Then apply remaining repayment to long-term debt</x:v>
      </x:c>
    </x:row>
    <x:row r="13">
      <x:c r="A13" s="38" t="str">
        <x:v>Interest expense</x:v>
      </x:c>
      <x:c r="B13" s="110" t="n">
        <x:f>B11*'Tab 1 – Assumptions'!$B$10+B12*'Tab 1 – Assumptions'!$B$11</x:f>
        <x:v>36000</x:v>
      </x:c>
      <x:c r="C13" s="92"/>
      <x:c r="D13" s="92"/>
      <x:c r="E13" s="92"/>
      <x:c r="F13" s="40" t="str">
        <x:v>Debt balances times stated rates</x:v>
      </x:c>
    </x:row>
    <x:row r="14">
      <x:c r="A14" s="38" t="str">
        <x:v>Earnings before tax</x:v>
      </x:c>
      <x:c r="B14" s="110" t="n">
        <x:f>B10-B13</x:f>
        <x:v>219000</x:v>
      </x:c>
      <x:c r="C14" s="92"/>
      <x:c r="D14" s="92"/>
      <x:c r="E14" s="92"/>
      <x:c r="F14" s="40" t="str">
        <x:v>EBIT less interest expense</x:v>
      </x:c>
    </x:row>
    <x:row r="15">
      <x:c r="A15" s="38" t="str">
        <x:v>Income tax</x:v>
      </x:c>
      <x:c r="B15" s="110" t="n">
        <x:f>B14*'Tab 1 – Assumptions'!$B$9</x:f>
        <x:v>54750</x:v>
      </x:c>
      <x:c r="C15" s="92"/>
      <x:c r="D15" s="92"/>
      <x:c r="E15" s="92"/>
      <x:c r="F15" s="40" t="str">
        <x:v>EBT times tax rate</x:v>
      </x:c>
    </x:row>
    <x:row r="16">
      <x:c r="A16" s="38" t="str">
        <x:v>Net income</x:v>
      </x:c>
      <x:c r="B16" s="110" t="n">
        <x:f>B14-B15</x:f>
        <x:v>164250</x:v>
      </x:c>
      <x:c r="C16" s="92"/>
      <x:c r="D16" s="92"/>
      <x:c r="E16" s="92"/>
      <x:c r="F16" s="40" t="str">
        <x:v>EBT less tax</x:v>
      </x:c>
    </x:row>
    <x:row r="17">
      <x:c r="A17" s="38" t="str">
        <x:v>Shares outstanding</x:v>
      </x:c>
      <x:c r="B17" s="111" t="n">
        <x:f>'Tab 1 – Assumptions'!$G$19</x:f>
        <x:v>50000</x:v>
      </x:c>
      <x:c r="C17" s="108"/>
      <x:c r="D17" s="108"/>
      <x:c r="E17" s="108"/>
      <x:c r="F17" s="40" t="str">
        <x:v>Pre shares before; diluted post shares after</x:v>
      </x:c>
    </x:row>
    <x:row r="18">
      <x:c r="A18" s="41" t="str">
        <x:v>Earnings per share</x:v>
      </x:c>
      <x:c r="B18" s="112" t="n">
        <x:f>B16/B17</x:f>
        <x:v>3.285</x:v>
      </x:c>
      <x:c r="C18" s="89"/>
      <x:c r="D18" s="89"/>
      <x:c r="E18" s="89"/>
      <x:c r="F18" s="43" t="str">
        <x:v>Net income divided by shares</x:v>
      </x:c>
    </x:row>
    <x:row r="21" ht="23" customHeight="1">
      <x:c r="A21" s="11" t="str">
        <x:v>EARNINGS AUDIT</x:v>
      </x:c>
      <x:c r="B21" s="11"/>
      <x:c r="C21" s="11"/>
      <x:c r="D21" s="11"/>
      <x:c r="E21" s="11"/>
      <x:c r="F21" s="11"/>
    </x:row>
    <x:row r="22">
      <x:c r="A22" s="16" t="str">
        <x:v>Check</x:v>
      </x:c>
      <x:c r="B22" s="16" t="str">
        <x:v>Pre-IPO</x:v>
      </x:c>
      <x:c r="C22" s="16" t="str">
        <x:v>Scenario A</x:v>
      </x:c>
      <x:c r="D22" s="16" t="str">
        <x:v>Scenario B</x:v>
      </x:c>
      <x:c r="E22" s="16" t="str">
        <x:v>Scenario C</x:v>
      </x:c>
      <x:c r="F22" s="16" t="str">
        <x:v>Purpose</x:v>
      </x:c>
    </x:row>
    <x:row r="23">
      <x:c r="A23" s="35" t="str">
        <x:v>Net income identity</x:v>
      </x:c>
      <x:c r="B23" s="106" t="str">
        <x:f>IF(B16="","BUILD",IF(ABS(B16-(B14-B15))&lt;='Tab 1 – Assumptions'!$B$12,"PASS","CHECK"))</x:f>
        <x:v>PASS</x:v>
      </x:c>
      <x:c r="C23" s="106" t="str">
        <x:f>IF(C16="","BUILD",IF(ABS(C16-(C14-C15))&lt;='Tab 1 – Assumptions'!$B$12,"PASS","CHECK"))</x:f>
        <x:v>BUILD</x:v>
      </x:c>
      <x:c r="D23" s="106" t="str">
        <x:f>IF(D16="","BUILD",IF(ABS(D16-(D14-D15))&lt;='Tab 1 – Assumptions'!$B$12,"PASS","CHECK"))</x:f>
        <x:v>BUILD</x:v>
      </x:c>
      <x:c r="E23" s="106" t="str">
        <x:f>IF(E16="","BUILD",IF(ABS(E16-(E14-E15))&lt;='Tab 1 – Assumptions'!$B$12,"PASS","CHECK"))</x:f>
        <x:v>BUILD</x:v>
      </x:c>
      <x:c r="F23" s="37" t="str">
        <x:v>Net income equals EBT less tax</x:v>
      </x:c>
    </x:row>
    <x:row r="24">
      <x:c r="A24" s="38" t="str">
        <x:v>Interest consistency</x:v>
      </x:c>
      <x:c r="B24" s="106" t="str">
        <x:f>IF(B13="","BUILD",IF(ABS(B13-(B11*'Tab 1 – Assumptions'!$B$10+B12*'Tab 1 – Assumptions'!$B$11))&lt;='Tab 1 – Assumptions'!$B$12,"PASS","CHECK"))</x:f>
        <x:v>PASS</x:v>
      </x:c>
      <x:c r="C24" s="106" t="str">
        <x:f>IF(C13="","BUILD",IF(ABS(C13-(C11*'Tab 1 – Assumptions'!$B$10+C12*'Tab 1 – Assumptions'!$B$11))&lt;='Tab 1 – Assumptions'!$B$12,"PASS","CHECK"))</x:f>
        <x:v>BUILD</x:v>
      </x:c>
      <x:c r="D24" s="106" t="str">
        <x:f>IF(D13="","BUILD",IF(ABS(D13-(D11*'Tab 1 – Assumptions'!$B$10+D12*'Tab 1 – Assumptions'!$B$11))&lt;='Tab 1 – Assumptions'!$B$12,"PASS","CHECK"))</x:f>
        <x:v>BUILD</x:v>
      </x:c>
      <x:c r="E24" s="106" t="str">
        <x:f>IF(E13="","BUILD",IF(ABS(E13-(E11*'Tab 1 – Assumptions'!$B$10+E12*'Tab 1 – Assumptions'!$B$11))&lt;='Tab 1 – Assumptions'!$B$12,"PASS","CHECK"))</x:f>
        <x:v>BUILD</x:v>
      </x:c>
      <x:c r="F24" s="40" t="str">
        <x:v>Interest equals short- and long-term debt times stated rates</x:v>
      </x:c>
    </x:row>
    <x:row r="25">
      <x:c r="A25" s="41" t="str">
        <x:v>EPS identity</x:v>
      </x:c>
      <x:c r="B25" s="106" t="str">
        <x:f>IF(B18="","BUILD",IF(ABS(B18*B17-B16)&lt;='Tab 1 – Assumptions'!$B$12,"PASS","CHECK"))</x:f>
        <x:v>PASS</x:v>
      </x:c>
      <x:c r="C25" s="106" t="str">
        <x:f>IF(C18="","BUILD",IF(ABS(C18*C17-C16)&lt;='Tab 1 – Assumptions'!$B$12,"PASS","CHECK"))</x:f>
        <x:v>BUILD</x:v>
      </x:c>
      <x:c r="D25" s="106" t="str">
        <x:f>IF(D18="","BUILD",IF(ABS(D18*D17-D16)&lt;='Tab 1 – Assumptions'!$B$12,"PASS","CHECK"))</x:f>
        <x:v>BUILD</x:v>
      </x:c>
      <x:c r="E25" s="106" t="str">
        <x:f>IF(E18="","BUILD",IF(ABS(E18*E17-E16)&lt;='Tab 1 – Assumptions'!$B$12,"PASS","CHECK"))</x:f>
        <x:v>BUILD</x:v>
      </x:c>
      <x:c r="F25" s="43" t="str">
        <x:v>EPS times shares equals net income</x:v>
      </x:c>
    </x:row>
  </x:sheetData>
  <x:mergeCells>
    <x:mergeCell ref="A1:F1"/>
    <x:mergeCell ref="A2:F2"/>
    <x:mergeCell ref="A4:F4"/>
    <x:mergeCell ref="A21:F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50" hidden="0" customWidth="1"/>
  </x:cols>
  <x:sheetData>
    <x:row r="1" ht="31" customHeight="1">
      <x:c r="A1" s="4" t="str">
        <x:v>APEX TECHNOLOGY CORPORATION — RATIO &amp; PER-SHARE ANALYSIS</x:v>
      </x:c>
      <x:c r="B1" s="4"/>
      <x:c r="C1" s="4"/>
      <x:c r="D1" s="4"/>
      <x:c r="E1" s="4"/>
      <x:c r="F1" s="4"/>
      <x:c r="G1" s="4"/>
    </x:row>
    <x:row r="2" ht="30" customHeight="1">
      <x:c r="A2" s="9" t="str">
        <x:v>Audit each definition and denominator, calculate the pre-IPO baseline, compare all three deployment scenarios, and explain the trade-offs.</x:v>
      </x:c>
      <x:c r="B2" s="9"/>
      <x:c r="C2" s="9"/>
      <x:c r="D2" s="9"/>
      <x:c r="E2" s="9"/>
      <x:c r="F2" s="9"/>
      <x:c r="G2" s="9"/>
    </x:row>
    <x:row r="4" ht="23" customHeight="1">
      <x:c r="A4" s="11" t="str">
        <x:v>AUDITED DEFINITIONS — BUILD EVERY VALUE WITH LINKED FORMULAS</x:v>
      </x:c>
      <x:c r="B4" s="11"/>
      <x:c r="C4" s="11"/>
      <x:c r="D4" s="11"/>
      <x:c r="E4" s="11"/>
      <x:c r="F4" s="11"/>
      <x:c r="G4" s="11"/>
    </x:row>
    <x:row r="5">
      <x:c r="A5" s="16" t="str">
        <x:v>Metric</x:v>
      </x:c>
      <x:c r="B5" s="16" t="str">
        <x:v>Definition / denominator</x:v>
      </x:c>
      <x:c r="C5" s="16" t="str">
        <x:v>Pre-IPO</x:v>
      </x:c>
      <x:c r="D5" s="16" t="str">
        <x:v>Scenario A</x:v>
      </x:c>
      <x:c r="E5" s="16" t="str">
        <x:v>Scenario B</x:v>
      </x:c>
      <x:c r="F5" s="16" t="str">
        <x:v>Scenario C</x:v>
      </x:c>
      <x:c r="G5" s="16" t="str">
        <x:v>Interpretation / decision relevance</x:v>
      </x:c>
    </x:row>
    <x:row r="6" ht="38" customHeight="1">
      <x:c r="A6" s="35" t="str">
        <x:v>Debt-to-equity</x:v>
      </x:c>
      <x:c r="B6" s="36" t="str">
        <x:v>Interest-bearing debt / common equity</x:v>
      </x:c>
      <x:c r="C6" s="113"/>
      <x:c r="D6" s="113"/>
      <x:c r="E6" s="113"/>
      <x:c r="F6" s="113"/>
      <x:c r="G6" s="86"/>
    </x:row>
    <x:row r="7" ht="38" customHeight="1">
      <x:c r="A7" s="38" t="str">
        <x:v>Current ratio</x:v>
      </x:c>
      <x:c r="B7" s="39" t="str">
        <x:v>Current assets / current liabilities</x:v>
      </x:c>
      <x:c r="C7" s="113"/>
      <x:c r="D7" s="113"/>
      <x:c r="E7" s="113"/>
      <x:c r="F7" s="113"/>
      <x:c r="G7" s="86"/>
    </x:row>
    <x:row r="8" ht="38" customHeight="1">
      <x:c r="A8" s="38" t="str">
        <x:v>Interest coverage</x:v>
      </x:c>
      <x:c r="B8" s="39" t="str">
        <x:v>EBIT / interest expense; N/M when interest is zero</x:v>
      </x:c>
      <x:c r="C8" s="113"/>
      <x:c r="D8" s="113"/>
      <x:c r="E8" s="113"/>
      <x:c r="F8" s="113"/>
      <x:c r="G8" s="86"/>
    </x:row>
    <x:row r="9" ht="38" customHeight="1">
      <x:c r="A9" s="38" t="str">
        <x:v>ROE (simplified)</x:v>
      </x:c>
      <x:c r="B9" s="39" t="str">
        <x:v>Net income / ending common equity</x:v>
      </x:c>
      <x:c r="C9" s="102"/>
      <x:c r="D9" s="102"/>
      <x:c r="E9" s="102"/>
      <x:c r="F9" s="102"/>
      <x:c r="G9" s="86"/>
    </x:row>
    <x:row r="10" ht="38" customHeight="1">
      <x:c r="A10" s="38" t="str">
        <x:v>Liabilities-to-assets</x:v>
      </x:c>
      <x:c r="B10" s="39" t="str">
        <x:v>Total liabilities / total assets</x:v>
      </x:c>
      <x:c r="C10" s="102"/>
      <x:c r="D10" s="102"/>
      <x:c r="E10" s="102"/>
      <x:c r="F10" s="102"/>
      <x:c r="G10" s="86"/>
    </x:row>
    <x:row r="11" ht="38" customHeight="1">
      <x:c r="A11" s="38" t="str">
        <x:v>ROA (simplified)</x:v>
      </x:c>
      <x:c r="B11" s="39" t="str">
        <x:v>Net income / ending total assets</x:v>
      </x:c>
      <x:c r="C11" s="102"/>
      <x:c r="D11" s="102"/>
      <x:c r="E11" s="102"/>
      <x:c r="F11" s="102"/>
      <x:c r="G11" s="86"/>
    </x:row>
    <x:row r="12" ht="38" customHeight="1">
      <x:c r="A12" s="38" t="str">
        <x:v>Net profit margin</x:v>
      </x:c>
      <x:c r="B12" s="39" t="str">
        <x:v>Net income / revenue</x:v>
      </x:c>
      <x:c r="C12" s="102"/>
      <x:c r="D12" s="102"/>
      <x:c r="E12" s="102"/>
      <x:c r="F12" s="102"/>
      <x:c r="G12" s="86"/>
    </x:row>
    <x:row r="13" ht="38" customHeight="1">
      <x:c r="A13" s="38" t="str">
        <x:v>Earnings per share</x:v>
      </x:c>
      <x:c r="B13" s="39" t="str">
        <x:v>Net income / diluted shares outstanding</x:v>
      </x:c>
      <x:c r="C13" s="89"/>
      <x:c r="D13" s="89"/>
      <x:c r="E13" s="89"/>
      <x:c r="F13" s="89"/>
      <x:c r="G13" s="86"/>
    </x:row>
    <x:row r="14" ht="38" customHeight="1">
      <x:c r="A14" s="41" t="str">
        <x:v>Book value per share</x:v>
      </x:c>
      <x:c r="B14" s="42" t="str">
        <x:v>Common equity / shares outstanding</x:v>
      </x:c>
      <x:c r="C14" s="89"/>
      <x:c r="D14" s="89"/>
      <x:c r="E14" s="89"/>
      <x:c r="F14" s="89"/>
      <x:c r="G14" s="86"/>
    </x:row>
    <x:row r="17" ht="23" customHeight="1">
      <x:c r="A17" s="11" t="str">
        <x:v>REFLECTION &amp; AUDIT QUESTIONS</x:v>
      </x:c>
      <x:c r="B17" s="11"/>
      <x:c r="C17" s="11"/>
      <x:c r="D17" s="11"/>
      <x:c r="E17" s="11"/>
      <x:c r="F17" s="11"/>
      <x:c r="G17" s="11"/>
    </x:row>
    <x:row r="18" ht="44" customHeight="1">
      <x:c r="A18" s="117" t="str">
        <x:v>Which scenario produces the strongest credit profile, and which linked ratios support that conclusion?</x:v>
      </x:c>
      <x:c r="B18" s="117"/>
      <x:c r="C18" s="86"/>
      <x:c r="D18" s="86"/>
      <x:c r="E18" s="86"/>
      <x:c r="F18" s="86"/>
      <x:c r="G18" s="86"/>
    </x:row>
    <x:row r="19" ht="44" customHeight="1">
      <x:c r="A19" s="117" t="str">
        <x:v>Why can ROE and EPS decline after an IPO even when total net income rises?</x:v>
      </x:c>
      <x:c r="B19" s="117"/>
      <x:c r="C19" s="86"/>
      <x:c r="D19" s="86"/>
      <x:c r="E19" s="86"/>
      <x:c r="F19" s="86"/>
      <x:c r="G19" s="86"/>
    </x:row>
    <x:row r="20" ht="44" customHeight="1">
      <x:c r="A20" s="117" t="str">
        <x:v>Which scenario has the strongest year-one EPS, and what long-run growth trade-off is not captured?</x:v>
      </x:c>
      <x:c r="B20" s="117"/>
      <x:c r="C20" s="86"/>
      <x:c r="D20" s="86"/>
      <x:c r="E20" s="86"/>
      <x:c r="F20" s="86"/>
      <x:c r="G20" s="86"/>
    </x:row>
    <x:row r="21" ht="44" customHeight="1">
      <x:c r="A21" s="117" t="str">
        <x:v>Which ratio is most sensitive to the cash-retained assumption? Trace the numerator and denominator.</x:v>
      </x:c>
      <x:c r="B21" s="117"/>
      <x:c r="C21" s="86"/>
      <x:c r="D21" s="86"/>
      <x:c r="E21" s="86"/>
      <x:c r="F21" s="86"/>
      <x:c r="G21" s="86"/>
    </x:row>
  </x:sheetData>
  <x:mergeCells>
    <x:mergeCell ref="A1:G1"/>
    <x:mergeCell ref="A2:G2"/>
    <x:mergeCell ref="A4:G4"/>
    <x:mergeCell ref="A17:G17"/>
    <x:mergeCell ref="A18:B18"/>
    <x:mergeCell ref="C18:G18"/>
    <x:mergeCell ref="A19:B19"/>
    <x:mergeCell ref="C19:G19"/>
    <x:mergeCell ref="A20:B20"/>
    <x:mergeCell ref="C20:G20"/>
    <x:mergeCell ref="A21:B21"/>
    <x:mergeCell ref="C21:G2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8" hidden="0" customWidth="1"/>
    <x:col min="3" max="3" width="18" hidden="0" customWidth="1"/>
    <x:col min="4" max="4" width="18" hidden="0" customWidth="1"/>
    <x:col min="5" max="5" width="17" hidden="0" customWidth="1"/>
    <x:col min="6" max="6" width="48" hidden="0" customWidth="1"/>
  </x:cols>
  <x:sheetData>
    <x:row r="1" ht="31" customHeight="1">
      <x:c r="A1" s="4" t="str">
        <x:v>APEX TECHNOLOGY CORPORATION — IPO SOURCES, USES &amp; SCENARIO RECOMMENDATION</x:v>
      </x:c>
      <x:c r="B1" s="4"/>
      <x:c r="C1" s="4"/>
      <x:c r="D1" s="4"/>
      <x:c r="E1" s="4"/>
      <x:c r="F1" s="4"/>
    </x:row>
    <x:row r="2" ht="30" customHeight="1">
      <x:c r="A2" s="9" t="str">
        <x:v>Reconcile the transaction before interpreting it: proceeds, debt, cash, assets, equity, shares, and per-share outcomes must all tie.</x:v>
      </x:c>
      <x:c r="B2" s="9"/>
      <x:c r="C2" s="9"/>
      <x:c r="D2" s="9"/>
      <x:c r="E2" s="9"/>
      <x:c r="F2" s="9"/>
    </x:row>
    <x:row r="4" ht="23" customHeight="1">
      <x:c r="A4" s="11" t="str">
        <x:v>PART A — IPO SOURCES &amp; USES</x:v>
      </x:c>
      <x:c r="B4" s="11"/>
      <x:c r="C4" s="11"/>
      <x:c r="D4" s="11"/>
      <x:c r="E4" s="11"/>
      <x:c r="F4" s="11"/>
    </x:row>
    <x:row r="5">
      <x:c r="A5" s="16" t="str">
        <x:v>Line item</x:v>
      </x:c>
      <x:c r="B5" s="16" t="str">
        <x:v>Scenario A</x:v>
      </x:c>
      <x:c r="C5" s="16" t="str">
        <x:v>Scenario B</x:v>
      </x:c>
      <x:c r="D5" s="16" t="str">
        <x:v>Scenario C</x:v>
      </x:c>
      <x:c r="E5" s="16" t="str">
        <x:v>Units</x:v>
      </x:c>
      <x:c r="F5" s="16" t="str">
        <x:v>Formula logic</x:v>
      </x:c>
    </x:row>
    <x:row r="6">
      <x:c r="A6" s="35" t="str">
        <x:v>Gross proceeds</x:v>
      </x:c>
      <x:c r="B6" s="92"/>
      <x:c r="C6" s="92"/>
      <x:c r="D6" s="92"/>
      <x:c r="E6" s="36" t="str">
        <x:v>$000s</x:v>
      </x:c>
      <x:c r="F6" s="37" t="str">
        <x:v>Offer price × new shares</x:v>
      </x:c>
    </x:row>
    <x:row r="7">
      <x:c r="A7" s="38" t="str">
        <x:v>Less: issuance fees</x:v>
      </x:c>
      <x:c r="B7" s="92"/>
      <x:c r="C7" s="92"/>
      <x:c r="D7" s="92"/>
      <x:c r="E7" s="39" t="str">
        <x:v>$000s</x:v>
      </x:c>
      <x:c r="F7" s="40" t="str">
        <x:v>Explicit assumption; no fees hidden</x:v>
      </x:c>
    </x:row>
    <x:row r="8">
      <x:c r="A8" s="38" t="str">
        <x:v>Net proceeds available</x:v>
      </x:c>
      <x:c r="B8" s="92"/>
      <x:c r="C8" s="92"/>
      <x:c r="D8" s="92"/>
      <x:c r="E8" s="39" t="str">
        <x:v>$000s</x:v>
      </x:c>
      <x:c r="F8" s="40" t="str">
        <x:v>Gross proceeds less fees</x:v>
      </x:c>
    </x:row>
    <x:row r="9">
      <x:c r="A9" s="38" t="str">
        <x:v>Debt repayment</x:v>
      </x:c>
      <x:c r="B9" s="92"/>
      <x:c r="C9" s="92"/>
      <x:c r="D9" s="92"/>
      <x:c r="E9" s="39" t="str">
        <x:v>$000s</x:v>
      </x:c>
      <x:c r="F9" s="40" t="str">
        <x:v>Link to scenario assumptions</x:v>
      </x:c>
    </x:row>
    <x:row r="10">
      <x:c r="A10" s="38" t="str">
        <x:v>Growth capex / operating assets</x:v>
      </x:c>
      <x:c r="B10" s="92"/>
      <x:c r="C10" s="92"/>
      <x:c r="D10" s="92"/>
      <x:c r="E10" s="39" t="str">
        <x:v>$000s</x:v>
      </x:c>
      <x:c r="F10" s="40" t="str">
        <x:v>Link to scenario assumptions</x:v>
      </x:c>
    </x:row>
    <x:row r="11">
      <x:c r="A11" s="38" t="str">
        <x:v>Cash retained</x:v>
      </x:c>
      <x:c r="B11" s="92"/>
      <x:c r="C11" s="92"/>
      <x:c r="D11" s="92"/>
      <x:c r="E11" s="39" t="str">
        <x:v>$000s</x:v>
      </x:c>
      <x:c r="F11" s="40" t="str">
        <x:v>Link to scenario assumptions</x:v>
      </x:c>
    </x:row>
    <x:row r="12">
      <x:c r="A12" s="38" t="str">
        <x:v>Total uses</x:v>
      </x:c>
      <x:c r="B12" s="92"/>
      <x:c r="C12" s="92"/>
      <x:c r="D12" s="92"/>
      <x:c r="E12" s="39" t="str">
        <x:v>$000s</x:v>
      </x:c>
      <x:c r="F12" s="40" t="str">
        <x:v>Debt repayment plus capex plus cash retained</x:v>
      </x:c>
    </x:row>
    <x:row r="13">
      <x:c r="A13" s="41" t="str">
        <x:v>Sources less uses</x:v>
      </x:c>
      <x:c r="B13" s="92"/>
      <x:c r="C13" s="92"/>
      <x:c r="D13" s="92"/>
      <x:c r="E13" s="42" t="str">
        <x:v>$000s</x:v>
      </x:c>
      <x:c r="F13" s="43" t="str">
        <x:v>Must equal zero</x:v>
      </x:c>
    </x:row>
    <x:row r="15" ht="23" customHeight="1">
      <x:c r="A15" s="11" t="str">
        <x:v>PART B — POST-TRANSACTION BALANCE SHEET</x:v>
      </x:c>
      <x:c r="B15" s="11"/>
      <x:c r="C15" s="11"/>
      <x:c r="D15" s="11"/>
      <x:c r="E15" s="11"/>
      <x:c r="F15" s="11"/>
    </x:row>
    <x:row r="16">
      <x:c r="A16" s="16" t="str">
        <x:v>Line item</x:v>
      </x:c>
      <x:c r="B16" s="16" t="str">
        <x:v>Scenario A</x:v>
      </x:c>
      <x:c r="C16" s="16" t="str">
        <x:v>Scenario B</x:v>
      </x:c>
      <x:c r="D16" s="16" t="str">
        <x:v>Scenario C</x:v>
      </x:c>
      <x:c r="E16" s="16" t="str">
        <x:v>Units</x:v>
      </x:c>
      <x:c r="F16" s="16" t="str">
        <x:v>Formula logic</x:v>
      </x:c>
    </x:row>
    <x:row r="17">
      <x:c r="A17" s="35" t="str">
        <x:v>Cash &amp; equivalents</x:v>
      </x:c>
      <x:c r="B17" s="92"/>
      <x:c r="C17" s="92"/>
      <x:c r="D17" s="92"/>
      <x:c r="E17" s="36" t="str">
        <x:v>$000s</x:v>
      </x:c>
      <x:c r="F17" s="37" t="str">
        <x:v>Pre cash + net proceeds − debt repayment − capex</x:v>
      </x:c>
    </x:row>
    <x:row r="18">
      <x:c r="A18" s="38" t="str">
        <x:v>Accounts receivable</x:v>
      </x:c>
      <x:c r="B18" s="92"/>
      <x:c r="C18" s="92"/>
      <x:c r="D18" s="92"/>
      <x:c r="E18" s="39" t="str">
        <x:v>$000s</x:v>
      </x:c>
      <x:c r="F18" s="40" t="str">
        <x:v>No closing adjustment in case</x:v>
      </x:c>
    </x:row>
    <x:row r="19">
      <x:c r="A19" s="38" t="str">
        <x:v>Inventory</x:v>
      </x:c>
      <x:c r="B19" s="92"/>
      <x:c r="C19" s="92"/>
      <x:c r="D19" s="92"/>
      <x:c r="E19" s="39" t="str">
        <x:v>$000s</x:v>
      </x:c>
      <x:c r="F19" s="40" t="str">
        <x:v>No closing adjustment in case</x:v>
      </x:c>
    </x:row>
    <x:row r="20">
      <x:c r="A20" s="38" t="str">
        <x:v>Total current assets</x:v>
      </x:c>
      <x:c r="B20" s="92"/>
      <x:c r="C20" s="92"/>
      <x:c r="D20" s="92"/>
      <x:c r="E20" s="39" t="str">
        <x:v>$000s</x:v>
      </x:c>
      <x:c r="F20" s="40" t="str">
        <x:v>Cash plus receivables plus inventory</x:v>
      </x:c>
    </x:row>
    <x:row r="21">
      <x:c r="A21" s="38" t="str">
        <x:v>Property, plant &amp; equipment</x:v>
      </x:c>
      <x:c r="B21" s="92"/>
      <x:c r="C21" s="92"/>
      <x:c r="D21" s="92"/>
      <x:c r="E21" s="39" t="str">
        <x:v>$000s</x:v>
      </x:c>
      <x:c r="F21" s="40" t="str">
        <x:v>Pre PP&amp;E plus growth capex / operating assets</x:v>
      </x:c>
    </x:row>
    <x:row r="22">
      <x:c r="A22" s="38" t="str">
        <x:v>Intangibles &amp; goodwill</x:v>
      </x:c>
      <x:c r="B22" s="92"/>
      <x:c r="C22" s="92"/>
      <x:c r="D22" s="92"/>
      <x:c r="E22" s="39" t="str">
        <x:v>$000s</x:v>
      </x:c>
      <x:c r="F22" s="40" t="str">
        <x:v>No closing adjustment in case</x:v>
      </x:c>
    </x:row>
    <x:row r="23">
      <x:c r="A23" s="38" t="str">
        <x:v>Total assets</x:v>
      </x:c>
      <x:c r="B23" s="92"/>
      <x:c r="C23" s="92"/>
      <x:c r="D23" s="92"/>
      <x:c r="E23" s="39" t="str">
        <x:v>$000s</x:v>
      </x:c>
      <x:c r="F23" s="40" t="str">
        <x:v>Current assets plus PP&amp;E plus intangibles</x:v>
      </x:c>
    </x:row>
    <x:row r="24">
      <x:c r="A24" s="38" t="str">
        <x:v>Accounts payable</x:v>
      </x:c>
      <x:c r="B24" s="92"/>
      <x:c r="C24" s="92"/>
      <x:c r="D24" s="92"/>
      <x:c r="E24" s="39" t="str">
        <x:v>$000s</x:v>
      </x:c>
      <x:c r="F24" s="40" t="str">
        <x:v>No closing adjustment in case</x:v>
      </x:c>
    </x:row>
    <x:row r="25">
      <x:c r="A25" s="38" t="str">
        <x:v>Short-term debt</x:v>
      </x:c>
      <x:c r="B25" s="92"/>
      <x:c r="C25" s="92"/>
      <x:c r="D25" s="92"/>
      <x:c r="E25" s="39" t="str">
        <x:v>$000s</x:v>
      </x:c>
      <x:c r="F25" s="40" t="str">
        <x:v>Link to scenario earnings debt schedule</x:v>
      </x:c>
    </x:row>
    <x:row r="26">
      <x:c r="A26" s="38" t="str">
        <x:v>Long-term debt</x:v>
      </x:c>
      <x:c r="B26" s="92"/>
      <x:c r="C26" s="92"/>
      <x:c r="D26" s="92"/>
      <x:c r="E26" s="39" t="str">
        <x:v>$000s</x:v>
      </x:c>
      <x:c r="F26" s="40" t="str">
        <x:v>Link to scenario earnings debt schedule</x:v>
      </x:c>
    </x:row>
    <x:row r="27">
      <x:c r="A27" s="38" t="str">
        <x:v>Total liabilities</x:v>
      </x:c>
      <x:c r="B27" s="92"/>
      <x:c r="C27" s="92"/>
      <x:c r="D27" s="92"/>
      <x:c r="E27" s="39" t="str">
        <x:v>$000s</x:v>
      </x:c>
      <x:c r="F27" s="40" t="str">
        <x:v>Accounts payable plus debt</x:v>
      </x:c>
    </x:row>
    <x:row r="28">
      <x:c r="A28" s="38" t="str">
        <x:v>Common equity</x:v>
      </x:c>
      <x:c r="B28" s="92"/>
      <x:c r="C28" s="92"/>
      <x:c r="D28" s="92"/>
      <x:c r="E28" s="39" t="str">
        <x:v>$000s</x:v>
      </x:c>
      <x:c r="F28" s="40" t="str">
        <x:v>Pre common equity plus net primary proceeds</x:v>
      </x:c>
    </x:row>
    <x:row r="29">
      <x:c r="A29" s="41" t="str">
        <x:v>Total liabilities &amp; equity</x:v>
      </x:c>
      <x:c r="B29" s="92"/>
      <x:c r="C29" s="92"/>
      <x:c r="D29" s="92"/>
      <x:c r="E29" s="42" t="str">
        <x:v>$000s</x:v>
      </x:c>
      <x:c r="F29" s="43" t="str">
        <x:v>Total liabilities plus common equity</x:v>
      </x:c>
    </x:row>
    <x:row r="31" ht="23" customHeight="1">
      <x:c r="A31" s="11" t="str">
        <x:v>PART C — CAPITAL STRUCTURE &amp; PER-SHARE EFFECTS</x:v>
      </x:c>
      <x:c r="B31" s="11"/>
      <x:c r="C31" s="11"/>
      <x:c r="D31" s="11"/>
      <x:c r="E31" s="11"/>
      <x:c r="F31" s="11"/>
    </x:row>
    <x:row r="32">
      <x:c r="A32" s="16" t="str">
        <x:v>Metric</x:v>
      </x:c>
      <x:c r="B32" s="16" t="str">
        <x:v>Scenario A</x:v>
      </x:c>
      <x:c r="C32" s="16" t="str">
        <x:v>Scenario B</x:v>
      </x:c>
      <x:c r="D32" s="16" t="str">
        <x:v>Scenario C</x:v>
      </x:c>
      <x:c r="E32" s="16" t="str">
        <x:v>Units</x:v>
      </x:c>
      <x:c r="F32" s="16" t="str">
        <x:v>Formula logic</x:v>
      </x:c>
    </x:row>
    <x:row r="33">
      <x:c r="A33" s="35" t="str">
        <x:v>Pre-money enterprise value</x:v>
      </x:c>
      <x:c r="B33" s="92"/>
      <x:c r="C33" s="92"/>
      <x:c r="D33" s="92"/>
      <x:c r="E33" s="36" t="str">
        <x:v>$000s</x:v>
      </x:c>
      <x:c r="F33" s="37" t="str">
        <x:v>Link to FCFF valuation</x:v>
      </x:c>
    </x:row>
    <x:row r="34">
      <x:c r="A34" s="38" t="str">
        <x:v>Post-money enterprise value</x:v>
      </x:c>
      <x:c r="B34" s="92"/>
      <x:c r="C34" s="92"/>
      <x:c r="D34" s="92"/>
      <x:c r="E34" s="39" t="str">
        <x:v>$000s</x:v>
      </x:c>
      <x:c r="F34" s="40" t="str">
        <x:v>Pre EV plus capex × recognition assumption</x:v>
      </x:c>
    </x:row>
    <x:row r="35">
      <x:c r="A35" s="38" t="str">
        <x:v>Post-IPO total debt</x:v>
      </x:c>
      <x:c r="B35" s="92"/>
      <x:c r="C35" s="92"/>
      <x:c r="D35" s="92"/>
      <x:c r="E35" s="39" t="str">
        <x:v>$000s</x:v>
      </x:c>
      <x:c r="F35" s="40" t="str">
        <x:v>Short-term plus long-term debt</x:v>
      </x:c>
    </x:row>
    <x:row r="36">
      <x:c r="A36" s="38" t="str">
        <x:v>Post-IPO cash</x:v>
      </x:c>
      <x:c r="B36" s="92"/>
      <x:c r="C36" s="92"/>
      <x:c r="D36" s="92"/>
      <x:c r="E36" s="39" t="str">
        <x:v>$000s</x:v>
      </x:c>
      <x:c r="F36" s="40" t="str">
        <x:v>Link to post-transaction balance sheet</x:v>
      </x:c>
    </x:row>
    <x:row r="37">
      <x:c r="A37" s="38" t="str">
        <x:v>Post-money equity value</x:v>
      </x:c>
      <x:c r="B37" s="92"/>
      <x:c r="C37" s="92"/>
      <x:c r="D37" s="92"/>
      <x:c r="E37" s="39" t="str">
        <x:v>$000s</x:v>
      </x:c>
      <x:c r="F37" s="40" t="str">
        <x:v>Post EV less debt plus cash</x:v>
      </x:c>
    </x:row>
    <x:row r="38">
      <x:c r="A38" s="38" t="str">
        <x:v>Post-IPO shares</x:v>
      </x:c>
      <x:c r="B38" s="108"/>
      <x:c r="C38" s="108"/>
      <x:c r="D38" s="108"/>
      <x:c r="E38" s="39" t="str">
        <x:v>000s shares</x:v>
      </x:c>
      <x:c r="F38" s="40" t="str">
        <x:v>Pre shares plus new shares</x:v>
      </x:c>
    </x:row>
    <x:row r="39">
      <x:c r="A39" s="38" t="str">
        <x:v>Modeled post-money value / share</x:v>
      </x:c>
      <x:c r="B39" s="89"/>
      <x:c r="C39" s="89"/>
      <x:c r="D39" s="89"/>
      <x:c r="E39" s="39" t="str">
        <x:v>$ / share</x:v>
      </x:c>
      <x:c r="F39" s="40" t="str">
        <x:v>Post-money equity value divided by post shares</x:v>
      </x:c>
    </x:row>
    <x:row r="40">
      <x:c r="A40" s="38" t="str">
        <x:v>Earnings per share</x:v>
      </x:c>
      <x:c r="B40" s="89"/>
      <x:c r="C40" s="89"/>
      <x:c r="D40" s="89"/>
      <x:c r="E40" s="39" t="str">
        <x:v>$ / share</x:v>
      </x:c>
      <x:c r="F40" s="40" t="str">
        <x:v>Scenario net income divided by post shares</x:v>
      </x:c>
    </x:row>
    <x:row r="41">
      <x:c r="A41" s="38" t="str">
        <x:v>Book value per share</x:v>
      </x:c>
      <x:c r="B41" s="89"/>
      <x:c r="C41" s="89"/>
      <x:c r="D41" s="89"/>
      <x:c r="E41" s="39" t="str">
        <x:v>$ / share</x:v>
      </x:c>
      <x:c r="F41" s="40" t="str">
        <x:v>Post common equity divided by post shares</x:v>
      </x:c>
    </x:row>
    <x:row r="42">
      <x:c r="A42" s="38" t="str">
        <x:v>Prior-holder ownership</x:v>
      </x:c>
      <x:c r="B42" s="102"/>
      <x:c r="C42" s="102"/>
      <x:c r="D42" s="102"/>
      <x:c r="E42" s="39" t="str">
        <x:v>%</x:v>
      </x:c>
      <x:c r="F42" s="40" t="str">
        <x:v>Pre shares divided by post shares</x:v>
      </x:c>
    </x:row>
    <x:row r="43" ht="32" customHeight="1">
      <x:c r="A43" s="122" t="str">
        <x:v>Offer premium / (discount) to modeled post-money value</x:v>
      </x:c>
      <x:c r="B43" s="102"/>
      <x:c r="C43" s="102"/>
      <x:c r="D43" s="102"/>
      <x:c r="E43" s="123" t="str">
        <x:v>%</x:v>
      </x:c>
      <x:c r="F43" s="124" t="str">
        <x:v>Offer price divided by modeled value less one</x:v>
      </x:c>
    </x:row>
    <x:row r="45" ht="23" customHeight="1">
      <x:c r="A45" s="11" t="str">
        <x:v>PART D — TIE-OUT CHECKS</x:v>
      </x:c>
      <x:c r="B45" s="11"/>
      <x:c r="C45" s="11"/>
      <x:c r="D45" s="11"/>
      <x:c r="E45" s="11"/>
      <x:c r="F45" s="11"/>
    </x:row>
    <x:row r="46">
      <x:c r="A46" s="16" t="str">
        <x:v>Check</x:v>
      </x:c>
      <x:c r="B46" s="16" t="str">
        <x:v>Scenario A</x:v>
      </x:c>
      <x:c r="C46" s="16" t="str">
        <x:v>Scenario B</x:v>
      </x:c>
      <x:c r="D46" s="16" t="str">
        <x:v>Scenario C</x:v>
      </x:c>
      <x:c r="E46" s="16" t="str">
        <x:v>Tolerance</x:v>
      </x:c>
      <x:c r="F46" s="16" t="str">
        <x:v>What it proves</x:v>
      </x:c>
    </x:row>
    <x:row r="47">
      <x:c r="A47" s="35" t="str">
        <x:v>Sources = uses</x:v>
      </x:c>
      <x:c r="B47" s="106" t="str">
        <x:f>IF(B13="","BUILD",IF(ABS(B13)&lt;='Tab 1 – Assumptions'!$B$12,"PASS","CHECK"))</x:f>
        <x:v>BUILD</x:v>
      </x:c>
      <x:c r="C47" s="106" t="str">
        <x:f>IF(C13="","BUILD",IF(ABS(C13)&lt;='Tab 1 – Assumptions'!$B$12,"PASS","CHECK"))</x:f>
        <x:v>BUILD</x:v>
      </x:c>
      <x:c r="D47" s="106" t="str">
        <x:f>IF(D13="","BUILD",IF(ABS(D13)&lt;='Tab 1 – Assumptions'!$B$12,"PASS","CHECK"))</x:f>
        <x:v>BUILD</x:v>
      </x:c>
      <x:c r="E47" s="36" t="str">
        <x:v>$000s</x:v>
      </x:c>
      <x:c r="F47" s="37" t="str">
        <x:v>Net proceeds are fully deployed or retained</x:v>
      </x:c>
    </x:row>
    <x:row r="48">
      <x:c r="A48" s="38" t="str">
        <x:v>Debt roll-forward</x:v>
      </x:c>
      <x:c r="B48" s="106" t="str">
        <x:f>IF(B35="","BUILD",IF(ABS('Tab 1 – Assumptions'!$B$40-B9-B35)&lt;='Tab 1 – Assumptions'!$B$12,"PASS","CHECK"))</x:f>
        <x:v>BUILD</x:v>
      </x:c>
      <x:c r="C48" s="106" t="str">
        <x:f>IF(C35="","BUILD",IF(ABS('Tab 1 – Assumptions'!$B$40-C9-C35)&lt;='Tab 1 – Assumptions'!$B$12,"PASS","CHECK"))</x:f>
        <x:v>BUILD</x:v>
      </x:c>
      <x:c r="D48" s="106" t="str">
        <x:f>IF(D35="","BUILD",IF(ABS('Tab 1 – Assumptions'!$B$40-D9-D35)&lt;='Tab 1 – Assumptions'!$B$12,"PASS","CHECK"))</x:f>
        <x:v>BUILD</x:v>
      </x:c>
      <x:c r="E48" s="39" t="str">
        <x:v>$000s</x:v>
      </x:c>
      <x:c r="F48" s="40" t="str">
        <x:v>Pre debt less repayment equals post debt</x:v>
      </x:c>
    </x:row>
    <x:row r="49">
      <x:c r="A49" s="38" t="str">
        <x:v>New equity</x:v>
      </x:c>
      <x:c r="B49" s="106" t="str">
        <x:f>IF(B28="","BUILD",IF(ABS(B28-'Tab 1 – Assumptions'!$B$38-B8)&lt;='Tab 1 – Assumptions'!$B$12,"PASS","CHECK"))</x:f>
        <x:v>BUILD</x:v>
      </x:c>
      <x:c r="C49" s="106" t="str">
        <x:f>IF(C28="","BUILD",IF(ABS(C28-'Tab 1 – Assumptions'!$B$38-C8)&lt;='Tab 1 – Assumptions'!$B$12,"PASS","CHECK"))</x:f>
        <x:v>BUILD</x:v>
      </x:c>
      <x:c r="D49" s="106" t="str">
        <x:f>IF(D28="","BUILD",IF(ABS(D28-'Tab 1 – Assumptions'!$B$38-D8)&lt;='Tab 1 – Assumptions'!$B$12,"PASS","CHECK"))</x:f>
        <x:v>BUILD</x:v>
      </x:c>
      <x:c r="E49" s="39" t="str">
        <x:v>$000s</x:v>
      </x:c>
      <x:c r="F49" s="40" t="str">
        <x:v>Post book equity equals pre equity plus net proceeds</x:v>
      </x:c>
    </x:row>
    <x:row r="50">
      <x:c r="A50" s="38" t="str">
        <x:v>Balance sheet</x:v>
      </x:c>
      <x:c r="B50" s="106" t="str">
        <x:f>IF(B23="","BUILD",IF(ABS(B23-B29)&lt;='Tab 1 – Assumptions'!$B$12,"PASS","CHECK"))</x:f>
        <x:v>BUILD</x:v>
      </x:c>
      <x:c r="C50" s="106" t="str">
        <x:f>IF(C23="","BUILD",IF(ABS(C23-C29)&lt;='Tab 1 – Assumptions'!$B$12,"PASS","CHECK"))</x:f>
        <x:v>BUILD</x:v>
      </x:c>
      <x:c r="D50" s="106" t="str">
        <x:f>IF(D23="","BUILD",IF(ABS(D23-D29)&lt;='Tab 1 – Assumptions'!$B$12,"PASS","CHECK"))</x:f>
        <x:v>BUILD</x:v>
      </x:c>
      <x:c r="E50" s="39" t="str">
        <x:v>$000s</x:v>
      </x:c>
      <x:c r="F50" s="40" t="str">
        <x:v>Assets equal liabilities plus equity</x:v>
      </x:c>
    </x:row>
    <x:row r="51">
      <x:c r="A51" s="38" t="str">
        <x:v>Share count</x:v>
      </x:c>
      <x:c r="B51" s="106" t="str">
        <x:f>IF(B38="","BUILD",IF(ABS(B38-'Tab 1 – Assumptions'!$G$19-'Tab 1 – Assumptions'!$G$15)&lt;='Tab 1 – Assumptions'!$B$12,"PASS","CHECK"))</x:f>
        <x:v>BUILD</x:v>
      </x:c>
      <x:c r="C51" s="106" t="str">
        <x:f>IF(C38="","BUILD",IF(ABS(C38-'Tab 1 – Assumptions'!$G$19-'Tab 1 – Assumptions'!$G$15)&lt;='Tab 1 – Assumptions'!$B$12,"PASS","CHECK"))</x:f>
        <x:v>BUILD</x:v>
      </x:c>
      <x:c r="D51" s="106" t="str">
        <x:f>IF(D38="","BUILD",IF(ABS(D38-'Tab 1 – Assumptions'!$G$19-'Tab 1 – Assumptions'!$G$15)&lt;='Tab 1 – Assumptions'!$B$12,"PASS","CHECK"))</x:f>
        <x:v>BUILD</x:v>
      </x:c>
      <x:c r="E51" s="39" t="str">
        <x:v>000s shares</x:v>
      </x:c>
      <x:c r="F51" s="40" t="str">
        <x:v>Pre shares plus new shares equals post shares</x:v>
      </x:c>
    </x:row>
    <x:row r="52">
      <x:c r="A52" s="41" t="str">
        <x:v>Post-money equity bridge</x:v>
      </x:c>
      <x:c r="B52" s="106" t="str">
        <x:f>IF(B37="","BUILD",IF(ABS(B37-('Tab 2 – Valuation'!$F$14+B8))&lt;='Tab 1 – Assumptions'!$B$12,"PASS","CHECK"))</x:f>
        <x:v>BUILD</x:v>
      </x:c>
      <x:c r="C52" s="106" t="str">
        <x:f>IF(C37="","BUILD",IF(ABS(C37-('Tab 2 – Valuation'!$F$14+C8))&lt;='Tab 1 – Assumptions'!$B$12,"PASS","CHECK"))</x:f>
        <x:v>BUILD</x:v>
      </x:c>
      <x:c r="D52" s="106" t="str">
        <x:f>IF(D37="","BUILD",IF(ABS(D37-('Tab 2 – Valuation'!$F$14+D8))&lt;='Tab 1 – Assumptions'!$B$12,"PASS","CHECK"))</x:f>
        <x:v>BUILD</x:v>
      </x:c>
      <x:c r="E52" s="42" t="str">
        <x:v>$000s</x:v>
      </x:c>
      <x:c r="F52" s="43" t="str">
        <x:v>Post-money equity equals pre-money equity plus net proceeds</x:v>
      </x:c>
    </x:row>
    <x:row r="53">
      <x:c r="A53" s="130" t="str">
        <x:v>Per-share identity</x:v>
      </x:c>
      <x:c r="B53" s="106" t="str">
        <x:f>IF(B39="","BUILD",IF(ABS(B39-B37/B38)&lt;='Tab 1 – Assumptions'!$B$13,"PASS","CHECK"))</x:f>
        <x:v>BUILD</x:v>
      </x:c>
      <x:c r="C53" s="106" t="str">
        <x:f>IF(C39="","BUILD",IF(ABS(C39-C37/C38)&lt;='Tab 1 – Assumptions'!$B$13,"PASS","CHECK"))</x:f>
        <x:v>BUILD</x:v>
      </x:c>
      <x:c r="D53" s="106" t="str">
        <x:f>IF(D39="","BUILD",IF(ABS(D39-D37/D38)&lt;='Tab 1 – Assumptions'!$B$13,"PASS","CHECK"))</x:f>
        <x:v>BUILD</x:v>
      </x:c>
      <x:c r="E53" s="131" t="str">
        <x:v>$ / share</x:v>
      </x:c>
      <x:c r="F53" s="132" t="str">
        <x:v>Modeled value per share equals post-money equity value divided by post shares</x:v>
      </x:c>
    </x:row>
    <x:row r="55" ht="23" customHeight="1">
      <x:c r="A55" s="11" t="str">
        <x:v>PART E — EVIDENCE-BASED IPO RECOMMENDATION</x:v>
      </x:c>
      <x:c r="B55" s="11"/>
      <x:c r="C55" s="11"/>
      <x:c r="D55" s="11"/>
      <x:c r="E55" s="11"/>
      <x:c r="F55" s="11"/>
    </x:row>
    <x:row r="56" ht="43" customHeight="1">
      <x:c r="A56" t="str">
        <x:v>Offer-price recommendation</x:v>
      </x:c>
      <x:c r="B56" s="86"/>
      <x:c r="C56" s="86"/>
      <x:c r="D56" s="86"/>
      <x:c r="E56" s="137" t="str">
        <x:v>State approve, reprice, or request evidence. Justify any proposed price or range with explicit scenarios.</x:v>
      </x:c>
      <x:c r="F56" s="137"/>
    </x:row>
    <x:row r="57" ht="43" customHeight="1">
      <x:c r="A57" t="str">
        <x:v>Proceeds deployment</x:v>
      </x:c>
      <x:c r="B57" s="86"/>
      <x:c r="C57" s="86"/>
      <x:c r="D57" s="86"/>
      <x:c r="E57" s="137" t="str">
        <x:v>Choose Scenario A, B, or C; tie the choice to sources-and-uses and strategy.</x:v>
      </x:c>
      <x:c r="F57" s="137"/>
    </x:row>
    <x:row r="58" ht="43" customHeight="1">
      <x:c r="A58" t="str">
        <x:v>Valuation evidence</x:v>
      </x:c>
      <x:c r="B58" s="86"/>
      <x:c r="C58" s="86"/>
      <x:c r="D58" s="86"/>
      <x:c r="E58" s="137" t="str">
        <x:v>Cite at least two models and explain why their results differ.</x:v>
      </x:c>
      <x:c r="F58" s="137"/>
    </x:row>
    <x:row r="59" ht="43" customHeight="1">
      <x:c r="A59" t="str">
        <x:v>Balance-sheet evidence</x:v>
      </x:c>
      <x:c r="B59" s="86"/>
      <x:c r="C59" s="86"/>
      <x:c r="D59" s="86"/>
      <x:c r="E59" s="137" t="str">
        <x:v>Cite at least two reconciled debt, liquidity, or capital-structure outputs.</x:v>
      </x:c>
      <x:c r="F59" s="137"/>
    </x:row>
    <x:row r="60" ht="43" customHeight="1">
      <x:c r="A60" t="str">
        <x:v>Per-share / ratio evidence</x:v>
      </x:c>
      <x:c r="B60" s="86"/>
      <x:c r="C60" s="86"/>
      <x:c r="D60" s="86"/>
      <x:c r="E60" s="137" t="str">
        <x:v>Cite EPS or value per share plus at least one audited ratio.</x:v>
      </x:c>
      <x:c r="F60" s="137"/>
    </x:row>
    <x:row r="61" ht="43" customHeight="1">
      <x:c r="A61" t="str">
        <x:v>Primary risk or limitation</x:v>
      </x:c>
      <x:c r="B61" s="86"/>
      <x:c r="C61" s="86"/>
      <x:c r="D61" s="86"/>
      <x:c r="E61" s="137" t="str">
        <x:v>Identify the assumption most likely to change the decision.</x:v>
      </x:c>
      <x:c r="F61" s="137"/>
    </x:row>
    <x:row r="62" ht="43" customHeight="1">
      <x:c r="A62" t="str">
        <x:v>Monitoring trigger</x:v>
      </x:c>
      <x:c r="B62" s="86"/>
      <x:c r="C62" s="86"/>
      <x:c r="D62" s="86"/>
      <x:c r="E62" s="137" t="str">
        <x:v>State a measurable item that would cause you to revisit price or deployment.</x:v>
      </x:c>
      <x:c r="F62" s="137"/>
    </x:row>
  </x:sheetData>
  <x:mergeCells>
    <x:mergeCell ref="A1:F1"/>
    <x:mergeCell ref="A2:F2"/>
    <x:mergeCell ref="A4:F4"/>
    <x:mergeCell ref="A15:F15"/>
    <x:mergeCell ref="A31:F31"/>
    <x:mergeCell ref="A45:F45"/>
    <x:mergeCell ref="A55:F55"/>
    <x:mergeCell ref="B56:D56"/>
    <x:mergeCell ref="E56:F56"/>
    <x:mergeCell ref="B57:D57"/>
    <x:mergeCell ref="E57:F57"/>
    <x:mergeCell ref="B58:D58"/>
    <x:mergeCell ref="E58:F58"/>
    <x:mergeCell ref="B59:D59"/>
    <x:mergeCell ref="E59:F59"/>
    <x:mergeCell ref="B60:D60"/>
    <x:mergeCell ref="E60:F60"/>
    <x:mergeCell ref="B61:D61"/>
    <x:mergeCell ref="E61:F61"/>
    <x:mergeCell ref="B62:D62"/>
    <x:mergeCell ref="E62:F62"/>
  </x:mergeCells>
  <x:dataValidations count="1">
    <x:dataValidation type="list" sqref="B57">
      <x:formula1>"Scenario A,Scenario B,Scenario C"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5" hidden="0" customWidth="1"/>
    <x:col min="3" max="3" width="20" hidden="0" customWidth="1"/>
    <x:col min="4" max="4" width="15" hidden="0" customWidth="1"/>
    <x:col min="5" max="5" width="15" hidden="0" customWidth="1"/>
    <x:col min="6" max="6" width="36" hidden="0" customWidth="1"/>
  </x:cols>
  <x:sheetData>
    <x:row r="1" ht="31" customHeight="1">
      <x:c r="A1" s="4" t="str">
        <x:v>EQUITY VALUATION &amp; IPO ANALYSIS — WORKFLOW</x:v>
      </x:c>
      <x:c r="B1" s="4"/>
      <x:c r="C1" s="4"/>
      <x:c r="D1" s="4"/>
      <x:c r="E1" s="4"/>
      <x:c r="F1" s="4"/>
    </x:row>
    <x:row r="2" ht="30" customHeight="1">
      <x:c r="A2" s="9" t="str">
        <x:v>BUS311 · valuation-m03-l01 · student starter</x:v>
      </x:c>
      <x:c r="B2" s="9"/>
      <x:c r="C2" s="9"/>
      <x:c r="D2" s="9"/>
      <x:c r="E2" s="9"/>
      <x:c r="F2" s="9"/>
    </x:row>
    <x:row r="4" ht="23" customHeight="1">
      <x:c r="A4" s="11" t="str">
        <x:v>REQUIRED WORKFLOW</x:v>
      </x:c>
      <x:c r="B4" s="11"/>
      <x:c r="C4" s="11"/>
      <x:c r="D4" s="11"/>
      <x:c r="E4" s="11"/>
      <x:c r="F4" s="11"/>
    </x:row>
    <x:row r="5">
      <x:c r="A5" s="16" t="str">
        <x:v>Step</x:v>
      </x:c>
      <x:c r="B5" s="16" t="str">
        <x:v>What to do</x:v>
      </x:c>
      <x:c r="C5" s="16"/>
      <x:c r="D5" s="16"/>
      <x:c r="E5" s="16"/>
      <x:c r="F5" s="16" t="str">
        <x:v>Deliverable</x:v>
      </x:c>
    </x:row>
    <x:row r="6" ht="34" customHeight="1">
      <x:c r="A6" s="138" t="n">
        <x:v>1</x:v>
      </x:c>
      <x:c r="B6" s="141" t="str">
        <x:v>Review the M07 pre-reading and the centralized assumptions tab.</x:v>
      </x:c>
      <x:c r="C6" s="141"/>
      <x:c r="D6" s="141"/>
      <x:c r="E6" s="141"/>
      <x:c r="F6" s="142" t="str">
        <x:v>Confirm units and case facts</x:v>
      </x:c>
    </x:row>
    <x:row r="7" ht="34" customHeight="1">
      <x:c r="A7" s="139" t="n">
        <x:v>2</x:v>
      </x:c>
      <x:c r="B7" s="143" t="str">
        <x:v>Document the comparison-company, market, and discount-rate evidence from FactSet.</x:v>
      </x:c>
      <x:c r="C7" s="143"/>
      <x:c r="D7" s="143"/>
      <x:c r="E7" s="143"/>
      <x:c r="F7" s="144" t="str">
        <x:v>Source record below</x:v>
      </x:c>
    </x:row>
    <x:row r="8" ht="34" customHeight="1">
      <x:c r="A8" s="139" t="n">
        <x:v>3</x:v>
      </x:c>
      <x:c r="B8" s="143" t="str">
        <x:v>Build DDM, FCFF, and relative valuation formulas with cell links only.</x:v>
      </x:c>
      <x:c r="C8" s="143"/>
      <x:c r="D8" s="143"/>
      <x:c r="E8" s="143"/>
      <x:c r="F8" s="144" t="str">
        <x:v>Valuation comparison</x:v>
      </x:c>
    </x:row>
    <x:row r="9" ht="34" customHeight="1">
      <x:c r="A9" s="139" t="n">
        <x:v>4</x:v>
      </x:c>
      <x:c r="B9" s="143" t="str">
        <x:v>Build each scenario's earnings, sources and uses, balance sheet, ratios, and per-share effects.</x:v>
      </x:c>
      <x:c r="C9" s="143"/>
      <x:c r="D9" s="143"/>
      <x:c r="E9" s="143"/>
      <x:c r="F9" s="144" t="str">
        <x:v>Reconciled scenarios</x:v>
      </x:c>
    </x:row>
    <x:row r="10" ht="34" customHeight="1">
      <x:c r="A10" s="139" t="n">
        <x:v>5</x:v>
      </x:c>
      <x:c r="B10" s="143" t="str">
        <x:v>Investigate every CHECK; do not interpret a scenario until all required controls pass.</x:v>
      </x:c>
      <x:c r="C10" s="143"/>
      <x:c r="D10" s="143"/>
      <x:c r="E10" s="143"/>
      <x:c r="F10" s="144" t="str">
        <x:v>PASS controls</x:v>
      </x:c>
    </x:row>
    <x:row r="11" ht="34" customHeight="1">
      <x:c r="A11" s="140" t="n">
        <x:v>6</x:v>
      </x:c>
      <x:c r="B11" s="123" t="str">
        <x:v>Defend an offer-price and proceeds-deployment recommendation with evidence and a monitoring trigger.</x:v>
      </x:c>
      <x:c r="C11" s="123"/>
      <x:c r="D11" s="123"/>
      <x:c r="E11" s="123"/>
      <x:c r="F11" s="124" t="str">
        <x:v>Decision output</x:v>
      </x:c>
    </x:row>
    <x:row r="13" ht="23" customHeight="1">
      <x:c r="A13" s="11" t="str">
        <x:v>FACTSET EVIDENCE LOG</x:v>
      </x:c>
      <x:c r="B13" s="11"/>
      <x:c r="C13" s="11"/>
      <x:c r="D13" s="11"/>
      <x:c r="E13" s="11"/>
      <x:c r="F13" s="11"/>
    </x:row>
    <x:row r="14">
      <x:c r="A14" s="16" t="str">
        <x:v>Input</x:v>
      </x:c>
      <x:c r="B14" s="16" t="str">
        <x:v>Field / definition</x:v>
      </x:c>
      <x:c r="C14" s="16" t="str">
        <x:v>Company / peer set</x:v>
      </x:c>
      <x:c r="D14" s="16" t="str">
        <x:v>Period</x:v>
      </x:c>
      <x:c r="E14" s="16" t="str">
        <x:v>Units / currency</x:v>
      </x:c>
      <x:c r="F14" s="16" t="str">
        <x:v>Source note / retrieval date</x:v>
      </x:c>
    </x:row>
    <x:row r="15" ht="31" customHeight="1">
      <x:c r="A15" s="35" t="str">
        <x:v>Offer / market input</x:v>
      </x:c>
      <x:c r="B15" s="86"/>
      <x:c r="C15" s="86"/>
      <x:c r="D15" s="86"/>
      <x:c r="E15" s="86"/>
      <x:c r="F15" s="86"/>
    </x:row>
    <x:row r="16" ht="31" customHeight="1">
      <x:c r="A16" s="38" t="str">
        <x:v>Financial statement input</x:v>
      </x:c>
      <x:c r="B16" s="86"/>
      <x:c r="C16" s="86"/>
      <x:c r="D16" s="86"/>
      <x:c r="E16" s="86"/>
      <x:c r="F16" s="86"/>
    </x:row>
    <x:row r="17" ht="31" customHeight="1">
      <x:c r="A17" s="38" t="str">
        <x:v>Risk / discount-rate input</x:v>
      </x:c>
      <x:c r="B17" s="86"/>
      <x:c r="C17" s="86"/>
      <x:c r="D17" s="86"/>
      <x:c r="E17" s="86"/>
      <x:c r="F17" s="86"/>
    </x:row>
    <x:row r="18" ht="31" customHeight="1">
      <x:c r="A18" s="38" t="str">
        <x:v>Peer P/E input</x:v>
      </x:c>
      <x:c r="B18" s="86"/>
      <x:c r="C18" s="86"/>
      <x:c r="D18" s="86"/>
      <x:c r="E18" s="86"/>
      <x:c r="F18" s="86"/>
    </x:row>
    <x:row r="19" ht="31" customHeight="1">
      <x:c r="A19" s="41" t="str">
        <x:v>Peer P/S input</x:v>
      </x:c>
      <x:c r="B19" s="86"/>
      <x:c r="C19" s="86"/>
      <x:c r="D19" s="86"/>
      <x:c r="E19" s="86"/>
      <x:c r="F19" s="86"/>
    </x:row>
    <x:row r="21" ht="23" customHeight="1">
      <x:c r="A21" s="11" t="str">
        <x:v>SUBMISSION STANDARD</x:v>
      </x:c>
      <x:c r="B21" s="11"/>
      <x:c r="C21" s="11"/>
      <x:c r="D21" s="11"/>
      <x:c r="E21" s="11"/>
      <x:c r="F21" s="11"/>
    </x:row>
    <x:row r="22">
      <x:c r="A22" s="16" t="str">
        <x:v>Requirement</x:v>
      </x:c>
      <x:c r="B22" s="16" t="str">
        <x:v>Self-check</x:v>
      </x:c>
      <x:c r="C22" s="16"/>
      <x:c r="D22" s="16"/>
      <x:c r="E22" s="16"/>
      <x:c r="F22" s="16" t="str">
        <x:v>Why it matters</x:v>
      </x:c>
    </x:row>
    <x:row r="23">
      <x:c r="A23" s="145" t="str">
        <x:v>No case numbers typed inside calculation formulas</x:v>
      </x:c>
      <x:c r="B23" s="86"/>
      <x:c r="C23" s="86"/>
      <x:c r="D23" s="86"/>
      <x:c r="E23" s="86"/>
      <x:c r="F23" s="37" t="str">
        <x:v>Assumptions remain traceable</x:v>
      </x:c>
    </x:row>
    <x:row r="24">
      <x:c r="A24" s="146" t="str">
        <x:v>All valuation checks are PASS</x:v>
      </x:c>
      <x:c r="B24" s="86"/>
      <x:c r="C24" s="86"/>
      <x:c r="D24" s="86"/>
      <x:c r="E24" s="86"/>
      <x:c r="F24" s="40" t="str">
        <x:v>Valuation bridges and denominators are valid</x:v>
      </x:c>
    </x:row>
    <x:row r="25">
      <x:c r="A25" s="146" t="str">
        <x:v>All three sources-and-uses schedules tie</x:v>
      </x:c>
      <x:c r="B25" s="86"/>
      <x:c r="C25" s="86"/>
      <x:c r="D25" s="86"/>
      <x:c r="E25" s="86"/>
      <x:c r="F25" s="40" t="str">
        <x:v>No proceeds are lost or double counted</x:v>
      </x:c>
    </x:row>
    <x:row r="26">
      <x:c r="A26" s="146" t="str">
        <x:v>All three post-IPO balance sheets tie</x:v>
      </x:c>
      <x:c r="B26" s="86"/>
      <x:c r="C26" s="86"/>
      <x:c r="D26" s="86"/>
      <x:c r="E26" s="86"/>
      <x:c r="F26" s="40" t="str">
        <x:v>Cash, debt, assets, and equity reconcile</x:v>
      </x:c>
    </x:row>
    <x:row r="27">
      <x:c r="A27" s="146" t="str">
        <x:v>Share-count and per-share checks are PASS</x:v>
      </x:c>
      <x:c r="B27" s="86"/>
      <x:c r="C27" s="86"/>
      <x:c r="D27" s="86"/>
      <x:c r="E27" s="86"/>
      <x:c r="F27" s="40" t="str">
        <x:v>Dilution and ownership effects are consistent</x:v>
      </x:c>
    </x:row>
    <x:row r="28">
      <x:c r="A28" s="146" t="str">
        <x:v>Every ratio uses the stated numerator and denominator</x:v>
      </x:c>
      <x:c r="B28" s="86"/>
      <x:c r="C28" s="86"/>
      <x:c r="D28" s="86"/>
      <x:c r="E28" s="86"/>
      <x:c r="F28" s="40" t="str">
        <x:v>Definitions are financially correct</x:v>
      </x:c>
    </x:row>
    <x:row r="29" ht="32" customHeight="1">
      <x:c r="A29" s="122" t="str">
        <x:v>Recommendation cites valuation, deployment, and per-share evidence</x:v>
      </x:c>
      <x:c r="B29" s="86"/>
      <x:c r="C29" s="86"/>
      <x:c r="D29" s="86"/>
      <x:c r="E29" s="86"/>
      <x:c r="F29" s="43" t="str">
        <x:v>Decision follows from the model</x:v>
      </x:c>
    </x:row>
    <x:row r="31">
      <x:c r="A31" s="163" t="str">
        <x:v>Important: Apex is fictional. The $164,250 ($000s) net-income value is maintained because it exactly reconciles $219,000 EBT less $54,750 tax. The earlier $164,500 ratio input was an error. Public student materials intentionally omit completed calculation formulas and expected recommendations.</x:v>
      </x:c>
      <x:c r="B31" s="164"/>
      <x:c r="C31" s="164"/>
      <x:c r="D31" s="164"/>
      <x:c r="E31" s="164"/>
      <x:c r="F31" s="165"/>
    </x:row>
    <x:row r="32">
      <x:c r="A32" s="166"/>
      <x:c r="B32" s="167"/>
      <x:c r="C32" s="167"/>
      <x:c r="D32" s="167"/>
      <x:c r="E32" s="167"/>
      <x:c r="F32" s="168"/>
    </x:row>
    <x:row r="33">
      <x:c r="A33" s="169"/>
      <x:c r="B33" s="170"/>
      <x:c r="C33" s="170"/>
      <x:c r="D33" s="170"/>
      <x:c r="E33" s="170"/>
      <x:c r="F33" s="171"/>
    </x:row>
  </x:sheetData>
  <x:mergeCells>
    <x:mergeCell ref="A1:F1"/>
    <x:mergeCell ref="A2:F2"/>
    <x:mergeCell ref="A4:F4"/>
    <x:mergeCell ref="B5:E5"/>
    <x:mergeCell ref="B6:E6"/>
    <x:mergeCell ref="B7:E7"/>
    <x:mergeCell ref="B8:E8"/>
    <x:mergeCell ref="B9:E9"/>
    <x:mergeCell ref="B10:E10"/>
    <x:mergeCell ref="B11:E11"/>
    <x:mergeCell ref="A13:F13"/>
    <x:mergeCell ref="A21:F21"/>
    <x:mergeCell ref="B22:E22"/>
    <x:mergeCell ref="B23:E23"/>
    <x:mergeCell ref="B24:E24"/>
    <x:mergeCell ref="B25:E25"/>
    <x:mergeCell ref="B26:E26"/>
    <x:mergeCell ref="B27:E27"/>
    <x:mergeCell ref="B28:E28"/>
    <x:mergeCell ref="B29:E29"/>
    <x:mergeCell ref="A31:F33"/>
  </x:mergeCells>
  <x:pageMargins left="0.7" right="0.7" top="0.75" bottom="0.75" header="0.3" footer="0.3"/>
</x:worksheet>
</file>