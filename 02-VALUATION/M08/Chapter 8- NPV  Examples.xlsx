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harts/chart2.xml" ContentType="application/vnd.openxmlformats-officedocument.drawingml.chart+xml"/>
  <Override PartName="/xl/drawings/drawing5.xml" ContentType="application/vnd.openxmlformats-officedocument.drawingml.chartshapes+xml"/>
  <Override PartName="/xl/charts/chart3.xml" ContentType="application/vnd.openxmlformats-officedocument.drawingml.chart+xml"/>
  <Override PartName="/xl/drawings/drawing6.xml" ContentType="application/vnd.openxmlformats-officedocument.drawingml.chartshapes+xml"/>
  <Override PartName="/xl/charts/chart4.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6"/>
  <workbookPr defaultThemeVersion="202300"/>
  <mc:AlternateContent xmlns:mc="http://schemas.openxmlformats.org/markup-compatibility/2006">
    <mc:Choice Requires="x15">
      <x15ac:absPath xmlns:x15ac="http://schemas.microsoft.com/office/spreadsheetml/2010/11/ac" url="https://mailendicott-my.sharepoint.com/personal/bevitts_endicott_edu/Documents/BUS311 Corporate Finance/BME - FA25- Teaching Materials - Brealey/Chapter 8 -Net Present Value/"/>
    </mc:Choice>
  </mc:AlternateContent>
  <xr:revisionPtr revIDLastSave="241" documentId="8_{238BA9B9-C8B9-4039-874B-B6FD2D55A6FD}" xr6:coauthVersionLast="47" xr6:coauthVersionMax="47" xr10:uidLastSave="{533D33B8-F1A8-4971-9ED7-02AC0CF97B36}"/>
  <bookViews>
    <workbookView xWindow="2460" yWindow="0" windowWidth="24045" windowHeight="15585" tabRatio="759" activeTab="4" xr2:uid="{46460F80-2315-414F-A146-D3362A575E81}"/>
  </bookViews>
  <sheets>
    <sheet name="Building Problem" sheetId="19" r:id="rId1"/>
    <sheet name="Chapter 8 Notes  Example" sheetId="1" r:id="rId2"/>
    <sheet name="IRR-8 Notes" sheetId="13" r:id="rId3"/>
    <sheet name="Review Day - Class Problem#1" sheetId="17" r:id="rId4"/>
    <sheet name="Review Day Problem- Solution" sheetId="15" r:id="rId5"/>
    <sheet name="Hold" sheetId="16" r:id="rId6"/>
    <sheet name="NPV Calc" sheetId="2" r:id="rId7"/>
    <sheet name="XNPV Calc" sheetId="9" r:id="rId8"/>
    <sheet name="Payback Rule" sheetId="3" r:id="rId9"/>
    <sheet name="Accounting Average" sheetId="4" r:id="rId10"/>
    <sheet name="IRR" sheetId="5" r:id="rId11"/>
    <sheet name="NPV Profile" sheetId="6" r:id="rId12"/>
    <sheet name="Profitability Index" sheetId="8" r:id="rId13"/>
    <sheet name="Sheet1" sheetId="10" r:id="rId1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9" l="1"/>
  <c r="B5" i="19"/>
  <c r="H25" i="17"/>
  <c r="G25" i="17"/>
  <c r="F25" i="17"/>
  <c r="E25" i="17"/>
  <c r="D25" i="17"/>
  <c r="C25" i="17"/>
  <c r="H25" i="15"/>
  <c r="G25" i="15"/>
  <c r="F25" i="15"/>
  <c r="C32" i="15" s="1"/>
  <c r="E25" i="15"/>
  <c r="D25" i="15"/>
  <c r="C25" i="15"/>
  <c r="C16" i="15"/>
  <c r="H9" i="15"/>
  <c r="G9" i="15"/>
  <c r="F9" i="15"/>
  <c r="E9" i="15"/>
  <c r="D9" i="15"/>
  <c r="C9" i="15"/>
  <c r="C7" i="13"/>
  <c r="B7" i="13"/>
  <c r="C12" i="1"/>
  <c r="B12" i="1"/>
  <c r="C10" i="1"/>
  <c r="B10" i="1"/>
  <c r="C16" i="10"/>
  <c r="D15" i="10"/>
  <c r="C15" i="10"/>
  <c r="C8" i="10"/>
  <c r="C7" i="10"/>
  <c r="C6" i="10"/>
  <c r="D5" i="10"/>
  <c r="C5" i="10"/>
  <c r="E8" i="2"/>
  <c r="G8" i="2" s="1"/>
  <c r="E9" i="2"/>
  <c r="G9" i="2" s="1"/>
  <c r="E10" i="2"/>
  <c r="G10" i="2" s="1"/>
  <c r="E11" i="2"/>
  <c r="G11" i="2" s="1"/>
  <c r="E7" i="2"/>
  <c r="G7" i="2" s="1"/>
  <c r="B29" i="2"/>
  <c r="B16" i="9"/>
  <c r="D31" i="2"/>
  <c r="D28" i="2"/>
  <c r="G21" i="2"/>
  <c r="G23" i="2" s="1"/>
  <c r="F21" i="2"/>
  <c r="F23" i="2" s="1"/>
  <c r="E21" i="2"/>
  <c r="E23" i="2" s="1"/>
  <c r="D21" i="2"/>
  <c r="D23" i="2" s="1"/>
  <c r="C21" i="2"/>
  <c r="B21" i="2"/>
  <c r="B23" i="2" s="1"/>
  <c r="N14" i="3"/>
  <c r="K16" i="3"/>
  <c r="K17" i="3"/>
  <c r="K18" i="3"/>
  <c r="K19" i="3"/>
  <c r="K15" i="3"/>
  <c r="K14" i="3"/>
  <c r="L14" i="3" s="1"/>
  <c r="L15" i="3" s="1"/>
  <c r="L16" i="3" s="1"/>
  <c r="C15" i="3"/>
  <c r="E14" i="3" s="1"/>
  <c r="F14" i="3" s="1"/>
  <c r="E20" i="8"/>
  <c r="E19" i="8"/>
  <c r="C19" i="8"/>
  <c r="C20" i="8" s="1"/>
  <c r="C19" i="6"/>
  <c r="C20" i="6"/>
  <c r="C21" i="6"/>
  <c r="C22" i="6"/>
  <c r="C23" i="6"/>
  <c r="C24" i="6"/>
  <c r="C25" i="6"/>
  <c r="C26" i="6"/>
  <c r="C18" i="6"/>
  <c r="E33" i="5"/>
  <c r="C33" i="5"/>
  <c r="E18" i="5"/>
  <c r="C18" i="5"/>
  <c r="C20" i="4"/>
  <c r="G12" i="4"/>
  <c r="G13" i="4" s="1"/>
  <c r="F12" i="4"/>
  <c r="F13" i="4" s="1"/>
  <c r="E12" i="4"/>
  <c r="E13" i="4" s="1"/>
  <c r="D12" i="4"/>
  <c r="D13" i="4" s="1"/>
  <c r="C12" i="4"/>
  <c r="C13" i="4" s="1"/>
  <c r="E5" i="1"/>
  <c r="E7" i="1" s="1"/>
  <c r="D5" i="1"/>
  <c r="D7" i="1" s="1"/>
  <c r="C5" i="1"/>
  <c r="C7" i="1" s="1"/>
  <c r="B5" i="1"/>
  <c r="B7" i="1" s="1"/>
  <c r="C26" i="17" l="1"/>
  <c r="D26" i="17" s="1"/>
  <c r="E26" i="17" s="1"/>
  <c r="F26" i="17" s="1"/>
  <c r="C30" i="15"/>
  <c r="C26" i="15"/>
  <c r="D26" i="15" s="1"/>
  <c r="E26" i="15" s="1"/>
  <c r="F26" i="15" s="1"/>
  <c r="C14" i="15"/>
  <c r="C10" i="15"/>
  <c r="D10" i="15" s="1"/>
  <c r="E10" i="15" s="1"/>
  <c r="F10" i="15" s="1"/>
  <c r="D6" i="10"/>
  <c r="C18" i="10"/>
  <c r="C17" i="10"/>
  <c r="M15" i="3"/>
  <c r="N15" i="3" s="1"/>
  <c r="L17" i="3"/>
  <c r="C23" i="2"/>
  <c r="B31" i="2" s="1"/>
  <c r="B28" i="2"/>
  <c r="O14" i="3"/>
  <c r="C14" i="3"/>
  <c r="C16" i="3"/>
  <c r="G14" i="4"/>
  <c r="G15" i="4" s="1"/>
  <c r="F14" i="4"/>
  <c r="F15" i="4" s="1"/>
  <c r="E14" i="4"/>
  <c r="E15" i="4" s="1"/>
  <c r="D14" i="4"/>
  <c r="D15" i="4" s="1"/>
  <c r="C21" i="4" s="1"/>
  <c r="C25" i="4" s="1"/>
  <c r="C14" i="4"/>
  <c r="C15" i="4" s="1"/>
  <c r="G26" i="17" l="1"/>
  <c r="G26" i="15"/>
  <c r="C34" i="15"/>
  <c r="C18" i="15"/>
  <c r="G10" i="15"/>
  <c r="D7" i="10"/>
  <c r="M16" i="3"/>
  <c r="N16" i="3" s="1"/>
  <c r="L18" i="3"/>
  <c r="C17" i="3"/>
  <c r="D15" i="3"/>
  <c r="D16" i="3"/>
  <c r="D8" i="10" l="1"/>
  <c r="M17" i="3"/>
  <c r="N17" i="3" s="1"/>
  <c r="L19" i="3"/>
  <c r="O16" i="3"/>
  <c r="O15" i="3"/>
  <c r="C18" i="3"/>
  <c r="D17" i="3"/>
  <c r="E15" i="3"/>
  <c r="F15" i="3" s="1"/>
  <c r="E16" i="3"/>
  <c r="F16" i="3" s="1"/>
  <c r="D16" i="10" l="1"/>
  <c r="D18" i="10"/>
  <c r="D17" i="10"/>
  <c r="M19" i="3"/>
  <c r="N19" i="3" s="1"/>
  <c r="M18" i="3"/>
  <c r="N18" i="3" s="1"/>
  <c r="O17" i="3"/>
  <c r="C19" i="3"/>
  <c r="D18" i="3"/>
  <c r="E17" i="3"/>
  <c r="F17" i="3" s="1"/>
  <c r="O18" i="3" l="1"/>
  <c r="O19" i="3"/>
  <c r="D19" i="3"/>
  <c r="E18" i="3"/>
  <c r="F18" i="3" s="1"/>
  <c r="J23" i="3" l="1"/>
  <c r="J24" i="3" s="1"/>
  <c r="E19" i="3"/>
  <c r="F19" i="3" s="1"/>
  <c r="B23" i="3" l="1"/>
  <c r="B24" i="3" s="1"/>
</calcChain>
</file>

<file path=xl/sharedStrings.xml><?xml version="1.0" encoding="utf-8"?>
<sst xmlns="http://schemas.openxmlformats.org/spreadsheetml/2006/main" count="213" uniqueCount="113">
  <si>
    <t>Initial Cost</t>
  </si>
  <si>
    <t>Year 0</t>
  </si>
  <si>
    <t>Year 1</t>
  </si>
  <si>
    <t>Year 2</t>
  </si>
  <si>
    <t>Year 3</t>
  </si>
  <si>
    <t>Year 4</t>
  </si>
  <si>
    <t>Year 5</t>
  </si>
  <si>
    <t>Inflows</t>
  </si>
  <si>
    <t>Outflows</t>
  </si>
  <si>
    <t>Net Flow</t>
  </si>
  <si>
    <t>Salvage</t>
  </si>
  <si>
    <t>Net Cash Flow</t>
  </si>
  <si>
    <t>PV of Cashflows</t>
  </si>
  <si>
    <t>NPV of Project</t>
  </si>
  <si>
    <t>Discount Rate</t>
  </si>
  <si>
    <t>Year</t>
  </si>
  <si>
    <t>NPV</t>
  </si>
  <si>
    <t>added since outlay in year 0 is negative</t>
  </si>
  <si>
    <t>t</t>
  </si>
  <si>
    <t>Cash flow</t>
  </si>
  <si>
    <t>Return</t>
  </si>
  <si>
    <t>Date</t>
  </si>
  <si>
    <t>NPV and Cash Flows at Irregular Intervals</t>
  </si>
  <si>
    <t>Cumulative 
cash flow</t>
  </si>
  <si>
    <t>Cumulative Cash Flow</t>
  </si>
  <si>
    <t>Discounted Cash Flow</t>
  </si>
  <si>
    <t>Discounted
cash flow</t>
  </si>
  <si>
    <t>Maximum payback (years)- Cumulative</t>
  </si>
  <si>
    <t>Maximum payback (years)- Discounted</t>
  </si>
  <si>
    <t>Discounted Cumulative</t>
  </si>
  <si>
    <t>Initial cost</t>
  </si>
  <si>
    <t>Tax rate</t>
  </si>
  <si>
    <t>Revenue</t>
  </si>
  <si>
    <t>Expenses</t>
  </si>
  <si>
    <t>Depreciation</t>
  </si>
  <si>
    <t>Earnings before taxes</t>
  </si>
  <si>
    <t>Taxes</t>
  </si>
  <si>
    <t>Net income</t>
  </si>
  <si>
    <t>The AAR is the average net income divided by the average book value. These averages are:</t>
  </si>
  <si>
    <t>Average book value</t>
  </si>
  <si>
    <t>Average net income</t>
  </si>
  <si>
    <t>So, the AAR is:</t>
  </si>
  <si>
    <t>AAR</t>
  </si>
  <si>
    <t>What is the IRR for the project with the following cash flows?</t>
  </si>
  <si>
    <t>IRR</t>
  </si>
  <si>
    <t>IRR and Cash Flows at Irregular Intervals</t>
  </si>
  <si>
    <t>Suppose you have cash flows that occur at irregular intervals. The standard IRR function assumes that cash flows occur at regular intervals. In the case of irregular intervals, we need to use the XIRR function. Suppose you have the following set of cash flows. What is the IRR?</t>
  </si>
  <si>
    <t>The NPV profile is a graphical representation of the NPV of a project for different interest rates. We will graph the NPV profile of the following project:</t>
  </si>
  <si>
    <t>To construct the NPV profile, we will first need a table with the project's NPV at different interest rates:</t>
  </si>
  <si>
    <t>All projects with conventional cash flows will have a downward sloping NPV profile similar to this one because at higher interest rates, the future cash flows are worth less today.</t>
  </si>
  <si>
    <t>Discount rate</t>
  </si>
  <si>
    <t>The Profitability Index</t>
  </si>
  <si>
    <t>Suppose we have a project with the following cash flows and required return. What is the profitability index of the project?</t>
  </si>
  <si>
    <t>Required return</t>
  </si>
  <si>
    <t>Profitability index</t>
  </si>
  <si>
    <t>Accept or reject</t>
  </si>
  <si>
    <t>Year of
payback</t>
  </si>
  <si>
    <t>Fractional 
year</t>
  </si>
  <si>
    <t>Payback
period</t>
  </si>
  <si>
    <t>Payback period</t>
  </si>
  <si>
    <t>Required payback</t>
  </si>
  <si>
    <t>Discounted Cumulative Cash Flow</t>
  </si>
  <si>
    <t>Cost Benefit Ratio</t>
  </si>
  <si>
    <t>The profitability index is the present value of the future cash flows divided by the initial investment.</t>
  </si>
  <si>
    <t>=NPV/ Initial Investment</t>
  </si>
  <si>
    <t>PV of Cash Flows</t>
  </si>
  <si>
    <t>PV of Salvage</t>
  </si>
  <si>
    <t>why is this PV?</t>
  </si>
  <si>
    <t>why is this NPV?</t>
  </si>
  <si>
    <t>Assignment:</t>
  </si>
  <si>
    <t>Calculate the NPV of the following project?</t>
  </si>
  <si>
    <t>Find the following-</t>
  </si>
  <si>
    <t>Assignment</t>
  </si>
  <si>
    <t>Find the Average Accounting Return</t>
  </si>
  <si>
    <t>Find the Internal Rate of Return</t>
  </si>
  <si>
    <t xml:space="preserve">The internal rate of return is the rate of return for a series of cash flows that results in a zero NPV. </t>
  </si>
  <si>
    <t>Use Excel's IRR function.</t>
  </si>
  <si>
    <t>Determine the NPV Profile</t>
  </si>
  <si>
    <t>Which project would you recommend?</t>
  </si>
  <si>
    <t>NP-30</t>
  </si>
  <si>
    <t>NX-20</t>
  </si>
  <si>
    <t>15% discount rate</t>
  </si>
  <si>
    <t>Technique</t>
  </si>
  <si>
    <t>Recommendation</t>
  </si>
  <si>
    <t>Payback (years)</t>
  </si>
  <si>
    <t>Payback</t>
  </si>
  <si>
    <t>NP30</t>
  </si>
  <si>
    <t>Internal Rate of Return</t>
  </si>
  <si>
    <t>NX20</t>
  </si>
  <si>
    <t>Profitability Index</t>
  </si>
  <si>
    <t>PI</t>
  </si>
  <si>
    <t>Net Present Value</t>
  </si>
  <si>
    <t>Cost of Capital</t>
  </si>
  <si>
    <t>Cash Flow</t>
  </si>
  <si>
    <t>1</t>
  </si>
  <si>
    <t xml:space="preserve"> </t>
  </si>
  <si>
    <t>Capital Budgeting Analysis</t>
  </si>
  <si>
    <t>NPV, IRR, and Payback Period</t>
  </si>
  <si>
    <t>Project #1</t>
  </si>
  <si>
    <t>Project 1</t>
  </si>
  <si>
    <t>Period</t>
  </si>
  <si>
    <t>Cash Inflow</t>
  </si>
  <si>
    <t>Cash Outflow</t>
  </si>
  <si>
    <t>Discount Rate -&gt;</t>
  </si>
  <si>
    <t>NPV -&gt;</t>
  </si>
  <si>
    <t>IRR -&gt;</t>
  </si>
  <si>
    <t>Payback Period -&gt;</t>
  </si>
  <si>
    <t>Project #2</t>
  </si>
  <si>
    <t>Project 2</t>
  </si>
  <si>
    <t>C0</t>
  </si>
  <si>
    <t>C1</t>
  </si>
  <si>
    <t>WACC</t>
  </si>
  <si>
    <t xml:space="preserve">NPV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</si>
</sst>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0.000_);[Red]\(#,##0.000\)"/>
    <numFmt numFmtId="166" formatCode="0.000"/>
    <numFmt numFmtId="167" formatCode="0.000%"/>
    <numFmt numFmtId="168" formatCode="0.0000%"/>
    <numFmt numFmtId="170" formatCode="_-* #,##0\ _€_-;\-* #,##0\ _€_-;_-* &quot;-&quot;??\ _€_-;_-@"/>
    <numFmt numFmtId="171" formatCode="_-* #,##0.00_-;\-* #,##0.00_-;_-* &quot;-&quot;??_-;_-@"/>
  </numFmts>
  <fonts count="35" x14ac:knownFonts="1">
    <font>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i/>
      <sz val="12"/>
      <color theme="1"/>
      <name val="Aptos Narrow"/>
      <family val="2"/>
      <scheme val="minor"/>
    </font>
    <font>
      <sz val="12"/>
      <color rgb="FF0000FF"/>
      <name val="Aptos Narrow"/>
      <family val="2"/>
      <scheme val="minor"/>
    </font>
    <font>
      <sz val="12"/>
      <color theme="1"/>
      <name val="Aptos Narrow"/>
      <family val="2"/>
      <scheme val="minor"/>
    </font>
    <font>
      <sz val="12"/>
      <color rgb="FFC70000"/>
      <name val="Aptos Narrow"/>
      <family val="2"/>
      <scheme val="minor"/>
    </font>
    <font>
      <b/>
      <sz val="12"/>
      <color theme="1"/>
      <name val="Aptos Narrow"/>
      <family val="2"/>
      <scheme val="minor"/>
    </font>
    <font>
      <sz val="12"/>
      <color rgb="FF0050C7"/>
      <name val="Aptos Narrow"/>
      <family val="2"/>
      <scheme val="minor"/>
    </font>
    <font>
      <sz val="12"/>
      <color rgb="FFFF0000"/>
      <name val="Aptos Narrow"/>
      <family val="2"/>
      <scheme val="minor"/>
    </font>
    <font>
      <b/>
      <sz val="16"/>
      <color rgb="FF000099"/>
      <name val="Aptos Narrow"/>
      <family val="2"/>
      <scheme val="minor"/>
    </font>
    <font>
      <sz val="11"/>
      <color rgb="FF000099"/>
      <name val="Aptos Narrow"/>
      <family val="2"/>
      <scheme val="minor"/>
    </font>
    <font>
      <sz val="16"/>
      <color theme="1"/>
      <name val="Aptos Narrow"/>
      <family val="2"/>
      <scheme val="minor"/>
    </font>
    <font>
      <b/>
      <sz val="16"/>
      <color rgb="FF000099"/>
      <name val="Calibri"/>
      <family val="2"/>
    </font>
    <font>
      <sz val="16"/>
      <color rgb="FF000099"/>
      <name val="Aptos Narrow"/>
      <family val="2"/>
      <scheme val="minor"/>
    </font>
    <font>
      <sz val="12"/>
      <color rgb="FF000099"/>
      <name val="Aptos Narrow"/>
      <family val="2"/>
      <scheme val="minor"/>
    </font>
    <font>
      <b/>
      <sz val="12"/>
      <color rgb="FF000099"/>
      <name val="Aptos Narrow"/>
      <family val="2"/>
      <scheme val="minor"/>
    </font>
    <font>
      <sz val="10"/>
      <name val="Arial"/>
      <family val="2"/>
    </font>
    <font>
      <sz val="12"/>
      <name val="Arial"/>
      <family val="2"/>
    </font>
    <font>
      <i/>
      <sz val="12"/>
      <name val="Arial"/>
      <family val="2"/>
    </font>
    <font>
      <sz val="12"/>
      <color indexed="8"/>
      <name val="Arial"/>
      <family val="2"/>
    </font>
    <font>
      <sz val="12"/>
      <color rgb="FF0050C7"/>
      <name val="Arial"/>
      <family val="2"/>
    </font>
    <font>
      <sz val="12"/>
      <color indexed="48"/>
      <name val="Arial"/>
      <family val="2"/>
    </font>
    <font>
      <sz val="18"/>
      <name val="Arial"/>
      <family val="2"/>
    </font>
    <font>
      <b/>
      <sz val="20"/>
      <color rgb="FF000000"/>
      <name val="Arial"/>
      <family val="2"/>
    </font>
    <font>
      <sz val="20"/>
      <color rgb="FF000000"/>
      <name val="Arial"/>
      <family val="2"/>
    </font>
    <font>
      <b/>
      <sz val="24"/>
      <color theme="1"/>
      <name val="Calibri"/>
      <family val="2"/>
    </font>
    <font>
      <b/>
      <sz val="12"/>
      <color theme="1"/>
      <name val="Calibri"/>
      <family val="2"/>
    </font>
    <font>
      <i/>
      <sz val="14"/>
      <color theme="1"/>
      <name val="Calibri"/>
      <family val="2"/>
    </font>
    <font>
      <b/>
      <sz val="12"/>
      <color theme="0"/>
      <name val="Calibri"/>
      <family val="2"/>
    </font>
    <font>
      <sz val="12"/>
      <name val="Calibri"/>
      <family val="2"/>
    </font>
    <font>
      <sz val="12"/>
      <color theme="1"/>
      <name val="Calibri"/>
      <family val="2"/>
    </font>
    <font>
      <sz val="12"/>
      <color rgb="FF0432FF"/>
      <name val="Calibri"/>
      <family val="2"/>
    </font>
    <font>
      <b/>
      <sz val="12"/>
      <color rgb="FF0432FF"/>
      <name val="Calibri"/>
      <family val="2"/>
    </font>
  </fonts>
  <fills count="13">
    <fill>
      <patternFill patternType="none"/>
    </fill>
    <fill>
      <patternFill patternType="gray125"/>
    </fill>
    <fill>
      <patternFill patternType="solid">
        <fgColor rgb="FF002060"/>
        <bgColor indexed="64"/>
      </patternFill>
    </fill>
    <fill>
      <patternFill patternType="solid">
        <fgColor rgb="FFCCFFCC"/>
        <bgColor indexed="64"/>
      </patternFill>
    </fill>
    <fill>
      <patternFill patternType="solid">
        <fgColor rgb="FFFFFF99"/>
        <bgColor indexed="64"/>
      </patternFill>
    </fill>
    <fill>
      <patternFill patternType="solid">
        <fgColor rgb="FF0FE1FD"/>
        <bgColor indexed="64"/>
      </patternFill>
    </fill>
    <fill>
      <patternFill patternType="solid">
        <fgColor rgb="FFCCFFFF"/>
        <bgColor indexed="64"/>
      </patternFill>
    </fill>
    <fill>
      <patternFill patternType="solid">
        <fgColor rgb="FFFFFFCC"/>
        <bgColor indexed="64"/>
      </patternFill>
    </fill>
    <fill>
      <patternFill patternType="solid">
        <fgColor indexed="47"/>
        <bgColor indexed="64"/>
      </patternFill>
    </fill>
    <fill>
      <patternFill patternType="solid">
        <fgColor rgb="FF293D68"/>
        <bgColor rgb="FF293D68"/>
      </patternFill>
    </fill>
    <fill>
      <patternFill patternType="solid">
        <fgColor rgb="FFD9E2F3"/>
        <bgColor rgb="FFD9E2F3"/>
      </patternFill>
    </fill>
    <fill>
      <patternFill patternType="solid">
        <fgColor theme="0"/>
        <bgColor theme="0"/>
      </patternFill>
    </fill>
    <fill>
      <patternFill patternType="solid">
        <fgColor rgb="FFFFFF99"/>
        <bgColor rgb="FFFFFF99"/>
      </patternFill>
    </fill>
  </fills>
  <borders count="27">
    <border>
      <left/>
      <right/>
      <top/>
      <bottom/>
      <diagonal/>
    </border>
    <border>
      <left/>
      <right/>
      <top/>
      <bottom style="double">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medium">
        <color indexed="64"/>
      </left>
      <right/>
      <top/>
      <bottom/>
      <diagonal/>
    </border>
    <border>
      <left/>
      <right style="medium">
        <color indexed="64"/>
      </right>
      <top/>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18" fillId="0" borderId="0"/>
    <xf numFmtId="44" fontId="18" fillId="0" borderId="0" applyFont="0" applyFill="0" applyBorder="0" applyAlignment="0" applyProtection="0"/>
    <xf numFmtId="43" fontId="18" fillId="0" borderId="0" applyFont="0" applyFill="0" applyBorder="0" applyAlignment="0" applyProtection="0"/>
    <xf numFmtId="9" fontId="18" fillId="0" borderId="0" applyFont="0" applyFill="0" applyBorder="0" applyAlignment="0" applyProtection="0"/>
  </cellStyleXfs>
  <cellXfs count="158">
    <xf numFmtId="0" fontId="0" fillId="0" borderId="0" xfId="0"/>
    <xf numFmtId="6" fontId="0" fillId="0" borderId="0" xfId="0" applyNumberFormat="1"/>
    <xf numFmtId="6" fontId="0" fillId="0" borderId="1" xfId="0" applyNumberFormat="1" applyBorder="1"/>
    <xf numFmtId="0" fontId="0" fillId="0" borderId="1" xfId="0" applyBorder="1"/>
    <xf numFmtId="0" fontId="0" fillId="0" borderId="2" xfId="0" applyBorder="1"/>
    <xf numFmtId="6" fontId="0" fillId="0" borderId="2" xfId="0" applyNumberFormat="1" applyBorder="1"/>
    <xf numFmtId="0" fontId="1" fillId="2" borderId="3" xfId="0" applyFont="1" applyFill="1" applyBorder="1"/>
    <xf numFmtId="9" fontId="0" fillId="0" borderId="0" xfId="0" applyNumberFormat="1"/>
    <xf numFmtId="8" fontId="0" fillId="0" borderId="0" xfId="0" applyNumberFormat="1"/>
    <xf numFmtId="8" fontId="0" fillId="0" borderId="2" xfId="0" applyNumberFormat="1" applyBorder="1"/>
    <xf numFmtId="164" fontId="0" fillId="0" borderId="0" xfId="1" applyNumberFormat="1" applyFont="1"/>
    <xf numFmtId="0" fontId="4" fillId="3" borderId="5" xfId="0" applyFont="1" applyFill="1" applyBorder="1" applyAlignment="1">
      <alignment horizontal="center"/>
    </xf>
    <xf numFmtId="0" fontId="4" fillId="3" borderId="6" xfId="0" applyFont="1" applyFill="1" applyBorder="1" applyAlignment="1">
      <alignment horizontal="center"/>
    </xf>
    <xf numFmtId="14" fontId="5" fillId="3" borderId="7" xfId="0" applyNumberFormat="1" applyFont="1" applyFill="1" applyBorder="1" applyAlignment="1">
      <alignment horizontal="center"/>
    </xf>
    <xf numFmtId="42" fontId="5" fillId="3" borderId="8" xfId="0" applyNumberFormat="1" applyFont="1" applyFill="1" applyBorder="1"/>
    <xf numFmtId="41" fontId="5" fillId="3" borderId="8" xfId="0" applyNumberFormat="1" applyFont="1" applyFill="1" applyBorder="1"/>
    <xf numFmtId="14" fontId="5" fillId="3" borderId="9" xfId="0" applyNumberFormat="1" applyFont="1" applyFill="1" applyBorder="1" applyAlignment="1">
      <alignment horizontal="center"/>
    </xf>
    <xf numFmtId="41" fontId="5" fillId="3" borderId="10" xfId="0" applyNumberFormat="1" applyFont="1" applyFill="1" applyBorder="1"/>
    <xf numFmtId="0" fontId="6" fillId="4" borderId="0" xfId="0" applyFont="1" applyFill="1"/>
    <xf numFmtId="9" fontId="5" fillId="4" borderId="0" xfId="3" applyFont="1" applyFill="1"/>
    <xf numFmtId="44" fontId="7" fillId="4" borderId="0" xfId="0" applyNumberFormat="1" applyFont="1" applyFill="1"/>
    <xf numFmtId="0" fontId="8" fillId="4" borderId="0" xfId="0" applyFont="1" applyFill="1"/>
    <xf numFmtId="0" fontId="4" fillId="3" borderId="6" xfId="0" applyFont="1" applyFill="1" applyBorder="1" applyAlignment="1">
      <alignment horizontal="center" wrapText="1"/>
    </xf>
    <xf numFmtId="42" fontId="9" fillId="4" borderId="0" xfId="0" applyNumberFormat="1" applyFont="1" applyFill="1"/>
    <xf numFmtId="9" fontId="9" fillId="4" borderId="0" xfId="3" applyFont="1" applyFill="1"/>
    <xf numFmtId="0" fontId="6" fillId="3" borderId="5" xfId="0" applyFont="1" applyFill="1" applyBorder="1"/>
    <xf numFmtId="0" fontId="4" fillId="3" borderId="11" xfId="0" applyFont="1" applyFill="1" applyBorder="1" applyAlignment="1">
      <alignment horizontal="center"/>
    </xf>
    <xf numFmtId="0" fontId="6" fillId="3" borderId="7" xfId="0" applyFont="1" applyFill="1" applyBorder="1"/>
    <xf numFmtId="42" fontId="9" fillId="3" borderId="0" xfId="0" applyNumberFormat="1" applyFont="1" applyFill="1"/>
    <xf numFmtId="42" fontId="9" fillId="3" borderId="8" xfId="0" applyNumberFormat="1" applyFont="1" applyFill="1" applyBorder="1"/>
    <xf numFmtId="41" fontId="9" fillId="3" borderId="0" xfId="0" applyNumberFormat="1" applyFont="1" applyFill="1"/>
    <xf numFmtId="41" fontId="9" fillId="3" borderId="8" xfId="0" applyNumberFormat="1" applyFont="1" applyFill="1" applyBorder="1"/>
    <xf numFmtId="41" fontId="7" fillId="3" borderId="2" xfId="0" applyNumberFormat="1" applyFont="1" applyFill="1" applyBorder="1"/>
    <xf numFmtId="41" fontId="7" fillId="3" borderId="10" xfId="0" applyNumberFormat="1" applyFont="1" applyFill="1" applyBorder="1"/>
    <xf numFmtId="42" fontId="7" fillId="3" borderId="0" xfId="0" applyNumberFormat="1" applyFont="1" applyFill="1"/>
    <xf numFmtId="42" fontId="7" fillId="3" borderId="8" xfId="0" applyNumberFormat="1" applyFont="1" applyFill="1" applyBorder="1"/>
    <xf numFmtId="41" fontId="7" fillId="3" borderId="0" xfId="0" applyNumberFormat="1" applyFont="1" applyFill="1"/>
    <xf numFmtId="41" fontId="7" fillId="3" borderId="8" xfId="0" applyNumberFormat="1" applyFont="1" applyFill="1" applyBorder="1"/>
    <xf numFmtId="42" fontId="7" fillId="3" borderId="4" xfId="0" applyNumberFormat="1" applyFont="1" applyFill="1" applyBorder="1"/>
    <xf numFmtId="42" fontId="7" fillId="3" borderId="12" xfId="0" applyNumberFormat="1" applyFont="1" applyFill="1" applyBorder="1"/>
    <xf numFmtId="0" fontId="6" fillId="3" borderId="9" xfId="0" applyFont="1" applyFill="1" applyBorder="1"/>
    <xf numFmtId="0" fontId="6" fillId="3" borderId="2" xfId="0" applyFont="1" applyFill="1" applyBorder="1"/>
    <xf numFmtId="0" fontId="6" fillId="3" borderId="10" xfId="0" applyFont="1" applyFill="1" applyBorder="1"/>
    <xf numFmtId="42" fontId="7" fillId="4" borderId="0" xfId="0" applyNumberFormat="1" applyFont="1" applyFill="1"/>
    <xf numFmtId="42" fontId="10" fillId="4" borderId="0" xfId="0" applyNumberFormat="1" applyFont="1" applyFill="1"/>
    <xf numFmtId="10" fontId="7" fillId="4" borderId="0" xfId="3" applyNumberFormat="1" applyFont="1" applyFill="1"/>
    <xf numFmtId="0" fontId="11" fillId="5" borderId="13" xfId="0" applyFont="1" applyFill="1" applyBorder="1"/>
    <xf numFmtId="0" fontId="12" fillId="5" borderId="14" xfId="0" applyFont="1" applyFill="1" applyBorder="1"/>
    <xf numFmtId="0" fontId="12" fillId="5" borderId="15" xfId="0" applyFont="1" applyFill="1" applyBorder="1"/>
    <xf numFmtId="0" fontId="13" fillId="4" borderId="0" xfId="0" applyFont="1" applyFill="1"/>
    <xf numFmtId="0" fontId="14" fillId="5" borderId="16" xfId="0" applyFont="1" applyFill="1" applyBorder="1"/>
    <xf numFmtId="0" fontId="15" fillId="5" borderId="17" xfId="0" applyFont="1" applyFill="1" applyBorder="1"/>
    <xf numFmtId="0" fontId="15" fillId="5" borderId="18" xfId="0" applyFont="1" applyFill="1" applyBorder="1"/>
    <xf numFmtId="0" fontId="16" fillId="5" borderId="14" xfId="0" applyFont="1" applyFill="1" applyBorder="1"/>
    <xf numFmtId="0" fontId="16" fillId="5" borderId="15" xfId="0" applyFont="1" applyFill="1" applyBorder="1"/>
    <xf numFmtId="0" fontId="17" fillId="5" borderId="17" xfId="0" applyFont="1" applyFill="1" applyBorder="1"/>
    <xf numFmtId="0" fontId="17" fillId="5" borderId="18" xfId="0" applyFont="1" applyFill="1" applyBorder="1"/>
    <xf numFmtId="0" fontId="6" fillId="3" borderId="7" xfId="0" applyFont="1" applyFill="1" applyBorder="1" applyAlignment="1">
      <alignment horizontal="center"/>
    </xf>
    <xf numFmtId="0" fontId="6" fillId="3" borderId="9" xfId="0" applyFont="1" applyFill="1" applyBorder="1" applyAlignment="1">
      <alignment horizontal="center"/>
    </xf>
    <xf numFmtId="41" fontId="9" fillId="3" borderId="10" xfId="0" applyNumberFormat="1" applyFont="1" applyFill="1" applyBorder="1"/>
    <xf numFmtId="10" fontId="7" fillId="4" borderId="0" xfId="0" applyNumberFormat="1" applyFont="1" applyFill="1"/>
    <xf numFmtId="14" fontId="9" fillId="3" borderId="7" xfId="0" applyNumberFormat="1" applyFont="1" applyFill="1" applyBorder="1" applyAlignment="1">
      <alignment horizontal="center"/>
    </xf>
    <xf numFmtId="14" fontId="9" fillId="3" borderId="9" xfId="0" applyNumberFormat="1" applyFont="1" applyFill="1" applyBorder="1" applyAlignment="1">
      <alignment horizontal="center"/>
    </xf>
    <xf numFmtId="0" fontId="4" fillId="4" borderId="0" xfId="0" applyFont="1" applyFill="1" applyAlignment="1">
      <alignment horizontal="center"/>
    </xf>
    <xf numFmtId="42" fontId="5" fillId="4" borderId="0" xfId="0" applyNumberFormat="1" applyFont="1" applyFill="1"/>
    <xf numFmtId="41" fontId="5" fillId="4" borderId="0" xfId="0" applyNumberFormat="1" applyFont="1" applyFill="1"/>
    <xf numFmtId="9" fontId="9" fillId="3" borderId="7" xfId="3" applyFont="1" applyFill="1" applyBorder="1" applyAlignment="1">
      <alignment horizontal="center"/>
    </xf>
    <xf numFmtId="44" fontId="7" fillId="3" borderId="8" xfId="0" applyNumberFormat="1" applyFont="1" applyFill="1" applyBorder="1"/>
    <xf numFmtId="9" fontId="9" fillId="3" borderId="9" xfId="3" applyFont="1" applyFill="1" applyBorder="1" applyAlignment="1">
      <alignment horizontal="center"/>
    </xf>
    <xf numFmtId="0" fontId="6" fillId="4" borderId="0" xfId="0" applyFont="1" applyFill="1" applyAlignment="1">
      <alignment horizontal="center"/>
    </xf>
    <xf numFmtId="0" fontId="4" fillId="3" borderId="20" xfId="0" applyFont="1" applyFill="1" applyBorder="1" applyAlignment="1">
      <alignment horizontal="center" wrapText="1"/>
    </xf>
    <xf numFmtId="6" fontId="0" fillId="0" borderId="7" xfId="0" applyNumberFormat="1" applyBorder="1"/>
    <xf numFmtId="6" fontId="0" fillId="0" borderId="8" xfId="0" applyNumberFormat="1" applyBorder="1"/>
    <xf numFmtId="6" fontId="0" fillId="0" borderId="10" xfId="0" applyNumberFormat="1" applyBorder="1"/>
    <xf numFmtId="0" fontId="0" fillId="0" borderId="21" xfId="0" applyBorder="1"/>
    <xf numFmtId="0" fontId="0" fillId="0" borderId="7" xfId="0" applyBorder="1"/>
    <xf numFmtId="0" fontId="0" fillId="0" borderId="9" xfId="0" applyBorder="1"/>
    <xf numFmtId="44" fontId="7" fillId="3" borderId="10" xfId="0" applyNumberFormat="1" applyFont="1" applyFill="1" applyBorder="1"/>
    <xf numFmtId="165" fontId="7" fillId="4" borderId="0" xfId="0" applyNumberFormat="1" applyFont="1" applyFill="1"/>
    <xf numFmtId="0" fontId="7" fillId="4" borderId="0" xfId="0" applyFont="1" applyFill="1" applyAlignment="1">
      <alignment horizontal="right"/>
    </xf>
    <xf numFmtId="0" fontId="4" fillId="4" borderId="0" xfId="0" applyFont="1" applyFill="1" applyAlignment="1">
      <alignment horizontal="center" wrapText="1"/>
    </xf>
    <xf numFmtId="42" fontId="7" fillId="6" borderId="0" xfId="0" applyNumberFormat="1" applyFont="1" applyFill="1"/>
    <xf numFmtId="0" fontId="7" fillId="6" borderId="0" xfId="0" applyFont="1" applyFill="1" applyAlignment="1">
      <alignment horizontal="center"/>
    </xf>
    <xf numFmtId="2" fontId="7" fillId="6" borderId="0" xfId="0" applyNumberFormat="1" applyFont="1" applyFill="1" applyAlignment="1">
      <alignment horizontal="center"/>
    </xf>
    <xf numFmtId="41" fontId="7" fillId="6" borderId="0" xfId="0" applyNumberFormat="1" applyFont="1" applyFill="1"/>
    <xf numFmtId="37" fontId="7" fillId="6" borderId="0" xfId="0" applyNumberFormat="1" applyFont="1" applyFill="1" applyAlignment="1">
      <alignment horizontal="center"/>
    </xf>
    <xf numFmtId="40" fontId="7" fillId="6" borderId="0" xfId="0" applyNumberFormat="1" applyFont="1" applyFill="1" applyAlignment="1">
      <alignment horizontal="right"/>
    </xf>
    <xf numFmtId="0" fontId="7" fillId="6" borderId="0" xfId="0" applyFont="1" applyFill="1" applyAlignment="1">
      <alignment horizontal="right"/>
    </xf>
    <xf numFmtId="0" fontId="6" fillId="4" borderId="5" xfId="0" applyFont="1" applyFill="1" applyBorder="1"/>
    <xf numFmtId="9" fontId="7" fillId="4" borderId="6" xfId="3" applyFont="1" applyFill="1" applyBorder="1"/>
    <xf numFmtId="0" fontId="6" fillId="4" borderId="9" xfId="0" applyFont="1" applyFill="1" applyBorder="1"/>
    <xf numFmtId="41" fontId="7" fillId="4" borderId="10" xfId="0" applyNumberFormat="1" applyFont="1" applyFill="1" applyBorder="1"/>
    <xf numFmtId="0" fontId="6" fillId="4" borderId="0" xfId="0" quotePrefix="1" applyFont="1" applyFill="1"/>
    <xf numFmtId="6" fontId="0" fillId="0" borderId="0" xfId="2" applyNumberFormat="1" applyFont="1"/>
    <xf numFmtId="0" fontId="0" fillId="7" borderId="0" xfId="0" applyFill="1"/>
    <xf numFmtId="0" fontId="11" fillId="5" borderId="0" xfId="0" applyFont="1" applyFill="1"/>
    <xf numFmtId="0" fontId="12" fillId="5" borderId="0" xfId="0" applyFont="1" applyFill="1"/>
    <xf numFmtId="0" fontId="14" fillId="5" borderId="0" xfId="0" applyFont="1" applyFill="1"/>
    <xf numFmtId="0" fontId="15" fillId="5" borderId="0" xfId="0" applyFont="1" applyFill="1"/>
    <xf numFmtId="6" fontId="0" fillId="0" borderId="5" xfId="0" applyNumberFormat="1" applyBorder="1"/>
    <xf numFmtId="6" fontId="0" fillId="0" borderId="6" xfId="0" applyNumberFormat="1" applyBorder="1"/>
    <xf numFmtId="6" fontId="0" fillId="0" borderId="9" xfId="0" applyNumberFormat="1" applyBorder="1"/>
    <xf numFmtId="0" fontId="4" fillId="4" borderId="19" xfId="0" applyFont="1" applyFill="1" applyBorder="1" applyAlignment="1">
      <alignment horizontal="center"/>
    </xf>
    <xf numFmtId="0" fontId="19" fillId="8" borderId="13" xfId="0" applyFont="1" applyFill="1" applyBorder="1"/>
    <xf numFmtId="0" fontId="20" fillId="8" borderId="14" xfId="0" applyFont="1" applyFill="1" applyBorder="1"/>
    <xf numFmtId="0" fontId="19" fillId="8" borderId="14" xfId="0" applyFont="1" applyFill="1" applyBorder="1"/>
    <xf numFmtId="0" fontId="19" fillId="8" borderId="15" xfId="0" applyFont="1" applyFill="1" applyBorder="1"/>
    <xf numFmtId="0" fontId="19" fillId="8" borderId="22" xfId="0" applyFont="1" applyFill="1" applyBorder="1"/>
    <xf numFmtId="0" fontId="20" fillId="8" borderId="0" xfId="0" applyFont="1" applyFill="1"/>
    <xf numFmtId="9" fontId="21" fillId="8" borderId="0" xfId="2" applyNumberFormat="1" applyFont="1" applyFill="1" applyBorder="1" applyAlignment="1">
      <alignment horizontal="center"/>
    </xf>
    <xf numFmtId="0" fontId="19" fillId="8" borderId="0" xfId="0" applyFont="1" applyFill="1" applyAlignment="1">
      <alignment horizontal="center"/>
    </xf>
    <xf numFmtId="0" fontId="19" fillId="8" borderId="23" xfId="0" applyFont="1" applyFill="1" applyBorder="1"/>
    <xf numFmtId="0" fontId="19" fillId="8" borderId="0" xfId="0" applyFont="1" applyFill="1"/>
    <xf numFmtId="42" fontId="22" fillId="8" borderId="0" xfId="2" applyNumberFormat="1" applyFont="1" applyFill="1" applyBorder="1" applyAlignment="1"/>
    <xf numFmtId="42" fontId="22" fillId="8" borderId="0" xfId="0" applyNumberFormat="1" applyFont="1" applyFill="1"/>
    <xf numFmtId="42" fontId="22" fillId="8" borderId="0" xfId="1" applyNumberFormat="1" applyFont="1" applyFill="1" applyBorder="1" applyAlignment="1"/>
    <xf numFmtId="37" fontId="22" fillId="8" borderId="0" xfId="1" applyNumberFormat="1" applyFont="1" applyFill="1" applyBorder="1"/>
    <xf numFmtId="0" fontId="22" fillId="8" borderId="0" xfId="0" applyFont="1" applyFill="1"/>
    <xf numFmtId="9" fontId="22" fillId="8" borderId="0" xfId="1" applyNumberFormat="1" applyFont="1" applyFill="1" applyBorder="1"/>
    <xf numFmtId="9" fontId="22" fillId="8" borderId="0" xfId="0" applyNumberFormat="1" applyFont="1" applyFill="1"/>
    <xf numFmtId="0" fontId="19" fillId="8" borderId="16" xfId="0" applyFont="1" applyFill="1" applyBorder="1"/>
    <xf numFmtId="0" fontId="19" fillId="8" borderId="17" xfId="0" applyFont="1" applyFill="1" applyBorder="1"/>
    <xf numFmtId="9" fontId="23" fillId="8" borderId="17" xfId="1" applyNumberFormat="1" applyFont="1" applyFill="1" applyBorder="1"/>
    <xf numFmtId="0" fontId="19" fillId="8" borderId="18" xfId="0" applyFont="1" applyFill="1" applyBorder="1"/>
    <xf numFmtId="2" fontId="0" fillId="0" borderId="0" xfId="0" applyNumberFormat="1"/>
    <xf numFmtId="10" fontId="0" fillId="0" borderId="0" xfId="0" applyNumberFormat="1"/>
    <xf numFmtId="166" fontId="0" fillId="0" borderId="0" xfId="0" applyNumberFormat="1"/>
    <xf numFmtId="0" fontId="25" fillId="0" borderId="0" xfId="0" applyFont="1" applyAlignment="1">
      <alignment horizontal="center" vertical="center" wrapText="1" readingOrder="1"/>
    </xf>
    <xf numFmtId="0" fontId="24" fillId="0" borderId="0" xfId="0" applyFont="1" applyAlignment="1">
      <alignment vertical="top" wrapText="1"/>
    </xf>
    <xf numFmtId="0" fontId="26" fillId="0" borderId="0" xfId="0" applyFont="1" applyAlignment="1">
      <alignment horizontal="center" vertical="center" wrapText="1" readingOrder="1"/>
    </xf>
    <xf numFmtId="4" fontId="26" fillId="0" borderId="0" xfId="0" applyNumberFormat="1" applyFont="1" applyAlignment="1">
      <alignment horizontal="right" vertical="center" wrapText="1" indent="1" readingOrder="1"/>
    </xf>
    <xf numFmtId="0" fontId="26" fillId="0" borderId="0" xfId="0" applyFont="1" applyAlignment="1">
      <alignment horizontal="left" vertical="center" wrapText="1" readingOrder="1"/>
    </xf>
    <xf numFmtId="168" fontId="26" fillId="0" borderId="0" xfId="0" applyNumberFormat="1" applyFont="1" applyAlignment="1">
      <alignment horizontal="left" vertical="center" wrapText="1" readingOrder="1"/>
    </xf>
    <xf numFmtId="10" fontId="26" fillId="0" borderId="0" xfId="0" applyNumberFormat="1" applyFont="1" applyAlignment="1">
      <alignment horizontal="right" vertical="center" wrapText="1" indent="1" readingOrder="1"/>
    </xf>
    <xf numFmtId="0" fontId="6" fillId="0" borderId="0" xfId="0" applyFont="1"/>
    <xf numFmtId="0" fontId="27" fillId="0" borderId="24" xfId="0" applyFont="1" applyBorder="1"/>
    <xf numFmtId="0" fontId="28" fillId="0" borderId="24" xfId="0" applyFont="1" applyBorder="1"/>
    <xf numFmtId="0" fontId="29" fillId="0" borderId="0" xfId="0" applyFont="1"/>
    <xf numFmtId="0" fontId="32" fillId="0" borderId="0" xfId="0" applyFont="1"/>
    <xf numFmtId="0" fontId="28" fillId="10" borderId="24" xfId="0" applyFont="1" applyFill="1" applyBorder="1" applyAlignment="1">
      <alignment horizontal="center"/>
    </xf>
    <xf numFmtId="164" fontId="33" fillId="11" borderId="0" xfId="0" applyNumberFormat="1" applyFont="1" applyFill="1"/>
    <xf numFmtId="170" fontId="32" fillId="0" borderId="0" xfId="0" applyNumberFormat="1" applyFont="1"/>
    <xf numFmtId="167" fontId="32" fillId="0" borderId="0" xfId="0" applyNumberFormat="1" applyFont="1"/>
    <xf numFmtId="0" fontId="28" fillId="0" borderId="25" xfId="0" applyFont="1" applyBorder="1"/>
    <xf numFmtId="164" fontId="28" fillId="0" borderId="25" xfId="0" applyNumberFormat="1" applyFont="1" applyBorder="1"/>
    <xf numFmtId="9" fontId="32" fillId="0" borderId="0" xfId="0" applyNumberFormat="1" applyFont="1"/>
    <xf numFmtId="0" fontId="28" fillId="0" borderId="0" xfId="0" applyFont="1"/>
    <xf numFmtId="164" fontId="28" fillId="0" borderId="0" xfId="0" applyNumberFormat="1" applyFont="1"/>
    <xf numFmtId="0" fontId="28" fillId="0" borderId="0" xfId="0" applyFont="1" applyAlignment="1">
      <alignment horizontal="right"/>
    </xf>
    <xf numFmtId="9" fontId="34" fillId="0" borderId="26" xfId="0" applyNumberFormat="1" applyFont="1" applyBorder="1" applyAlignment="1">
      <alignment horizontal="center"/>
    </xf>
    <xf numFmtId="0" fontId="32" fillId="0" borderId="0" xfId="0" applyFont="1" applyAlignment="1">
      <alignment horizontal="center"/>
    </xf>
    <xf numFmtId="170" fontId="28" fillId="12" borderId="26" xfId="0" applyNumberFormat="1" applyFont="1" applyFill="1" applyBorder="1"/>
    <xf numFmtId="0" fontId="28" fillId="0" borderId="0" xfId="0" applyFont="1" applyAlignment="1">
      <alignment horizontal="center"/>
    </xf>
    <xf numFmtId="10" fontId="28" fillId="12" borderId="26" xfId="0" applyNumberFormat="1" applyFont="1" applyFill="1" applyBorder="1" applyAlignment="1">
      <alignment horizontal="center"/>
    </xf>
    <xf numFmtId="171" fontId="28" fillId="12" borderId="26" xfId="0" applyNumberFormat="1" applyFont="1" applyFill="1" applyBorder="1" applyAlignment="1">
      <alignment horizontal="center"/>
    </xf>
    <xf numFmtId="0" fontId="30" fillId="9" borderId="0" xfId="0" applyFont="1" applyFill="1" applyAlignment="1">
      <alignment horizontal="center"/>
    </xf>
    <xf numFmtId="0" fontId="31" fillId="0" borderId="0" xfId="0" applyFont="1"/>
    <xf numFmtId="0" fontId="6" fillId="4" borderId="0" xfId="0" applyFont="1" applyFill="1" applyAlignment="1">
      <alignment horizontal="left" wrapText="1"/>
    </xf>
  </cellXfs>
  <cellStyles count="8">
    <cellStyle name="Comma" xfId="1" builtinId="3"/>
    <cellStyle name="Comma 2" xfId="6" xr:uid="{A737A70A-2945-4B71-B82F-CA093AE70294}"/>
    <cellStyle name="Currency" xfId="2" builtinId="4"/>
    <cellStyle name="Currency 2" xfId="5" xr:uid="{1F6F6F78-138F-42A0-91E1-79352C0404A0}"/>
    <cellStyle name="Normal" xfId="0" builtinId="0"/>
    <cellStyle name="Normal 3" xfId="4" xr:uid="{C58833D7-1DD5-4B4D-A22A-82522288610F}"/>
    <cellStyle name="Percent" xfId="3" builtinId="5"/>
    <cellStyle name="Percent 2" xfId="7" xr:uid="{78641F09-A9DB-4125-8F46-8E7C2C38E26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NPV Profile</a:t>
            </a:r>
          </a:p>
        </c:rich>
      </c:tx>
      <c:overlay val="0"/>
    </c:title>
    <c:autoTitleDeleted val="0"/>
    <c:plotArea>
      <c:layout/>
      <c:scatterChart>
        <c:scatterStyle val="smoothMarker"/>
        <c:varyColors val="0"/>
        <c:ser>
          <c:idx val="0"/>
          <c:order val="0"/>
          <c:marker>
            <c:symbol val="circle"/>
            <c:size val="5"/>
          </c:marker>
          <c:xVal>
            <c:numLit>
              <c:formatCode>General</c:formatCode>
              <c:ptCount val="9"/>
              <c:pt idx="0">
                <c:v>0</c:v>
              </c:pt>
              <c:pt idx="1">
                <c:v>0.05</c:v>
              </c:pt>
              <c:pt idx="2">
                <c:v>0.1</c:v>
              </c:pt>
              <c:pt idx="3">
                <c:v>0.15</c:v>
              </c:pt>
              <c:pt idx="4">
                <c:v>0.2</c:v>
              </c:pt>
              <c:pt idx="5">
                <c:v>0.25</c:v>
              </c:pt>
              <c:pt idx="6">
                <c:v>0.3</c:v>
              </c:pt>
              <c:pt idx="7">
                <c:v>0.35</c:v>
              </c:pt>
              <c:pt idx="8">
                <c:v>0.4</c:v>
              </c:pt>
            </c:numLit>
          </c:xVal>
          <c:yVal>
            <c:numLit>
              <c:formatCode>General</c:formatCode>
              <c:ptCount val="9"/>
              <c:pt idx="0">
                <c:v>28000</c:v>
              </c:pt>
              <c:pt idx="1">
                <c:v>19579.812056557857</c:v>
              </c:pt>
              <c:pt idx="2">
                <c:v>12863.937510478027</c:v>
              </c:pt>
              <c:pt idx="3">
                <c:v>7436.5629675112214</c:v>
              </c:pt>
              <c:pt idx="4">
                <c:v>2997.6851851851825</c:v>
              </c:pt>
              <c:pt idx="5">
                <c:v>-672.64000000000306</c:v>
              </c:pt>
              <c:pt idx="6">
                <c:v>-3738.0451557126071</c:v>
              </c:pt>
              <c:pt idx="7">
                <c:v>-6321.9205476765637</c:v>
              </c:pt>
              <c:pt idx="8">
                <c:v>-8518.4744451716506</c:v>
              </c:pt>
            </c:numLit>
          </c:yVal>
          <c:smooth val="1"/>
          <c:extLst>
            <c:ext xmlns:c16="http://schemas.microsoft.com/office/drawing/2014/chart" uri="{C3380CC4-5D6E-409C-BE32-E72D297353CC}">
              <c16:uniqueId val="{00000000-7FFC-4F6B-BD9B-E0BA7252523B}"/>
            </c:ext>
          </c:extLst>
        </c:ser>
        <c:dLbls>
          <c:showLegendKey val="0"/>
          <c:showVal val="0"/>
          <c:showCatName val="0"/>
          <c:showSerName val="0"/>
          <c:showPercent val="0"/>
          <c:showBubbleSize val="0"/>
        </c:dLbls>
        <c:axId val="565892904"/>
        <c:axId val="565892120"/>
      </c:scatterChart>
      <c:valAx>
        <c:axId val="565892904"/>
        <c:scaling>
          <c:orientation val="minMax"/>
          <c:max val="0.4"/>
          <c:min val="0"/>
        </c:scaling>
        <c:delete val="0"/>
        <c:axPos val="b"/>
        <c:title>
          <c:tx>
            <c:rich>
              <a:bodyPr/>
              <a:lstStyle/>
              <a:p>
                <a:pPr>
                  <a:defRPr/>
                </a:pPr>
                <a:r>
                  <a:rPr lang="en-US"/>
                  <a:t>Interest rate (%)</a:t>
                </a:r>
              </a:p>
            </c:rich>
          </c:tx>
          <c:overlay val="0"/>
        </c:title>
        <c:numFmt formatCode="General" sourceLinked="1"/>
        <c:majorTickMark val="out"/>
        <c:minorTickMark val="none"/>
        <c:tickLblPos val="nextTo"/>
        <c:crossAx val="565892120"/>
        <c:crosses val="autoZero"/>
        <c:crossBetween val="midCat"/>
      </c:valAx>
      <c:valAx>
        <c:axId val="565892120"/>
        <c:scaling>
          <c:orientation val="minMax"/>
        </c:scaling>
        <c:delete val="0"/>
        <c:axPos val="l"/>
        <c:majorGridlines/>
        <c:title>
          <c:tx>
            <c:rich>
              <a:bodyPr rot="-5400000" vert="horz"/>
              <a:lstStyle/>
              <a:p>
                <a:pPr>
                  <a:defRPr/>
                </a:pPr>
                <a:r>
                  <a:rPr lang="en-US"/>
                  <a:t>NPV ($)</a:t>
                </a:r>
              </a:p>
            </c:rich>
          </c:tx>
          <c:overlay val="0"/>
        </c:title>
        <c:numFmt formatCode="_(&quot;$&quot;* #,##0_);_(&quot;$&quot;* \(#,##0\);_(&quot;$&quot;* &quot;-&quot;_);_(@_)" sourceLinked="0"/>
        <c:majorTickMark val="out"/>
        <c:minorTickMark val="none"/>
        <c:tickLblPos val="nextTo"/>
        <c:crossAx val="565892904"/>
        <c:crosses val="autoZero"/>
        <c:crossBetween val="midCat"/>
      </c:valAx>
      <c:spPr>
        <a:gradFill>
          <a:gsLst>
            <a:gs pos="0">
              <a:srgbClr val="5E9EFF"/>
            </a:gs>
            <a:gs pos="39999">
              <a:srgbClr val="85C2FF"/>
            </a:gs>
            <a:gs pos="70000">
              <a:srgbClr val="C4D6EB"/>
            </a:gs>
            <a:gs pos="100000">
              <a:srgbClr val="FFEBFA"/>
            </a:gs>
          </a:gsLst>
          <a:lin ang="5400000" scaled="0"/>
        </a:gradFill>
      </c:spPr>
    </c:plotArea>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Net Present Value for Mutually Exclusive Investments</a:t>
            </a:r>
          </a:p>
        </c:rich>
      </c:tx>
      <c:overlay val="0"/>
    </c:title>
    <c:autoTitleDeleted val="0"/>
    <c:plotArea>
      <c:layout/>
      <c:lineChart>
        <c:grouping val="standard"/>
        <c:varyColors val="0"/>
        <c:ser>
          <c:idx val="1"/>
          <c:order val="0"/>
          <c:tx>
            <c:v>Investment A</c:v>
          </c:tx>
          <c:marker>
            <c:symbol val="none"/>
          </c:marker>
          <c:cat>
            <c:numLit>
              <c:formatCode>General</c:formatCode>
              <c:ptCount val="5"/>
              <c:pt idx="0">
                <c:v>0</c:v>
              </c:pt>
              <c:pt idx="1">
                <c:v>0.05</c:v>
              </c:pt>
              <c:pt idx="2">
                <c:v>0.1</c:v>
              </c:pt>
              <c:pt idx="3">
                <c:v>0.15</c:v>
              </c:pt>
              <c:pt idx="4">
                <c:v>0.2</c:v>
              </c:pt>
            </c:numLit>
          </c:cat>
          <c:val>
            <c:numLit>
              <c:formatCode>General</c:formatCode>
              <c:ptCount val="5"/>
              <c:pt idx="0">
                <c:v>42000</c:v>
              </c:pt>
              <c:pt idx="1">
                <c:v>24217.373664363331</c:v>
              </c:pt>
              <c:pt idx="2">
                <c:v>9799.0698598580348</c:v>
              </c:pt>
              <c:pt idx="3">
                <c:v>-2044.7014710061194</c:v>
              </c:pt>
              <c:pt idx="4">
                <c:v>-11889.146090534967</c:v>
              </c:pt>
            </c:numLit>
          </c:val>
          <c:smooth val="0"/>
          <c:extLst>
            <c:ext xmlns:c16="http://schemas.microsoft.com/office/drawing/2014/chart" uri="{C3380CC4-5D6E-409C-BE32-E72D297353CC}">
              <c16:uniqueId val="{00000000-0D9D-4642-B3A4-BD115E3AF877}"/>
            </c:ext>
          </c:extLst>
        </c:ser>
        <c:ser>
          <c:idx val="2"/>
          <c:order val="1"/>
          <c:tx>
            <c:v>Investment B</c:v>
          </c:tx>
          <c:marker>
            <c:symbol val="none"/>
          </c:marker>
          <c:cat>
            <c:numLit>
              <c:formatCode>General</c:formatCode>
              <c:ptCount val="5"/>
              <c:pt idx="0">
                <c:v>0</c:v>
              </c:pt>
              <c:pt idx="1">
                <c:v>0.05</c:v>
              </c:pt>
              <c:pt idx="2">
                <c:v>0.1</c:v>
              </c:pt>
              <c:pt idx="3">
                <c:v>0.15</c:v>
              </c:pt>
              <c:pt idx="4">
                <c:v>0.2</c:v>
              </c:pt>
            </c:numLit>
          </c:cat>
          <c:val>
            <c:numLit>
              <c:formatCode>General</c:formatCode>
              <c:ptCount val="5"/>
              <c:pt idx="0">
                <c:v>44000</c:v>
              </c:pt>
              <c:pt idx="1">
                <c:v>25071.086635712476</c:v>
              </c:pt>
              <c:pt idx="2">
                <c:v>9683.7026780336455</c:v>
              </c:pt>
              <c:pt idx="3">
                <c:v>-2988.307180024407</c:v>
              </c:pt>
              <c:pt idx="4">
                <c:v>-13547.453703703679</c:v>
              </c:pt>
            </c:numLit>
          </c:val>
          <c:smooth val="0"/>
          <c:extLst>
            <c:ext xmlns:c16="http://schemas.microsoft.com/office/drawing/2014/chart" uri="{C3380CC4-5D6E-409C-BE32-E72D297353CC}">
              <c16:uniqueId val="{00000001-0D9D-4642-B3A4-BD115E3AF877}"/>
            </c:ext>
          </c:extLst>
        </c:ser>
        <c:dLbls>
          <c:showLegendKey val="0"/>
          <c:showVal val="0"/>
          <c:showCatName val="0"/>
          <c:showSerName val="0"/>
          <c:showPercent val="0"/>
          <c:showBubbleSize val="0"/>
        </c:dLbls>
        <c:smooth val="0"/>
        <c:axId val="559510304"/>
        <c:axId val="429221608"/>
      </c:lineChart>
      <c:catAx>
        <c:axId val="559510304"/>
        <c:scaling>
          <c:orientation val="minMax"/>
        </c:scaling>
        <c:delete val="0"/>
        <c:axPos val="b"/>
        <c:title>
          <c:tx>
            <c:rich>
              <a:bodyPr/>
              <a:lstStyle/>
              <a:p>
                <a:pPr>
                  <a:defRPr/>
                </a:pPr>
                <a:r>
                  <a:rPr lang="en-US"/>
                  <a:t>Interest rate (%)</a:t>
                </a:r>
              </a:p>
            </c:rich>
          </c:tx>
          <c:overlay val="0"/>
        </c:title>
        <c:numFmt formatCode="General" sourceLinked="1"/>
        <c:majorTickMark val="out"/>
        <c:minorTickMark val="none"/>
        <c:tickLblPos val="nextTo"/>
        <c:crossAx val="429221608"/>
        <c:crosses val="autoZero"/>
        <c:auto val="1"/>
        <c:lblAlgn val="ctr"/>
        <c:lblOffset val="100"/>
        <c:noMultiLvlLbl val="0"/>
      </c:catAx>
      <c:valAx>
        <c:axId val="429221608"/>
        <c:scaling>
          <c:orientation val="minMax"/>
        </c:scaling>
        <c:delete val="0"/>
        <c:axPos val="l"/>
        <c:majorGridlines/>
        <c:title>
          <c:tx>
            <c:rich>
              <a:bodyPr rot="-5400000" vert="horz"/>
              <a:lstStyle/>
              <a:p>
                <a:pPr>
                  <a:defRPr/>
                </a:pPr>
                <a:r>
                  <a:rPr lang="en-US"/>
                  <a:t>NPV ($)</a:t>
                </a:r>
              </a:p>
            </c:rich>
          </c:tx>
          <c:overlay val="0"/>
        </c:title>
        <c:numFmt formatCode="_(&quot;$&quot;* #,##0_);_(&quot;$&quot;* \(#,##0\);_(&quot;$&quot;* &quot;-&quot;_);_(@_)" sourceLinked="0"/>
        <c:majorTickMark val="out"/>
        <c:minorTickMark val="none"/>
        <c:tickLblPos val="nextTo"/>
        <c:crossAx val="559510304"/>
        <c:crosses val="autoZero"/>
        <c:crossBetween val="midCat"/>
      </c:valAx>
    </c:plotArea>
    <c:legend>
      <c:legendPos val="r"/>
      <c:overlay val="0"/>
    </c:legend>
    <c:plotVisOnly val="1"/>
    <c:dispBlanksAs val="gap"/>
    <c:showDLblsOverMax val="0"/>
  </c:chart>
  <c:printSettings>
    <c:headerFooter/>
    <c:pageMargins b="0.75000000000000155" l="0.70000000000000062" r="0.70000000000000062" t="0.7500000000000015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NPV Profile</a:t>
            </a:r>
          </a:p>
        </c:rich>
      </c:tx>
      <c:layout>
        <c:manualLayout>
          <c:xMode val="edge"/>
          <c:yMode val="edge"/>
          <c:x val="0.37348600174978297"/>
          <c:y val="2.7118644067796599E-2"/>
        </c:manualLayout>
      </c:layout>
      <c:overlay val="0"/>
    </c:title>
    <c:autoTitleDeleted val="0"/>
    <c:plotArea>
      <c:layout/>
      <c:lineChart>
        <c:grouping val="standard"/>
        <c:varyColors val="0"/>
        <c:ser>
          <c:idx val="1"/>
          <c:order val="0"/>
          <c:tx>
            <c:v>NPV</c:v>
          </c:tx>
          <c:marker>
            <c:symbol val="none"/>
          </c:marker>
          <c:cat>
            <c:numLit>
              <c:formatCode>General</c:formatCode>
              <c:ptCount val="7"/>
              <c:pt idx="0">
                <c:v>0</c:v>
              </c:pt>
              <c:pt idx="1">
                <c:v>0.05</c:v>
              </c:pt>
              <c:pt idx="2">
                <c:v>0.1</c:v>
              </c:pt>
              <c:pt idx="3">
                <c:v>0.15</c:v>
              </c:pt>
              <c:pt idx="4">
                <c:v>0.2</c:v>
              </c:pt>
              <c:pt idx="5">
                <c:v>0.25</c:v>
              </c:pt>
              <c:pt idx="6">
                <c:v>0.3</c:v>
              </c:pt>
            </c:numLit>
          </c:cat>
          <c:val>
            <c:numLit>
              <c:formatCode>General</c:formatCode>
              <c:ptCount val="7"/>
              <c:pt idx="0">
                <c:v>-8000</c:v>
              </c:pt>
              <c:pt idx="1">
                <c:v>-4867.184969225782</c:v>
              </c:pt>
              <c:pt idx="2">
                <c:v>-2197.595792637112</c:v>
              </c:pt>
              <c:pt idx="3">
                <c:v>96.572696638446359</c:v>
              </c:pt>
              <c:pt idx="4">
                <c:v>2083.3333333333321</c:v>
              </c:pt>
              <c:pt idx="5">
                <c:v>3816</c:v>
              </c:pt>
              <c:pt idx="6">
                <c:v>5336.8229403732366</c:v>
              </c:pt>
            </c:numLit>
          </c:val>
          <c:smooth val="0"/>
          <c:extLst>
            <c:ext xmlns:c16="http://schemas.microsoft.com/office/drawing/2014/chart" uri="{C3380CC4-5D6E-409C-BE32-E72D297353CC}">
              <c16:uniqueId val="{00000000-2F17-4F9D-856E-F67BB4C833CB}"/>
            </c:ext>
          </c:extLst>
        </c:ser>
        <c:dLbls>
          <c:showLegendKey val="0"/>
          <c:showVal val="0"/>
          <c:showCatName val="0"/>
          <c:showSerName val="0"/>
          <c:showPercent val="0"/>
          <c:showBubbleSize val="0"/>
        </c:dLbls>
        <c:smooth val="0"/>
        <c:axId val="240613168"/>
        <c:axId val="686645056"/>
      </c:lineChart>
      <c:catAx>
        <c:axId val="240613168"/>
        <c:scaling>
          <c:orientation val="minMax"/>
        </c:scaling>
        <c:delete val="0"/>
        <c:axPos val="b"/>
        <c:title>
          <c:tx>
            <c:rich>
              <a:bodyPr/>
              <a:lstStyle/>
              <a:p>
                <a:pPr>
                  <a:defRPr/>
                </a:pPr>
                <a:r>
                  <a:rPr lang="en-US"/>
                  <a:t>Interest rate (%)</a:t>
                </a:r>
              </a:p>
            </c:rich>
          </c:tx>
          <c:overlay val="0"/>
        </c:title>
        <c:numFmt formatCode="General" sourceLinked="1"/>
        <c:majorTickMark val="out"/>
        <c:minorTickMark val="none"/>
        <c:tickLblPos val="nextTo"/>
        <c:crossAx val="686645056"/>
        <c:crosses val="autoZero"/>
        <c:auto val="1"/>
        <c:lblAlgn val="ctr"/>
        <c:lblOffset val="100"/>
        <c:noMultiLvlLbl val="0"/>
      </c:catAx>
      <c:valAx>
        <c:axId val="686645056"/>
        <c:scaling>
          <c:orientation val="minMax"/>
        </c:scaling>
        <c:delete val="0"/>
        <c:axPos val="l"/>
        <c:majorGridlines/>
        <c:title>
          <c:tx>
            <c:rich>
              <a:bodyPr/>
              <a:lstStyle/>
              <a:p>
                <a:pPr>
                  <a:defRPr/>
                </a:pPr>
                <a:r>
                  <a:rPr lang="en-US"/>
                  <a:t>NPV ($)</a:t>
                </a:r>
              </a:p>
            </c:rich>
          </c:tx>
          <c:overlay val="0"/>
        </c:title>
        <c:numFmt formatCode="_(&quot;$&quot;* #,##0_);_(&quot;$&quot;* \(#,##0\);_(&quot;$&quot;* &quot;-&quot;_);_(@_)" sourceLinked="0"/>
        <c:majorTickMark val="out"/>
        <c:minorTickMark val="none"/>
        <c:tickLblPos val="nextTo"/>
        <c:crossAx val="240613168"/>
        <c:crosses val="autoZero"/>
        <c:crossBetween val="midCat"/>
      </c:valAx>
      <c:spPr>
        <a:gradFill>
          <a:gsLst>
            <a:gs pos="0">
              <a:srgbClr val="03D4A8"/>
            </a:gs>
            <a:gs pos="25000">
              <a:srgbClr val="21D6E0"/>
            </a:gs>
            <a:gs pos="75000">
              <a:srgbClr val="0087E6"/>
            </a:gs>
            <a:gs pos="100000">
              <a:srgbClr val="005CBF"/>
            </a:gs>
          </a:gsLst>
          <a:lin ang="5400000" scaled="0"/>
        </a:gradFill>
        <a:ln w="25400">
          <a:noFill/>
        </a:ln>
      </c:spPr>
    </c:plotArea>
    <c:plotVisOnly val="1"/>
    <c:dispBlanksAs val="gap"/>
    <c:showDLblsOverMax val="0"/>
  </c:chart>
  <c:printSettings>
    <c:headerFooter/>
    <c:pageMargins b="0.75000000000000155" l="0.70000000000000062" r="0.70000000000000062" t="0.75000000000000155"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NPV Profile with Multiple IRRs</a:t>
            </a:r>
          </a:p>
        </c:rich>
      </c:tx>
      <c:overlay val="0"/>
    </c:title>
    <c:autoTitleDeleted val="0"/>
    <c:plotArea>
      <c:layout>
        <c:manualLayout>
          <c:layoutTarget val="inner"/>
          <c:xMode val="edge"/>
          <c:yMode val="edge"/>
          <c:x val="5.8436394698104528E-2"/>
          <c:y val="0.11591614064770829"/>
          <c:w val="0.91413858943958992"/>
          <c:h val="0.81189366825014642"/>
        </c:manualLayout>
      </c:layout>
      <c:scatterChart>
        <c:scatterStyle val="smoothMarker"/>
        <c:varyColors val="0"/>
        <c:ser>
          <c:idx val="1"/>
          <c:order val="0"/>
          <c:marker>
            <c:symbol val="none"/>
          </c:marker>
          <c:xVal>
            <c:numLit>
              <c:formatCode>General</c:formatCode>
              <c:ptCount val="23"/>
              <c:pt idx="0">
                <c:v>-0.5</c:v>
              </c:pt>
              <c:pt idx="1">
                <c:v>-0.45</c:v>
              </c:pt>
              <c:pt idx="2">
                <c:v>-0.4</c:v>
              </c:pt>
              <c:pt idx="3">
                <c:v>-0.35</c:v>
              </c:pt>
              <c:pt idx="4">
                <c:v>-0.3</c:v>
              </c:pt>
              <c:pt idx="5">
                <c:v>-0.25</c:v>
              </c:pt>
              <c:pt idx="6">
                <c:v>-0.20000000000000101</c:v>
              </c:pt>
              <c:pt idx="7">
                <c:v>-0.15000000000000099</c:v>
              </c:pt>
              <c:pt idx="8">
                <c:v>-0.100000000000001</c:v>
              </c:pt>
              <c:pt idx="9">
                <c:v>-5.0000000000000898E-2</c:v>
              </c:pt>
              <c:pt idx="10">
                <c:v>-9.9920072216264108E-16</c:v>
              </c:pt>
              <c:pt idx="11">
                <c:v>4.9999999999998997E-2</c:v>
              </c:pt>
              <c:pt idx="12">
                <c:v>9.9999999999999006E-2</c:v>
              </c:pt>
              <c:pt idx="13">
                <c:v>0.149999999999999</c:v>
              </c:pt>
              <c:pt idx="14">
                <c:v>0.19999999999999901</c:v>
              </c:pt>
              <c:pt idx="15">
                <c:v>0.249999999999999</c:v>
              </c:pt>
              <c:pt idx="16">
                <c:v>0.29999999999999899</c:v>
              </c:pt>
              <c:pt idx="17">
                <c:v>0.34999999999999898</c:v>
              </c:pt>
              <c:pt idx="18">
                <c:v>0.39999999999999902</c:v>
              </c:pt>
              <c:pt idx="19">
                <c:v>0.45</c:v>
              </c:pt>
              <c:pt idx="20">
                <c:v>0.5</c:v>
              </c:pt>
              <c:pt idx="21">
                <c:v>0.55000000000000004</c:v>
              </c:pt>
              <c:pt idx="22">
                <c:v>0.6</c:v>
              </c:pt>
            </c:numLit>
          </c:xVal>
          <c:yVal>
            <c:numLit>
              <c:formatCode>General</c:formatCode>
              <c:ptCount val="23"/>
              <c:pt idx="0">
                <c:v>-164000</c:v>
              </c:pt>
              <c:pt idx="1">
                <c:v>-7975.4239340331842</c:v>
              </c:pt>
              <c:pt idx="2">
                <c:v>58847.73662551443</c:v>
              </c:pt>
              <c:pt idx="3">
                <c:v>84011.952824319451</c:v>
              </c:pt>
              <c:pt idx="4">
                <c:v>89462.723865056236</c:v>
              </c:pt>
              <c:pt idx="5">
                <c:v>85720.164609053492</c:v>
              </c:pt>
              <c:pt idx="6">
                <c:v>77954.101562500189</c:v>
              </c:pt>
              <c:pt idx="7">
                <c:v>68732.590676385225</c:v>
              </c:pt>
              <c:pt idx="8">
                <c:v>59321.919084150635</c:v>
              </c:pt>
              <c:pt idx="9">
                <c:v>50324.300441945335</c:v>
              </c:pt>
              <c:pt idx="10">
                <c:v>42000.000000000146</c:v>
              </c:pt>
              <c:pt idx="11">
                <c:v>34433.783591542073</c:v>
              </c:pt>
              <c:pt idx="12">
                <c:v>27622.305977609722</c:v>
              </c:pt>
              <c:pt idx="13">
                <c:v>21520.380439637971</c:v>
              </c:pt>
              <c:pt idx="14">
                <c:v>16065.457818930139</c:v>
              </c:pt>
              <c:pt idx="15">
                <c:v>11190.400000000081</c:v>
              </c:pt>
              <c:pt idx="16">
                <c:v>6829.9159962617996</c:v>
              </c:pt>
              <c:pt idx="17">
                <c:v>2923.5641432480552</c:v>
              </c:pt>
              <c:pt idx="18">
                <c:v>-583.09037900868134</c:v>
              </c:pt>
              <c:pt idx="19">
                <c:v>-3738.2864314427206</c:v>
              </c:pt>
              <c:pt idx="20">
                <c:v>-6584.3621399177064</c:v>
              </c:pt>
              <c:pt idx="21">
                <c:v>-9158.2684376494508</c:v>
              </c:pt>
              <c:pt idx="22">
                <c:v>-11492.156982421875</c:v>
              </c:pt>
            </c:numLit>
          </c:yVal>
          <c:smooth val="1"/>
          <c:extLst>
            <c:ext xmlns:c16="http://schemas.microsoft.com/office/drawing/2014/chart" uri="{C3380CC4-5D6E-409C-BE32-E72D297353CC}">
              <c16:uniqueId val="{00000000-7891-49AF-81A3-9BF3C7E81DBE}"/>
            </c:ext>
          </c:extLst>
        </c:ser>
        <c:dLbls>
          <c:showLegendKey val="0"/>
          <c:showVal val="0"/>
          <c:showCatName val="0"/>
          <c:showSerName val="0"/>
          <c:showPercent val="0"/>
          <c:showBubbleSize val="0"/>
        </c:dLbls>
        <c:axId val="686645840"/>
        <c:axId val="686646232"/>
      </c:scatterChart>
      <c:valAx>
        <c:axId val="686645840"/>
        <c:scaling>
          <c:orientation val="minMax"/>
          <c:max val="0.5"/>
          <c:min val="-0.5"/>
        </c:scaling>
        <c:delete val="0"/>
        <c:axPos val="b"/>
        <c:title>
          <c:tx>
            <c:rich>
              <a:bodyPr/>
              <a:lstStyle/>
              <a:p>
                <a:pPr>
                  <a:defRPr/>
                </a:pPr>
                <a:r>
                  <a:rPr lang="en-US"/>
                  <a:t>Interest rate (%)</a:t>
                </a:r>
              </a:p>
            </c:rich>
          </c:tx>
          <c:overlay val="0"/>
        </c:title>
        <c:numFmt formatCode="General" sourceLinked="1"/>
        <c:majorTickMark val="out"/>
        <c:minorTickMark val="none"/>
        <c:tickLblPos val="nextTo"/>
        <c:crossAx val="686646232"/>
        <c:crosses val="autoZero"/>
        <c:crossBetween val="midCat"/>
      </c:valAx>
      <c:valAx>
        <c:axId val="686646232"/>
        <c:scaling>
          <c:orientation val="minMax"/>
        </c:scaling>
        <c:delete val="0"/>
        <c:axPos val="l"/>
        <c:majorGridlines/>
        <c:title>
          <c:tx>
            <c:rich>
              <a:bodyPr rot="-5400000" vert="horz"/>
              <a:lstStyle/>
              <a:p>
                <a:pPr>
                  <a:defRPr/>
                </a:pPr>
                <a:r>
                  <a:rPr lang="en-US"/>
                  <a:t>NPV ($)</a:t>
                </a:r>
              </a:p>
            </c:rich>
          </c:tx>
          <c:layout>
            <c:manualLayout>
              <c:xMode val="edge"/>
              <c:yMode val="edge"/>
              <c:x val="1.3108612299299258E-2"/>
              <c:y val="0.48354330708661419"/>
            </c:manualLayout>
          </c:layout>
          <c:overlay val="0"/>
        </c:title>
        <c:numFmt formatCode="_(&quot;$&quot;* #,##0_);_(&quot;$&quot;* \(#,##0\);_(&quot;$&quot;* &quot;-&quot;_);_(@_)" sourceLinked="0"/>
        <c:majorTickMark val="out"/>
        <c:minorTickMark val="none"/>
        <c:tickLblPos val="nextTo"/>
        <c:crossAx val="686645840"/>
        <c:crosses val="autoZero"/>
        <c:crossBetween val="midCat"/>
      </c:valAx>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plotArea>
    <c:plotVisOnly val="1"/>
    <c:dispBlanksAs val="gap"/>
    <c:showDLblsOverMax val="0"/>
  </c:chart>
  <c:printSettings>
    <c:headerFooter/>
    <c:pageMargins b="0.75000000000000155" l="0.70000000000000062" r="0.70000000000000062" t="0.75000000000000155"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NPV Profile</a:t>
            </a:r>
          </a:p>
        </c:rich>
      </c:tx>
      <c:overlay val="0"/>
    </c:title>
    <c:autoTitleDeleted val="0"/>
    <c:plotArea>
      <c:layout/>
      <c:scatterChart>
        <c:scatterStyle val="smoothMarker"/>
        <c:varyColors val="0"/>
        <c:ser>
          <c:idx val="0"/>
          <c:order val="0"/>
          <c:tx>
            <c:strRef>
              <c:f>'NPV Profile'!$C$17</c:f>
              <c:strCache>
                <c:ptCount val="1"/>
                <c:pt idx="0">
                  <c:v>NPV</c:v>
                </c:pt>
              </c:strCache>
            </c:strRef>
          </c:tx>
          <c:marker>
            <c:symbol val="circle"/>
            <c:size val="5"/>
          </c:marker>
          <c:xVal>
            <c:numRef>
              <c:f>'NPV Profile'!$B$18:$B$26</c:f>
              <c:numCache>
                <c:formatCode>0%</c:formatCode>
                <c:ptCount val="9"/>
                <c:pt idx="0">
                  <c:v>0</c:v>
                </c:pt>
                <c:pt idx="1">
                  <c:v>0.05</c:v>
                </c:pt>
                <c:pt idx="2">
                  <c:v>0.1</c:v>
                </c:pt>
                <c:pt idx="3">
                  <c:v>0.15</c:v>
                </c:pt>
                <c:pt idx="4">
                  <c:v>0.2</c:v>
                </c:pt>
                <c:pt idx="5">
                  <c:v>0.25</c:v>
                </c:pt>
                <c:pt idx="6">
                  <c:v>0.3</c:v>
                </c:pt>
                <c:pt idx="7">
                  <c:v>0.35</c:v>
                </c:pt>
                <c:pt idx="8">
                  <c:v>0.4</c:v>
                </c:pt>
              </c:numCache>
            </c:numRef>
          </c:xVal>
          <c:yVal>
            <c:numRef>
              <c:f>'NPV Profile'!$C$18:$C$26</c:f>
              <c:numCache>
                <c:formatCode>_("$"* #,##0.00_);_("$"* \(#,##0.00\);_("$"* "-"??_);_(@_)</c:formatCode>
                <c:ptCount val="9"/>
                <c:pt idx="0">
                  <c:v>28000</c:v>
                </c:pt>
                <c:pt idx="1">
                  <c:v>19579.812056557857</c:v>
                </c:pt>
                <c:pt idx="2">
                  <c:v>12863.937510478027</c:v>
                </c:pt>
                <c:pt idx="3">
                  <c:v>7436.5629675112214</c:v>
                </c:pt>
                <c:pt idx="4">
                  <c:v>2997.6851851851825</c:v>
                </c:pt>
                <c:pt idx="5">
                  <c:v>-672.64000000000306</c:v>
                </c:pt>
                <c:pt idx="6">
                  <c:v>-3738.0451557126071</c:v>
                </c:pt>
                <c:pt idx="7">
                  <c:v>-6321.9205476765637</c:v>
                </c:pt>
                <c:pt idx="8">
                  <c:v>-8518.4744451716506</c:v>
                </c:pt>
              </c:numCache>
            </c:numRef>
          </c:yVal>
          <c:smooth val="1"/>
          <c:extLst>
            <c:ext xmlns:c16="http://schemas.microsoft.com/office/drawing/2014/chart" uri="{C3380CC4-5D6E-409C-BE32-E72D297353CC}">
              <c16:uniqueId val="{00000000-AAE1-4D93-B705-9A0F1722A90C}"/>
            </c:ext>
          </c:extLst>
        </c:ser>
        <c:dLbls>
          <c:showLegendKey val="0"/>
          <c:showVal val="0"/>
          <c:showCatName val="0"/>
          <c:showSerName val="0"/>
          <c:showPercent val="0"/>
          <c:showBubbleSize val="0"/>
        </c:dLbls>
        <c:axId val="565892904"/>
        <c:axId val="565892120"/>
      </c:scatterChart>
      <c:valAx>
        <c:axId val="565892904"/>
        <c:scaling>
          <c:orientation val="minMax"/>
          <c:max val="0.4"/>
          <c:min val="0"/>
        </c:scaling>
        <c:delete val="0"/>
        <c:axPos val="b"/>
        <c:title>
          <c:tx>
            <c:rich>
              <a:bodyPr/>
              <a:lstStyle/>
              <a:p>
                <a:pPr>
                  <a:defRPr/>
                </a:pPr>
                <a:r>
                  <a:rPr lang="en-US"/>
                  <a:t>Interest rate (%)</a:t>
                </a:r>
              </a:p>
            </c:rich>
          </c:tx>
          <c:overlay val="0"/>
        </c:title>
        <c:numFmt formatCode="0%" sourceLinked="1"/>
        <c:majorTickMark val="out"/>
        <c:minorTickMark val="none"/>
        <c:tickLblPos val="nextTo"/>
        <c:crossAx val="565892120"/>
        <c:crosses val="autoZero"/>
        <c:crossBetween val="midCat"/>
      </c:valAx>
      <c:valAx>
        <c:axId val="565892120"/>
        <c:scaling>
          <c:orientation val="minMax"/>
        </c:scaling>
        <c:delete val="0"/>
        <c:axPos val="l"/>
        <c:majorGridlines/>
        <c:title>
          <c:tx>
            <c:rich>
              <a:bodyPr rot="-5400000" vert="horz"/>
              <a:lstStyle/>
              <a:p>
                <a:pPr>
                  <a:defRPr/>
                </a:pPr>
                <a:r>
                  <a:rPr lang="en-US"/>
                  <a:t>NPV ($)</a:t>
                </a:r>
              </a:p>
            </c:rich>
          </c:tx>
          <c:overlay val="0"/>
        </c:title>
        <c:numFmt formatCode="_(&quot;$&quot;* #,##0_);_(&quot;$&quot;* \(#,##0\);_(&quot;$&quot;* &quot;-&quot;_);_(@_)" sourceLinked="0"/>
        <c:majorTickMark val="out"/>
        <c:minorTickMark val="none"/>
        <c:tickLblPos val="nextTo"/>
        <c:crossAx val="565892904"/>
        <c:crosses val="autoZero"/>
        <c:crossBetween val="midCat"/>
      </c:valAx>
      <c:spPr>
        <a:gradFill>
          <a:gsLst>
            <a:gs pos="0">
              <a:srgbClr val="5E9EFF"/>
            </a:gs>
            <a:gs pos="39999">
              <a:srgbClr val="85C2FF"/>
            </a:gs>
            <a:gs pos="70000">
              <a:srgbClr val="C4D6EB"/>
            </a:gs>
            <a:gs pos="100000">
              <a:srgbClr val="FFEBFA"/>
            </a:gs>
          </a:gsLst>
          <a:lin ang="5400000" scaled="0"/>
        </a:gradFill>
      </c:spPr>
    </c:plotArea>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66675</xdr:colOff>
      <xdr:row>0</xdr:row>
      <xdr:rowOff>161925</xdr:rowOff>
    </xdr:from>
    <xdr:ext cx="933450" cy="266700"/>
    <xdr:pic>
      <xdr:nvPicPr>
        <xdr:cNvPr id="2" name="image2.png">
          <a:extLst>
            <a:ext uri="{FF2B5EF4-FFF2-40B4-BE49-F238E27FC236}">
              <a16:creationId xmlns:a16="http://schemas.microsoft.com/office/drawing/2014/main" id="{DCC48378-EA12-4326-A9D0-1B4F1078AB10}"/>
            </a:ext>
          </a:extLst>
        </xdr:cNvPr>
        <xdr:cNvPicPr preferRelativeResize="0"/>
      </xdr:nvPicPr>
      <xdr:blipFill>
        <a:blip xmlns:r="http://schemas.openxmlformats.org/officeDocument/2006/relationships" r:embed="rId1" cstate="print"/>
        <a:stretch>
          <a:fillRect/>
        </a:stretch>
      </xdr:blipFill>
      <xdr:spPr>
        <a:xfrm>
          <a:off x="4391025" y="161925"/>
          <a:ext cx="933450" cy="2667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66675</xdr:colOff>
      <xdr:row>0</xdr:row>
      <xdr:rowOff>161925</xdr:rowOff>
    </xdr:from>
    <xdr:ext cx="933450" cy="266700"/>
    <xdr:pic>
      <xdr:nvPicPr>
        <xdr:cNvPr id="2" name="image2.png">
          <a:extLst>
            <a:ext uri="{FF2B5EF4-FFF2-40B4-BE49-F238E27FC236}">
              <a16:creationId xmlns:a16="http://schemas.microsoft.com/office/drawing/2014/main" id="{6EC34C25-041D-408D-AC4F-DC5165D7B6AD}"/>
            </a:ext>
          </a:extLst>
        </xdr:cNvPr>
        <xdr:cNvPicPr preferRelativeResize="0"/>
      </xdr:nvPicPr>
      <xdr:blipFill>
        <a:blip xmlns:r="http://schemas.openxmlformats.org/officeDocument/2006/relationships" r:embed="rId1" cstate="print"/>
        <a:stretch>
          <a:fillRect/>
        </a:stretch>
      </xdr:blipFill>
      <xdr:spPr>
        <a:xfrm>
          <a:off x="4391025" y="161925"/>
          <a:ext cx="933450" cy="2667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1</xdr:col>
      <xdr:colOff>561975</xdr:colOff>
      <xdr:row>44</xdr:row>
      <xdr:rowOff>123824</xdr:rowOff>
    </xdr:from>
    <xdr:to>
      <xdr:col>9</xdr:col>
      <xdr:colOff>57150</xdr:colOff>
      <xdr:row>66</xdr:row>
      <xdr:rowOff>57149</xdr:rowOff>
    </xdr:to>
    <xdr:graphicFrame macro="">
      <xdr:nvGraphicFramePr>
        <xdr:cNvPr id="2" name="Chart 1">
          <a:extLst>
            <a:ext uri="{FF2B5EF4-FFF2-40B4-BE49-F238E27FC236}">
              <a16:creationId xmlns:a16="http://schemas.microsoft.com/office/drawing/2014/main" id="{80ADCB8E-7AB6-475D-946C-9E9F3A322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238126</xdr:colOff>
      <xdr:row>221</xdr:row>
      <xdr:rowOff>104776</xdr:rowOff>
    </xdr:from>
    <xdr:to>
      <xdr:col>9</xdr:col>
      <xdr:colOff>514350</xdr:colOff>
      <xdr:row>245</xdr:row>
      <xdr:rowOff>133350</xdr:rowOff>
    </xdr:to>
    <xdr:graphicFrame macro="">
      <xdr:nvGraphicFramePr>
        <xdr:cNvPr id="3" name="Chart 2">
          <a:extLst>
            <a:ext uri="{FF2B5EF4-FFF2-40B4-BE49-F238E27FC236}">
              <a16:creationId xmlns:a16="http://schemas.microsoft.com/office/drawing/2014/main" id="{7C1859E2-5AFF-4A80-9F43-1E826174F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190500</xdr:colOff>
      <xdr:row>230</xdr:row>
      <xdr:rowOff>114301</xdr:rowOff>
    </xdr:from>
    <xdr:to>
      <xdr:col>6</xdr:col>
      <xdr:colOff>342900</xdr:colOff>
      <xdr:row>232</xdr:row>
      <xdr:rowOff>1</xdr:rowOff>
    </xdr:to>
    <xdr:sp macro="" textlink="">
      <xdr:nvSpPr>
        <xdr:cNvPr id="4" name="TextBox 3">
          <a:extLst>
            <a:ext uri="{FF2B5EF4-FFF2-40B4-BE49-F238E27FC236}">
              <a16:creationId xmlns:a16="http://schemas.microsoft.com/office/drawing/2014/main" id="{E3D49D08-E75E-453E-A356-E485E96CAC99}"/>
            </a:ext>
          </a:extLst>
        </xdr:cNvPr>
        <xdr:cNvSpPr txBox="1"/>
      </xdr:nvSpPr>
      <xdr:spPr>
        <a:xfrm>
          <a:off x="4673600" y="58997851"/>
          <a:ext cx="1181100" cy="2794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Crossover point</a:t>
          </a:r>
        </a:p>
      </xdr:txBody>
    </xdr:sp>
    <xdr:clientData/>
  </xdr:twoCellAnchor>
  <xdr:twoCellAnchor>
    <xdr:from>
      <xdr:col>1</xdr:col>
      <xdr:colOff>847724</xdr:colOff>
      <xdr:row>95</xdr:row>
      <xdr:rowOff>85725</xdr:rowOff>
    </xdr:from>
    <xdr:to>
      <xdr:col>8</xdr:col>
      <xdr:colOff>180974</xdr:colOff>
      <xdr:row>115</xdr:row>
      <xdr:rowOff>104775</xdr:rowOff>
    </xdr:to>
    <xdr:graphicFrame macro="">
      <xdr:nvGraphicFramePr>
        <xdr:cNvPr id="5" name="Chart 4">
          <a:extLst>
            <a:ext uri="{FF2B5EF4-FFF2-40B4-BE49-F238E27FC236}">
              <a16:creationId xmlns:a16="http://schemas.microsoft.com/office/drawing/2014/main" id="{FBDAA3B9-1CD5-4D54-8C11-EFCF43206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200024</xdr:colOff>
      <xdr:row>160</xdr:row>
      <xdr:rowOff>190500</xdr:rowOff>
    </xdr:from>
    <xdr:to>
      <xdr:col>10</xdr:col>
      <xdr:colOff>114300</xdr:colOff>
      <xdr:row>184</xdr:row>
      <xdr:rowOff>0</xdr:rowOff>
    </xdr:to>
    <xdr:graphicFrame macro="">
      <xdr:nvGraphicFramePr>
        <xdr:cNvPr id="6" name="Chart 5">
          <a:extLst>
            <a:ext uri="{FF2B5EF4-FFF2-40B4-BE49-F238E27FC236}">
              <a16:creationId xmlns:a16="http://schemas.microsoft.com/office/drawing/2014/main" id="{1106B0A2-D897-4B4D-BF0D-89275A16F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838200</xdr:colOff>
      <xdr:row>141</xdr:row>
      <xdr:rowOff>114300</xdr:rowOff>
    </xdr:from>
    <xdr:to>
      <xdr:col>7</xdr:col>
      <xdr:colOff>753250</xdr:colOff>
      <xdr:row>155</xdr:row>
      <xdr:rowOff>301992</xdr:rowOff>
    </xdr:to>
    <xdr:pic>
      <xdr:nvPicPr>
        <xdr:cNvPr id="9" name="Picture 8">
          <a:extLst>
            <a:ext uri="{FF2B5EF4-FFF2-40B4-BE49-F238E27FC236}">
              <a16:creationId xmlns:a16="http://schemas.microsoft.com/office/drawing/2014/main" id="{6BA64063-C370-47A1-A464-536D5ED76F4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8400" y="40278050"/>
          <a:ext cx="5839600" cy="2587992"/>
        </a:xfrm>
        <a:prstGeom prst="rect">
          <a:avLst/>
        </a:prstGeom>
      </xdr:spPr>
    </xdr:pic>
    <xdr:clientData/>
  </xdr:twoCellAnchor>
  <xdr:twoCellAnchor editAs="oneCell">
    <xdr:from>
      <xdr:col>1</xdr:col>
      <xdr:colOff>638175</xdr:colOff>
      <xdr:row>311</xdr:row>
      <xdr:rowOff>114300</xdr:rowOff>
    </xdr:from>
    <xdr:to>
      <xdr:col>7</xdr:col>
      <xdr:colOff>667541</xdr:colOff>
      <xdr:row>328</xdr:row>
      <xdr:rowOff>149645</xdr:rowOff>
    </xdr:to>
    <xdr:pic>
      <xdr:nvPicPr>
        <xdr:cNvPr id="10" name="Picture 9">
          <a:extLst>
            <a:ext uri="{FF2B5EF4-FFF2-40B4-BE49-F238E27FC236}">
              <a16:creationId xmlns:a16="http://schemas.microsoft.com/office/drawing/2014/main" id="{BC35138F-6BDB-47D9-85DF-42AE79B6E75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8375" y="76358750"/>
          <a:ext cx="5953916" cy="2962695"/>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0.24792</cdr:x>
      <cdr:y>0.44444</cdr:y>
    </cdr:from>
    <cdr:to>
      <cdr:x>0.39375</cdr:x>
      <cdr:y>0.59028</cdr:y>
    </cdr:to>
    <cdr:sp macro="" textlink="">
      <cdr:nvSpPr>
        <cdr:cNvPr id="2" name="TextBox 1"/>
        <cdr:cNvSpPr txBox="1"/>
      </cdr:nvSpPr>
      <cdr:spPr>
        <a:xfrm xmlns:a="http://schemas.openxmlformats.org/drawingml/2006/main">
          <a:off x="1133475" y="1219200"/>
          <a:ext cx="666750" cy="4000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0.24375</cdr:x>
      <cdr:y>0.55824</cdr:y>
    </cdr:from>
    <cdr:to>
      <cdr:x>0.32903</cdr:x>
      <cdr:y>0.62418</cdr:y>
    </cdr:to>
    <cdr:sp macro="" textlink="">
      <cdr:nvSpPr>
        <cdr:cNvPr id="3" name="TextBox 2"/>
        <cdr:cNvSpPr txBox="1"/>
      </cdr:nvSpPr>
      <cdr:spPr>
        <a:xfrm xmlns:a="http://schemas.openxmlformats.org/drawingml/2006/main">
          <a:off x="1799332" y="2419351"/>
          <a:ext cx="629543" cy="285749"/>
        </a:xfrm>
        <a:prstGeom xmlns:a="http://schemas.openxmlformats.org/drawingml/2006/main" prst="rect">
          <a:avLst/>
        </a:prstGeom>
        <a:solidFill xmlns:a="http://schemas.openxmlformats.org/drawingml/2006/main">
          <a:srgbClr val="0FE1FD"/>
        </a:solidFill>
      </cdr:spPr>
      <cdr:txBody>
        <a:bodyPr xmlns:a="http://schemas.openxmlformats.org/drawingml/2006/main" wrap="square" rtlCol="0"/>
        <a:lstStyle xmlns:a="http://schemas.openxmlformats.org/drawingml/2006/main"/>
        <a:p xmlns:a="http://schemas.openxmlformats.org/drawingml/2006/main">
          <a:r>
            <a:rPr lang="en-US" sz="1100"/>
            <a:t>NPV &gt; 0</a:t>
          </a:r>
        </a:p>
      </cdr:txBody>
    </cdr:sp>
  </cdr:relSizeAnchor>
  <cdr:relSizeAnchor xmlns:cdr="http://schemas.openxmlformats.org/drawingml/2006/chartDrawing">
    <cdr:from>
      <cdr:x>0</cdr:x>
      <cdr:y>0</cdr:y>
    </cdr:from>
    <cdr:to>
      <cdr:x>0.00533</cdr:x>
      <cdr:y>0.00889</cdr:y>
    </cdr:to>
    <cdr:pic>
      <cdr:nvPicPr>
        <cdr:cNvPr id="4" name="chart">
          <a:extLst xmlns:a="http://schemas.openxmlformats.org/drawingml/2006/main">
            <a:ext uri="{FF2B5EF4-FFF2-40B4-BE49-F238E27FC236}">
              <a16:creationId xmlns:a16="http://schemas.microsoft.com/office/drawing/2014/main" id="{160AFBDD-A0E6-0FA9-F718-9EF5A6A32C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0.83333</cdr:x>
      <cdr:y>0.63542</cdr:y>
    </cdr:from>
    <cdr:to>
      <cdr:x>0.9625</cdr:x>
      <cdr:y>0.66319</cdr:y>
    </cdr:to>
    <cdr:sp macro="" textlink="">
      <cdr:nvSpPr>
        <cdr:cNvPr id="7" name="TextBox 6"/>
        <cdr:cNvSpPr txBox="1"/>
      </cdr:nvSpPr>
      <cdr:spPr>
        <a:xfrm xmlns:a="http://schemas.openxmlformats.org/drawingml/2006/main">
          <a:off x="3810000" y="1743075"/>
          <a:ext cx="590550" cy="7620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0.84387</cdr:x>
      <cdr:y>0.48352</cdr:y>
    </cdr:from>
    <cdr:to>
      <cdr:x>0.93032</cdr:x>
      <cdr:y>0.55385</cdr:y>
    </cdr:to>
    <cdr:sp macro="" textlink="">
      <cdr:nvSpPr>
        <cdr:cNvPr id="8" name="TextBox 7"/>
        <cdr:cNvSpPr txBox="1"/>
      </cdr:nvSpPr>
      <cdr:spPr>
        <a:xfrm xmlns:a="http://schemas.openxmlformats.org/drawingml/2006/main">
          <a:off x="6229350" y="2095502"/>
          <a:ext cx="638175" cy="304800"/>
        </a:xfrm>
        <a:prstGeom xmlns:a="http://schemas.openxmlformats.org/drawingml/2006/main" prst="rect">
          <a:avLst/>
        </a:prstGeom>
        <a:solidFill xmlns:a="http://schemas.openxmlformats.org/drawingml/2006/main">
          <a:srgbClr val="0FE1FD"/>
        </a:solidFill>
      </cdr:spPr>
      <cdr:txBody>
        <a:bodyPr xmlns:a="http://schemas.openxmlformats.org/drawingml/2006/main" wrap="square" rtlCol="0"/>
        <a:lstStyle xmlns:a="http://schemas.openxmlformats.org/drawingml/2006/main"/>
        <a:p xmlns:a="http://schemas.openxmlformats.org/drawingml/2006/main">
          <a:r>
            <a:rPr lang="en-US" sz="1100"/>
            <a:t>NPV &lt; 0</a:t>
          </a:r>
        </a:p>
      </cdr:txBody>
    </cdr:sp>
  </cdr:relSizeAnchor>
  <cdr:relSizeAnchor xmlns:cdr="http://schemas.openxmlformats.org/drawingml/2006/chartDrawing">
    <cdr:from>
      <cdr:x>0.88759</cdr:x>
      <cdr:y>0.55674</cdr:y>
    </cdr:from>
    <cdr:to>
      <cdr:x>0.89379</cdr:x>
      <cdr:y>0.70769</cdr:y>
    </cdr:to>
    <cdr:sp macro="" textlink="">
      <cdr:nvSpPr>
        <cdr:cNvPr id="10" name="Straight Arrow Connector 9"/>
        <cdr:cNvSpPr/>
      </cdr:nvSpPr>
      <cdr:spPr>
        <a:xfrm xmlns:a="http://schemas.openxmlformats.org/drawingml/2006/main" rot="5400000" flipV="1">
          <a:off x="6247860" y="2717086"/>
          <a:ext cx="654217" cy="45719"/>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0.61161</cdr:x>
      <cdr:y>0.41099</cdr:y>
    </cdr:from>
    <cdr:to>
      <cdr:x>0.6671</cdr:x>
      <cdr:y>0.46528</cdr:y>
    </cdr:to>
    <cdr:sp macro="" textlink="">
      <cdr:nvSpPr>
        <cdr:cNvPr id="11" name="TextBox 10"/>
        <cdr:cNvSpPr txBox="1"/>
      </cdr:nvSpPr>
      <cdr:spPr>
        <a:xfrm xmlns:a="http://schemas.openxmlformats.org/drawingml/2006/main">
          <a:off x="4514850" y="1781176"/>
          <a:ext cx="409575" cy="235280"/>
        </a:xfrm>
        <a:prstGeom xmlns:a="http://schemas.openxmlformats.org/drawingml/2006/main" prst="rect">
          <a:avLst/>
        </a:prstGeom>
        <a:solidFill xmlns:a="http://schemas.openxmlformats.org/drawingml/2006/main">
          <a:srgbClr val="0FE1FD"/>
        </a:solidFill>
      </cdr:spPr>
      <cdr:txBody>
        <a:bodyPr xmlns:a="http://schemas.openxmlformats.org/drawingml/2006/main" wrap="square" rtlCol="0"/>
        <a:lstStyle xmlns:a="http://schemas.openxmlformats.org/drawingml/2006/main"/>
        <a:p xmlns:a="http://schemas.openxmlformats.org/drawingml/2006/main">
          <a:r>
            <a:rPr lang="en-US" sz="1100"/>
            <a:t>IRR</a:t>
          </a:r>
        </a:p>
      </cdr:txBody>
    </cdr:sp>
  </cdr:relSizeAnchor>
  <cdr:relSizeAnchor xmlns:cdr="http://schemas.openxmlformats.org/drawingml/2006/chartDrawing">
    <cdr:from>
      <cdr:x>0.6401</cdr:x>
      <cdr:y>0.47251</cdr:y>
    </cdr:from>
    <cdr:to>
      <cdr:x>0.64044</cdr:x>
      <cdr:y>0.64612</cdr:y>
    </cdr:to>
    <cdr:sp macro="" textlink="">
      <cdr:nvSpPr>
        <cdr:cNvPr id="13" name="Straight Arrow Connector 12"/>
        <cdr:cNvSpPr/>
      </cdr:nvSpPr>
      <cdr:spPr>
        <a:xfrm xmlns:a="http://schemas.openxmlformats.org/drawingml/2006/main" rot="5400000">
          <a:off x="4350179" y="2422730"/>
          <a:ext cx="752409" cy="2564"/>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userShapes>
</file>

<file path=xl/drawings/drawing5.xml><?xml version="1.0" encoding="utf-8"?>
<c:userShapes xmlns:c="http://schemas.openxmlformats.org/drawingml/2006/chart">
  <cdr:relSizeAnchor xmlns:cdr="http://schemas.openxmlformats.org/drawingml/2006/chartDrawing">
    <cdr:from>
      <cdr:x>0.45148</cdr:x>
      <cdr:y>0.5544</cdr:y>
    </cdr:from>
    <cdr:to>
      <cdr:x>0.45168</cdr:x>
      <cdr:y>0.69839</cdr:y>
    </cdr:to>
    <cdr:sp macro="" textlink="">
      <cdr:nvSpPr>
        <cdr:cNvPr id="3" name="Straight Arrow Connector 2"/>
        <cdr:cNvSpPr/>
      </cdr:nvSpPr>
      <cdr:spPr>
        <a:xfrm xmlns:a="http://schemas.openxmlformats.org/drawingml/2006/main" rot="5400000">
          <a:off x="3338525" y="3024155"/>
          <a:ext cx="695305" cy="1632"/>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0.12135</cdr:x>
      <cdr:y>0.55424</cdr:y>
    </cdr:from>
    <cdr:to>
      <cdr:x>0.4294</cdr:x>
      <cdr:y>0.55622</cdr:y>
    </cdr:to>
    <cdr:sp macro="" textlink="">
      <cdr:nvSpPr>
        <cdr:cNvPr id="5" name="Straight Arrow Connector 4"/>
        <cdr:cNvSpPr/>
      </cdr:nvSpPr>
      <cdr:spPr>
        <a:xfrm xmlns:a="http://schemas.openxmlformats.org/drawingml/2006/main" rot="10800000">
          <a:off x="990589" y="2676508"/>
          <a:ext cx="2514588" cy="9561"/>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0.45974</cdr:x>
      <cdr:y>0.4359</cdr:y>
    </cdr:from>
    <cdr:to>
      <cdr:x>0.56709</cdr:x>
      <cdr:y>0.54635</cdr:y>
    </cdr:to>
    <cdr:sp macro="" textlink="">
      <cdr:nvSpPr>
        <cdr:cNvPr id="7" name="Straight Arrow Connector 6"/>
        <cdr:cNvSpPr/>
      </cdr:nvSpPr>
      <cdr:spPr>
        <a:xfrm xmlns:a="http://schemas.openxmlformats.org/drawingml/2006/main" rot="10800000" flipV="1">
          <a:off x="3752849" y="2105024"/>
          <a:ext cx="876300" cy="533400"/>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0.38156</cdr:x>
      <cdr:y>0.75345</cdr:y>
    </cdr:from>
    <cdr:to>
      <cdr:x>0.45274</cdr:x>
      <cdr:y>0.80473</cdr:y>
    </cdr:to>
    <cdr:sp macro="" textlink="">
      <cdr:nvSpPr>
        <cdr:cNvPr id="8" name="TextBox 7"/>
        <cdr:cNvSpPr txBox="1"/>
      </cdr:nvSpPr>
      <cdr:spPr>
        <a:xfrm xmlns:a="http://schemas.openxmlformats.org/drawingml/2006/main">
          <a:off x="3114674" y="3638548"/>
          <a:ext cx="581025" cy="247651"/>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100"/>
            <a:t>9.36%</a:t>
          </a:r>
        </a:p>
      </cdr:txBody>
    </cdr:sp>
  </cdr:relSizeAnchor>
  <cdr:relSizeAnchor xmlns:cdr="http://schemas.openxmlformats.org/drawingml/2006/chartDrawing">
    <cdr:from>
      <cdr:x>0.4259</cdr:x>
      <cdr:y>0.70217</cdr:y>
    </cdr:from>
    <cdr:to>
      <cdr:x>0.45508</cdr:x>
      <cdr:y>0.75148</cdr:y>
    </cdr:to>
    <cdr:sp macro="" textlink="">
      <cdr:nvSpPr>
        <cdr:cNvPr id="10" name="Straight Arrow Connector 9"/>
        <cdr:cNvSpPr/>
      </cdr:nvSpPr>
      <cdr:spPr>
        <a:xfrm xmlns:a="http://schemas.openxmlformats.org/drawingml/2006/main" rot="5400000" flipH="1" flipV="1">
          <a:off x="3476624" y="3390900"/>
          <a:ext cx="238125" cy="238125"/>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0.15753</cdr:x>
      <cdr:y>0.4714</cdr:y>
    </cdr:from>
    <cdr:to>
      <cdr:x>0.31972</cdr:x>
      <cdr:y>0.52268</cdr:y>
    </cdr:to>
    <cdr:sp macro="" textlink="">
      <cdr:nvSpPr>
        <cdr:cNvPr id="11" name="TextBox 10"/>
        <cdr:cNvSpPr txBox="1"/>
      </cdr:nvSpPr>
      <cdr:spPr>
        <a:xfrm xmlns:a="http://schemas.openxmlformats.org/drawingml/2006/main">
          <a:off x="1285874" y="2276474"/>
          <a:ext cx="1323975" cy="2476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0.17853</cdr:x>
      <cdr:y>0.47535</cdr:y>
    </cdr:from>
    <cdr:to>
      <cdr:x>0.33606</cdr:x>
      <cdr:y>0.53452</cdr:y>
    </cdr:to>
    <cdr:sp macro="" textlink="">
      <cdr:nvSpPr>
        <cdr:cNvPr id="12" name="TextBox 11"/>
        <cdr:cNvSpPr txBox="1"/>
      </cdr:nvSpPr>
      <cdr:spPr>
        <a:xfrm xmlns:a="http://schemas.openxmlformats.org/drawingml/2006/main">
          <a:off x="1457324" y="2295524"/>
          <a:ext cx="1285875" cy="2857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0.1797</cdr:x>
      <cdr:y>0.4497</cdr:y>
    </cdr:from>
    <cdr:to>
      <cdr:x>0.29522</cdr:x>
      <cdr:y>0.5069</cdr:y>
    </cdr:to>
    <cdr:sp macro="" textlink="">
      <cdr:nvSpPr>
        <cdr:cNvPr id="13" name="TextBox 12"/>
        <cdr:cNvSpPr txBox="1"/>
      </cdr:nvSpPr>
      <cdr:spPr>
        <a:xfrm xmlns:a="http://schemas.openxmlformats.org/drawingml/2006/main">
          <a:off x="1466850" y="2171699"/>
          <a:ext cx="942974" cy="2762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100"/>
            <a:t>$11,484.54</a:t>
          </a:r>
        </a:p>
      </cdr:txBody>
    </cdr:sp>
  </cdr:relSizeAnchor>
  <cdr:relSizeAnchor xmlns:cdr="http://schemas.openxmlformats.org/drawingml/2006/chartDrawing">
    <cdr:from>
      <cdr:x>0.13068</cdr:x>
      <cdr:y>0.4931</cdr:y>
    </cdr:from>
    <cdr:to>
      <cdr:x>0.17969</cdr:x>
      <cdr:y>0.54241</cdr:y>
    </cdr:to>
    <cdr:sp macro="" textlink="">
      <cdr:nvSpPr>
        <cdr:cNvPr id="15" name="Straight Arrow Connector 14"/>
        <cdr:cNvSpPr/>
      </cdr:nvSpPr>
      <cdr:spPr>
        <a:xfrm xmlns:a="http://schemas.openxmlformats.org/drawingml/2006/main" rot="10800000" flipV="1">
          <a:off x="1066758" y="2381243"/>
          <a:ext cx="400065" cy="238126"/>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userShapes>
</file>

<file path=xl/drawings/drawing6.xml><?xml version="1.0" encoding="utf-8"?>
<c:userShapes xmlns:c="http://schemas.openxmlformats.org/drawingml/2006/chart">
  <cdr:relSizeAnchor xmlns:cdr="http://schemas.openxmlformats.org/drawingml/2006/chartDrawing">
    <cdr:from>
      <cdr:x>0.42443</cdr:x>
      <cdr:y>0.32938</cdr:y>
    </cdr:from>
    <cdr:to>
      <cdr:x>0.49313</cdr:x>
      <cdr:y>0.40284</cdr:y>
    </cdr:to>
    <cdr:sp macro="" textlink="">
      <cdr:nvSpPr>
        <cdr:cNvPr id="2" name="TextBox 1"/>
        <cdr:cNvSpPr txBox="1"/>
      </cdr:nvSpPr>
      <cdr:spPr>
        <a:xfrm xmlns:a="http://schemas.openxmlformats.org/drawingml/2006/main">
          <a:off x="2647950" y="1323975"/>
          <a:ext cx="428625" cy="295275"/>
        </a:xfrm>
        <a:prstGeom xmlns:a="http://schemas.openxmlformats.org/drawingml/2006/main" prst="rect">
          <a:avLst/>
        </a:prstGeom>
        <a:solidFill xmlns:a="http://schemas.openxmlformats.org/drawingml/2006/main">
          <a:srgbClr val="FFFF00"/>
        </a:solidFill>
      </cdr:spPr>
      <cdr:txBody>
        <a:bodyPr xmlns:a="http://schemas.openxmlformats.org/drawingml/2006/main" wrap="square" rtlCol="0"/>
        <a:lstStyle xmlns:a="http://schemas.openxmlformats.org/drawingml/2006/main"/>
        <a:p xmlns:a="http://schemas.openxmlformats.org/drawingml/2006/main">
          <a:r>
            <a:rPr lang="en-US" sz="1100"/>
            <a:t>IRR</a:t>
          </a:r>
        </a:p>
      </cdr:txBody>
    </cdr:sp>
  </cdr:relSizeAnchor>
  <cdr:relSizeAnchor xmlns:cdr="http://schemas.openxmlformats.org/drawingml/2006/chartDrawing">
    <cdr:from>
      <cdr:x>0.49313</cdr:x>
      <cdr:y>0.40284</cdr:y>
    </cdr:from>
    <cdr:to>
      <cdr:x>0.54351</cdr:x>
      <cdr:y>0.49763</cdr:y>
    </cdr:to>
    <cdr:sp macro="" textlink="">
      <cdr:nvSpPr>
        <cdr:cNvPr id="4" name="Straight Arrow Connector 3"/>
        <cdr:cNvSpPr/>
      </cdr:nvSpPr>
      <cdr:spPr>
        <a:xfrm xmlns:a="http://schemas.openxmlformats.org/drawingml/2006/main" rot="16200000" flipH="1">
          <a:off x="3076575" y="1619249"/>
          <a:ext cx="314326" cy="381001"/>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0.80763</cdr:x>
      <cdr:y>0.37204</cdr:y>
    </cdr:from>
    <cdr:to>
      <cdr:x>0.9145</cdr:x>
      <cdr:y>0.44076</cdr:y>
    </cdr:to>
    <cdr:sp macro="" textlink="">
      <cdr:nvSpPr>
        <cdr:cNvPr id="5" name="TextBox 4"/>
        <cdr:cNvSpPr txBox="1"/>
      </cdr:nvSpPr>
      <cdr:spPr>
        <a:xfrm xmlns:a="http://schemas.openxmlformats.org/drawingml/2006/main">
          <a:off x="5038727" y="1495425"/>
          <a:ext cx="666750" cy="276225"/>
        </a:xfrm>
        <a:prstGeom xmlns:a="http://schemas.openxmlformats.org/drawingml/2006/main" prst="rect">
          <a:avLst/>
        </a:prstGeom>
        <a:solidFill xmlns:a="http://schemas.openxmlformats.org/drawingml/2006/main">
          <a:schemeClr val="accent1">
            <a:lumMod val="20000"/>
            <a:lumOff val="80000"/>
          </a:schemeClr>
        </a:solidFill>
      </cdr:spPr>
      <cdr:txBody>
        <a:bodyPr xmlns:a="http://schemas.openxmlformats.org/drawingml/2006/main" wrap="square" rtlCol="0"/>
        <a:lstStyle xmlns:a="http://schemas.openxmlformats.org/drawingml/2006/main"/>
        <a:p xmlns:a="http://schemas.openxmlformats.org/drawingml/2006/main">
          <a:r>
            <a:rPr lang="en-US" sz="1100"/>
            <a:t>NPV &gt; 0</a:t>
          </a:r>
        </a:p>
      </cdr:txBody>
    </cdr:sp>
  </cdr:relSizeAnchor>
  <cdr:relSizeAnchor xmlns:cdr="http://schemas.openxmlformats.org/drawingml/2006/chartDrawing">
    <cdr:from>
      <cdr:x>0.18015</cdr:x>
      <cdr:y>0.58294</cdr:y>
    </cdr:from>
    <cdr:to>
      <cdr:x>0.28397</cdr:x>
      <cdr:y>0.65166</cdr:y>
    </cdr:to>
    <cdr:sp macro="" textlink="">
      <cdr:nvSpPr>
        <cdr:cNvPr id="6" name="TextBox 5"/>
        <cdr:cNvSpPr txBox="1"/>
      </cdr:nvSpPr>
      <cdr:spPr>
        <a:xfrm xmlns:a="http://schemas.openxmlformats.org/drawingml/2006/main">
          <a:off x="1123952" y="2343150"/>
          <a:ext cx="647700" cy="276225"/>
        </a:xfrm>
        <a:prstGeom xmlns:a="http://schemas.openxmlformats.org/drawingml/2006/main" prst="rect">
          <a:avLst/>
        </a:prstGeom>
        <a:solidFill xmlns:a="http://schemas.openxmlformats.org/drawingml/2006/main">
          <a:schemeClr val="accent1">
            <a:lumMod val="20000"/>
            <a:lumOff val="80000"/>
          </a:schemeClr>
        </a:solidFill>
      </cdr:spPr>
      <cdr:txBody>
        <a:bodyPr xmlns:a="http://schemas.openxmlformats.org/drawingml/2006/main" wrap="square" rtlCol="0"/>
        <a:lstStyle xmlns:a="http://schemas.openxmlformats.org/drawingml/2006/main"/>
        <a:p xmlns:a="http://schemas.openxmlformats.org/drawingml/2006/main">
          <a:r>
            <a:rPr lang="en-US" sz="1100"/>
            <a:t>NPV &lt; 0</a:t>
          </a:r>
        </a:p>
      </cdr:txBody>
    </cdr:sp>
  </cdr:relSizeAnchor>
</c:userShapes>
</file>

<file path=xl/drawings/drawing7.xml><?xml version="1.0" encoding="utf-8"?>
<c:userShapes xmlns:c="http://schemas.openxmlformats.org/drawingml/2006/chart">
  <cdr:relSizeAnchor xmlns:cdr="http://schemas.openxmlformats.org/drawingml/2006/chartDrawing">
    <cdr:from>
      <cdr:x>0.46725</cdr:x>
      <cdr:y>0.62012</cdr:y>
    </cdr:from>
    <cdr:to>
      <cdr:x>0.56623</cdr:x>
      <cdr:y>0.67762</cdr:y>
    </cdr:to>
    <cdr:sp macro="" textlink="">
      <cdr:nvSpPr>
        <cdr:cNvPr id="2" name="TextBox 1"/>
        <cdr:cNvSpPr txBox="1"/>
      </cdr:nvSpPr>
      <cdr:spPr>
        <a:xfrm xmlns:a="http://schemas.openxmlformats.org/drawingml/2006/main">
          <a:off x="3057527" y="2876550"/>
          <a:ext cx="647700" cy="26670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0.47744</cdr:x>
      <cdr:y>0.62834</cdr:y>
    </cdr:from>
    <cdr:to>
      <cdr:x>0.5444</cdr:x>
      <cdr:y>0.68378</cdr:y>
    </cdr:to>
    <cdr:sp macro="" textlink="">
      <cdr:nvSpPr>
        <cdr:cNvPr id="3" name="TextBox 2"/>
        <cdr:cNvSpPr txBox="1"/>
      </cdr:nvSpPr>
      <cdr:spPr>
        <a:xfrm xmlns:a="http://schemas.openxmlformats.org/drawingml/2006/main">
          <a:off x="3124202" y="2914650"/>
          <a:ext cx="438150" cy="257175"/>
        </a:xfrm>
        <a:prstGeom xmlns:a="http://schemas.openxmlformats.org/drawingml/2006/main" prst="rect">
          <a:avLst/>
        </a:prstGeom>
        <a:solidFill xmlns:a="http://schemas.openxmlformats.org/drawingml/2006/main">
          <a:srgbClr val="FFFF00"/>
        </a:solidFill>
      </cdr:spPr>
      <cdr:txBody>
        <a:bodyPr xmlns:a="http://schemas.openxmlformats.org/drawingml/2006/main" wrap="square" rtlCol="0"/>
        <a:lstStyle xmlns:a="http://schemas.openxmlformats.org/drawingml/2006/main"/>
        <a:p xmlns:a="http://schemas.openxmlformats.org/drawingml/2006/main">
          <a:r>
            <a:rPr lang="en-US" sz="1100"/>
            <a:t>IRR</a:t>
          </a:r>
        </a:p>
      </cdr:txBody>
    </cdr:sp>
  </cdr:relSizeAnchor>
  <cdr:relSizeAnchor xmlns:cdr="http://schemas.openxmlformats.org/drawingml/2006/chartDrawing">
    <cdr:from>
      <cdr:x>0.54731</cdr:x>
      <cdr:y>0.46612</cdr:y>
    </cdr:from>
    <cdr:to>
      <cdr:x>0.86463</cdr:x>
      <cdr:y>0.66116</cdr:y>
    </cdr:to>
    <cdr:sp macro="" textlink="">
      <cdr:nvSpPr>
        <cdr:cNvPr id="5" name="Straight Arrow Connector 4"/>
        <cdr:cNvSpPr/>
      </cdr:nvSpPr>
      <cdr:spPr>
        <a:xfrm xmlns:a="http://schemas.openxmlformats.org/drawingml/2006/main" flipV="1">
          <a:off x="3581401" y="2148841"/>
          <a:ext cx="2076426" cy="899158"/>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0.11152</cdr:x>
      <cdr:y>0.46487</cdr:y>
    </cdr:from>
    <cdr:to>
      <cdr:x>0.49289</cdr:x>
      <cdr:y>0.66322</cdr:y>
    </cdr:to>
    <cdr:sp macro="" textlink="">
      <cdr:nvSpPr>
        <cdr:cNvPr id="7" name="Straight Arrow Connector 6"/>
        <cdr:cNvSpPr/>
      </cdr:nvSpPr>
      <cdr:spPr>
        <a:xfrm xmlns:a="http://schemas.openxmlformats.org/drawingml/2006/main" rot="10800000">
          <a:off x="756303" y="2143107"/>
          <a:ext cx="2586375" cy="914414"/>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28</xdr:row>
      <xdr:rowOff>0</xdr:rowOff>
    </xdr:from>
    <xdr:to>
      <xdr:col>11</xdr:col>
      <xdr:colOff>606425</xdr:colOff>
      <xdr:row>51</xdr:row>
      <xdr:rowOff>28575</xdr:rowOff>
    </xdr:to>
    <xdr:graphicFrame macro="">
      <xdr:nvGraphicFramePr>
        <xdr:cNvPr id="3" name="Chart 2">
          <a:extLst>
            <a:ext uri="{FF2B5EF4-FFF2-40B4-BE49-F238E27FC236}">
              <a16:creationId xmlns:a16="http://schemas.microsoft.com/office/drawing/2014/main" id="{CECA2DC7-8820-47E0-9726-599047465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0.24792</cdr:x>
      <cdr:y>0.44444</cdr:y>
    </cdr:from>
    <cdr:to>
      <cdr:x>0.39375</cdr:x>
      <cdr:y>0.59028</cdr:y>
    </cdr:to>
    <cdr:sp macro="" textlink="">
      <cdr:nvSpPr>
        <cdr:cNvPr id="2" name="TextBox 1"/>
        <cdr:cNvSpPr txBox="1"/>
      </cdr:nvSpPr>
      <cdr:spPr>
        <a:xfrm xmlns:a="http://schemas.openxmlformats.org/drawingml/2006/main">
          <a:off x="1133475" y="1219200"/>
          <a:ext cx="666750" cy="4000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0.24375</cdr:x>
      <cdr:y>0.55824</cdr:y>
    </cdr:from>
    <cdr:to>
      <cdr:x>0.32903</cdr:x>
      <cdr:y>0.62418</cdr:y>
    </cdr:to>
    <cdr:sp macro="" textlink="">
      <cdr:nvSpPr>
        <cdr:cNvPr id="3" name="TextBox 2"/>
        <cdr:cNvSpPr txBox="1"/>
      </cdr:nvSpPr>
      <cdr:spPr>
        <a:xfrm xmlns:a="http://schemas.openxmlformats.org/drawingml/2006/main">
          <a:off x="1799332" y="2419351"/>
          <a:ext cx="629543" cy="285749"/>
        </a:xfrm>
        <a:prstGeom xmlns:a="http://schemas.openxmlformats.org/drawingml/2006/main" prst="rect">
          <a:avLst/>
        </a:prstGeom>
        <a:solidFill xmlns:a="http://schemas.openxmlformats.org/drawingml/2006/main">
          <a:srgbClr val="0FE1FD"/>
        </a:solidFill>
      </cdr:spPr>
      <cdr:txBody>
        <a:bodyPr xmlns:a="http://schemas.openxmlformats.org/drawingml/2006/main" wrap="square" rtlCol="0"/>
        <a:lstStyle xmlns:a="http://schemas.openxmlformats.org/drawingml/2006/main"/>
        <a:p xmlns:a="http://schemas.openxmlformats.org/drawingml/2006/main">
          <a:r>
            <a:rPr lang="en-US" sz="1100"/>
            <a:t>NPV &gt; 0</a:t>
          </a:r>
        </a:p>
      </cdr:txBody>
    </cdr:sp>
  </cdr:relSizeAnchor>
  <cdr:relSizeAnchor xmlns:cdr="http://schemas.openxmlformats.org/drawingml/2006/chartDrawing">
    <cdr:from>
      <cdr:x>0</cdr:x>
      <cdr:y>0</cdr:y>
    </cdr:from>
    <cdr:to>
      <cdr:x>0.00533</cdr:x>
      <cdr:y>0.00889</cdr:y>
    </cdr:to>
    <cdr:pic>
      <cdr:nvPicPr>
        <cdr:cNvPr id="4" name="chart">
          <a:extLst xmlns:a="http://schemas.openxmlformats.org/drawingml/2006/main">
            <a:ext uri="{FF2B5EF4-FFF2-40B4-BE49-F238E27FC236}">
              <a16:creationId xmlns:a16="http://schemas.microsoft.com/office/drawing/2014/main" id="{160AFBDD-A0E6-0FA9-F718-9EF5A6A32C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0.83333</cdr:x>
      <cdr:y>0.63542</cdr:y>
    </cdr:from>
    <cdr:to>
      <cdr:x>0.9625</cdr:x>
      <cdr:y>0.66319</cdr:y>
    </cdr:to>
    <cdr:sp macro="" textlink="">
      <cdr:nvSpPr>
        <cdr:cNvPr id="7" name="TextBox 6"/>
        <cdr:cNvSpPr txBox="1"/>
      </cdr:nvSpPr>
      <cdr:spPr>
        <a:xfrm xmlns:a="http://schemas.openxmlformats.org/drawingml/2006/main">
          <a:off x="3810000" y="1743075"/>
          <a:ext cx="590550" cy="7620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0.84387</cdr:x>
      <cdr:y>0.48352</cdr:y>
    </cdr:from>
    <cdr:to>
      <cdr:x>0.93032</cdr:x>
      <cdr:y>0.55385</cdr:y>
    </cdr:to>
    <cdr:sp macro="" textlink="">
      <cdr:nvSpPr>
        <cdr:cNvPr id="8" name="TextBox 7"/>
        <cdr:cNvSpPr txBox="1"/>
      </cdr:nvSpPr>
      <cdr:spPr>
        <a:xfrm xmlns:a="http://schemas.openxmlformats.org/drawingml/2006/main">
          <a:off x="6229350" y="2095502"/>
          <a:ext cx="638175" cy="304800"/>
        </a:xfrm>
        <a:prstGeom xmlns:a="http://schemas.openxmlformats.org/drawingml/2006/main" prst="rect">
          <a:avLst/>
        </a:prstGeom>
        <a:solidFill xmlns:a="http://schemas.openxmlformats.org/drawingml/2006/main">
          <a:srgbClr val="0FE1FD"/>
        </a:solidFill>
      </cdr:spPr>
      <cdr:txBody>
        <a:bodyPr xmlns:a="http://schemas.openxmlformats.org/drawingml/2006/main" wrap="square" rtlCol="0"/>
        <a:lstStyle xmlns:a="http://schemas.openxmlformats.org/drawingml/2006/main"/>
        <a:p xmlns:a="http://schemas.openxmlformats.org/drawingml/2006/main">
          <a:r>
            <a:rPr lang="en-US" sz="1100"/>
            <a:t>NPV &lt; 0</a:t>
          </a:r>
        </a:p>
      </cdr:txBody>
    </cdr:sp>
  </cdr:relSizeAnchor>
  <cdr:relSizeAnchor xmlns:cdr="http://schemas.openxmlformats.org/drawingml/2006/chartDrawing">
    <cdr:from>
      <cdr:x>0.88759</cdr:x>
      <cdr:y>0.55674</cdr:y>
    </cdr:from>
    <cdr:to>
      <cdr:x>0.89379</cdr:x>
      <cdr:y>0.70769</cdr:y>
    </cdr:to>
    <cdr:sp macro="" textlink="">
      <cdr:nvSpPr>
        <cdr:cNvPr id="10" name="Straight Arrow Connector 9"/>
        <cdr:cNvSpPr/>
      </cdr:nvSpPr>
      <cdr:spPr>
        <a:xfrm xmlns:a="http://schemas.openxmlformats.org/drawingml/2006/main" rot="5400000" flipV="1">
          <a:off x="6247860" y="2717086"/>
          <a:ext cx="654217" cy="45719"/>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0.61161</cdr:x>
      <cdr:y>0.41099</cdr:y>
    </cdr:from>
    <cdr:to>
      <cdr:x>0.6671</cdr:x>
      <cdr:y>0.46528</cdr:y>
    </cdr:to>
    <cdr:sp macro="" textlink="">
      <cdr:nvSpPr>
        <cdr:cNvPr id="11" name="TextBox 10"/>
        <cdr:cNvSpPr txBox="1"/>
      </cdr:nvSpPr>
      <cdr:spPr>
        <a:xfrm xmlns:a="http://schemas.openxmlformats.org/drawingml/2006/main">
          <a:off x="4514850" y="1781176"/>
          <a:ext cx="409575" cy="235280"/>
        </a:xfrm>
        <a:prstGeom xmlns:a="http://schemas.openxmlformats.org/drawingml/2006/main" prst="rect">
          <a:avLst/>
        </a:prstGeom>
        <a:solidFill xmlns:a="http://schemas.openxmlformats.org/drawingml/2006/main">
          <a:srgbClr val="0FE1FD"/>
        </a:solidFill>
      </cdr:spPr>
      <cdr:txBody>
        <a:bodyPr xmlns:a="http://schemas.openxmlformats.org/drawingml/2006/main" wrap="square" rtlCol="0"/>
        <a:lstStyle xmlns:a="http://schemas.openxmlformats.org/drawingml/2006/main"/>
        <a:p xmlns:a="http://schemas.openxmlformats.org/drawingml/2006/main">
          <a:r>
            <a:rPr lang="en-US" sz="1100"/>
            <a:t>IRR</a:t>
          </a:r>
        </a:p>
      </cdr:txBody>
    </cdr:sp>
  </cdr:relSizeAnchor>
  <cdr:relSizeAnchor xmlns:cdr="http://schemas.openxmlformats.org/drawingml/2006/chartDrawing">
    <cdr:from>
      <cdr:x>0.6401</cdr:x>
      <cdr:y>0.47251</cdr:y>
    </cdr:from>
    <cdr:to>
      <cdr:x>0.64044</cdr:x>
      <cdr:y>0.64612</cdr:y>
    </cdr:to>
    <cdr:sp macro="" textlink="">
      <cdr:nvSpPr>
        <cdr:cNvPr id="13" name="Straight Arrow Connector 12"/>
        <cdr:cNvSpPr/>
      </cdr:nvSpPr>
      <cdr:spPr>
        <a:xfrm xmlns:a="http://schemas.openxmlformats.org/drawingml/2006/main" rot="5400000">
          <a:off x="4350179" y="2422730"/>
          <a:ext cx="752409" cy="2564"/>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FE33-2A67-4D30-AB57-A4F990081F79}">
  <dimension ref="A1:C5"/>
  <sheetViews>
    <sheetView workbookViewId="0">
      <selection activeCell="F10" sqref="F10"/>
    </sheetView>
  </sheetViews>
  <sheetFormatPr defaultRowHeight="15" x14ac:dyDescent="0.25"/>
  <cols>
    <col min="2" max="2" width="11.85546875" bestFit="1" customWidth="1"/>
    <col min="3" max="3" width="17.7109375" customWidth="1"/>
  </cols>
  <sheetData>
    <row r="1" spans="1:3" x14ac:dyDescent="0.25">
      <c r="A1" t="s">
        <v>109</v>
      </c>
      <c r="B1">
        <v>-350000</v>
      </c>
    </row>
    <row r="2" spans="1:3" x14ac:dyDescent="0.25">
      <c r="A2" t="s">
        <v>110</v>
      </c>
      <c r="B2">
        <v>400000</v>
      </c>
    </row>
    <row r="3" spans="1:3" x14ac:dyDescent="0.25">
      <c r="A3" t="s">
        <v>111</v>
      </c>
      <c r="B3" s="7">
        <v>7.0000000000000007E-2</v>
      </c>
    </row>
    <row r="5" spans="1:3" x14ac:dyDescent="0.25">
      <c r="A5" t="s">
        <v>112</v>
      </c>
      <c r="B5" s="8">
        <f>NPV(B3,B2)+B1</f>
        <v>23831.775700934581</v>
      </c>
      <c r="C5" t="str">
        <f ca="1">_xlfn.FORMULATEXT(B5)</f>
        <v>=NPV(B3,B2)+B1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D10F8-87FC-4C40-8B4A-239F304F9451}">
  <dimension ref="A1:J14"/>
  <sheetViews>
    <sheetView workbookViewId="0">
      <selection activeCell="D26" sqref="D26"/>
    </sheetView>
  </sheetViews>
  <sheetFormatPr defaultRowHeight="15" x14ac:dyDescent="0.25"/>
  <cols>
    <col min="1" max="1" width="20" customWidth="1"/>
    <col min="2" max="2" width="16" customWidth="1"/>
    <col min="3" max="3" width="19.5703125" customWidth="1"/>
  </cols>
  <sheetData>
    <row r="1" spans="1:10" x14ac:dyDescent="0.25">
      <c r="A1" s="6"/>
      <c r="B1" s="6" t="s">
        <v>1</v>
      </c>
      <c r="C1" s="6" t="s">
        <v>2</v>
      </c>
      <c r="D1" s="6" t="s">
        <v>3</v>
      </c>
      <c r="E1" s="6" t="s">
        <v>4</v>
      </c>
    </row>
    <row r="2" spans="1:10" x14ac:dyDescent="0.25">
      <c r="A2" s="4" t="s">
        <v>0</v>
      </c>
      <c r="B2" s="5">
        <v>-350000</v>
      </c>
      <c r="C2" s="5"/>
      <c r="D2" s="5"/>
      <c r="E2" s="5"/>
    </row>
    <row r="3" spans="1:10" x14ac:dyDescent="0.25">
      <c r="A3" t="s">
        <v>7</v>
      </c>
      <c r="B3" s="1"/>
      <c r="C3" s="1">
        <v>25000</v>
      </c>
      <c r="D3" s="1">
        <v>25000</v>
      </c>
      <c r="E3" s="1">
        <v>25000</v>
      </c>
    </row>
    <row r="4" spans="1:10" ht="15.75" thickBot="1" x14ac:dyDescent="0.3">
      <c r="A4" t="s">
        <v>8</v>
      </c>
      <c r="B4" s="2"/>
      <c r="C4" s="2">
        <v>0</v>
      </c>
      <c r="D4" s="2">
        <v>0</v>
      </c>
      <c r="E4" s="2">
        <v>0</v>
      </c>
    </row>
    <row r="5" spans="1:10" ht="15.75" thickTop="1" x14ac:dyDescent="0.25">
      <c r="A5" t="s">
        <v>9</v>
      </c>
      <c r="B5" s="1">
        <f>B3+B4</f>
        <v>0</v>
      </c>
      <c r="C5" s="1">
        <f t="shared" ref="C5:E5" si="0">C3+C4</f>
        <v>25000</v>
      </c>
      <c r="D5" s="1">
        <f t="shared" si="0"/>
        <v>25000</v>
      </c>
      <c r="E5" s="1">
        <f t="shared" si="0"/>
        <v>25000</v>
      </c>
    </row>
    <row r="6" spans="1:10" ht="15.75" thickBot="1" x14ac:dyDescent="0.3">
      <c r="A6" s="3" t="s">
        <v>10</v>
      </c>
      <c r="B6" s="2"/>
      <c r="C6" s="2"/>
      <c r="D6" s="2"/>
      <c r="E6" s="2">
        <v>450000</v>
      </c>
    </row>
    <row r="7" spans="1:10" ht="15.75" thickTop="1" x14ac:dyDescent="0.25">
      <c r="A7" t="s">
        <v>11</v>
      </c>
      <c r="B7" s="1">
        <f>B2+B5+B6</f>
        <v>-350000</v>
      </c>
      <c r="C7" s="1">
        <f t="shared" ref="C7:E7" si="1">C2+C5+C6</f>
        <v>25000</v>
      </c>
      <c r="D7" s="1">
        <f t="shared" si="1"/>
        <v>25000</v>
      </c>
      <c r="E7" s="1">
        <f t="shared" si="1"/>
        <v>475000</v>
      </c>
    </row>
    <row r="8" spans="1:10" x14ac:dyDescent="0.25">
      <c r="B8" s="1"/>
      <c r="C8" s="1"/>
      <c r="D8" s="1"/>
      <c r="E8" s="1"/>
      <c r="F8" s="1"/>
      <c r="G8" s="1"/>
      <c r="H8" s="1"/>
      <c r="I8" s="1"/>
      <c r="J8" s="1"/>
    </row>
    <row r="9" spans="1:10" x14ac:dyDescent="0.25">
      <c r="A9" t="s">
        <v>92</v>
      </c>
      <c r="B9" s="7">
        <v>7.0000000000000007E-2</v>
      </c>
    </row>
    <row r="10" spans="1:10" x14ac:dyDescent="0.25">
      <c r="A10" t="s">
        <v>12</v>
      </c>
      <c r="B10" s="8">
        <f>NPV(B9,C7:E7)</f>
        <v>432941.94571129332</v>
      </c>
      <c r="C10" t="str">
        <f ca="1">_xlfn.FORMULATEXT(B10)</f>
        <v>=NPV(B9,C7:E7)</v>
      </c>
    </row>
    <row r="12" spans="1:10" x14ac:dyDescent="0.25">
      <c r="A12" t="s">
        <v>13</v>
      </c>
      <c r="B12" s="8">
        <f>NPV(B9,C7:E7)+B7</f>
        <v>82941.945711293316</v>
      </c>
      <c r="C12" t="str">
        <f ca="1">_xlfn.FORMULATEXT(B12)</f>
        <v>=NPV(B9,C7:E7)+B7</v>
      </c>
    </row>
    <row r="13" spans="1:10" x14ac:dyDescent="0.25">
      <c r="B13" s="10"/>
    </row>
    <row r="14" spans="1:10" x14ac:dyDescent="0.25">
      <c r="B14" s="8"/>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0BC92-8EE5-4501-A705-83E00482E2BF}">
  <dimension ref="A1:E7"/>
  <sheetViews>
    <sheetView workbookViewId="0">
      <selection activeCell="C5" sqref="C5"/>
    </sheetView>
  </sheetViews>
  <sheetFormatPr defaultRowHeight="15" x14ac:dyDescent="0.25"/>
  <cols>
    <col min="1" max="1" width="18.5703125" customWidth="1"/>
    <col min="2" max="2" width="33.5703125" customWidth="1"/>
    <col min="3" max="3" width="21.28515625" customWidth="1"/>
    <col min="4" max="4" width="18.28515625" customWidth="1"/>
    <col min="5" max="5" width="28.140625" customWidth="1"/>
  </cols>
  <sheetData>
    <row r="1" spans="1:5" ht="26.25" x14ac:dyDescent="0.25">
      <c r="A1" s="127" t="s">
        <v>15</v>
      </c>
      <c r="B1" s="127" t="s">
        <v>93</v>
      </c>
      <c r="C1" s="127"/>
      <c r="D1" s="128"/>
    </row>
    <row r="2" spans="1:5" ht="25.5" x14ac:dyDescent="0.25">
      <c r="A2" s="129">
        <v>0</v>
      </c>
      <c r="B2" s="130">
        <v>-375000</v>
      </c>
      <c r="D2" s="132"/>
      <c r="E2" s="131"/>
    </row>
    <row r="3" spans="1:5" ht="25.5" x14ac:dyDescent="0.25">
      <c r="A3" s="129" t="s">
        <v>94</v>
      </c>
      <c r="B3" s="130">
        <v>25000</v>
      </c>
      <c r="C3" s="128"/>
      <c r="D3" s="128"/>
      <c r="E3" s="128"/>
    </row>
    <row r="4" spans="1:5" ht="25.5" x14ac:dyDescent="0.25">
      <c r="A4" s="129">
        <v>2</v>
      </c>
      <c r="B4" s="130">
        <v>25000</v>
      </c>
      <c r="C4" s="128"/>
      <c r="D4" s="128"/>
      <c r="E4" s="128"/>
    </row>
    <row r="5" spans="1:5" ht="25.5" x14ac:dyDescent="0.25">
      <c r="A5" s="129">
        <v>3</v>
      </c>
      <c r="B5" s="130">
        <v>475000</v>
      </c>
      <c r="C5" s="128"/>
      <c r="D5" s="128"/>
      <c r="E5" s="128"/>
    </row>
    <row r="7" spans="1:5" ht="26.25" x14ac:dyDescent="0.25">
      <c r="A7" s="127" t="s">
        <v>44</v>
      </c>
      <c r="B7" s="133">
        <f>IRR(B2:B5)</f>
        <v>0.12561791885397589</v>
      </c>
      <c r="C7" t="str">
        <f ca="1">_xlfn.FORMULATEXT(B7)</f>
        <v>=IRR(B2:B5)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BF00-3D39-4923-B6B0-A9C9505F99C4}">
  <dimension ref="A1:Z35"/>
  <sheetViews>
    <sheetView workbookViewId="0">
      <selection activeCell="L33" sqref="L33"/>
    </sheetView>
  </sheetViews>
  <sheetFormatPr defaultColWidth="12.85546875" defaultRowHeight="15" x14ac:dyDescent="0.25"/>
  <cols>
    <col min="1" max="1" width="12.140625" customWidth="1"/>
    <col min="2" max="2" width="26.28515625" customWidth="1"/>
    <col min="3" max="3" width="13.7109375" customWidth="1"/>
    <col min="4" max="4" width="12.7109375" customWidth="1"/>
    <col min="5" max="8" width="12.140625" customWidth="1"/>
    <col min="9" max="9" width="12.28515625" customWidth="1"/>
    <col min="10" max="15" width="12.140625" customWidth="1"/>
    <col min="16" max="16" width="14.28515625" customWidth="1"/>
    <col min="17" max="26" width="12.140625" customWidth="1"/>
  </cols>
  <sheetData>
    <row r="1" spans="1:26" ht="15.75" x14ac:dyDescent="0.25">
      <c r="C1" s="134" t="s">
        <v>95</v>
      </c>
    </row>
    <row r="2" spans="1:26" ht="31.5" x14ac:dyDescent="0.5">
      <c r="B2" s="135" t="s">
        <v>96</v>
      </c>
      <c r="C2" s="136"/>
      <c r="D2" s="136"/>
      <c r="E2" s="136"/>
      <c r="F2" s="136"/>
      <c r="G2" s="136"/>
      <c r="H2" s="136"/>
    </row>
    <row r="3" spans="1:26" ht="18.75" x14ac:dyDescent="0.3">
      <c r="B3" s="137" t="s">
        <v>97</v>
      </c>
    </row>
    <row r="5" spans="1:26" ht="15.75" x14ac:dyDescent="0.25">
      <c r="A5" s="134" t="s">
        <v>98</v>
      </c>
      <c r="B5" s="155" t="s">
        <v>99</v>
      </c>
      <c r="C5" s="156"/>
      <c r="D5" s="156"/>
      <c r="E5" s="156"/>
      <c r="F5" s="156"/>
      <c r="G5" s="156"/>
      <c r="H5" s="156"/>
    </row>
    <row r="6" spans="1:26" ht="15.75" x14ac:dyDescent="0.25">
      <c r="A6" s="138"/>
      <c r="B6" s="139" t="s">
        <v>100</v>
      </c>
      <c r="C6" s="139">
        <v>0</v>
      </c>
      <c r="D6" s="139">
        <v>1</v>
      </c>
      <c r="E6" s="139">
        <v>2</v>
      </c>
      <c r="F6" s="139">
        <v>3</v>
      </c>
      <c r="G6" s="139">
        <v>4</v>
      </c>
      <c r="H6" s="139">
        <v>5</v>
      </c>
      <c r="I6" s="138"/>
      <c r="J6" s="138"/>
      <c r="K6" s="138"/>
      <c r="L6" s="138"/>
      <c r="M6" s="138"/>
      <c r="N6" s="138"/>
      <c r="O6" s="138"/>
      <c r="P6" s="138"/>
      <c r="Q6" s="138"/>
      <c r="R6" s="138"/>
      <c r="S6" s="138"/>
      <c r="T6" s="138"/>
      <c r="U6" s="138"/>
      <c r="V6" s="138"/>
      <c r="W6" s="138"/>
      <c r="X6" s="138"/>
      <c r="Y6" s="138"/>
      <c r="Z6" s="138"/>
    </row>
    <row r="7" spans="1:26" ht="15.75" x14ac:dyDescent="0.25">
      <c r="B7" s="134" t="s">
        <v>101</v>
      </c>
      <c r="C7" s="140"/>
      <c r="D7" s="140">
        <v>325000</v>
      </c>
      <c r="E7" s="140">
        <v>475000</v>
      </c>
      <c r="F7" s="140">
        <v>550000</v>
      </c>
      <c r="G7" s="140">
        <v>595000</v>
      </c>
      <c r="H7" s="140">
        <v>625000</v>
      </c>
      <c r="J7" s="141"/>
      <c r="Q7" s="141"/>
    </row>
    <row r="8" spans="1:26" ht="15.75" x14ac:dyDescent="0.25">
      <c r="B8" s="134" t="s">
        <v>102</v>
      </c>
      <c r="C8" s="140">
        <v>-1500000</v>
      </c>
      <c r="D8" s="140">
        <v>-100000</v>
      </c>
      <c r="E8" s="140">
        <v>-100000</v>
      </c>
      <c r="F8" s="140">
        <v>-100000</v>
      </c>
      <c r="G8" s="140">
        <v>-100000</v>
      </c>
      <c r="H8" s="140">
        <v>-100000</v>
      </c>
      <c r="P8" s="142"/>
      <c r="Q8" s="141"/>
    </row>
    <row r="9" spans="1:26" ht="15.75" x14ac:dyDescent="0.25">
      <c r="B9" s="143" t="s">
        <v>11</v>
      </c>
      <c r="C9" s="144"/>
      <c r="D9" s="144"/>
      <c r="E9" s="144"/>
      <c r="F9" s="144"/>
      <c r="G9" s="144"/>
      <c r="H9" s="144"/>
      <c r="P9" s="142"/>
      <c r="Q9" s="141"/>
    </row>
    <row r="10" spans="1:26" ht="15.75" x14ac:dyDescent="0.25">
      <c r="B10" s="143" t="s">
        <v>24</v>
      </c>
      <c r="C10" s="144"/>
      <c r="D10" s="144"/>
      <c r="E10" s="144"/>
      <c r="F10" s="144"/>
      <c r="G10" s="144"/>
      <c r="H10" s="144"/>
      <c r="P10" s="145"/>
      <c r="Q10" s="141"/>
    </row>
    <row r="11" spans="1:26" ht="15.75" x14ac:dyDescent="0.25">
      <c r="B11" s="146"/>
      <c r="C11" s="147"/>
      <c r="D11" s="147"/>
      <c r="E11" s="147"/>
      <c r="F11" s="147"/>
      <c r="G11" s="147"/>
      <c r="H11" s="147"/>
      <c r="P11" s="142"/>
      <c r="Q11" s="141"/>
    </row>
    <row r="12" spans="1:26" ht="15.75" x14ac:dyDescent="0.25">
      <c r="B12" s="148" t="s">
        <v>103</v>
      </c>
      <c r="C12" s="149">
        <v>0.08</v>
      </c>
      <c r="D12" s="147"/>
      <c r="E12" s="147"/>
      <c r="F12" s="147"/>
      <c r="G12" s="147"/>
      <c r="H12" s="147"/>
      <c r="P12" s="142"/>
      <c r="Q12" s="141"/>
    </row>
    <row r="13" spans="1:26" ht="15.75" x14ac:dyDescent="0.25">
      <c r="C13" s="150"/>
      <c r="Q13" s="141"/>
    </row>
    <row r="14" spans="1:26" ht="15.75" x14ac:dyDescent="0.25">
      <c r="B14" s="148" t="s">
        <v>104</v>
      </c>
      <c r="C14" s="151"/>
    </row>
    <row r="15" spans="1:26" ht="15.75" x14ac:dyDescent="0.25">
      <c r="B15" s="148"/>
      <c r="C15" s="152"/>
    </row>
    <row r="16" spans="1:26" ht="15.75" x14ac:dyDescent="0.25">
      <c r="B16" s="148" t="s">
        <v>105</v>
      </c>
      <c r="C16" s="153"/>
    </row>
    <row r="17" spans="1:8" ht="15.75" x14ac:dyDescent="0.25">
      <c r="B17" s="148"/>
      <c r="C17" s="152"/>
    </row>
    <row r="18" spans="1:8" ht="15.75" x14ac:dyDescent="0.25">
      <c r="B18" s="148" t="s">
        <v>106</v>
      </c>
      <c r="C18" s="154"/>
    </row>
    <row r="21" spans="1:8" ht="15.75" x14ac:dyDescent="0.25">
      <c r="A21" s="134" t="s">
        <v>107</v>
      </c>
      <c r="B21" s="155" t="s">
        <v>108</v>
      </c>
      <c r="C21" s="156"/>
      <c r="D21" s="156"/>
      <c r="E21" s="156"/>
      <c r="F21" s="156"/>
      <c r="G21" s="156"/>
      <c r="H21" s="156"/>
    </row>
    <row r="22" spans="1:8" ht="15.75" x14ac:dyDescent="0.25">
      <c r="B22" s="139" t="s">
        <v>100</v>
      </c>
      <c r="C22" s="139">
        <v>0</v>
      </c>
      <c r="D22" s="139">
        <v>1</v>
      </c>
      <c r="E22" s="139">
        <v>2</v>
      </c>
      <c r="F22" s="139">
        <v>3</v>
      </c>
      <c r="G22" s="139">
        <v>4</v>
      </c>
      <c r="H22" s="139">
        <v>5</v>
      </c>
    </row>
    <row r="23" spans="1:8" ht="15.75" x14ac:dyDescent="0.25">
      <c r="B23" s="134" t="s">
        <v>101</v>
      </c>
      <c r="C23" s="140"/>
      <c r="D23" s="140">
        <v>65000</v>
      </c>
      <c r="E23" s="140">
        <v>75000</v>
      </c>
      <c r="F23" s="140">
        <v>82500</v>
      </c>
      <c r="G23" s="140">
        <v>86000</v>
      </c>
      <c r="H23" s="140">
        <v>89000</v>
      </c>
    </row>
    <row r="24" spans="1:8" ht="15.75" x14ac:dyDescent="0.25">
      <c r="B24" s="134" t="s">
        <v>102</v>
      </c>
      <c r="C24" s="140">
        <v>-250000</v>
      </c>
      <c r="D24" s="140">
        <v>-10000</v>
      </c>
      <c r="E24" s="140">
        <v>-10000</v>
      </c>
      <c r="F24" s="140">
        <v>-10000</v>
      </c>
      <c r="G24" s="140">
        <v>-10000</v>
      </c>
      <c r="H24" s="140">
        <v>-10000</v>
      </c>
    </row>
    <row r="25" spans="1:8" ht="15.75" x14ac:dyDescent="0.25">
      <c r="B25" s="143" t="s">
        <v>11</v>
      </c>
      <c r="C25" s="144">
        <f>C23+C24</f>
        <v>-250000</v>
      </c>
      <c r="D25" s="144">
        <f t="shared" ref="D25:H25" si="0">D23+D24</f>
        <v>55000</v>
      </c>
      <c r="E25" s="144">
        <f t="shared" si="0"/>
        <v>65000</v>
      </c>
      <c r="F25" s="144">
        <f t="shared" si="0"/>
        <v>72500</v>
      </c>
      <c r="G25" s="144">
        <f t="shared" si="0"/>
        <v>76000</v>
      </c>
      <c r="H25" s="144">
        <f t="shared" si="0"/>
        <v>79000</v>
      </c>
    </row>
    <row r="26" spans="1:8" ht="15.75" x14ac:dyDescent="0.25">
      <c r="B26" s="143" t="s">
        <v>24</v>
      </c>
      <c r="C26" s="144">
        <f>C25</f>
        <v>-250000</v>
      </c>
      <c r="D26" s="144">
        <f>C26+D25</f>
        <v>-195000</v>
      </c>
      <c r="E26" s="144">
        <f t="shared" ref="E26:G26" si="1">D26+E25</f>
        <v>-130000</v>
      </c>
      <c r="F26" s="144">
        <f t="shared" si="1"/>
        <v>-57500</v>
      </c>
      <c r="G26" s="144">
        <f t="shared" si="1"/>
        <v>18500</v>
      </c>
      <c r="H26" s="144"/>
    </row>
    <row r="28" spans="1:8" ht="15.75" x14ac:dyDescent="0.25">
      <c r="B28" s="148" t="s">
        <v>103</v>
      </c>
      <c r="C28" s="149">
        <v>0.08</v>
      </c>
    </row>
    <row r="29" spans="1:8" ht="15.75" x14ac:dyDescent="0.25">
      <c r="C29" s="150"/>
    </row>
    <row r="30" spans="1:8" ht="15.75" x14ac:dyDescent="0.25">
      <c r="B30" s="148" t="s">
        <v>104</v>
      </c>
      <c r="C30" s="151"/>
    </row>
    <row r="31" spans="1:8" ht="15.75" x14ac:dyDescent="0.25">
      <c r="B31" s="148"/>
      <c r="C31" s="152"/>
    </row>
    <row r="32" spans="1:8" ht="15.75" x14ac:dyDescent="0.25">
      <c r="B32" s="148" t="s">
        <v>105</v>
      </c>
      <c r="C32" s="153"/>
    </row>
    <row r="33" spans="2:3" ht="15.75" x14ac:dyDescent="0.25">
      <c r="B33" s="148"/>
      <c r="C33" s="152"/>
    </row>
    <row r="34" spans="2:3" ht="15.75" x14ac:dyDescent="0.25">
      <c r="B34" s="148" t="s">
        <v>106</v>
      </c>
      <c r="C34" s="154"/>
    </row>
    <row r="35" spans="2:3" ht="15.75" x14ac:dyDescent="0.25">
      <c r="C35" s="146"/>
    </row>
  </sheetData>
  <mergeCells count="2">
    <mergeCell ref="B5:H5"/>
    <mergeCell ref="B21:H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E227-C5DF-4B1F-B9E9-30EB37D4C5F8}">
  <dimension ref="A1:Z35"/>
  <sheetViews>
    <sheetView tabSelected="1" workbookViewId="0">
      <selection activeCell="I9" sqref="I9"/>
    </sheetView>
  </sheetViews>
  <sheetFormatPr defaultColWidth="12.85546875" defaultRowHeight="15" x14ac:dyDescent="0.25"/>
  <cols>
    <col min="1" max="1" width="12.140625" customWidth="1"/>
    <col min="2" max="2" width="26.28515625" customWidth="1"/>
    <col min="3" max="3" width="13.7109375" customWidth="1"/>
    <col min="4" max="4" width="12.7109375" customWidth="1"/>
    <col min="5" max="8" width="12.140625" customWidth="1"/>
    <col min="9" max="9" width="12.28515625" customWidth="1"/>
    <col min="10" max="15" width="12.140625" customWidth="1"/>
    <col min="16" max="16" width="14.28515625" customWidth="1"/>
    <col min="17" max="26" width="12.140625" customWidth="1"/>
  </cols>
  <sheetData>
    <row r="1" spans="1:26" ht="15.75" x14ac:dyDescent="0.25">
      <c r="C1" s="134" t="s">
        <v>95</v>
      </c>
    </row>
    <row r="2" spans="1:26" ht="31.5" x14ac:dyDescent="0.5">
      <c r="B2" s="135" t="s">
        <v>96</v>
      </c>
      <c r="C2" s="136"/>
      <c r="D2" s="136"/>
      <c r="E2" s="136"/>
      <c r="F2" s="136"/>
      <c r="G2" s="136"/>
      <c r="H2" s="136"/>
    </row>
    <row r="3" spans="1:26" ht="18.75" x14ac:dyDescent="0.3">
      <c r="B3" s="137" t="s">
        <v>97</v>
      </c>
    </row>
    <row r="5" spans="1:26" ht="15.75" x14ac:dyDescent="0.25">
      <c r="A5" s="134" t="s">
        <v>98</v>
      </c>
      <c r="B5" s="155" t="s">
        <v>99</v>
      </c>
      <c r="C5" s="156"/>
      <c r="D5" s="156"/>
      <c r="E5" s="156"/>
      <c r="F5" s="156"/>
      <c r="G5" s="156"/>
      <c r="H5" s="156"/>
    </row>
    <row r="6" spans="1:26" ht="15.75" x14ac:dyDescent="0.25">
      <c r="A6" s="138"/>
      <c r="B6" s="139" t="s">
        <v>100</v>
      </c>
      <c r="C6" s="139">
        <v>0</v>
      </c>
      <c r="D6" s="139">
        <v>1</v>
      </c>
      <c r="E6" s="139">
        <v>2</v>
      </c>
      <c r="F6" s="139">
        <v>3</v>
      </c>
      <c r="G6" s="139">
        <v>4</v>
      </c>
      <c r="H6" s="139">
        <v>5</v>
      </c>
      <c r="I6" s="138"/>
      <c r="J6" s="138"/>
      <c r="K6" s="138"/>
      <c r="L6" s="138"/>
      <c r="M6" s="138"/>
      <c r="N6" s="138"/>
      <c r="O6" s="138"/>
      <c r="P6" s="138"/>
      <c r="Q6" s="138"/>
      <c r="R6" s="138"/>
      <c r="S6" s="138"/>
      <c r="T6" s="138"/>
      <c r="U6" s="138"/>
      <c r="V6" s="138"/>
      <c r="W6" s="138"/>
      <c r="X6" s="138"/>
      <c r="Y6" s="138"/>
      <c r="Z6" s="138"/>
    </row>
    <row r="7" spans="1:26" ht="15.75" x14ac:dyDescent="0.25">
      <c r="B7" s="134" t="s">
        <v>101</v>
      </c>
      <c r="C7" s="140"/>
      <c r="D7" s="140">
        <v>325000</v>
      </c>
      <c r="E7" s="140">
        <v>475000</v>
      </c>
      <c r="F7" s="140">
        <v>550000</v>
      </c>
      <c r="G7" s="140">
        <v>595000</v>
      </c>
      <c r="H7" s="140">
        <v>625000</v>
      </c>
      <c r="J7" s="141"/>
      <c r="Q7" s="141"/>
    </row>
    <row r="8" spans="1:26" ht="15.75" x14ac:dyDescent="0.25">
      <c r="B8" s="134" t="s">
        <v>102</v>
      </c>
      <c r="C8" s="140">
        <v>-1500000</v>
      </c>
      <c r="D8" s="140">
        <v>-100000</v>
      </c>
      <c r="E8" s="140">
        <v>-100000</v>
      </c>
      <c r="F8" s="140">
        <v>-100000</v>
      </c>
      <c r="G8" s="140">
        <v>-100000</v>
      </c>
      <c r="H8" s="140">
        <v>-100000</v>
      </c>
      <c r="P8" s="142"/>
      <c r="Q8" s="141"/>
    </row>
    <row r="9" spans="1:26" ht="15.75" x14ac:dyDescent="0.25">
      <c r="B9" s="143" t="s">
        <v>11</v>
      </c>
      <c r="C9" s="144">
        <f>C7+C8</f>
        <v>-1500000</v>
      </c>
      <c r="D9" s="144">
        <f t="shared" ref="D9:H9" si="0">D7+D8</f>
        <v>225000</v>
      </c>
      <c r="E9" s="144">
        <f t="shared" si="0"/>
        <v>375000</v>
      </c>
      <c r="F9" s="144">
        <f t="shared" si="0"/>
        <v>450000</v>
      </c>
      <c r="G9" s="144">
        <f t="shared" si="0"/>
        <v>495000</v>
      </c>
      <c r="H9" s="144">
        <f t="shared" si="0"/>
        <v>525000</v>
      </c>
      <c r="P9" s="142"/>
      <c r="Q9" s="141"/>
    </row>
    <row r="10" spans="1:26" ht="15.75" x14ac:dyDescent="0.25">
      <c r="B10" s="143" t="s">
        <v>24</v>
      </c>
      <c r="C10" s="144">
        <f>C9</f>
        <v>-1500000</v>
      </c>
      <c r="D10" s="144">
        <f>C10+D9</f>
        <v>-1275000</v>
      </c>
      <c r="E10" s="144">
        <f t="shared" ref="E10:G10" si="1">D10+E9</f>
        <v>-900000</v>
      </c>
      <c r="F10" s="144">
        <f t="shared" si="1"/>
        <v>-450000</v>
      </c>
      <c r="G10" s="144">
        <f t="shared" si="1"/>
        <v>45000</v>
      </c>
      <c r="H10" s="144"/>
      <c r="P10" s="145"/>
      <c r="Q10" s="141"/>
    </row>
    <row r="11" spans="1:26" ht="15.75" x14ac:dyDescent="0.25">
      <c r="B11" s="146"/>
      <c r="C11" s="147"/>
      <c r="D11" s="147"/>
      <c r="E11" s="147"/>
      <c r="F11" s="147"/>
      <c r="G11" s="147"/>
      <c r="H11" s="147"/>
      <c r="P11" s="142"/>
      <c r="Q11" s="141"/>
    </row>
    <row r="12" spans="1:26" ht="15.75" x14ac:dyDescent="0.25">
      <c r="B12" s="148" t="s">
        <v>103</v>
      </c>
      <c r="C12" s="149">
        <v>0.08</v>
      </c>
      <c r="D12" s="147"/>
      <c r="E12" s="147"/>
      <c r="F12" s="147"/>
      <c r="G12" s="147"/>
      <c r="H12" s="147"/>
      <c r="P12" s="142"/>
      <c r="Q12" s="141"/>
    </row>
    <row r="13" spans="1:26" ht="15.75" x14ac:dyDescent="0.25">
      <c r="C13" s="150"/>
      <c r="Q13" s="141"/>
    </row>
    <row r="14" spans="1:26" ht="15.75" x14ac:dyDescent="0.25">
      <c r="B14" s="148" t="s">
        <v>104</v>
      </c>
      <c r="C14" s="151">
        <f>C9+NPV(C12,D9:H9)</f>
        <v>108205.85498254304</v>
      </c>
    </row>
    <row r="15" spans="1:26" ht="15.75" x14ac:dyDescent="0.25">
      <c r="B15" s="148"/>
      <c r="C15" s="152"/>
    </row>
    <row r="16" spans="1:26" ht="15.75" x14ac:dyDescent="0.25">
      <c r="B16" s="148" t="s">
        <v>105</v>
      </c>
      <c r="C16" s="153">
        <f>IRR(C9:H9)</f>
        <v>0.10382578585799251</v>
      </c>
    </row>
    <row r="17" spans="1:8" ht="15.75" x14ac:dyDescent="0.25">
      <c r="B17" s="148"/>
      <c r="C17" s="152"/>
    </row>
    <row r="18" spans="1:8" ht="15.75" x14ac:dyDescent="0.25">
      <c r="B18" s="148" t="s">
        <v>106</v>
      </c>
      <c r="C18" s="154">
        <f>3+ABS(F10/G9)</f>
        <v>3.9090909090909092</v>
      </c>
    </row>
    <row r="21" spans="1:8" ht="15.75" x14ac:dyDescent="0.25">
      <c r="A21" s="134" t="s">
        <v>107</v>
      </c>
      <c r="B21" s="155" t="s">
        <v>108</v>
      </c>
      <c r="C21" s="156"/>
      <c r="D21" s="156"/>
      <c r="E21" s="156"/>
      <c r="F21" s="156"/>
      <c r="G21" s="156"/>
      <c r="H21" s="156"/>
    </row>
    <row r="22" spans="1:8" ht="15.75" x14ac:dyDescent="0.25">
      <c r="B22" s="139" t="s">
        <v>100</v>
      </c>
      <c r="C22" s="139">
        <v>0</v>
      </c>
      <c r="D22" s="139">
        <v>1</v>
      </c>
      <c r="E22" s="139">
        <v>2</v>
      </c>
      <c r="F22" s="139">
        <v>3</v>
      </c>
      <c r="G22" s="139">
        <v>4</v>
      </c>
      <c r="H22" s="139">
        <v>5</v>
      </c>
    </row>
    <row r="23" spans="1:8" ht="15.75" x14ac:dyDescent="0.25">
      <c r="B23" s="134" t="s">
        <v>101</v>
      </c>
      <c r="C23" s="140"/>
      <c r="D23" s="140">
        <v>65000</v>
      </c>
      <c r="E23" s="140">
        <v>75000</v>
      </c>
      <c r="F23" s="140">
        <v>82500</v>
      </c>
      <c r="G23" s="140">
        <v>86000</v>
      </c>
      <c r="H23" s="140">
        <v>89000</v>
      </c>
    </row>
    <row r="24" spans="1:8" ht="15.75" x14ac:dyDescent="0.25">
      <c r="B24" s="134" t="s">
        <v>102</v>
      </c>
      <c r="C24" s="140">
        <v>-250000</v>
      </c>
      <c r="D24" s="140">
        <v>-10000</v>
      </c>
      <c r="E24" s="140">
        <v>-10000</v>
      </c>
      <c r="F24" s="140">
        <v>-10000</v>
      </c>
      <c r="G24" s="140">
        <v>-10000</v>
      </c>
      <c r="H24" s="140">
        <v>-10000</v>
      </c>
    </row>
    <row r="25" spans="1:8" ht="15.75" x14ac:dyDescent="0.25">
      <c r="B25" s="143" t="s">
        <v>11</v>
      </c>
      <c r="C25" s="144">
        <f>C23+C24</f>
        <v>-250000</v>
      </c>
      <c r="D25" s="144">
        <f t="shared" ref="D25:H25" si="2">D23+D24</f>
        <v>55000</v>
      </c>
      <c r="E25" s="144">
        <f t="shared" si="2"/>
        <v>65000</v>
      </c>
      <c r="F25" s="144">
        <f t="shared" si="2"/>
        <v>72500</v>
      </c>
      <c r="G25" s="144">
        <f t="shared" si="2"/>
        <v>76000</v>
      </c>
      <c r="H25" s="144">
        <f t="shared" si="2"/>
        <v>79000</v>
      </c>
    </row>
    <row r="26" spans="1:8" ht="15.75" x14ac:dyDescent="0.25">
      <c r="B26" s="143" t="s">
        <v>24</v>
      </c>
      <c r="C26" s="144">
        <f>C25</f>
        <v>-250000</v>
      </c>
      <c r="D26" s="144">
        <f>C26+D25</f>
        <v>-195000</v>
      </c>
      <c r="E26" s="144">
        <f t="shared" ref="E26:G26" si="3">D26+E25</f>
        <v>-130000</v>
      </c>
      <c r="F26" s="144">
        <f t="shared" si="3"/>
        <v>-57500</v>
      </c>
      <c r="G26" s="144">
        <f t="shared" si="3"/>
        <v>18500</v>
      </c>
      <c r="H26" s="144"/>
    </row>
    <row r="28" spans="1:8" ht="15.75" x14ac:dyDescent="0.25">
      <c r="B28" s="148" t="s">
        <v>103</v>
      </c>
      <c r="C28" s="149">
        <v>0.08</v>
      </c>
    </row>
    <row r="29" spans="1:8" ht="15.75" x14ac:dyDescent="0.25">
      <c r="C29" s="150"/>
    </row>
    <row r="30" spans="1:8" ht="15.75" x14ac:dyDescent="0.25">
      <c r="B30" s="148" t="s">
        <v>104</v>
      </c>
      <c r="C30" s="151">
        <f>C25+NPV(C28,D25:H25)</f>
        <v>23834.128097701061</v>
      </c>
    </row>
    <row r="31" spans="1:8" ht="15.75" x14ac:dyDescent="0.25">
      <c r="B31" s="148"/>
      <c r="C31" s="152"/>
    </row>
    <row r="32" spans="1:8" ht="15.75" x14ac:dyDescent="0.25">
      <c r="B32" s="148" t="s">
        <v>105</v>
      </c>
      <c r="C32" s="153">
        <f>IRR(C25:H25)</f>
        <v>0.11337777494709433</v>
      </c>
    </row>
    <row r="33" spans="2:3" ht="15.75" x14ac:dyDescent="0.25">
      <c r="B33" s="148"/>
      <c r="C33" s="152"/>
    </row>
    <row r="34" spans="2:3" ht="15.75" x14ac:dyDescent="0.25">
      <c r="B34" s="148" t="s">
        <v>106</v>
      </c>
      <c r="C34" s="154">
        <f>3+ABS(F26/G25)</f>
        <v>3.7565789473684212</v>
      </c>
    </row>
    <row r="35" spans="2:3" ht="15.75" x14ac:dyDescent="0.25">
      <c r="C35" s="146"/>
    </row>
  </sheetData>
  <mergeCells count="2">
    <mergeCell ref="B5:H5"/>
    <mergeCell ref="B21:H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71E64-1AF9-49AD-BD76-62FB5C9D45CB}">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4235F-4356-4927-B235-3C681AC04196}">
  <dimension ref="A1:J32"/>
  <sheetViews>
    <sheetView workbookViewId="0">
      <selection sqref="A1:F2"/>
    </sheetView>
  </sheetViews>
  <sheetFormatPr defaultRowHeight="15" x14ac:dyDescent="0.25"/>
  <cols>
    <col min="1" max="1" width="19.140625" customWidth="1"/>
    <col min="2" max="2" width="11.5703125" customWidth="1"/>
    <col min="4" max="4" width="9.5703125" bestFit="1" customWidth="1"/>
    <col min="7" max="7" width="9.42578125" customWidth="1"/>
  </cols>
  <sheetData>
    <row r="1" spans="1:8" ht="21" x14ac:dyDescent="0.35">
      <c r="A1" s="95" t="s">
        <v>69</v>
      </c>
      <c r="B1" s="96"/>
      <c r="C1" s="96"/>
      <c r="D1" s="95"/>
      <c r="E1" s="96"/>
      <c r="F1" s="96"/>
    </row>
    <row r="2" spans="1:8" ht="21" x14ac:dyDescent="0.35">
      <c r="A2" s="97" t="s">
        <v>70</v>
      </c>
      <c r="B2" s="98"/>
      <c r="C2" s="98"/>
      <c r="D2" s="97"/>
      <c r="E2" s="98"/>
      <c r="F2" s="98"/>
    </row>
    <row r="5" spans="1:8" ht="15.75" thickBot="1" x14ac:dyDescent="0.3">
      <c r="A5" s="74" t="s">
        <v>15</v>
      </c>
      <c r="B5" s="3" t="s">
        <v>0</v>
      </c>
      <c r="C5" s="3" t="s">
        <v>7</v>
      </c>
      <c r="D5" s="3" t="s">
        <v>8</v>
      </c>
      <c r="E5" s="3" t="s">
        <v>9</v>
      </c>
      <c r="F5" s="3" t="s">
        <v>10</v>
      </c>
      <c r="G5" s="3" t="s">
        <v>11</v>
      </c>
    </row>
    <row r="6" spans="1:8" ht="15.75" thickTop="1" x14ac:dyDescent="0.25">
      <c r="A6" s="75">
        <v>0</v>
      </c>
      <c r="B6" s="93">
        <v>-10000</v>
      </c>
      <c r="C6" s="93"/>
      <c r="D6" s="93"/>
      <c r="E6" s="93"/>
      <c r="F6" s="93"/>
      <c r="G6" s="93"/>
      <c r="H6" s="1"/>
    </row>
    <row r="7" spans="1:8" x14ac:dyDescent="0.25">
      <c r="A7" s="75">
        <v>1</v>
      </c>
      <c r="B7" s="93"/>
      <c r="C7" s="93">
        <v>22000</v>
      </c>
      <c r="D7" s="93">
        <v>-20000</v>
      </c>
      <c r="E7" s="93">
        <f>C7+D7</f>
        <v>2000</v>
      </c>
      <c r="F7" s="93"/>
      <c r="G7" s="93">
        <f>E7+F7</f>
        <v>2000</v>
      </c>
      <c r="H7" s="1"/>
    </row>
    <row r="8" spans="1:8" x14ac:dyDescent="0.25">
      <c r="A8" s="75">
        <v>2</v>
      </c>
      <c r="B8" s="93"/>
      <c r="C8" s="93">
        <v>20000</v>
      </c>
      <c r="D8" s="93">
        <v>-18000</v>
      </c>
      <c r="E8" s="93">
        <f t="shared" ref="E8:E11" si="0">C8+D8</f>
        <v>2000</v>
      </c>
      <c r="F8" s="93"/>
      <c r="G8" s="93">
        <f t="shared" ref="G8:G11" si="1">E8+F8</f>
        <v>2000</v>
      </c>
      <c r="H8" s="1"/>
    </row>
    <row r="9" spans="1:8" x14ac:dyDescent="0.25">
      <c r="A9" s="75">
        <v>3</v>
      </c>
      <c r="B9" s="93"/>
      <c r="C9" s="93">
        <v>20000</v>
      </c>
      <c r="D9" s="93">
        <v>-16000</v>
      </c>
      <c r="E9" s="93">
        <f t="shared" si="0"/>
        <v>4000</v>
      </c>
      <c r="F9" s="93"/>
      <c r="G9" s="93">
        <f t="shared" si="1"/>
        <v>4000</v>
      </c>
      <c r="H9" s="1"/>
    </row>
    <row r="10" spans="1:8" x14ac:dyDescent="0.25">
      <c r="A10" s="75">
        <v>4</v>
      </c>
      <c r="B10" s="93"/>
      <c r="C10" s="93">
        <v>20000</v>
      </c>
      <c r="D10" s="93">
        <v>-16000</v>
      </c>
      <c r="E10" s="93">
        <f t="shared" si="0"/>
        <v>4000</v>
      </c>
      <c r="F10" s="93"/>
      <c r="G10" s="93">
        <f t="shared" si="1"/>
        <v>4000</v>
      </c>
      <c r="H10" s="1"/>
    </row>
    <row r="11" spans="1:8" x14ac:dyDescent="0.25">
      <c r="A11" s="76">
        <v>5</v>
      </c>
      <c r="B11" s="93"/>
      <c r="C11" s="93">
        <v>20000</v>
      </c>
      <c r="D11" s="93">
        <v>-15000</v>
      </c>
      <c r="E11" s="93">
        <f t="shared" si="0"/>
        <v>5000</v>
      </c>
      <c r="F11" s="93">
        <v>0</v>
      </c>
      <c r="G11" s="93">
        <f t="shared" si="1"/>
        <v>5000</v>
      </c>
      <c r="H11" s="1"/>
    </row>
    <row r="13" spans="1:8" x14ac:dyDescent="0.25">
      <c r="A13" t="s">
        <v>14</v>
      </c>
      <c r="B13" s="7">
        <v>0.1</v>
      </c>
    </row>
    <row r="17" spans="1:10" ht="15.95" customHeight="1" x14ac:dyDescent="0.25">
      <c r="A17" s="6"/>
      <c r="B17" s="6" t="s">
        <v>1</v>
      </c>
      <c r="C17" s="6" t="s">
        <v>2</v>
      </c>
      <c r="D17" s="6" t="s">
        <v>3</v>
      </c>
      <c r="E17" s="6" t="s">
        <v>4</v>
      </c>
      <c r="F17" s="6" t="s">
        <v>5</v>
      </c>
      <c r="G17" s="6" t="s">
        <v>6</v>
      </c>
      <c r="H17" s="6"/>
      <c r="I17" s="6"/>
      <c r="J17" s="6"/>
    </row>
    <row r="18" spans="1:10" x14ac:dyDescent="0.25">
      <c r="A18" s="4" t="s">
        <v>0</v>
      </c>
      <c r="B18" s="5">
        <v>-10</v>
      </c>
      <c r="C18" s="5"/>
      <c r="D18" s="5"/>
      <c r="E18" s="5"/>
      <c r="F18" s="5"/>
      <c r="G18" s="5"/>
      <c r="H18" s="5"/>
      <c r="I18" s="5"/>
      <c r="J18" s="5"/>
    </row>
    <row r="19" spans="1:10" x14ac:dyDescent="0.25">
      <c r="A19" t="s">
        <v>7</v>
      </c>
      <c r="B19" s="1"/>
      <c r="C19" s="1">
        <v>22</v>
      </c>
      <c r="D19" s="1">
        <v>20</v>
      </c>
      <c r="E19" s="1">
        <v>20</v>
      </c>
      <c r="F19" s="1">
        <v>20</v>
      </c>
      <c r="G19" s="1">
        <v>20</v>
      </c>
      <c r="H19" s="1"/>
      <c r="I19" s="1"/>
      <c r="J19" s="1"/>
    </row>
    <row r="20" spans="1:10" ht="15.75" thickBot="1" x14ac:dyDescent="0.3">
      <c r="A20" t="s">
        <v>8</v>
      </c>
      <c r="B20" s="2"/>
      <c r="C20" s="2">
        <v>-20</v>
      </c>
      <c r="D20" s="2">
        <v>-18</v>
      </c>
      <c r="E20" s="2">
        <v>-16</v>
      </c>
      <c r="F20" s="2">
        <v>-16</v>
      </c>
      <c r="G20" s="2">
        <v>-15</v>
      </c>
      <c r="H20" s="2"/>
      <c r="I20" s="2"/>
      <c r="J20" s="2"/>
    </row>
    <row r="21" spans="1:10" ht="15.75" thickTop="1" x14ac:dyDescent="0.25">
      <c r="A21" t="s">
        <v>9</v>
      </c>
      <c r="B21" s="1">
        <f>B19+B20</f>
        <v>0</v>
      </c>
      <c r="C21" s="1">
        <f t="shared" ref="C21:G21" si="2">C19+C20</f>
        <v>2</v>
      </c>
      <c r="D21" s="1">
        <f t="shared" si="2"/>
        <v>2</v>
      </c>
      <c r="E21" s="1">
        <f t="shared" si="2"/>
        <v>4</v>
      </c>
      <c r="F21" s="1">
        <f t="shared" si="2"/>
        <v>4</v>
      </c>
      <c r="G21" s="1">
        <f t="shared" si="2"/>
        <v>5</v>
      </c>
      <c r="H21" s="1"/>
      <c r="I21" s="1"/>
      <c r="J21" s="1"/>
    </row>
    <row r="22" spans="1:10" ht="15.75" thickBot="1" x14ac:dyDescent="0.3">
      <c r="A22" s="3" t="s">
        <v>10</v>
      </c>
      <c r="B22" s="2"/>
      <c r="C22" s="2"/>
      <c r="D22" s="2"/>
      <c r="E22" s="2"/>
      <c r="F22" s="2"/>
      <c r="G22" s="2">
        <v>0</v>
      </c>
      <c r="H22" s="2"/>
      <c r="I22" s="2"/>
      <c r="J22" s="2"/>
    </row>
    <row r="23" spans="1:10" ht="15.75" thickTop="1" x14ac:dyDescent="0.25">
      <c r="A23" t="s">
        <v>11</v>
      </c>
      <c r="B23" s="1">
        <f>B18+B21+B22</f>
        <v>-10</v>
      </c>
      <c r="C23" s="1">
        <f t="shared" ref="C23:G23" si="3">C18+C21+C22</f>
        <v>2</v>
      </c>
      <c r="D23" s="1">
        <f t="shared" si="3"/>
        <v>2</v>
      </c>
      <c r="E23" s="1">
        <f t="shared" si="3"/>
        <v>4</v>
      </c>
      <c r="F23" s="1">
        <f t="shared" si="3"/>
        <v>4</v>
      </c>
      <c r="G23" s="1">
        <f t="shared" si="3"/>
        <v>5</v>
      </c>
      <c r="H23" s="1"/>
      <c r="I23" s="1"/>
      <c r="J23" s="1"/>
    </row>
    <row r="24" spans="1:10" x14ac:dyDescent="0.25">
      <c r="B24" s="1"/>
      <c r="C24" s="1"/>
      <c r="D24" s="1"/>
      <c r="E24" s="1"/>
      <c r="F24" s="1"/>
      <c r="G24" s="1"/>
      <c r="H24" s="1"/>
      <c r="I24" s="1"/>
      <c r="J24" s="1"/>
    </row>
    <row r="25" spans="1:10" x14ac:dyDescent="0.25">
      <c r="A25" t="s">
        <v>14</v>
      </c>
      <c r="B25" s="7">
        <v>0.1</v>
      </c>
      <c r="C25" s="1"/>
      <c r="D25" s="1"/>
      <c r="E25" s="1"/>
      <c r="F25" s="1"/>
      <c r="G25" s="1"/>
      <c r="H25" s="1"/>
      <c r="I25" s="1"/>
      <c r="J25" s="1"/>
    </row>
    <row r="26" spans="1:10" x14ac:dyDescent="0.25">
      <c r="B26" s="8"/>
    </row>
    <row r="27" spans="1:10" x14ac:dyDescent="0.25">
      <c r="A27" s="4"/>
      <c r="B27" s="9"/>
    </row>
    <row r="28" spans="1:10" x14ac:dyDescent="0.25">
      <c r="A28" t="s">
        <v>65</v>
      </c>
      <c r="B28" s="8">
        <f>NPV(B25,C21:G21)</f>
        <v>12.312994020527656</v>
      </c>
      <c r="D28" t="str">
        <f ca="1">_xlfn.FORMULATEXT(B28)</f>
        <v>=NPV(B25,C21:G21)</v>
      </c>
      <c r="G28" t="s">
        <v>67</v>
      </c>
    </row>
    <row r="29" spans="1:10" x14ac:dyDescent="0.25">
      <c r="A29" t="s">
        <v>66</v>
      </c>
      <c r="B29" s="8">
        <f>PV(B25,5,0,-G22)</f>
        <v>0</v>
      </c>
    </row>
    <row r="31" spans="1:10" x14ac:dyDescent="0.25">
      <c r="A31" t="s">
        <v>13</v>
      </c>
      <c r="B31" s="8">
        <f>NPV(B25,C23:G23)+B18</f>
        <v>2.3129940205276558</v>
      </c>
      <c r="D31" t="str">
        <f ca="1">_xlfn.FORMULATEXT(B31)</f>
        <v>=NPV(B25,C23:G23)+B18</v>
      </c>
      <c r="G31" t="s">
        <v>68</v>
      </c>
    </row>
    <row r="32" spans="1:10" x14ac:dyDescent="0.25">
      <c r="G32" t="s">
        <v>17</v>
      </c>
    </row>
  </sheetData>
  <conditionalFormatting sqref="B31">
    <cfRule type="cellIs" dxfId="1" priority="1" operator="greaterThan">
      <formula>0</formula>
    </cfRule>
    <cfRule type="cellIs" dxfId="0" priority="2"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542E-828F-4980-B301-011D9CA288CF}">
  <dimension ref="A1:F16"/>
  <sheetViews>
    <sheetView workbookViewId="0">
      <selection activeCell="B16" sqref="B16"/>
    </sheetView>
  </sheetViews>
  <sheetFormatPr defaultRowHeight="15" x14ac:dyDescent="0.25"/>
  <cols>
    <col min="1" max="1" width="38.5703125" bestFit="1" customWidth="1"/>
    <col min="2" max="2" width="15.7109375" customWidth="1"/>
  </cols>
  <sheetData>
    <row r="1" spans="1:6" ht="21" x14ac:dyDescent="0.35">
      <c r="A1" s="95" t="s">
        <v>69</v>
      </c>
      <c r="B1" s="96"/>
      <c r="C1" s="96"/>
      <c r="D1" s="95"/>
      <c r="E1" s="96"/>
      <c r="F1" s="96"/>
    </row>
    <row r="2" spans="1:6" ht="21" x14ac:dyDescent="0.35">
      <c r="A2" s="97" t="s">
        <v>70</v>
      </c>
      <c r="B2" s="98"/>
      <c r="C2" s="98"/>
      <c r="D2" s="97"/>
      <c r="E2" s="98"/>
      <c r="F2" s="98"/>
    </row>
    <row r="4" spans="1:6" ht="15" customHeight="1" x14ac:dyDescent="0.25"/>
    <row r="5" spans="1:6" ht="15.75" x14ac:dyDescent="0.25">
      <c r="A5" s="21" t="s">
        <v>22</v>
      </c>
      <c r="B5" s="18"/>
      <c r="C5" s="18"/>
    </row>
    <row r="6" spans="1:6" ht="15.75" x14ac:dyDescent="0.25">
      <c r="A6" s="11" t="s">
        <v>21</v>
      </c>
      <c r="B6" s="12" t="s">
        <v>19</v>
      </c>
    </row>
    <row r="7" spans="1:6" ht="15.75" x14ac:dyDescent="0.25">
      <c r="A7" s="13">
        <v>43884</v>
      </c>
      <c r="B7" s="14">
        <v>-50000</v>
      </c>
    </row>
    <row r="8" spans="1:6" ht="15.75" x14ac:dyDescent="0.25">
      <c r="A8" s="13">
        <v>44067</v>
      </c>
      <c r="B8" s="15">
        <v>14000</v>
      </c>
    </row>
    <row r="9" spans="1:6" ht="15.75" x14ac:dyDescent="0.25">
      <c r="A9" s="13">
        <v>44260</v>
      </c>
      <c r="B9" s="15">
        <v>8000</v>
      </c>
    </row>
    <row r="10" spans="1:6" ht="15.75" x14ac:dyDescent="0.25">
      <c r="A10" s="13">
        <v>44502</v>
      </c>
      <c r="B10" s="15">
        <v>23000</v>
      </c>
    </row>
    <row r="11" spans="1:6" ht="15.75" x14ac:dyDescent="0.25">
      <c r="A11" s="13">
        <v>44717</v>
      </c>
      <c r="B11" s="15">
        <v>18000</v>
      </c>
    </row>
    <row r="12" spans="1:6" ht="15.75" x14ac:dyDescent="0.25">
      <c r="A12" s="16">
        <v>44913</v>
      </c>
      <c r="B12" s="17">
        <v>19000</v>
      </c>
    </row>
    <row r="13" spans="1:6" ht="15.75" x14ac:dyDescent="0.25">
      <c r="A13" s="18"/>
      <c r="B13" s="18"/>
    </row>
    <row r="14" spans="1:6" ht="15.75" x14ac:dyDescent="0.25">
      <c r="A14" s="18" t="s">
        <v>20</v>
      </c>
      <c r="B14" s="19">
        <v>0.11</v>
      </c>
    </row>
    <row r="15" spans="1:6" ht="15.75" x14ac:dyDescent="0.25">
      <c r="A15" s="18"/>
      <c r="B15" s="18"/>
    </row>
    <row r="16" spans="1:6" ht="15.75" x14ac:dyDescent="0.25">
      <c r="A16" s="18" t="s">
        <v>16</v>
      </c>
      <c r="B16" s="20">
        <f>XNPV(B14,B7:B12,A7:A12)</f>
        <v>18088.188202675898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9BFF-4ECB-48BE-AAB2-52C5D0EE3C09}">
  <dimension ref="A1:O25"/>
  <sheetViews>
    <sheetView workbookViewId="0">
      <selection activeCell="A8" sqref="A8:B9"/>
    </sheetView>
  </sheetViews>
  <sheetFormatPr defaultRowHeight="15" x14ac:dyDescent="0.25"/>
  <cols>
    <col min="1" max="1" width="19.7109375" customWidth="1"/>
    <col min="2" max="2" width="11.5703125" customWidth="1"/>
    <col min="3" max="3" width="23.42578125" customWidth="1"/>
    <col min="4" max="4" width="12.42578125" customWidth="1"/>
    <col min="5" max="5" width="14.28515625" customWidth="1"/>
    <col min="6" max="6" width="12.28515625" customWidth="1"/>
    <col min="9" max="9" width="14.7109375" customWidth="1"/>
    <col min="10" max="10" width="11.7109375" customWidth="1"/>
    <col min="11" max="12" width="14.85546875" customWidth="1"/>
    <col min="13" max="13" width="9.5703125" customWidth="1"/>
  </cols>
  <sheetData>
    <row r="1" spans="1:15" ht="21" x14ac:dyDescent="0.35">
      <c r="A1" s="95" t="s">
        <v>69</v>
      </c>
      <c r="B1" s="95" t="s">
        <v>71</v>
      </c>
      <c r="C1" s="95"/>
      <c r="D1" s="95"/>
      <c r="E1" s="95"/>
    </row>
    <row r="2" spans="1:15" ht="21" x14ac:dyDescent="0.35">
      <c r="A2" s="95"/>
      <c r="B2" s="95"/>
      <c r="C2" s="95" t="s">
        <v>24</v>
      </c>
      <c r="D2" s="95"/>
      <c r="E2" s="95"/>
    </row>
    <row r="3" spans="1:15" ht="21" x14ac:dyDescent="0.35">
      <c r="A3" s="95"/>
      <c r="B3" s="95"/>
      <c r="C3" s="95" t="s">
        <v>27</v>
      </c>
      <c r="D3" s="95"/>
      <c r="E3" s="95"/>
    </row>
    <row r="4" spans="1:15" ht="21" x14ac:dyDescent="0.35">
      <c r="A4" s="95"/>
      <c r="B4" s="95"/>
      <c r="C4" s="95" t="s">
        <v>25</v>
      </c>
      <c r="D4" s="95"/>
      <c r="E4" s="95"/>
    </row>
    <row r="5" spans="1:15" ht="21" x14ac:dyDescent="0.35">
      <c r="A5" s="95"/>
      <c r="B5" s="95"/>
      <c r="C5" s="95" t="s">
        <v>61</v>
      </c>
      <c r="D5" s="95"/>
      <c r="E5" s="95"/>
    </row>
    <row r="6" spans="1:15" ht="21" x14ac:dyDescent="0.35">
      <c r="A6" s="95"/>
      <c r="B6" s="95"/>
      <c r="C6" s="95" t="s">
        <v>28</v>
      </c>
      <c r="D6" s="95"/>
      <c r="E6" s="95"/>
    </row>
    <row r="8" spans="1:15" ht="15.75" x14ac:dyDescent="0.25">
      <c r="A8" s="88" t="s">
        <v>50</v>
      </c>
      <c r="B8" s="89">
        <v>0.1</v>
      </c>
    </row>
    <row r="9" spans="1:15" ht="15.75" x14ac:dyDescent="0.25">
      <c r="A9" s="90" t="s">
        <v>60</v>
      </c>
      <c r="B9" s="91">
        <v>5</v>
      </c>
    </row>
    <row r="13" spans="1:15" ht="47.25" x14ac:dyDescent="0.25">
      <c r="A13" s="63" t="s">
        <v>18</v>
      </c>
      <c r="B13" s="63" t="s">
        <v>19</v>
      </c>
      <c r="C13" s="80" t="s">
        <v>23</v>
      </c>
      <c r="D13" s="80" t="s">
        <v>56</v>
      </c>
      <c r="E13" s="80" t="s">
        <v>57</v>
      </c>
      <c r="F13" s="80" t="s">
        <v>58</v>
      </c>
      <c r="I13" s="63" t="s">
        <v>18</v>
      </c>
      <c r="J13" s="102" t="s">
        <v>19</v>
      </c>
      <c r="K13" s="70" t="s">
        <v>26</v>
      </c>
      <c r="L13" s="22" t="s">
        <v>29</v>
      </c>
      <c r="M13" s="80" t="s">
        <v>56</v>
      </c>
      <c r="N13" s="80" t="s">
        <v>57</v>
      </c>
      <c r="O13" s="80" t="s">
        <v>58</v>
      </c>
    </row>
    <row r="14" spans="1:15" ht="15.75" x14ac:dyDescent="0.25">
      <c r="A14" s="69">
        <v>0</v>
      </c>
      <c r="B14" s="1">
        <v>-30000</v>
      </c>
      <c r="C14" s="81">
        <f>B14</f>
        <v>-30000</v>
      </c>
      <c r="D14" s="82"/>
      <c r="E14" s="83">
        <f>IF(C15&gt;=0,-B14/B15,0)</f>
        <v>0</v>
      </c>
      <c r="F14" s="83">
        <f>D14+E14</f>
        <v>0</v>
      </c>
      <c r="I14" s="69">
        <v>0</v>
      </c>
      <c r="J14" s="99">
        <v>-30000</v>
      </c>
      <c r="K14" s="99">
        <f>J14</f>
        <v>-30000</v>
      </c>
      <c r="L14" s="100">
        <f>K14</f>
        <v>-30000</v>
      </c>
      <c r="M14" s="82"/>
      <c r="N14" s="83">
        <f t="shared" ref="N14:N16" si="0">IF(M14&gt;0,-L14/K15,0)</f>
        <v>0</v>
      </c>
      <c r="O14" s="83">
        <f>M14+N14</f>
        <v>0</v>
      </c>
    </row>
    <row r="15" spans="1:15" ht="15.75" x14ac:dyDescent="0.25">
      <c r="A15" s="69">
        <v>1</v>
      </c>
      <c r="B15" s="1">
        <v>8000</v>
      </c>
      <c r="C15" s="84">
        <f>B15+B14</f>
        <v>-22000</v>
      </c>
      <c r="D15" s="85">
        <f>IF(AND(C16&gt;0,C15&lt;0),A15,0)</f>
        <v>0</v>
      </c>
      <c r="E15" s="83">
        <f>IF(D15&gt;0,-C14/B15,0)</f>
        <v>0</v>
      </c>
      <c r="F15" s="83">
        <f t="shared" ref="F15:F19" si="1">D15+E15</f>
        <v>0</v>
      </c>
      <c r="I15" s="69">
        <v>1</v>
      </c>
      <c r="J15" s="71">
        <v>8000</v>
      </c>
      <c r="K15" s="71">
        <f>J15/(1+$B$8)^I15</f>
        <v>7272.7272727272721</v>
      </c>
      <c r="L15" s="72">
        <f>L14+K15</f>
        <v>-22727.272727272728</v>
      </c>
      <c r="M15" s="85">
        <f>IF(AND(L16&gt;0,L15&lt;0),I15,0)</f>
        <v>0</v>
      </c>
      <c r="N15" s="83">
        <f t="shared" si="0"/>
        <v>0</v>
      </c>
      <c r="O15" s="83">
        <f t="shared" ref="O15:O19" si="2">M15+N15</f>
        <v>0</v>
      </c>
    </row>
    <row r="16" spans="1:15" ht="15.75" x14ac:dyDescent="0.25">
      <c r="A16" s="69">
        <v>2</v>
      </c>
      <c r="B16" s="1">
        <v>10000</v>
      </c>
      <c r="C16" s="84">
        <f>B16+C15</f>
        <v>-12000</v>
      </c>
      <c r="D16" s="85">
        <f>IF(AND(C16&gt;=0,C15&lt;0),A15,0)</f>
        <v>0</v>
      </c>
      <c r="E16" s="83">
        <f t="shared" ref="E16:E18" si="3">IF(D16&gt;0,-C15/B16,0)</f>
        <v>0</v>
      </c>
      <c r="F16" s="83">
        <f t="shared" si="1"/>
        <v>0</v>
      </c>
      <c r="I16" s="69">
        <v>2</v>
      </c>
      <c r="J16" s="71">
        <v>10000</v>
      </c>
      <c r="K16" s="71">
        <f t="shared" ref="K16:K19" si="4">J16/(1+$B$8)^I16</f>
        <v>8264.4628099173533</v>
      </c>
      <c r="L16" s="72">
        <f t="shared" ref="L16:L19" si="5">L15+K16</f>
        <v>-14462.809917355375</v>
      </c>
      <c r="M16" s="85">
        <f t="shared" ref="M16:M19" si="6">IF(AND(L17&gt;0,L16&lt;0),I16,0)</f>
        <v>0</v>
      </c>
      <c r="N16" s="83">
        <f t="shared" si="0"/>
        <v>0</v>
      </c>
      <c r="O16" s="83">
        <f t="shared" si="2"/>
        <v>0</v>
      </c>
    </row>
    <row r="17" spans="1:15" ht="15.75" x14ac:dyDescent="0.25">
      <c r="A17" s="69">
        <v>3</v>
      </c>
      <c r="B17" s="1">
        <v>11000</v>
      </c>
      <c r="C17" s="84">
        <f t="shared" ref="C17:C19" si="7">B17+C16</f>
        <v>-1000</v>
      </c>
      <c r="D17" s="85">
        <f t="shared" ref="D17:D19" si="8">IF(AND(C17&gt;=0,C16&lt;0),A16,0)</f>
        <v>0</v>
      </c>
      <c r="E17" s="83">
        <f t="shared" si="3"/>
        <v>0</v>
      </c>
      <c r="F17" s="83">
        <f t="shared" si="1"/>
        <v>0</v>
      </c>
      <c r="I17" s="69">
        <v>3</v>
      </c>
      <c r="J17" s="71">
        <v>11000</v>
      </c>
      <c r="K17" s="71">
        <f t="shared" si="4"/>
        <v>8264.4628099173533</v>
      </c>
      <c r="L17" s="72">
        <f t="shared" si="5"/>
        <v>-6198.3471074380213</v>
      </c>
      <c r="M17" s="85">
        <f t="shared" si="6"/>
        <v>3</v>
      </c>
      <c r="N17" s="83">
        <f>IF(M17&gt;0,-L17/K18,0)</f>
        <v>0.53382352941176525</v>
      </c>
      <c r="O17" s="83">
        <f t="shared" si="2"/>
        <v>3.533823529411765</v>
      </c>
    </row>
    <row r="18" spans="1:15" ht="15.75" x14ac:dyDescent="0.25">
      <c r="A18" s="69">
        <v>4</v>
      </c>
      <c r="B18" s="1">
        <v>17000</v>
      </c>
      <c r="C18" s="84">
        <f t="shared" si="7"/>
        <v>16000</v>
      </c>
      <c r="D18" s="85">
        <f t="shared" si="8"/>
        <v>3</v>
      </c>
      <c r="E18" s="83">
        <f t="shared" si="3"/>
        <v>5.8823529411764705E-2</v>
      </c>
      <c r="F18" s="83">
        <f t="shared" si="1"/>
        <v>3.0588235294117645</v>
      </c>
      <c r="I18" s="69">
        <v>4</v>
      </c>
      <c r="J18" s="71">
        <v>17000</v>
      </c>
      <c r="K18" s="71">
        <f t="shared" si="4"/>
        <v>11611.228741206198</v>
      </c>
      <c r="L18" s="72">
        <f t="shared" si="5"/>
        <v>5412.8816337681765</v>
      </c>
      <c r="M18" s="85">
        <f t="shared" si="6"/>
        <v>0</v>
      </c>
      <c r="N18" s="83">
        <f t="shared" ref="N18:N19" si="9">IF(M18&gt;0,-L18/K19,0)</f>
        <v>0</v>
      </c>
      <c r="O18" s="83">
        <f t="shared" si="2"/>
        <v>0</v>
      </c>
    </row>
    <row r="19" spans="1:15" ht="15.75" x14ac:dyDescent="0.25">
      <c r="A19" s="69">
        <v>5</v>
      </c>
      <c r="B19" s="5">
        <v>12000</v>
      </c>
      <c r="C19" s="84">
        <f t="shared" si="7"/>
        <v>28000</v>
      </c>
      <c r="D19" s="85">
        <f t="shared" si="8"/>
        <v>0</v>
      </c>
      <c r="E19" s="83">
        <f>IF(D19&gt;0,-C18/B19,0)</f>
        <v>0</v>
      </c>
      <c r="F19" s="83">
        <f t="shared" si="1"/>
        <v>0</v>
      </c>
      <c r="I19" s="69">
        <v>5</v>
      </c>
      <c r="J19" s="101">
        <v>12000</v>
      </c>
      <c r="K19" s="101">
        <f t="shared" si="4"/>
        <v>7451.0558767098591</v>
      </c>
      <c r="L19" s="73">
        <f t="shared" si="5"/>
        <v>12863.937510478036</v>
      </c>
      <c r="M19" s="85">
        <f t="shared" si="6"/>
        <v>0</v>
      </c>
      <c r="N19" s="83">
        <f t="shared" si="9"/>
        <v>0</v>
      </c>
      <c r="O19" s="83">
        <f t="shared" si="2"/>
        <v>0</v>
      </c>
    </row>
    <row r="20" spans="1:15" ht="15.75" x14ac:dyDescent="0.25">
      <c r="A20" s="69"/>
      <c r="B20" s="84"/>
      <c r="C20" s="84"/>
      <c r="D20" s="85"/>
      <c r="E20" s="83"/>
      <c r="F20" s="83"/>
      <c r="I20" s="69"/>
      <c r="J20" s="84"/>
      <c r="K20" s="84"/>
      <c r="L20" s="84"/>
      <c r="M20" s="85"/>
      <c r="N20" s="83"/>
      <c r="O20" s="83"/>
    </row>
    <row r="21" spans="1:15" ht="15.75" x14ac:dyDescent="0.25">
      <c r="A21" s="69"/>
      <c r="B21" s="84"/>
      <c r="C21" s="84"/>
      <c r="D21" s="85"/>
      <c r="E21" s="83"/>
      <c r="F21" s="83"/>
      <c r="I21" s="69"/>
      <c r="J21" s="84"/>
      <c r="K21" s="84"/>
      <c r="L21" s="84"/>
      <c r="M21" s="85"/>
      <c r="N21" s="83"/>
      <c r="O21" s="83"/>
    </row>
    <row r="22" spans="1:15" ht="15.75" x14ac:dyDescent="0.25">
      <c r="A22" s="18"/>
      <c r="B22" s="18"/>
      <c r="C22" s="18"/>
      <c r="D22" s="18"/>
      <c r="E22" s="18"/>
      <c r="F22" s="18"/>
      <c r="I22" s="18"/>
      <c r="J22" s="18"/>
      <c r="K22" s="18"/>
      <c r="L22" s="18"/>
      <c r="M22" s="18"/>
      <c r="N22" s="18"/>
      <c r="O22" s="18"/>
    </row>
    <row r="23" spans="1:15" ht="15.75" x14ac:dyDescent="0.25">
      <c r="A23" s="18" t="s">
        <v>59</v>
      </c>
      <c r="B23" s="86">
        <f>IF(MAX(F14:F21)&gt;0,MAX(F14:F21),"Never")</f>
        <v>3.0588235294117645</v>
      </c>
      <c r="C23" s="18"/>
      <c r="D23" s="18"/>
      <c r="E23" s="18"/>
      <c r="F23" s="18"/>
      <c r="I23" s="18" t="s">
        <v>59</v>
      </c>
      <c r="J23" s="86">
        <f>IF(MAX(O14:O21)&gt;0,MAX(O14:O21),"Never")</f>
        <v>3.533823529411765</v>
      </c>
      <c r="K23" s="18"/>
      <c r="L23" s="18"/>
      <c r="M23" s="18"/>
      <c r="N23" s="18"/>
      <c r="O23" s="18"/>
    </row>
    <row r="24" spans="1:15" ht="15.75" x14ac:dyDescent="0.25">
      <c r="A24" s="18" t="s">
        <v>55</v>
      </c>
      <c r="B24" s="87" t="str">
        <f>IF(B23&lt;=B9,"Accept","Reject")</f>
        <v>Accept</v>
      </c>
      <c r="C24" s="18"/>
      <c r="D24" s="18"/>
      <c r="E24" s="18"/>
      <c r="F24" s="18"/>
      <c r="I24" s="18" t="s">
        <v>55</v>
      </c>
      <c r="J24" s="87" t="str">
        <f>IF(J23&lt;=B9,"Accept","Reject")</f>
        <v>Accept</v>
      </c>
      <c r="K24" s="18"/>
      <c r="L24" s="18"/>
      <c r="M24" s="18"/>
      <c r="N24" s="18"/>
      <c r="O24" s="18"/>
    </row>
    <row r="25" spans="1:15" ht="15.75" x14ac:dyDescent="0.25">
      <c r="A25" s="18"/>
      <c r="B25" s="18"/>
      <c r="C25" s="18"/>
      <c r="D25" s="18"/>
      <c r="E25" s="18"/>
      <c r="F25" s="18"/>
      <c r="I25" s="18"/>
      <c r="J25" s="18"/>
      <c r="K25" s="18"/>
      <c r="L25" s="18"/>
      <c r="M25" s="18"/>
      <c r="N25" s="18"/>
      <c r="O25" s="1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60832-8ACF-4B2C-89BA-32EF2FF897E8}">
  <dimension ref="A1:K25"/>
  <sheetViews>
    <sheetView workbookViewId="0">
      <selection activeCell="B3" sqref="B3"/>
    </sheetView>
  </sheetViews>
  <sheetFormatPr defaultColWidth="9.140625" defaultRowHeight="15.75" x14ac:dyDescent="0.25"/>
  <cols>
    <col min="1" max="1" width="4.7109375" style="18" customWidth="1"/>
    <col min="2" max="2" width="21.7109375" style="18" customWidth="1"/>
    <col min="3" max="26" width="14.7109375" style="18" customWidth="1"/>
    <col min="27" max="36" width="10.7109375" style="18" customWidth="1"/>
    <col min="37" max="16384" width="9.140625" style="18"/>
  </cols>
  <sheetData>
    <row r="1" spans="1:11" ht="21" x14ac:dyDescent="0.35">
      <c r="B1" s="46" t="s">
        <v>72</v>
      </c>
      <c r="C1" s="47"/>
      <c r="D1" s="48"/>
    </row>
    <row r="2" spans="1:11" s="49" customFormat="1" ht="21.75" thickBot="1" x14ac:dyDescent="0.4">
      <c r="B2" s="50" t="s">
        <v>73</v>
      </c>
      <c r="C2" s="51"/>
      <c r="D2" s="52"/>
    </row>
    <row r="4" spans="1:11" x14ac:dyDescent="0.25">
      <c r="A4" s="157"/>
      <c r="B4" s="157"/>
      <c r="C4" s="157"/>
      <c r="D4" s="157"/>
      <c r="E4" s="157"/>
      <c r="F4" s="157"/>
      <c r="G4" s="157"/>
      <c r="H4" s="157"/>
      <c r="I4" s="157"/>
      <c r="J4" s="157"/>
      <c r="K4" s="157"/>
    </row>
    <row r="6" spans="1:11" x14ac:dyDescent="0.25">
      <c r="B6" s="18" t="s">
        <v>30</v>
      </c>
      <c r="C6" s="23">
        <v>750000</v>
      </c>
    </row>
    <row r="7" spans="1:11" x14ac:dyDescent="0.25">
      <c r="B7" s="18" t="s">
        <v>31</v>
      </c>
      <c r="C7" s="24">
        <v>0.34</v>
      </c>
    </row>
    <row r="9" spans="1:11" x14ac:dyDescent="0.25">
      <c r="B9" s="25"/>
      <c r="C9" s="26" t="s">
        <v>2</v>
      </c>
      <c r="D9" s="26" t="s">
        <v>3</v>
      </c>
      <c r="E9" s="26" t="s">
        <v>4</v>
      </c>
      <c r="F9" s="26" t="s">
        <v>5</v>
      </c>
      <c r="G9" s="12" t="s">
        <v>6</v>
      </c>
    </row>
    <row r="10" spans="1:11" x14ac:dyDescent="0.25">
      <c r="B10" s="27" t="s">
        <v>32</v>
      </c>
      <c r="C10" s="28">
        <v>500000</v>
      </c>
      <c r="D10" s="28">
        <v>640000</v>
      </c>
      <c r="E10" s="28">
        <v>680000</v>
      </c>
      <c r="F10" s="28">
        <v>560000</v>
      </c>
      <c r="G10" s="29">
        <v>470000</v>
      </c>
    </row>
    <row r="11" spans="1:11" x14ac:dyDescent="0.25">
      <c r="B11" s="27" t="s">
        <v>33</v>
      </c>
      <c r="C11" s="30">
        <v>200000</v>
      </c>
      <c r="D11" s="30">
        <v>330000</v>
      </c>
      <c r="E11" s="30">
        <v>360000</v>
      </c>
      <c r="F11" s="30">
        <v>290000</v>
      </c>
      <c r="G11" s="31">
        <v>260000</v>
      </c>
    </row>
    <row r="12" spans="1:11" x14ac:dyDescent="0.25">
      <c r="B12" s="27" t="s">
        <v>34</v>
      </c>
      <c r="C12" s="32">
        <f>$C$6/5</f>
        <v>150000</v>
      </c>
      <c r="D12" s="32">
        <f t="shared" ref="D12:G12" si="0">$C$6/5</f>
        <v>150000</v>
      </c>
      <c r="E12" s="32">
        <f t="shared" si="0"/>
        <v>150000</v>
      </c>
      <c r="F12" s="32">
        <f t="shared" si="0"/>
        <v>150000</v>
      </c>
      <c r="G12" s="33">
        <f t="shared" si="0"/>
        <v>150000</v>
      </c>
    </row>
    <row r="13" spans="1:11" x14ac:dyDescent="0.25">
      <c r="B13" s="27" t="s">
        <v>35</v>
      </c>
      <c r="C13" s="34">
        <f>C10-C11-C12</f>
        <v>150000</v>
      </c>
      <c r="D13" s="34">
        <f t="shared" ref="D13:G13" si="1">D10-D11-D12</f>
        <v>160000</v>
      </c>
      <c r="E13" s="34">
        <f t="shared" si="1"/>
        <v>170000</v>
      </c>
      <c r="F13" s="34">
        <f t="shared" si="1"/>
        <v>120000</v>
      </c>
      <c r="G13" s="35">
        <f t="shared" si="1"/>
        <v>60000</v>
      </c>
    </row>
    <row r="14" spans="1:11" x14ac:dyDescent="0.25">
      <c r="B14" s="27" t="s">
        <v>36</v>
      </c>
      <c r="C14" s="36">
        <f>C13*$C$7</f>
        <v>51000.000000000007</v>
      </c>
      <c r="D14" s="36">
        <f t="shared" ref="D14:G14" si="2">D13*$C$7</f>
        <v>54400.000000000007</v>
      </c>
      <c r="E14" s="36">
        <f t="shared" si="2"/>
        <v>57800.000000000007</v>
      </c>
      <c r="F14" s="36">
        <f t="shared" si="2"/>
        <v>40800</v>
      </c>
      <c r="G14" s="37">
        <f t="shared" si="2"/>
        <v>20400</v>
      </c>
    </row>
    <row r="15" spans="1:11" ht="16.5" thickBot="1" x14ac:dyDescent="0.3">
      <c r="B15" s="27" t="s">
        <v>37</v>
      </c>
      <c r="C15" s="38">
        <f>C13-C14</f>
        <v>99000</v>
      </c>
      <c r="D15" s="38">
        <f t="shared" ref="D15:G15" si="3">D13-D14</f>
        <v>105600</v>
      </c>
      <c r="E15" s="38">
        <f t="shared" si="3"/>
        <v>112200</v>
      </c>
      <c r="F15" s="38">
        <f t="shared" si="3"/>
        <v>79200</v>
      </c>
      <c r="G15" s="39">
        <f t="shared" si="3"/>
        <v>39600</v>
      </c>
    </row>
    <row r="16" spans="1:11" ht="16.5" thickTop="1" x14ac:dyDescent="0.25">
      <c r="B16" s="40"/>
      <c r="C16" s="41"/>
      <c r="D16" s="41"/>
      <c r="E16" s="41"/>
      <c r="F16" s="41"/>
      <c r="G16" s="42"/>
    </row>
    <row r="18" spans="1:11" x14ac:dyDescent="0.25">
      <c r="A18" s="157" t="s">
        <v>38</v>
      </c>
      <c r="B18" s="157"/>
      <c r="C18" s="157"/>
      <c r="D18" s="157"/>
      <c r="E18" s="157"/>
      <c r="F18" s="157"/>
      <c r="G18" s="157"/>
      <c r="H18" s="157"/>
      <c r="I18" s="157"/>
      <c r="J18" s="157"/>
      <c r="K18" s="157"/>
    </row>
    <row r="20" spans="1:11" x14ac:dyDescent="0.25">
      <c r="B20" s="18" t="s">
        <v>39</v>
      </c>
      <c r="C20" s="43">
        <f>C6/2</f>
        <v>375000</v>
      </c>
    </row>
    <row r="21" spans="1:11" x14ac:dyDescent="0.25">
      <c r="B21" s="18" t="s">
        <v>40</v>
      </c>
      <c r="C21" s="43">
        <f>AVERAGE(C15:G15)</f>
        <v>87120</v>
      </c>
    </row>
    <row r="22" spans="1:11" x14ac:dyDescent="0.25">
      <c r="C22" s="44"/>
    </row>
    <row r="23" spans="1:11" x14ac:dyDescent="0.25">
      <c r="A23" s="157" t="s">
        <v>41</v>
      </c>
      <c r="B23" s="157"/>
      <c r="C23" s="157"/>
      <c r="D23" s="157"/>
      <c r="E23" s="157"/>
      <c r="F23" s="157"/>
      <c r="G23" s="157"/>
      <c r="H23" s="157"/>
      <c r="I23" s="157"/>
      <c r="J23" s="157"/>
      <c r="K23" s="157"/>
    </row>
    <row r="24" spans="1:11" x14ac:dyDescent="0.25">
      <c r="C24" s="44"/>
    </row>
    <row r="25" spans="1:11" x14ac:dyDescent="0.25">
      <c r="B25" s="18" t="s">
        <v>42</v>
      </c>
      <c r="C25" s="45">
        <f>C21/C20</f>
        <v>0.23232</v>
      </c>
    </row>
  </sheetData>
  <mergeCells count="3">
    <mergeCell ref="A18:K18"/>
    <mergeCell ref="A4:K4"/>
    <mergeCell ref="A23:K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936DE-D0D8-4320-9181-7EC4C699E2C2}">
  <dimension ref="A1:K369"/>
  <sheetViews>
    <sheetView workbookViewId="0">
      <selection activeCell="B2" sqref="B2:D3"/>
    </sheetView>
  </sheetViews>
  <sheetFormatPr defaultColWidth="9.140625" defaultRowHeight="15.75" x14ac:dyDescent="0.25"/>
  <cols>
    <col min="1" max="1" width="4.7109375" style="18" customWidth="1"/>
    <col min="2" max="2" width="15.28515625" style="18" customWidth="1"/>
    <col min="3" max="33" width="14.7109375" style="18" customWidth="1"/>
    <col min="34" max="54" width="10.7109375" style="18" customWidth="1"/>
    <col min="55" max="16384" width="9.140625" style="18"/>
  </cols>
  <sheetData>
    <row r="1" spans="1:11" ht="16.5" thickBot="1" x14ac:dyDescent="0.3"/>
    <row r="2" spans="1:11" ht="21" x14ac:dyDescent="0.35">
      <c r="B2" s="46" t="s">
        <v>72</v>
      </c>
      <c r="C2" s="53"/>
      <c r="D2" s="54"/>
    </row>
    <row r="3" spans="1:11" ht="21.75" thickBot="1" x14ac:dyDescent="0.4">
      <c r="B3" s="50" t="s">
        <v>74</v>
      </c>
      <c r="C3" s="55"/>
      <c r="D3" s="56"/>
    </row>
    <row r="5" spans="1:11" ht="31.5" customHeight="1" x14ac:dyDescent="0.25">
      <c r="A5" s="157" t="s">
        <v>75</v>
      </c>
      <c r="B5" s="157"/>
      <c r="C5" s="157"/>
      <c r="D5" s="157"/>
      <c r="E5" s="157"/>
      <c r="F5" s="157"/>
      <c r="G5" s="157"/>
      <c r="H5" s="157"/>
      <c r="I5" s="157"/>
      <c r="J5" s="157"/>
      <c r="K5" s="157"/>
    </row>
    <row r="6" spans="1:11" ht="16.5" customHeight="1" x14ac:dyDescent="0.25">
      <c r="A6" s="18" t="s">
        <v>76</v>
      </c>
    </row>
    <row r="7" spans="1:11" ht="16.5" customHeight="1" x14ac:dyDescent="0.25"/>
    <row r="8" spans="1:11" x14ac:dyDescent="0.25">
      <c r="A8" s="157" t="s">
        <v>43</v>
      </c>
      <c r="B8" s="157"/>
      <c r="C8" s="157"/>
      <c r="D8" s="157"/>
      <c r="E8" s="157"/>
      <c r="F8" s="157"/>
      <c r="G8" s="157"/>
      <c r="H8" s="157"/>
      <c r="I8" s="157"/>
      <c r="J8" s="157"/>
      <c r="K8" s="157"/>
    </row>
    <row r="10" spans="1:11" x14ac:dyDescent="0.25">
      <c r="B10" s="11" t="s">
        <v>18</v>
      </c>
      <c r="C10" s="12" t="s">
        <v>19</v>
      </c>
    </row>
    <row r="11" spans="1:11" x14ac:dyDescent="0.25">
      <c r="B11" s="57">
        <v>0</v>
      </c>
      <c r="C11" s="29">
        <v>-30000</v>
      </c>
    </row>
    <row r="12" spans="1:11" x14ac:dyDescent="0.25">
      <c r="B12" s="57">
        <v>1</v>
      </c>
      <c r="C12" s="31">
        <v>8000</v>
      </c>
    </row>
    <row r="13" spans="1:11" x14ac:dyDescent="0.25">
      <c r="B13" s="57">
        <v>2</v>
      </c>
      <c r="C13" s="31">
        <v>10000</v>
      </c>
    </row>
    <row r="14" spans="1:11" x14ac:dyDescent="0.25">
      <c r="B14" s="57">
        <v>3</v>
      </c>
      <c r="C14" s="31">
        <v>11000</v>
      </c>
    </row>
    <row r="15" spans="1:11" x14ac:dyDescent="0.25">
      <c r="B15" s="57">
        <v>4</v>
      </c>
      <c r="C15" s="31">
        <v>17000</v>
      </c>
    </row>
    <row r="16" spans="1:11" x14ac:dyDescent="0.25">
      <c r="B16" s="58">
        <v>5</v>
      </c>
      <c r="C16" s="59">
        <v>12000</v>
      </c>
    </row>
    <row r="18" spans="1:11" x14ac:dyDescent="0.25">
      <c r="B18" s="18" t="s">
        <v>44</v>
      </c>
      <c r="C18" s="60">
        <f>IRR(C11:C16)</f>
        <v>0.2401219981999112</v>
      </c>
      <c r="E18" s="18" t="str">
        <f ca="1">_xlfn.FORMULATEXT(C18)</f>
        <v>=IRR(C11:C16)</v>
      </c>
    </row>
    <row r="21" spans="1:11" x14ac:dyDescent="0.25">
      <c r="A21" s="21" t="s">
        <v>45</v>
      </c>
    </row>
    <row r="23" spans="1:11" ht="31.5" customHeight="1" x14ac:dyDescent="0.25">
      <c r="A23" s="157" t="s">
        <v>46</v>
      </c>
      <c r="B23" s="157"/>
      <c r="C23" s="157"/>
      <c r="D23" s="157"/>
      <c r="E23" s="157"/>
      <c r="F23" s="157"/>
      <c r="G23" s="157"/>
      <c r="H23" s="157"/>
      <c r="I23" s="157"/>
      <c r="J23" s="157"/>
      <c r="K23" s="157"/>
    </row>
    <row r="25" spans="1:11" x14ac:dyDescent="0.25">
      <c r="B25" s="11" t="s">
        <v>18</v>
      </c>
      <c r="C25" s="12" t="s">
        <v>19</v>
      </c>
    </row>
    <row r="26" spans="1:11" x14ac:dyDescent="0.25">
      <c r="B26" s="61">
        <v>43884</v>
      </c>
      <c r="C26" s="29">
        <v>-50000</v>
      </c>
    </row>
    <row r="27" spans="1:11" x14ac:dyDescent="0.25">
      <c r="B27" s="61">
        <v>44067</v>
      </c>
      <c r="C27" s="31">
        <v>14000</v>
      </c>
    </row>
    <row r="28" spans="1:11" x14ac:dyDescent="0.25">
      <c r="B28" s="61">
        <v>44260</v>
      </c>
      <c r="C28" s="31">
        <v>8000</v>
      </c>
    </row>
    <row r="29" spans="1:11" x14ac:dyDescent="0.25">
      <c r="B29" s="61">
        <v>44502</v>
      </c>
      <c r="C29" s="31">
        <v>23000</v>
      </c>
    </row>
    <row r="30" spans="1:11" x14ac:dyDescent="0.25">
      <c r="B30" s="61">
        <v>44717</v>
      </c>
      <c r="C30" s="31">
        <v>18000</v>
      </c>
    </row>
    <row r="31" spans="1:11" x14ac:dyDescent="0.25">
      <c r="B31" s="62">
        <v>44913</v>
      </c>
      <c r="C31" s="59">
        <v>19000</v>
      </c>
    </row>
    <row r="33" spans="2:5" x14ac:dyDescent="0.25">
      <c r="B33" s="18" t="s">
        <v>44</v>
      </c>
      <c r="C33" s="45">
        <f>XIRR(C26:C31,B26:B31)</f>
        <v>0.33297914862632749</v>
      </c>
      <c r="E33" s="18" t="str">
        <f ca="1">_xlfn.FORMULATEXT(C33)</f>
        <v>=XIRR(C26:C31,B26:B31)</v>
      </c>
    </row>
    <row r="34" spans="2:5" customFormat="1" ht="15" x14ac:dyDescent="0.25"/>
    <row r="35" spans="2:5" customFormat="1" ht="15" x14ac:dyDescent="0.25"/>
    <row r="36" spans="2:5" customFormat="1" ht="15" x14ac:dyDescent="0.25"/>
    <row r="37" spans="2:5" customFormat="1" ht="15" x14ac:dyDescent="0.25"/>
    <row r="38" spans="2:5" customFormat="1" ht="15" x14ac:dyDescent="0.25"/>
    <row r="39" spans="2:5" customFormat="1" ht="15" x14ac:dyDescent="0.25"/>
    <row r="40" spans="2:5" customFormat="1" ht="15" x14ac:dyDescent="0.25"/>
    <row r="41" spans="2:5" customFormat="1" ht="15" x14ac:dyDescent="0.25"/>
    <row r="42" spans="2:5" customFormat="1" ht="15" x14ac:dyDescent="0.25"/>
    <row r="43" spans="2:5" customFormat="1" ht="15" x14ac:dyDescent="0.25"/>
    <row r="44" spans="2:5" customFormat="1" ht="15" x14ac:dyDescent="0.25"/>
    <row r="45" spans="2:5" customFormat="1" ht="15" x14ac:dyDescent="0.25"/>
    <row r="46" spans="2:5" customFormat="1" ht="15" x14ac:dyDescent="0.25"/>
    <row r="47" spans="2:5" customFormat="1" ht="15" x14ac:dyDescent="0.25"/>
    <row r="48" spans="2:5" customFormat="1" ht="15" x14ac:dyDescent="0.25"/>
    <row r="49" customFormat="1" ht="15" x14ac:dyDescent="0.25"/>
    <row r="50" customFormat="1" ht="15" x14ac:dyDescent="0.25"/>
    <row r="51" customFormat="1" ht="15" x14ac:dyDescent="0.25"/>
    <row r="52" customFormat="1" ht="15" x14ac:dyDescent="0.25"/>
    <row r="53" customFormat="1" ht="15" x14ac:dyDescent="0.25"/>
    <row r="54" customFormat="1" ht="15" x14ac:dyDescent="0.25"/>
    <row r="55" customFormat="1" ht="15" x14ac:dyDescent="0.25"/>
    <row r="56" customFormat="1" ht="15" x14ac:dyDescent="0.25"/>
    <row r="57" customFormat="1" ht="15" x14ac:dyDescent="0.25"/>
    <row r="58" customFormat="1" ht="15" x14ac:dyDescent="0.25"/>
    <row r="59" customFormat="1" ht="15" x14ac:dyDescent="0.25"/>
    <row r="60" customFormat="1" ht="15" x14ac:dyDescent="0.25"/>
    <row r="61" customFormat="1" ht="15" x14ac:dyDescent="0.25"/>
    <row r="62" customFormat="1" ht="15" x14ac:dyDescent="0.25"/>
    <row r="63" customFormat="1" ht="15" x14ac:dyDescent="0.25"/>
    <row r="64" customFormat="1" ht="15" x14ac:dyDescent="0.25"/>
    <row r="65" customFormat="1" ht="15" x14ac:dyDescent="0.25"/>
    <row r="66" customFormat="1" ht="15" x14ac:dyDescent="0.25"/>
    <row r="67" customFormat="1" ht="15" x14ac:dyDescent="0.25"/>
    <row r="68" customFormat="1" ht="15" x14ac:dyDescent="0.25"/>
    <row r="69" customFormat="1" ht="31.5" customHeight="1" x14ac:dyDescent="0.25"/>
    <row r="70" customFormat="1" ht="15" x14ac:dyDescent="0.25"/>
    <row r="71" customFormat="1" ht="15" x14ac:dyDescent="0.25"/>
    <row r="72" customFormat="1" ht="15" x14ac:dyDescent="0.25"/>
    <row r="73" customFormat="1" ht="15" x14ac:dyDescent="0.25"/>
    <row r="74" customFormat="1" ht="15" x14ac:dyDescent="0.25"/>
    <row r="75" customFormat="1" ht="15" x14ac:dyDescent="0.25"/>
    <row r="76" customFormat="1" ht="15" x14ac:dyDescent="0.25"/>
    <row r="77" customFormat="1" ht="15" x14ac:dyDescent="0.25"/>
    <row r="78" customFormat="1" ht="15" x14ac:dyDescent="0.25"/>
    <row r="79" customFormat="1" ht="15" x14ac:dyDescent="0.25"/>
    <row r="80" customFormat="1" ht="15" x14ac:dyDescent="0.25"/>
    <row r="81" customFormat="1" ht="15" x14ac:dyDescent="0.25"/>
    <row r="82" customFormat="1" ht="15" x14ac:dyDescent="0.25"/>
    <row r="83" customFormat="1" ht="15" x14ac:dyDescent="0.25"/>
    <row r="84" customFormat="1" ht="15" x14ac:dyDescent="0.25"/>
    <row r="85" customFormat="1" ht="31.5" customHeight="1" x14ac:dyDescent="0.25"/>
    <row r="86" customFormat="1" ht="15" x14ac:dyDescent="0.25"/>
    <row r="87" customFormat="1" ht="15" x14ac:dyDescent="0.25"/>
    <row r="88" customFormat="1" ht="15" x14ac:dyDescent="0.25"/>
    <row r="89" customFormat="1" ht="15" x14ac:dyDescent="0.25"/>
    <row r="90" customFormat="1" ht="15" x14ac:dyDescent="0.25"/>
    <row r="91" customFormat="1" ht="15" x14ac:dyDescent="0.25"/>
    <row r="92" customFormat="1" ht="15" x14ac:dyDescent="0.25"/>
    <row r="93" customFormat="1" ht="15" x14ac:dyDescent="0.25"/>
    <row r="94" customFormat="1" ht="15" x14ac:dyDescent="0.25"/>
    <row r="95" customFormat="1" ht="15" x14ac:dyDescent="0.25"/>
    <row r="96" customFormat="1" ht="15" x14ac:dyDescent="0.25"/>
    <row r="97" customFormat="1" ht="15" x14ac:dyDescent="0.25"/>
    <row r="98" customFormat="1" ht="15" x14ac:dyDescent="0.25"/>
    <row r="99" customFormat="1" ht="15" x14ac:dyDescent="0.25"/>
    <row r="100" customFormat="1" ht="15" x14ac:dyDescent="0.25"/>
    <row r="101" customFormat="1" ht="15" x14ac:dyDescent="0.25"/>
    <row r="102" customFormat="1" ht="15" x14ac:dyDescent="0.25"/>
    <row r="103" customFormat="1" ht="15" x14ac:dyDescent="0.25"/>
    <row r="104" customFormat="1" ht="15" x14ac:dyDescent="0.25"/>
    <row r="105" customFormat="1" ht="15" x14ac:dyDescent="0.25"/>
    <row r="106" customFormat="1" ht="15" x14ac:dyDescent="0.25"/>
    <row r="107" customFormat="1" ht="15" x14ac:dyDescent="0.25"/>
    <row r="108" customFormat="1" ht="15" x14ac:dyDescent="0.25"/>
    <row r="109" customFormat="1" ht="15" x14ac:dyDescent="0.25"/>
    <row r="110" customFormat="1" ht="15" x14ac:dyDescent="0.25"/>
    <row r="111" customFormat="1" ht="15" x14ac:dyDescent="0.25"/>
    <row r="112" customFormat="1" ht="15" x14ac:dyDescent="0.25"/>
    <row r="113" customFormat="1" ht="15" x14ac:dyDescent="0.25"/>
    <row r="114" customFormat="1" ht="15" x14ac:dyDescent="0.25"/>
    <row r="115" customFormat="1" ht="15" x14ac:dyDescent="0.25"/>
    <row r="116" customFormat="1" ht="15" x14ac:dyDescent="0.25"/>
    <row r="117" customFormat="1" ht="15" x14ac:dyDescent="0.25"/>
    <row r="118" customFormat="1" ht="15" x14ac:dyDescent="0.25"/>
    <row r="119" customFormat="1" ht="15" x14ac:dyDescent="0.25"/>
    <row r="120" customFormat="1" ht="15" x14ac:dyDescent="0.25"/>
    <row r="121" customFormat="1" ht="15" x14ac:dyDescent="0.25"/>
    <row r="122" customFormat="1" ht="47.25" customHeight="1" x14ac:dyDescent="0.25"/>
    <row r="123" customFormat="1" ht="15" x14ac:dyDescent="0.25"/>
    <row r="124" customFormat="1" ht="15" x14ac:dyDescent="0.25"/>
    <row r="125" customFormat="1" ht="15" x14ac:dyDescent="0.25"/>
    <row r="126" customFormat="1" ht="15" x14ac:dyDescent="0.25"/>
    <row r="127" customFormat="1" ht="15" x14ac:dyDescent="0.25"/>
    <row r="128" customFormat="1" ht="15" x14ac:dyDescent="0.25"/>
    <row r="129" customFormat="1" ht="15" x14ac:dyDescent="0.25"/>
    <row r="130" customFormat="1" ht="15" x14ac:dyDescent="0.25"/>
    <row r="131" customFormat="1" ht="15" x14ac:dyDescent="0.25"/>
    <row r="132" customFormat="1" ht="15" x14ac:dyDescent="0.25"/>
    <row r="133" customFormat="1" ht="15" x14ac:dyDescent="0.25"/>
    <row r="134" customFormat="1" ht="15" x14ac:dyDescent="0.25"/>
    <row r="135" customFormat="1" ht="15" x14ac:dyDescent="0.25"/>
    <row r="136" customFormat="1" ht="15" x14ac:dyDescent="0.25"/>
    <row r="137" customFormat="1" ht="15" x14ac:dyDescent="0.25"/>
    <row r="138" customFormat="1" ht="15" x14ac:dyDescent="0.25"/>
    <row r="139" customFormat="1" ht="15" x14ac:dyDescent="0.25"/>
    <row r="140" customFormat="1" ht="15" x14ac:dyDescent="0.25"/>
    <row r="141" customFormat="1" ht="15.75" customHeight="1" x14ac:dyDescent="0.25"/>
    <row r="142" customFormat="1" ht="15" x14ac:dyDescent="0.25"/>
    <row r="143" customFormat="1" ht="15" x14ac:dyDescent="0.25"/>
    <row r="144" customFormat="1" ht="15" x14ac:dyDescent="0.25"/>
    <row r="145" customFormat="1" ht="15" x14ac:dyDescent="0.25"/>
    <row r="146" customFormat="1" ht="15" x14ac:dyDescent="0.25"/>
    <row r="147" customFormat="1" ht="15" x14ac:dyDescent="0.25"/>
    <row r="148" customFormat="1" ht="15" x14ac:dyDescent="0.25"/>
    <row r="149" customFormat="1" ht="15" x14ac:dyDescent="0.25"/>
    <row r="150" customFormat="1" ht="15" x14ac:dyDescent="0.25"/>
    <row r="151" customFormat="1" ht="15" x14ac:dyDescent="0.25"/>
    <row r="152" customFormat="1" ht="15" x14ac:dyDescent="0.25"/>
    <row r="153" customFormat="1" ht="15" x14ac:dyDescent="0.25"/>
    <row r="154" customFormat="1" ht="15" x14ac:dyDescent="0.25"/>
    <row r="155" customFormat="1" ht="15" x14ac:dyDescent="0.25"/>
    <row r="156" customFormat="1" ht="31.5" customHeight="1" x14ac:dyDescent="0.25"/>
    <row r="157" customFormat="1" ht="15" x14ac:dyDescent="0.25"/>
    <row r="158" customFormat="1" ht="15" x14ac:dyDescent="0.25"/>
    <row r="159" customFormat="1" ht="15" x14ac:dyDescent="0.25"/>
    <row r="160" customFormat="1" ht="15" x14ac:dyDescent="0.25"/>
    <row r="161" customFormat="1" ht="15" x14ac:dyDescent="0.25"/>
    <row r="162" customFormat="1" ht="15" x14ac:dyDescent="0.25"/>
    <row r="163" customFormat="1" ht="15" x14ac:dyDescent="0.25"/>
    <row r="164" customFormat="1" ht="15" x14ac:dyDescent="0.25"/>
    <row r="165" customFormat="1" ht="15" x14ac:dyDescent="0.25"/>
    <row r="166" customFormat="1" ht="15" x14ac:dyDescent="0.25"/>
    <row r="167" customFormat="1" ht="15" x14ac:dyDescent="0.25"/>
    <row r="168" customFormat="1" ht="15" x14ac:dyDescent="0.25"/>
    <row r="169" customFormat="1" ht="15" x14ac:dyDescent="0.25"/>
    <row r="170" customFormat="1" ht="15" x14ac:dyDescent="0.25"/>
    <row r="171" customFormat="1" ht="15" x14ac:dyDescent="0.25"/>
    <row r="172" customFormat="1" ht="15" x14ac:dyDescent="0.25"/>
    <row r="173" customFormat="1" ht="15" x14ac:dyDescent="0.25"/>
    <row r="174" customFormat="1" ht="15" x14ac:dyDescent="0.25"/>
    <row r="175" customFormat="1" ht="15" x14ac:dyDescent="0.25"/>
    <row r="176" customFormat="1" ht="15" x14ac:dyDescent="0.25"/>
    <row r="177" customFormat="1" ht="15" x14ac:dyDescent="0.25"/>
    <row r="178" customFormat="1" ht="15" x14ac:dyDescent="0.25"/>
    <row r="179" customFormat="1" ht="15" x14ac:dyDescent="0.25"/>
    <row r="180" customFormat="1" ht="15" x14ac:dyDescent="0.25"/>
    <row r="181" customFormat="1" ht="15" x14ac:dyDescent="0.25"/>
    <row r="182" customFormat="1" ht="15" x14ac:dyDescent="0.25"/>
    <row r="183" customFormat="1" ht="15" x14ac:dyDescent="0.25"/>
    <row r="184" customFormat="1" ht="15" x14ac:dyDescent="0.25"/>
    <row r="185" customFormat="1" ht="15" x14ac:dyDescent="0.25"/>
    <row r="186" customFormat="1" ht="15" x14ac:dyDescent="0.25"/>
    <row r="187" customFormat="1" ht="15" x14ac:dyDescent="0.25"/>
    <row r="188" customFormat="1" ht="47.25" customHeight="1" x14ac:dyDescent="0.25"/>
    <row r="189" customFormat="1" ht="15" x14ac:dyDescent="0.25"/>
    <row r="190" customFormat="1" ht="15" x14ac:dyDescent="0.25"/>
    <row r="191" customFormat="1" ht="15" x14ac:dyDescent="0.25"/>
    <row r="192" customFormat="1" ht="15" x14ac:dyDescent="0.25"/>
    <row r="193" customFormat="1" ht="15" x14ac:dyDescent="0.25"/>
    <row r="194" customFormat="1" ht="15" x14ac:dyDescent="0.25"/>
    <row r="195" customFormat="1" ht="15" x14ac:dyDescent="0.25"/>
    <row r="196" customFormat="1" ht="15" x14ac:dyDescent="0.25"/>
    <row r="197" customFormat="1" ht="15" x14ac:dyDescent="0.25"/>
    <row r="198" customFormat="1" ht="15" x14ac:dyDescent="0.25"/>
    <row r="199" customFormat="1" ht="15" x14ac:dyDescent="0.25"/>
    <row r="200" customFormat="1" ht="47.25" customHeight="1" x14ac:dyDescent="0.25"/>
    <row r="201" customFormat="1" ht="15" x14ac:dyDescent="0.25"/>
    <row r="202" customFormat="1" ht="15" x14ac:dyDescent="0.25"/>
    <row r="203" customFormat="1" ht="15" x14ac:dyDescent="0.25"/>
    <row r="204" customFormat="1" ht="15" x14ac:dyDescent="0.25"/>
    <row r="205" customFormat="1" ht="15" x14ac:dyDescent="0.25"/>
    <row r="206" customFormat="1" ht="15" x14ac:dyDescent="0.25"/>
    <row r="207" customFormat="1" ht="15" x14ac:dyDescent="0.25"/>
    <row r="208" customFormat="1" ht="15" x14ac:dyDescent="0.25"/>
    <row r="209" customFormat="1" ht="15" x14ac:dyDescent="0.25"/>
    <row r="210" customFormat="1" ht="15" x14ac:dyDescent="0.25"/>
    <row r="211" customFormat="1" ht="15" x14ac:dyDescent="0.25"/>
    <row r="212" customFormat="1" ht="15" x14ac:dyDescent="0.25"/>
    <row r="213" customFormat="1" ht="15" x14ac:dyDescent="0.25"/>
    <row r="214" customFormat="1" ht="15" x14ac:dyDescent="0.25"/>
    <row r="215" customFormat="1" ht="15" x14ac:dyDescent="0.25"/>
    <row r="216" customFormat="1" ht="15" x14ac:dyDescent="0.25"/>
    <row r="217" customFormat="1" ht="15" x14ac:dyDescent="0.25"/>
    <row r="218" customFormat="1" ht="15" x14ac:dyDescent="0.25"/>
    <row r="219" customFormat="1" ht="15" x14ac:dyDescent="0.25"/>
    <row r="220" customFormat="1" ht="15" x14ac:dyDescent="0.25"/>
    <row r="221" customFormat="1" ht="15" x14ac:dyDescent="0.25"/>
    <row r="222" customFormat="1" ht="15" x14ac:dyDescent="0.25"/>
    <row r="223" customFormat="1" ht="15" x14ac:dyDescent="0.25"/>
    <row r="224" customFormat="1" ht="15" x14ac:dyDescent="0.25"/>
    <row r="225" customFormat="1" ht="15" x14ac:dyDescent="0.25"/>
    <row r="226" customFormat="1" ht="15" x14ac:dyDescent="0.25"/>
    <row r="227" customFormat="1" ht="15" x14ac:dyDescent="0.25"/>
    <row r="228" customFormat="1" ht="15" x14ac:dyDescent="0.25"/>
    <row r="229" customFormat="1" ht="15" x14ac:dyDescent="0.25"/>
    <row r="230" customFormat="1" ht="15" x14ac:dyDescent="0.25"/>
    <row r="231" customFormat="1" ht="15" x14ac:dyDescent="0.25"/>
    <row r="232" customFormat="1" ht="15" x14ac:dyDescent="0.25"/>
    <row r="233" customFormat="1" ht="15" x14ac:dyDescent="0.25"/>
    <row r="234" customFormat="1" ht="15" x14ac:dyDescent="0.25"/>
    <row r="235" customFormat="1" ht="15" x14ac:dyDescent="0.25"/>
    <row r="236" customFormat="1" ht="15" x14ac:dyDescent="0.25"/>
    <row r="237" customFormat="1" ht="15" x14ac:dyDescent="0.25"/>
    <row r="238" customFormat="1" ht="15" x14ac:dyDescent="0.25"/>
    <row r="239" customFormat="1" ht="15" x14ac:dyDescent="0.25"/>
    <row r="240" customFormat="1" ht="15" x14ac:dyDescent="0.25"/>
    <row r="241" customFormat="1" ht="15" x14ac:dyDescent="0.25"/>
    <row r="242" customFormat="1" ht="15" x14ac:dyDescent="0.25"/>
    <row r="243" customFormat="1" ht="15" x14ac:dyDescent="0.25"/>
    <row r="244" customFormat="1" ht="15" x14ac:dyDescent="0.25"/>
    <row r="245" customFormat="1" ht="15" x14ac:dyDescent="0.25"/>
    <row r="246" customFormat="1" ht="15" x14ac:dyDescent="0.25"/>
    <row r="247" customFormat="1" ht="15" x14ac:dyDescent="0.25"/>
    <row r="248" customFormat="1" ht="15" x14ac:dyDescent="0.25"/>
    <row r="249" customFormat="1" ht="15" x14ac:dyDescent="0.25"/>
    <row r="250" customFormat="1" ht="31.5" customHeight="1" x14ac:dyDescent="0.25"/>
    <row r="251" customFormat="1" ht="15" x14ac:dyDescent="0.25"/>
    <row r="252" customFormat="1" ht="15" x14ac:dyDescent="0.25"/>
    <row r="253" customFormat="1" ht="15" x14ac:dyDescent="0.25"/>
    <row r="254" customFormat="1" ht="15" x14ac:dyDescent="0.25"/>
    <row r="255" customFormat="1" ht="15" x14ac:dyDescent="0.25"/>
    <row r="256" customFormat="1" ht="15" x14ac:dyDescent="0.25"/>
    <row r="257" customFormat="1" ht="15" x14ac:dyDescent="0.25"/>
    <row r="258" customFormat="1" ht="15" x14ac:dyDescent="0.25"/>
    <row r="259" customFormat="1" ht="15" x14ac:dyDescent="0.25"/>
    <row r="260" customFormat="1" ht="15" x14ac:dyDescent="0.25"/>
    <row r="261" customFormat="1" ht="15" x14ac:dyDescent="0.25"/>
    <row r="262" customFormat="1" ht="15" x14ac:dyDescent="0.25"/>
    <row r="263" customFormat="1" ht="63" customHeight="1" x14ac:dyDescent="0.25"/>
    <row r="264" customFormat="1" ht="15" x14ac:dyDescent="0.25"/>
    <row r="265" customFormat="1" ht="15" x14ac:dyDescent="0.25"/>
    <row r="266" customFormat="1" ht="15" x14ac:dyDescent="0.25"/>
    <row r="267" customFormat="1" ht="15" x14ac:dyDescent="0.25"/>
    <row r="268" customFormat="1" ht="15" x14ac:dyDescent="0.25"/>
    <row r="269" customFormat="1" ht="15" x14ac:dyDescent="0.25"/>
    <row r="270" customFormat="1" ht="15" x14ac:dyDescent="0.25"/>
    <row r="271" customFormat="1" ht="15" x14ac:dyDescent="0.25"/>
    <row r="272" customFormat="1" ht="15" x14ac:dyDescent="0.25"/>
    <row r="273" customFormat="1" ht="15" x14ac:dyDescent="0.25"/>
    <row r="274" customFormat="1" ht="15" x14ac:dyDescent="0.25"/>
    <row r="275" customFormat="1" ht="15" x14ac:dyDescent="0.25"/>
    <row r="276" customFormat="1" ht="31.5" customHeight="1" x14ac:dyDescent="0.25"/>
    <row r="277" customFormat="1" ht="15" x14ac:dyDescent="0.25"/>
    <row r="278" customFormat="1" ht="15" x14ac:dyDescent="0.25"/>
    <row r="279" customFormat="1" ht="15" x14ac:dyDescent="0.25"/>
    <row r="280" customFormat="1" ht="15" x14ac:dyDescent="0.25"/>
    <row r="281" customFormat="1" ht="15" x14ac:dyDescent="0.25"/>
    <row r="282" customFormat="1" ht="15" x14ac:dyDescent="0.25"/>
    <row r="283" customFormat="1" ht="15" x14ac:dyDescent="0.25"/>
    <row r="284" customFormat="1" ht="15" x14ac:dyDescent="0.25"/>
    <row r="285" customFormat="1" ht="15" x14ac:dyDescent="0.25"/>
    <row r="286" customFormat="1" ht="15" x14ac:dyDescent="0.25"/>
    <row r="287" customFormat="1" ht="15" x14ac:dyDescent="0.25"/>
    <row r="288" customFormat="1" ht="15" x14ac:dyDescent="0.25"/>
    <row r="289" customFormat="1" ht="15" x14ac:dyDescent="0.25"/>
    <row r="290" customFormat="1" ht="15" x14ac:dyDescent="0.25"/>
    <row r="291" customFormat="1" ht="31.5" customHeight="1" x14ac:dyDescent="0.25"/>
    <row r="292" customFormat="1" ht="15" x14ac:dyDescent="0.25"/>
    <row r="293" customFormat="1" ht="15" x14ac:dyDescent="0.25"/>
    <row r="294" customFormat="1" ht="15" x14ac:dyDescent="0.25"/>
    <row r="295" customFormat="1" ht="15" x14ac:dyDescent="0.25"/>
    <row r="296" customFormat="1" ht="15" x14ac:dyDescent="0.25"/>
    <row r="297" customFormat="1" ht="15" x14ac:dyDescent="0.25"/>
    <row r="298" customFormat="1" ht="15" x14ac:dyDescent="0.25"/>
    <row r="299" customFormat="1" ht="15" x14ac:dyDescent="0.25"/>
    <row r="300" customFormat="1" ht="15" x14ac:dyDescent="0.25"/>
    <row r="301" customFormat="1" ht="15" x14ac:dyDescent="0.25"/>
    <row r="302" customFormat="1" ht="15" x14ac:dyDescent="0.25"/>
    <row r="303" customFormat="1" ht="15" x14ac:dyDescent="0.25"/>
    <row r="304" customFormat="1" ht="15" x14ac:dyDescent="0.25"/>
    <row r="305" customFormat="1" ht="15" x14ac:dyDescent="0.25"/>
    <row r="306" customFormat="1" ht="15" x14ac:dyDescent="0.25"/>
    <row r="307" customFormat="1" ht="15" x14ac:dyDescent="0.25"/>
    <row r="308" customFormat="1" ht="31.5" customHeight="1" x14ac:dyDescent="0.25"/>
    <row r="309" customFormat="1" ht="15" x14ac:dyDescent="0.25"/>
    <row r="310" customFormat="1" ht="15" x14ac:dyDescent="0.25"/>
    <row r="311" customFormat="1" ht="15.75" customHeight="1" x14ac:dyDescent="0.25"/>
    <row r="312" customFormat="1" ht="15" x14ac:dyDescent="0.25"/>
    <row r="313" customFormat="1" ht="15" x14ac:dyDescent="0.25"/>
    <row r="314" customFormat="1" ht="15" x14ac:dyDescent="0.25"/>
    <row r="315" customFormat="1" ht="15" x14ac:dyDescent="0.25"/>
    <row r="316" customFormat="1" ht="15" x14ac:dyDescent="0.25"/>
    <row r="317" customFormat="1" ht="15" x14ac:dyDescent="0.25"/>
    <row r="318" customFormat="1" ht="15" x14ac:dyDescent="0.25"/>
    <row r="319" customFormat="1" ht="15" x14ac:dyDescent="0.25"/>
    <row r="320" customFormat="1" ht="15" x14ac:dyDescent="0.25"/>
    <row r="321" customFormat="1" ht="15" x14ac:dyDescent="0.25"/>
    <row r="322" customFormat="1" ht="15" x14ac:dyDescent="0.25"/>
    <row r="323" customFormat="1" ht="15" x14ac:dyDescent="0.25"/>
    <row r="324" customFormat="1" ht="15" x14ac:dyDescent="0.25"/>
    <row r="325" customFormat="1" ht="15" x14ac:dyDescent="0.25"/>
    <row r="326" customFormat="1" ht="15" x14ac:dyDescent="0.25"/>
    <row r="327" customFormat="1" ht="15" x14ac:dyDescent="0.25"/>
    <row r="328" customFormat="1" ht="15" x14ac:dyDescent="0.25"/>
    <row r="329" customFormat="1" ht="15" x14ac:dyDescent="0.25"/>
    <row r="330" customFormat="1" ht="15" x14ac:dyDescent="0.25"/>
    <row r="331" customFormat="1" ht="15" x14ac:dyDescent="0.25"/>
    <row r="332" customFormat="1" ht="15" x14ac:dyDescent="0.25"/>
    <row r="333" customFormat="1" ht="15" x14ac:dyDescent="0.25"/>
    <row r="334" customFormat="1" ht="15" x14ac:dyDescent="0.25"/>
    <row r="335" customFormat="1" ht="15" x14ac:dyDescent="0.25"/>
    <row r="336" customFormat="1" ht="15" x14ac:dyDescent="0.25"/>
    <row r="337" customFormat="1" ht="15" x14ac:dyDescent="0.25"/>
    <row r="338" customFormat="1" ht="15" x14ac:dyDescent="0.25"/>
    <row r="339" customFormat="1" ht="15" x14ac:dyDescent="0.25"/>
    <row r="340" customFormat="1" ht="15" x14ac:dyDescent="0.25"/>
    <row r="341" customFormat="1" ht="15" x14ac:dyDescent="0.25"/>
    <row r="342" customFormat="1" ht="15" x14ac:dyDescent="0.25"/>
    <row r="343" customFormat="1" ht="15" x14ac:dyDescent="0.25"/>
    <row r="344" customFormat="1" ht="15" x14ac:dyDescent="0.25"/>
    <row r="345" customFormat="1" ht="15" x14ac:dyDescent="0.25"/>
    <row r="346" customFormat="1" ht="15" x14ac:dyDescent="0.25"/>
    <row r="347" customFormat="1" ht="15" x14ac:dyDescent="0.25"/>
    <row r="348" customFormat="1" ht="15" x14ac:dyDescent="0.25"/>
    <row r="349" customFormat="1" ht="15" x14ac:dyDescent="0.25"/>
    <row r="350" customFormat="1" ht="15" x14ac:dyDescent="0.25"/>
    <row r="351" customFormat="1" ht="15" x14ac:dyDescent="0.25"/>
    <row r="352" customFormat="1" ht="15" x14ac:dyDescent="0.25"/>
    <row r="353" customFormat="1" ht="15" x14ac:dyDescent="0.25"/>
    <row r="354" customFormat="1" ht="15" x14ac:dyDescent="0.25"/>
    <row r="355" customFormat="1" ht="15" x14ac:dyDescent="0.25"/>
    <row r="356" customFormat="1" ht="15" x14ac:dyDescent="0.25"/>
    <row r="357" customFormat="1" ht="15" x14ac:dyDescent="0.25"/>
    <row r="358" customFormat="1" ht="15" x14ac:dyDescent="0.25"/>
    <row r="359" customFormat="1" ht="15" x14ac:dyDescent="0.25"/>
    <row r="360" customFormat="1" ht="15" x14ac:dyDescent="0.25"/>
    <row r="361" customFormat="1" ht="15" x14ac:dyDescent="0.25"/>
    <row r="362" customFormat="1" ht="15" x14ac:dyDescent="0.25"/>
    <row r="363" customFormat="1" ht="15" x14ac:dyDescent="0.25"/>
    <row r="364" customFormat="1" ht="15" x14ac:dyDescent="0.25"/>
    <row r="365" customFormat="1" ht="15" x14ac:dyDescent="0.25"/>
    <row r="366" customFormat="1" ht="15" x14ac:dyDescent="0.25"/>
    <row r="367" customFormat="1" ht="15" x14ac:dyDescent="0.25"/>
    <row r="368" customFormat="1" ht="15" x14ac:dyDescent="0.25"/>
    <row r="369" customFormat="1" ht="15" x14ac:dyDescent="0.25"/>
  </sheetData>
  <mergeCells count="3">
    <mergeCell ref="A23:K23"/>
    <mergeCell ref="A5:K5"/>
    <mergeCell ref="A8:K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60493-F702-4902-AB7D-E46466ECFE9C}">
  <dimension ref="A1:K54"/>
  <sheetViews>
    <sheetView workbookViewId="0">
      <selection activeCell="A2" sqref="A2:C2"/>
    </sheetView>
  </sheetViews>
  <sheetFormatPr defaultRowHeight="15" x14ac:dyDescent="0.25"/>
  <cols>
    <col min="3" max="3" width="24.7109375" customWidth="1"/>
  </cols>
  <sheetData>
    <row r="1" spans="1:11" ht="15.75" thickBot="1" x14ac:dyDescent="0.3">
      <c r="A1" s="94"/>
      <c r="B1" s="94"/>
      <c r="C1" s="94"/>
      <c r="D1" s="94"/>
      <c r="E1" s="94"/>
      <c r="F1" s="94"/>
      <c r="G1" s="94"/>
      <c r="H1" s="94"/>
      <c r="I1" s="94"/>
      <c r="J1" s="94"/>
      <c r="K1" s="94"/>
    </row>
    <row r="2" spans="1:11" ht="21" x14ac:dyDescent="0.35">
      <c r="A2" s="46" t="s">
        <v>72</v>
      </c>
      <c r="B2" s="53"/>
      <c r="C2" s="54"/>
      <c r="D2" s="94"/>
      <c r="E2" s="94"/>
      <c r="F2" s="94"/>
      <c r="G2" s="94"/>
      <c r="H2" s="94"/>
      <c r="I2" s="94"/>
      <c r="J2" s="94"/>
      <c r="K2" s="94"/>
    </row>
    <row r="3" spans="1:11" ht="21.75" thickBot="1" x14ac:dyDescent="0.4">
      <c r="A3" s="50" t="s">
        <v>77</v>
      </c>
      <c r="B3" s="55"/>
      <c r="C3" s="56"/>
      <c r="D3" s="94"/>
      <c r="E3" s="94"/>
      <c r="F3" s="94"/>
      <c r="G3" s="94"/>
      <c r="H3" s="94"/>
      <c r="I3" s="94"/>
      <c r="J3" s="94"/>
      <c r="K3" s="94"/>
    </row>
    <row r="4" spans="1:11" x14ac:dyDescent="0.25">
      <c r="A4" s="94"/>
      <c r="B4" s="94"/>
      <c r="C4" s="94"/>
      <c r="D4" s="94"/>
      <c r="E4" s="94"/>
      <c r="F4" s="94"/>
      <c r="G4" s="94"/>
      <c r="H4" s="94"/>
      <c r="I4" s="94"/>
      <c r="J4" s="94"/>
      <c r="K4" s="94"/>
    </row>
    <row r="5" spans="1:11" ht="15.75" x14ac:dyDescent="0.25">
      <c r="A5" s="157" t="s">
        <v>47</v>
      </c>
      <c r="B5" s="157"/>
      <c r="C5" s="157"/>
      <c r="D5" s="157"/>
      <c r="E5" s="157"/>
      <c r="F5" s="157"/>
      <c r="G5" s="157"/>
      <c r="H5" s="157"/>
      <c r="I5" s="157"/>
      <c r="J5" s="157"/>
      <c r="K5" s="157"/>
    </row>
    <row r="6" spans="1:11" ht="15.75" x14ac:dyDescent="0.25">
      <c r="A6" s="18"/>
      <c r="B6" s="18"/>
      <c r="C6" s="18"/>
      <c r="D6" s="18"/>
      <c r="E6" s="18"/>
      <c r="F6" s="18"/>
      <c r="G6" s="18"/>
      <c r="H6" s="18"/>
      <c r="I6" s="18"/>
      <c r="J6" s="18"/>
      <c r="K6" s="18"/>
    </row>
    <row r="7" spans="1:11" ht="15.75" x14ac:dyDescent="0.25">
      <c r="A7" s="18"/>
      <c r="B7" s="11" t="s">
        <v>18</v>
      </c>
      <c r="C7" s="12" t="s">
        <v>19</v>
      </c>
      <c r="D7" s="63"/>
      <c r="E7" s="18"/>
      <c r="F7" s="18"/>
      <c r="G7" s="18"/>
      <c r="H7" s="18"/>
      <c r="I7" s="18"/>
      <c r="J7" s="18"/>
      <c r="K7" s="18"/>
    </row>
    <row r="8" spans="1:11" ht="15.75" x14ac:dyDescent="0.25">
      <c r="A8" s="18"/>
      <c r="B8" s="57">
        <v>0</v>
      </c>
      <c r="C8" s="29">
        <v>-30000</v>
      </c>
      <c r="D8" s="64"/>
      <c r="E8" s="18"/>
      <c r="F8" s="18"/>
      <c r="G8" s="18"/>
      <c r="H8" s="18"/>
      <c r="I8" s="18"/>
      <c r="J8" s="18"/>
      <c r="K8" s="18"/>
    </row>
    <row r="9" spans="1:11" ht="15.75" x14ac:dyDescent="0.25">
      <c r="A9" s="18"/>
      <c r="B9" s="57">
        <v>1</v>
      </c>
      <c r="C9" s="31">
        <v>8000</v>
      </c>
      <c r="D9" s="65"/>
      <c r="E9" s="18"/>
      <c r="F9" s="18"/>
      <c r="G9" s="18"/>
      <c r="H9" s="18"/>
      <c r="I9" s="18"/>
      <c r="J9" s="18"/>
      <c r="K9" s="18"/>
    </row>
    <row r="10" spans="1:11" ht="15.75" x14ac:dyDescent="0.25">
      <c r="A10" s="18"/>
      <c r="B10" s="57">
        <v>2</v>
      </c>
      <c r="C10" s="31">
        <v>10000</v>
      </c>
      <c r="D10" s="65"/>
      <c r="E10" s="18"/>
      <c r="F10" s="18"/>
      <c r="G10" s="18"/>
      <c r="H10" s="18"/>
      <c r="I10" s="18"/>
      <c r="J10" s="18"/>
      <c r="K10" s="18"/>
    </row>
    <row r="11" spans="1:11" ht="15.75" x14ac:dyDescent="0.25">
      <c r="A11" s="18"/>
      <c r="B11" s="57">
        <v>3</v>
      </c>
      <c r="C11" s="31">
        <v>11000</v>
      </c>
      <c r="D11" s="65"/>
      <c r="E11" s="18"/>
      <c r="F11" s="18"/>
      <c r="G11" s="18"/>
      <c r="H11" s="18"/>
      <c r="I11" s="18"/>
      <c r="J11" s="18"/>
      <c r="K11" s="18"/>
    </row>
    <row r="12" spans="1:11" ht="15.75" x14ac:dyDescent="0.25">
      <c r="A12" s="18"/>
      <c r="B12" s="57">
        <v>4</v>
      </c>
      <c r="C12" s="31">
        <v>17000</v>
      </c>
      <c r="D12" s="65"/>
      <c r="E12" s="18"/>
      <c r="F12" s="18"/>
      <c r="G12" s="18"/>
      <c r="H12" s="18"/>
      <c r="I12" s="18"/>
      <c r="J12" s="18"/>
      <c r="K12" s="18"/>
    </row>
    <row r="13" spans="1:11" ht="15.75" x14ac:dyDescent="0.25">
      <c r="A13" s="18"/>
      <c r="B13" s="58">
        <v>5</v>
      </c>
      <c r="C13" s="59">
        <v>12000</v>
      </c>
      <c r="D13" s="65"/>
      <c r="E13" s="18"/>
      <c r="F13" s="18"/>
      <c r="G13" s="18"/>
      <c r="H13" s="18"/>
      <c r="I13" s="18"/>
      <c r="J13" s="18"/>
      <c r="K13" s="18"/>
    </row>
    <row r="14" spans="1:11" ht="15.75" x14ac:dyDescent="0.25">
      <c r="A14" s="18"/>
      <c r="B14" s="18"/>
      <c r="C14" s="18"/>
      <c r="D14" s="18"/>
      <c r="E14" s="18"/>
      <c r="F14" s="18"/>
      <c r="G14" s="18"/>
      <c r="H14" s="18"/>
      <c r="I14" s="18"/>
      <c r="J14" s="18"/>
      <c r="K14" s="18"/>
    </row>
    <row r="15" spans="1:11" ht="15.75" x14ac:dyDescent="0.25">
      <c r="A15" s="157" t="s">
        <v>48</v>
      </c>
      <c r="B15" s="157"/>
      <c r="C15" s="157"/>
      <c r="D15" s="157"/>
      <c r="E15" s="157"/>
      <c r="F15" s="157"/>
      <c r="G15" s="157"/>
      <c r="H15" s="157"/>
      <c r="I15" s="157"/>
      <c r="J15" s="157"/>
      <c r="K15" s="157"/>
    </row>
    <row r="16" spans="1:11" ht="15.75" x14ac:dyDescent="0.25">
      <c r="A16" s="18"/>
      <c r="B16" s="18"/>
      <c r="C16" s="18"/>
      <c r="D16" s="18"/>
      <c r="E16" s="18"/>
      <c r="F16" s="18"/>
      <c r="G16" s="18"/>
      <c r="H16" s="18"/>
      <c r="I16" s="18"/>
      <c r="J16" s="18"/>
      <c r="K16" s="18"/>
    </row>
    <row r="17" spans="1:11" ht="15.75" x14ac:dyDescent="0.25">
      <c r="A17" s="18"/>
      <c r="B17" s="11" t="s">
        <v>20</v>
      </c>
      <c r="C17" s="12" t="s">
        <v>16</v>
      </c>
      <c r="D17" s="18"/>
      <c r="E17" s="18"/>
      <c r="F17" s="18"/>
      <c r="G17" s="18"/>
      <c r="H17" s="18"/>
      <c r="I17" s="18"/>
      <c r="J17" s="18"/>
      <c r="K17" s="18"/>
    </row>
    <row r="18" spans="1:11" ht="15.75" x14ac:dyDescent="0.25">
      <c r="A18" s="18"/>
      <c r="B18" s="66">
        <v>0</v>
      </c>
      <c r="C18" s="67">
        <f>NPV(B18,$C$9:$C$13)+$C$8</f>
        <v>28000</v>
      </c>
      <c r="D18" s="18"/>
      <c r="E18" s="18"/>
      <c r="F18" s="18"/>
      <c r="G18" s="18"/>
      <c r="H18" s="18"/>
      <c r="I18" s="18"/>
      <c r="J18" s="18"/>
      <c r="K18" s="18"/>
    </row>
    <row r="19" spans="1:11" ht="15.75" x14ac:dyDescent="0.25">
      <c r="A19" s="18"/>
      <c r="B19" s="66">
        <v>0.05</v>
      </c>
      <c r="C19" s="67">
        <f t="shared" ref="C19:C26" si="0">NPV(B19,$C$9:$C$13)+$C$8</f>
        <v>19579.812056557857</v>
      </c>
      <c r="D19" s="18"/>
      <c r="E19" s="18"/>
      <c r="F19" s="18"/>
      <c r="G19" s="18"/>
      <c r="H19" s="18"/>
      <c r="I19" s="18"/>
      <c r="J19" s="18"/>
      <c r="K19" s="18"/>
    </row>
    <row r="20" spans="1:11" ht="15.75" x14ac:dyDescent="0.25">
      <c r="A20" s="18"/>
      <c r="B20" s="66">
        <v>0.1</v>
      </c>
      <c r="C20" s="67">
        <f t="shared" si="0"/>
        <v>12863.937510478027</v>
      </c>
      <c r="D20" s="18"/>
      <c r="E20" s="18"/>
      <c r="F20" s="18"/>
      <c r="G20" s="18"/>
      <c r="H20" s="18"/>
      <c r="I20" s="18"/>
      <c r="J20" s="18"/>
      <c r="K20" s="18"/>
    </row>
    <row r="21" spans="1:11" ht="15.75" x14ac:dyDescent="0.25">
      <c r="A21" s="18"/>
      <c r="B21" s="66">
        <v>0.15</v>
      </c>
      <c r="C21" s="67">
        <f t="shared" si="0"/>
        <v>7436.5629675112214</v>
      </c>
      <c r="D21" s="18"/>
      <c r="E21" s="18"/>
      <c r="F21" s="18"/>
      <c r="G21" s="18"/>
      <c r="H21" s="18"/>
      <c r="I21" s="18"/>
      <c r="J21" s="18"/>
      <c r="K21" s="18"/>
    </row>
    <row r="22" spans="1:11" ht="15.75" x14ac:dyDescent="0.25">
      <c r="A22" s="18"/>
      <c r="B22" s="66">
        <v>0.2</v>
      </c>
      <c r="C22" s="67">
        <f t="shared" si="0"/>
        <v>2997.6851851851825</v>
      </c>
      <c r="D22" s="18"/>
      <c r="E22" s="18"/>
      <c r="F22" s="18"/>
      <c r="G22" s="18"/>
      <c r="H22" s="18"/>
      <c r="I22" s="18"/>
      <c r="J22" s="18"/>
      <c r="K22" s="18"/>
    </row>
    <row r="23" spans="1:11" ht="15.75" x14ac:dyDescent="0.25">
      <c r="A23" s="18"/>
      <c r="B23" s="66">
        <v>0.25</v>
      </c>
      <c r="C23" s="67">
        <f t="shared" si="0"/>
        <v>-672.64000000000306</v>
      </c>
      <c r="D23" s="18"/>
      <c r="E23" s="18"/>
      <c r="F23" s="18"/>
      <c r="G23" s="18"/>
      <c r="H23" s="18"/>
      <c r="I23" s="18"/>
      <c r="J23" s="18"/>
      <c r="K23" s="18"/>
    </row>
    <row r="24" spans="1:11" ht="15.75" x14ac:dyDescent="0.25">
      <c r="A24" s="18"/>
      <c r="B24" s="66">
        <v>0.3</v>
      </c>
      <c r="C24" s="67">
        <f t="shared" si="0"/>
        <v>-3738.0451557126071</v>
      </c>
      <c r="D24" s="18"/>
      <c r="E24" s="18"/>
      <c r="F24" s="18"/>
      <c r="G24" s="18"/>
      <c r="H24" s="18"/>
      <c r="I24" s="18"/>
      <c r="J24" s="18"/>
      <c r="K24" s="18"/>
    </row>
    <row r="25" spans="1:11" ht="15.75" x14ac:dyDescent="0.25">
      <c r="A25" s="18"/>
      <c r="B25" s="66">
        <v>0.35</v>
      </c>
      <c r="C25" s="67">
        <f t="shared" si="0"/>
        <v>-6321.9205476765637</v>
      </c>
      <c r="D25" s="18"/>
      <c r="E25" s="18"/>
      <c r="F25" s="18"/>
      <c r="G25" s="18"/>
      <c r="H25" s="18"/>
      <c r="I25" s="18"/>
      <c r="J25" s="18"/>
      <c r="K25" s="18"/>
    </row>
    <row r="26" spans="1:11" ht="15.75" x14ac:dyDescent="0.25">
      <c r="A26" s="18"/>
      <c r="B26" s="68">
        <v>0.4</v>
      </c>
      <c r="C26" s="77">
        <f t="shared" si="0"/>
        <v>-8518.4744451716506</v>
      </c>
      <c r="D26" s="18"/>
      <c r="E26" s="18"/>
      <c r="F26" s="18"/>
      <c r="G26" s="18"/>
      <c r="H26" s="18"/>
      <c r="I26" s="18"/>
      <c r="J26" s="18"/>
      <c r="K26" s="18"/>
    </row>
    <row r="54" spans="1:11" ht="15.75" x14ac:dyDescent="0.25">
      <c r="A54" s="157" t="s">
        <v>49</v>
      </c>
      <c r="B54" s="157"/>
      <c r="C54" s="157"/>
      <c r="D54" s="157"/>
      <c r="E54" s="157"/>
      <c r="F54" s="157"/>
      <c r="G54" s="157"/>
      <c r="H54" s="157"/>
      <c r="I54" s="157"/>
      <c r="J54" s="157"/>
      <c r="K54" s="157"/>
    </row>
  </sheetData>
  <mergeCells count="3">
    <mergeCell ref="A5:K5"/>
    <mergeCell ref="A15:K15"/>
    <mergeCell ref="A54:K5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AF019-A774-4D40-87D8-4EBFC99F8B71}">
  <dimension ref="A1:K20"/>
  <sheetViews>
    <sheetView workbookViewId="0">
      <selection activeCell="G2" sqref="G2"/>
    </sheetView>
  </sheetViews>
  <sheetFormatPr defaultColWidth="9.140625" defaultRowHeight="15.75" x14ac:dyDescent="0.25"/>
  <cols>
    <col min="1" max="1" width="4.7109375" style="18" customWidth="1"/>
    <col min="2" max="2" width="17.28515625" style="18" customWidth="1"/>
    <col min="3" max="35" width="14.7109375" style="18" customWidth="1"/>
    <col min="36" max="81" width="10.7109375" style="18" customWidth="1"/>
    <col min="82" max="16384" width="9.140625" style="18"/>
  </cols>
  <sheetData>
    <row r="1" spans="1:11" ht="21" x14ac:dyDescent="0.35">
      <c r="B1" s="46" t="s">
        <v>72</v>
      </c>
      <c r="C1" s="53"/>
      <c r="D1" s="54"/>
    </row>
    <row r="2" spans="1:11" ht="21.75" thickBot="1" x14ac:dyDescent="0.4">
      <c r="B2" s="50" t="s">
        <v>51</v>
      </c>
      <c r="C2" s="56"/>
      <c r="D2" s="21" t="s">
        <v>62</v>
      </c>
    </row>
    <row r="4" spans="1:11" ht="35.450000000000003" customHeight="1" x14ac:dyDescent="0.25">
      <c r="A4" s="157" t="s">
        <v>63</v>
      </c>
      <c r="B4" s="157"/>
      <c r="C4" s="157"/>
      <c r="D4" s="157"/>
      <c r="E4" s="157"/>
      <c r="F4" s="157"/>
      <c r="G4" s="157"/>
      <c r="H4" s="157"/>
      <c r="I4" s="157"/>
      <c r="J4" s="157"/>
      <c r="K4" s="157"/>
    </row>
    <row r="5" spans="1:11" x14ac:dyDescent="0.25">
      <c r="B5" s="92" t="s">
        <v>64</v>
      </c>
    </row>
    <row r="7" spans="1:11" x14ac:dyDescent="0.25">
      <c r="A7" s="157" t="s">
        <v>52</v>
      </c>
      <c r="B7" s="157"/>
      <c r="C7" s="157"/>
      <c r="D7" s="157"/>
      <c r="E7" s="157"/>
      <c r="F7" s="157"/>
      <c r="G7" s="157"/>
      <c r="H7" s="157"/>
      <c r="I7" s="157"/>
      <c r="J7" s="157"/>
      <c r="K7" s="157"/>
    </row>
    <row r="9" spans="1:11" x14ac:dyDescent="0.25">
      <c r="B9" s="11" t="s">
        <v>18</v>
      </c>
      <c r="C9" s="12" t="s">
        <v>19</v>
      </c>
    </row>
    <row r="10" spans="1:11" x14ac:dyDescent="0.25">
      <c r="B10" s="57">
        <v>0</v>
      </c>
      <c r="C10" s="29">
        <v>-30000</v>
      </c>
    </row>
    <row r="11" spans="1:11" x14ac:dyDescent="0.25">
      <c r="B11" s="57">
        <v>1</v>
      </c>
      <c r="C11" s="31">
        <v>8000</v>
      </c>
    </row>
    <row r="12" spans="1:11" x14ac:dyDescent="0.25">
      <c r="B12" s="57">
        <v>2</v>
      </c>
      <c r="C12" s="31">
        <v>10000</v>
      </c>
    </row>
    <row r="13" spans="1:11" x14ac:dyDescent="0.25">
      <c r="B13" s="57">
        <v>3</v>
      </c>
      <c r="C13" s="31">
        <v>11000</v>
      </c>
    </row>
    <row r="14" spans="1:11" x14ac:dyDescent="0.25">
      <c r="B14" s="57">
        <v>4</v>
      </c>
      <c r="C14" s="31">
        <v>17000</v>
      </c>
    </row>
    <row r="15" spans="1:11" x14ac:dyDescent="0.25">
      <c r="B15" s="58">
        <v>5</v>
      </c>
      <c r="C15" s="59">
        <v>12000</v>
      </c>
    </row>
    <row r="17" spans="2:5" x14ac:dyDescent="0.25">
      <c r="B17" s="18" t="s">
        <v>53</v>
      </c>
      <c r="C17" s="24">
        <v>0.12</v>
      </c>
    </row>
    <row r="19" spans="2:5" x14ac:dyDescent="0.25">
      <c r="B19" s="18" t="s">
        <v>54</v>
      </c>
      <c r="C19" s="78">
        <f>IF(C10&gt;=0,"Don't use PI.",NPV(C17,C11:C15)/ABS(C10))</f>
        <v>1.3519102748606726</v>
      </c>
      <c r="E19" s="18" t="str">
        <f ca="1">_xlfn.FORMULATEXT(C19)</f>
        <v>=IF(C10&gt;=0,"Don't use PI.",NPV(C17,C11:C15)/ABS(C10))</v>
      </c>
    </row>
    <row r="20" spans="2:5" x14ac:dyDescent="0.25">
      <c r="B20" s="18" t="s">
        <v>55</v>
      </c>
      <c r="C20" s="79" t="str">
        <f>IF(C19&gt;=1,"Accept","Reject")</f>
        <v>Accept</v>
      </c>
      <c r="E20" s="18" t="str">
        <f ca="1">_xlfn.FORMULATEXT(C20)</f>
        <v>=IF(C19&gt;=1,"Accept","Reject")</v>
      </c>
    </row>
  </sheetData>
  <mergeCells count="2">
    <mergeCell ref="A4:K4"/>
    <mergeCell ref="A7:K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C0AB9-9FEE-459E-B964-C1FAC21FF59B}">
  <dimension ref="A1:E18"/>
  <sheetViews>
    <sheetView workbookViewId="0">
      <selection sqref="A1:XFD1048576"/>
    </sheetView>
  </sheetViews>
  <sheetFormatPr defaultRowHeight="15" x14ac:dyDescent="0.25"/>
  <cols>
    <col min="1" max="1" width="45" customWidth="1"/>
    <col min="2" max="2" width="16.7109375" bestFit="1" customWidth="1"/>
    <col min="3" max="3" width="16" customWidth="1"/>
    <col min="4" max="4" width="18.42578125" customWidth="1"/>
    <col min="5" max="5" width="19.140625" bestFit="1" customWidth="1"/>
  </cols>
  <sheetData>
    <row r="1" spans="1:5" ht="15.75" x14ac:dyDescent="0.25">
      <c r="A1" s="103" t="s">
        <v>78</v>
      </c>
      <c r="B1" s="104"/>
      <c r="C1" s="105"/>
      <c r="D1" s="105"/>
      <c r="E1" s="106"/>
    </row>
    <row r="2" spans="1:5" ht="15.75" x14ac:dyDescent="0.25">
      <c r="A2" s="107"/>
      <c r="B2" s="108"/>
      <c r="C2" s="109" t="s">
        <v>79</v>
      </c>
      <c r="D2" s="110" t="s">
        <v>80</v>
      </c>
      <c r="E2" s="111"/>
    </row>
    <row r="3" spans="1:5" ht="15.75" x14ac:dyDescent="0.25">
      <c r="A3" s="107"/>
      <c r="B3" s="112" t="s">
        <v>1</v>
      </c>
      <c r="C3" s="113">
        <v>-675000</v>
      </c>
      <c r="D3" s="114">
        <v>-430000</v>
      </c>
      <c r="E3" s="111"/>
    </row>
    <row r="4" spans="1:5" ht="15.75" x14ac:dyDescent="0.25">
      <c r="A4" s="107"/>
      <c r="B4" s="112" t="s">
        <v>2</v>
      </c>
      <c r="C4" s="115">
        <v>224000</v>
      </c>
      <c r="D4" s="114">
        <v>125000</v>
      </c>
      <c r="E4" s="111"/>
    </row>
    <row r="5" spans="1:5" ht="15.75" x14ac:dyDescent="0.25">
      <c r="A5" s="107"/>
      <c r="B5" s="112" t="s">
        <v>3</v>
      </c>
      <c r="C5" s="115">
        <f>C4</f>
        <v>224000</v>
      </c>
      <c r="D5" s="114">
        <f>ROUND(D4*1.1,0)</f>
        <v>137500</v>
      </c>
      <c r="E5" s="111"/>
    </row>
    <row r="6" spans="1:5" ht="15.75" x14ac:dyDescent="0.25">
      <c r="A6" s="107"/>
      <c r="B6" s="112" t="s">
        <v>4</v>
      </c>
      <c r="C6" s="115">
        <f>C4</f>
        <v>224000</v>
      </c>
      <c r="D6" s="114">
        <f t="shared" ref="D6:D8" si="0">ROUND(D5*1.1,0)</f>
        <v>151250</v>
      </c>
      <c r="E6" s="111"/>
    </row>
    <row r="7" spans="1:5" ht="15.75" x14ac:dyDescent="0.25">
      <c r="A7" s="107"/>
      <c r="B7" s="112" t="s">
        <v>5</v>
      </c>
      <c r="C7" s="115">
        <f>C4</f>
        <v>224000</v>
      </c>
      <c r="D7" s="114">
        <f t="shared" si="0"/>
        <v>166375</v>
      </c>
      <c r="E7" s="111"/>
    </row>
    <row r="8" spans="1:5" ht="15.75" x14ac:dyDescent="0.25">
      <c r="A8" s="107"/>
      <c r="B8" s="112" t="s">
        <v>6</v>
      </c>
      <c r="C8" s="115">
        <f>C4</f>
        <v>224000</v>
      </c>
      <c r="D8" s="114">
        <f t="shared" si="0"/>
        <v>183013</v>
      </c>
      <c r="E8" s="111"/>
    </row>
    <row r="9" spans="1:5" ht="15.75" x14ac:dyDescent="0.25">
      <c r="A9" s="107"/>
      <c r="B9" s="112"/>
      <c r="C9" s="116"/>
      <c r="D9" s="117"/>
      <c r="E9" s="111"/>
    </row>
    <row r="10" spans="1:5" ht="15.75" x14ac:dyDescent="0.25">
      <c r="A10" s="107"/>
      <c r="B10" s="112" t="s">
        <v>53</v>
      </c>
      <c r="C10" s="118"/>
      <c r="D10" s="119">
        <v>0.15</v>
      </c>
      <c r="E10" s="111"/>
    </row>
    <row r="11" spans="1:5" ht="16.5" thickBot="1" x14ac:dyDescent="0.3">
      <c r="A11" s="120"/>
      <c r="B11" s="121"/>
      <c r="C11" s="122"/>
      <c r="D11" s="121"/>
      <c r="E11" s="123"/>
    </row>
    <row r="14" spans="1:5" ht="15.75" x14ac:dyDescent="0.25">
      <c r="A14" t="s">
        <v>81</v>
      </c>
      <c r="B14" s="109" t="s">
        <v>82</v>
      </c>
      <c r="C14" s="109" t="s">
        <v>79</v>
      </c>
      <c r="D14" s="110" t="s">
        <v>80</v>
      </c>
      <c r="E14" s="110" t="s">
        <v>83</v>
      </c>
    </row>
    <row r="15" spans="1:5" x14ac:dyDescent="0.25">
      <c r="A15" t="s">
        <v>84</v>
      </c>
      <c r="B15" t="s">
        <v>85</v>
      </c>
      <c r="C15" s="124">
        <f>3+(3000/224000)</f>
        <v>3.0133928571428572</v>
      </c>
      <c r="D15" s="124">
        <f>3+(16250/224000)</f>
        <v>3.0725446428571428</v>
      </c>
      <c r="E15" t="s">
        <v>86</v>
      </c>
    </row>
    <row r="16" spans="1:5" x14ac:dyDescent="0.25">
      <c r="A16" t="s">
        <v>87</v>
      </c>
      <c r="B16" t="s">
        <v>44</v>
      </c>
      <c r="C16" s="125">
        <f>IRR(C3:C8)</f>
        <v>0.19655985601834924</v>
      </c>
      <c r="D16" s="125">
        <f>IRR(D3:D8)</f>
        <v>0.21077219441969519</v>
      </c>
      <c r="E16" t="s">
        <v>88</v>
      </c>
    </row>
    <row r="17" spans="1:5" x14ac:dyDescent="0.25">
      <c r="A17" t="s">
        <v>89</v>
      </c>
      <c r="B17" t="s">
        <v>90</v>
      </c>
      <c r="C17" s="126">
        <f>NPV(D10,C4:C8)/-C3</f>
        <v>1.1124188769697099</v>
      </c>
      <c r="D17" s="126">
        <f>NPV(D10,D4:D8)/-D3</f>
        <v>1.1586743922680147</v>
      </c>
      <c r="E17" t="s">
        <v>88</v>
      </c>
    </row>
    <row r="18" spans="1:5" x14ac:dyDescent="0.25">
      <c r="A18" t="s">
        <v>91</v>
      </c>
      <c r="B18" t="s">
        <v>16</v>
      </c>
      <c r="C18" s="8">
        <f>NPV(D10,C4:C8)+C3</f>
        <v>75882.741954554222</v>
      </c>
      <c r="D18" s="8">
        <f>NPV(D10,D4:D8)+D3</f>
        <v>68229.988675246306</v>
      </c>
      <c r="E18"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Building Problem</vt:lpstr>
      <vt:lpstr>Chapter 8 Notes  Example</vt:lpstr>
      <vt:lpstr>IRR-8 Notes</vt:lpstr>
      <vt:lpstr>Review Day - Class Problem#1</vt:lpstr>
      <vt:lpstr>Review Day Problem- Solution</vt:lpstr>
      <vt:lpstr>Hold</vt:lpstr>
      <vt:lpstr>NPV Calc</vt:lpstr>
      <vt:lpstr>XNPV Calc</vt:lpstr>
      <vt:lpstr>Payback Rule</vt:lpstr>
      <vt:lpstr>Accounting Average</vt:lpstr>
      <vt:lpstr>IRR</vt:lpstr>
      <vt:lpstr>NPV Profile</vt:lpstr>
      <vt:lpstr>Profitability Index</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Bethany Evitts</dc:creator>
  <cp:lastModifiedBy>Bethany Evitts</cp:lastModifiedBy>
  <dcterms:created xsi:type="dcterms:W3CDTF">2025-03-13T18:11:36Z</dcterms:created>
  <dcterms:modified xsi:type="dcterms:W3CDTF">2026-03-09T23:26:29Z</dcterms:modified>
</cp:coreProperties>
</file>