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8 -Net Present Value/"/>
    </mc:Choice>
  </mc:AlternateContent>
  <xr:revisionPtr revIDLastSave="128" documentId="8_{B24C8C65-2674-47DA-AADD-BA64C2B34240}" xr6:coauthVersionLast="47" xr6:coauthVersionMax="47" xr10:uidLastSave="{5E728DDB-E661-41D9-8E77-66144ED379B3}"/>
  <bookViews>
    <workbookView xWindow="-120" yWindow="-120" windowWidth="29040" windowHeight="15720" xr2:uid="{00000000-000D-0000-FFFF-FFFF00000000}"/>
  </bookViews>
  <sheets>
    <sheet name="Cover" sheetId="1" r:id="rId1"/>
    <sheet name="Project Data" sheetId="2" r:id="rId2"/>
    <sheet name="NPV Analysis" sheetId="3" r:id="rId3"/>
    <sheet name="IRR &amp; PI Analysis" sheetId="4" r:id="rId4"/>
    <sheet name="Recommendation" sheetId="5" r:id="rId5"/>
    <sheet name="Answer Ke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D18" i="4"/>
  <c r="C18" i="4"/>
  <c r="C17" i="4" a="1"/>
  <c r="E16" i="4"/>
  <c r="D16" i="4"/>
  <c r="C16" i="4"/>
  <c r="E10" i="4"/>
  <c r="D10" i="4"/>
  <c r="C10" i="4"/>
  <c r="E19" i="3"/>
  <c r="E17" i="2"/>
  <c r="D19" i="3"/>
  <c r="D14" i="2"/>
  <c r="C19" i="3"/>
  <c r="C17" i="2"/>
  <c r="E20" i="3"/>
  <c r="D20" i="3"/>
  <c r="C20" i="3"/>
  <c r="E14" i="3"/>
  <c r="E13" i="3"/>
  <c r="D14" i="3"/>
  <c r="D13" i="3"/>
  <c r="D15" i="3" s="1"/>
  <c r="C14" i="3"/>
  <c r="C13" i="3"/>
  <c r="C15" i="3" s="1"/>
  <c r="D10" i="3"/>
  <c r="E10" i="3"/>
  <c r="C10" i="3"/>
  <c r="E9" i="3"/>
  <c r="D9" i="3"/>
  <c r="C9" i="3"/>
  <c r="C17" i="4" l="1"/>
  <c r="E1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<sst xmlns="http://schemas.openxmlformats.org/spreadsheetml/2006/main" count="193" uniqueCount="158">
  <si>
    <t>BUS 311 — Corporate Finance</t>
  </si>
  <si>
    <t>Chapter 8: Net Present Value &amp; Capital Budgeting</t>
  </si>
  <si>
    <t>VeridianEnergy Corp — Capital Budgeting Decision Analysis</t>
  </si>
  <si>
    <t>Student Name:</t>
  </si>
  <si>
    <t>Date:</t>
  </si>
  <si>
    <t>Section:</t>
  </si>
  <si>
    <t>ASSIGNMENT OVERVIEW</t>
  </si>
  <si>
    <t>Company:</t>
  </si>
  <si>
    <t>VeridianEnergy Corp is an independent power producer evaluating three competing renewable energy projects. Only capital and strategic constraints limit which projects can be pursued.</t>
  </si>
  <si>
    <t>Your Role:</t>
  </si>
  <si>
    <t>You are the lead financial analyst. Management has asked you to evaluate each project using NPV, IRR, and Profitability Index, then deliver a final investment recommendation.</t>
  </si>
  <si>
    <t>Capital Budget:</t>
  </si>
  <si>
    <t>VeridianEnergy has a maximum capital budget of $18,000,000 for this investment cycle.</t>
  </si>
  <si>
    <t>Discount Rate:</t>
  </si>
  <si>
    <t>The company's weighted average cost of capital (WACC) is 9.0%.</t>
  </si>
  <si>
    <t>WORKSHEET GUIDE</t>
  </si>
  <si>
    <t>Tab 1 → Cover</t>
  </si>
  <si>
    <t>This page: assignment overview and instructions</t>
  </si>
  <si>
    <t>Tab 2 → Project Data</t>
  </si>
  <si>
    <t>Review the three project cash flow assumptions</t>
  </si>
  <si>
    <t>Tab 3 → NPV Analysis</t>
  </si>
  <si>
    <t>Calculate NPV for each project using the NPV formula</t>
  </si>
  <si>
    <t>Tab 4 → IRR &amp; PI Analysis</t>
  </si>
  <si>
    <t>Compute IRR and Profitability Index; rank projects</t>
  </si>
  <si>
    <t>Tab 5 → Recommendation</t>
  </si>
  <si>
    <t>Draft your final investment memo to management</t>
  </si>
  <si>
    <t>Tab 6 → Answer Key</t>
  </si>
  <si>
    <t>INSTRUCTOR ONLY — Full worked solutions</t>
  </si>
  <si>
    <t>COLOR CODING GUIDE</t>
  </si>
  <si>
    <t>Sample</t>
  </si>
  <si>
    <t>Yellow cells — Enter your answers here</t>
  </si>
  <si>
    <t>Blue text — Hardcoded input values (given data)</t>
  </si>
  <si>
    <t>Green text — Formulas linking to other tabs</t>
  </si>
  <si>
    <t>Black text — Formulas you must build</t>
  </si>
  <si>
    <t>VeridianEnergy Corp — Project Cash Flow Data</t>
  </si>
  <si>
    <t>All figures in USD. WACC = 9.0%  |  Capital Budget = $18,000,000</t>
  </si>
  <si>
    <t>Project A: Solar Farm</t>
  </si>
  <si>
    <t>Project B: Wind Turbines</t>
  </si>
  <si>
    <t>Project C: Hydro Plant</t>
  </si>
  <si>
    <t>Nevada Desert</t>
  </si>
  <si>
    <t>Texas Coast</t>
  </si>
  <si>
    <t>Pacific Northwest</t>
  </si>
  <si>
    <t>Initial Investment (Year 0)</t>
  </si>
  <si>
    <t>Year 1 Cash Flow</t>
  </si>
  <si>
    <t>Year 2 Cash Flow</t>
  </si>
  <si>
    <t>Year 3 Cash Flow</t>
  </si>
  <si>
    <t>Year 4 Cash Flow</t>
  </si>
  <si>
    <t>Year 5 Cash Flow</t>
  </si>
  <si>
    <t>Year 6 Cash Flow</t>
  </si>
  <si>
    <t>Year 7 Cash Flow</t>
  </si>
  <si>
    <t>Year 8 Cash Flow</t>
  </si>
  <si>
    <t>N/A</t>
  </si>
  <si>
    <t>Year 9 Cash Flow</t>
  </si>
  <si>
    <t>Project Life (Years)</t>
  </si>
  <si>
    <t>Salvage Value (Year N)</t>
  </si>
  <si>
    <t>Notes: Cash flows represent net operating cash flows after tax. Salvage value is received at end of project life and should be added to final year cash flow in your analysis.</t>
  </si>
  <si>
    <t>Tab 3: NPV Analysis — VeridianEnergy Corp</t>
  </si>
  <si>
    <t>Instructions: For each project, calculate the NPV using the NPV function. Cash flows from Year 1 onward go into the NPV function; the Year 0 investment is added separately. Remember: the salvage value should be added to the final year cash flow before calculating NPV. Yellow cells require your input or formula.</t>
  </si>
  <si>
    <t>Project A
Solar Farm</t>
  </si>
  <si>
    <t>Project B
Wind Turbines</t>
  </si>
  <si>
    <t>Project C
Hydro Plant</t>
  </si>
  <si>
    <t>Discount Rate (WACC)</t>
  </si>
  <si>
    <t>9.0%</t>
  </si>
  <si>
    <t>STEP 1 — Enter Final Year Cash Flow (Operating CF + Salvage Value)</t>
  </si>
  <si>
    <t>Final Year Operating CF</t>
  </si>
  <si>
    <t>Salvage Value</t>
  </si>
  <si>
    <t>Total Final Year CF (incl. Salvage)</t>
  </si>
  <si>
    <t>STEP 2 — Calculate Net Present Value  |  Formula: =NPV(rate, CF1:CFn) + C0</t>
  </si>
  <si>
    <t>Hint: =NPV($C$8, [Year1_CF, Year2_CF, ..., FinalYearCF_with_Salvage]) + [Year0_Investment]</t>
  </si>
  <si>
    <t>NET PRESENT VALUE</t>
  </si>
  <si>
    <t>STEP 3 — Apply the NPV Rule</t>
  </si>
  <si>
    <t>Accept / Reject?</t>
  </si>
  <si>
    <t>Justification (brief)</t>
  </si>
  <si>
    <t>Tab 4: IRR &amp; Profitability Index Analysis</t>
  </si>
  <si>
    <t>Instructions: (1) Compute IRR using Excel's =IRR() function with all cash flows including Year 0. (2) Compute the Profitability Index = PV of Future CFs ÷ |Initial Investment|. (3) Complete the ranking table and answer the capital rationing question at the bottom.</t>
  </si>
  <si>
    <t>PART A — Internal Rate of Return (IRR)  |  Formula: =IRR(CF0:CFn)</t>
  </si>
  <si>
    <t>Hint: Include ALL cash flows (Year 0 through final year with salvage) as a contiguous range in =IRR()</t>
  </si>
  <si>
    <t>INTERNAL RATE OF RETURN</t>
  </si>
  <si>
    <t>WACC (Hurdle Rate)</t>
  </si>
  <si>
    <t>Accept? (IRR &gt; WACC?)</t>
  </si>
  <si>
    <t>PART B — Profitability Index  |  Formula: PI = PV of Future CFs ÷ |Initial Investment|</t>
  </si>
  <si>
    <t>Hint: PV of Future CFs = NPV (from Tab 3) + |Initial Investment|.   Then PI = PV of Future CFs ÷ |Initial Investment|</t>
  </si>
  <si>
    <t>PV of Future Cash Flows</t>
  </si>
  <si>
    <t>Initial Investment (absolute value)</t>
  </si>
  <si>
    <t>PROFITABILITY INDEX</t>
  </si>
  <si>
    <t>Rank (1 = Highest PI)</t>
  </si>
  <si>
    <t>PART C — Capital Rationing Decision  |  Budget = $18,000,000</t>
  </si>
  <si>
    <t>Which project(s) can be funded within the $18M budget if you must choose using the PI ranking?</t>
  </si>
  <si>
    <t>What is the total NPV of your selected project(s)?</t>
  </si>
  <si>
    <t>Would your answer change if you used IRR ranking instead? Why or why not?</t>
  </si>
  <si>
    <t>Tab 5: Investment Recommendation Memo</t>
  </si>
  <si>
    <t>Imagine you are presenting to VeridianEnergy's CFO. Write your recommendation in the yellow cells below.</t>
  </si>
  <si>
    <t>To:</t>
  </si>
  <si>
    <t>VeridianEnergy Corp — Chief Financial Officer</t>
  </si>
  <si>
    <t>From:</t>
  </si>
  <si>
    <t>Re:</t>
  </si>
  <si>
    <t>Chapter 8 Capital Budgeting Analysis — Project Recommendation</t>
  </si>
  <si>
    <t>Executive Summary
(3–5 sentences):</t>
  </si>
  <si>
    <t>Summarize your findings. Which project(s) do you recommend? What was the basis?</t>
  </si>
  <si>
    <t>NPV Analysis Summary
(cite your numbers):</t>
  </si>
  <si>
    <t>State the NPV for each project and what it means for shareholder value.</t>
  </si>
  <si>
    <t>IRR Analysis Summary
(compare to WACC):</t>
  </si>
  <si>
    <t>State each project's IRR. Does it clear the 9% hurdle? Is there a conflict with NPV ranking?</t>
  </si>
  <si>
    <t>Profitability Index
&amp; Capital Rationing:</t>
  </si>
  <si>
    <t>If budget is $18M, which project(s) maximize value? Reference your PI scores.</t>
  </si>
  <si>
    <t>Recommendation
&amp; Rationale:</t>
  </si>
  <si>
    <t>Final recommendation with one paragraph of supporting logic.</t>
  </si>
  <si>
    <t>Key Risks to Monitor:</t>
  </si>
  <si>
    <t>List 2–3 risks that could change your recommendation.</t>
  </si>
  <si>
    <t>⚠  INSTRUCTOR ANSWER KEY — NOT FOR STUDENT DISTRIBUTION  ⚠</t>
  </si>
  <si>
    <t>All answers calculated with WACC = 9.0%.  Cash flows use operating CFs + salvage in final year.</t>
  </si>
  <si>
    <t>PROJECT SUMMARY</t>
  </si>
  <si>
    <t>Project A — Solar Farm</t>
  </si>
  <si>
    <t>Project B — Wind Turbines</t>
  </si>
  <si>
    <t>Project C — Hydro Plant</t>
  </si>
  <si>
    <t>Initial Investment</t>
  </si>
  <si>
    <t>NPV ANALYSIS</t>
  </si>
  <si>
    <t>Accept / Reject (NPV &gt; 0?)</t>
  </si>
  <si>
    <t>ACCEPT ✓</t>
  </si>
  <si>
    <t>IRR ANALYSIS</t>
  </si>
  <si>
    <t>Exceeds Hurdle Rate?</t>
  </si>
  <si>
    <t>YES</t>
  </si>
  <si>
    <t>PI Rank (1=Best)</t>
  </si>
  <si>
    <t>CAPITAL RATIONING — Budget = $18,000,000</t>
  </si>
  <si>
    <t>PI Ranking</t>
  </si>
  <si>
    <t>Optimal Selection</t>
  </si>
  <si>
    <t>Best Single Project by PI</t>
  </si>
  <si>
    <t>Key Teaching Point</t>
  </si>
  <si>
    <t>QUICK REFERENCE SUMMARY</t>
  </si>
  <si>
    <t>Metric</t>
  </si>
  <si>
    <t>Project A</t>
  </si>
  <si>
    <t>Project B</t>
  </si>
  <si>
    <t>Project C</t>
  </si>
  <si>
    <t>NPV</t>
  </si>
  <si>
    <t>$7,204,607</t>
  </si>
  <si>
    <t>$3,843,640</t>
  </si>
  <si>
    <t>$12,111,563</t>
  </si>
  <si>
    <t>IRR</t>
  </si>
  <si>
    <t>19.7%</t>
  </si>
  <si>
    <t>20.8%</t>
  </si>
  <si>
    <t>21.0%</t>
  </si>
  <si>
    <t>PI</t>
  </si>
  <si>
    <t>1.60x</t>
  </si>
  <si>
    <t>1.48x</t>
  </si>
  <si>
    <t>1.67x</t>
  </si>
  <si>
    <t>PI Rank</t>
  </si>
  <si>
    <t>#2</t>
  </si>
  <si>
    <t>#3</t>
  </si>
  <si>
    <t>#1</t>
  </si>
  <si>
    <t>Decision (standalone)</t>
  </si>
  <si>
    <t>ACCEPT</t>
  </si>
  <si>
    <t>Accept</t>
  </si>
  <si>
    <t>NPV &gt;0</t>
  </si>
  <si>
    <t>Year 10 Cash Flow**</t>
  </si>
  <si>
    <t>1st: Project C (PI=1.67, Cost=$18M)  |  2nd: Project A (PI=1.60, Cost=$12M)  |  3rd: Project B (PI=1.48, Cost=$8M)</t>
  </si>
  <si>
    <t>Project C ($18M) fits exactly within the $18M budget → BEST CHOICE under PI ranking.
Project A ($12M) + Project B ($8M) = $20M → EXCEEDS BUDGET — cannot fund both.
Fund Project C alone: NPV = $12,111,563. This maximizes value per dollar AND total NPV within the constraint.</t>
  </si>
  <si>
    <t>Project C has highest PI = 1.67x — best value per dollar invested. It also happens to fit the $18M budget exactly. Note: Project C also has the highest absolute NPV ($12,111,563), so PI and NPV rankings agree here.</t>
  </si>
  <si>
    <t>With an $18M budget: Fund Project C ($18M, PI=1.67, highest PI). It fits exactly within the budget and generates the highest NPV ($12,111,563). A+B together would exceed the budget ($20M total). This is a case where PI ranking, budget feasibility, and NPV maximization all point to the same decision — Project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</si>
</sst>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\$#,##0;\(\$#,##0\);&quot;-&quot;"/>
    <numFmt numFmtId="165" formatCode="0.0%"/>
    <numFmt numFmtId="166" formatCode="0.00\x"/>
    <numFmt numFmtId="176" formatCode="\$#,##0;&quot;($&quot;#,##0\);\-"/>
  </numFmts>
  <fonts count="34" x14ac:knownFonts="1">
    <font>
      <sz val="11"/>
      <color theme="1"/>
      <name val="Calibri"/>
      <family val="2"/>
      <scheme val="minor"/>
    </font>
    <font>
      <sz val="13"/>
      <color rgb="FFC9A84C"/>
      <name val="Georgia"/>
    </font>
    <font>
      <b/>
      <sz val="20"/>
      <color rgb="FFFFFFFF"/>
      <name val="Georgia"/>
    </font>
    <font>
      <i/>
      <sz val="13"/>
      <color rgb="FF141A47"/>
      <name val="Calibri"/>
    </font>
    <font>
      <b/>
      <sz val="11"/>
      <color rgb="FF1E2761"/>
      <name val="Calibri"/>
    </font>
    <font>
      <b/>
      <sz val="12"/>
      <color rgb="FFFFFFFF"/>
      <name val="Calibri"/>
    </font>
    <font>
      <sz val="11"/>
      <color rgb="FF141A47"/>
      <name val="Calibri"/>
    </font>
    <font>
      <b/>
      <sz val="11"/>
      <color rgb="FFC9A84C"/>
      <name val="Calibri"/>
    </font>
    <font>
      <sz val="11"/>
      <color rgb="FFC0392B"/>
      <name val="Calibri"/>
    </font>
    <font>
      <sz val="11"/>
      <color rgb="FF0000FF"/>
      <name val="Calibri"/>
    </font>
    <font>
      <sz val="11"/>
      <color rgb="FF1B5E20"/>
      <name val="Calibri"/>
    </font>
    <font>
      <b/>
      <sz val="16"/>
      <color rgb="FFFFFFFF"/>
      <name val="Georgia"/>
    </font>
    <font>
      <i/>
      <sz val="11"/>
      <color rgb="FF141A47"/>
      <name val="Calibri"/>
    </font>
    <font>
      <i/>
      <sz val="10"/>
      <color rgb="FFA0A8B8"/>
      <name val="Calibri"/>
    </font>
    <font>
      <b/>
      <sz val="11"/>
      <color rgb="FF0000FF"/>
      <name val="Calibri"/>
    </font>
    <font>
      <sz val="10"/>
      <color rgb="FFA0A8B8"/>
      <name val="Calibri"/>
    </font>
    <font>
      <b/>
      <sz val="11"/>
      <color rgb="FF141A47"/>
      <name val="Calibri"/>
    </font>
    <font>
      <sz val="11"/>
      <color rgb="FF008000"/>
      <name val="Calibri"/>
    </font>
    <font>
      <b/>
      <sz val="11"/>
      <color rgb="FFFFFFFF"/>
      <name val="Calibri"/>
    </font>
    <font>
      <i/>
      <sz val="10"/>
      <color rgb="FFC9A84C"/>
      <name val="Calibri"/>
    </font>
    <font>
      <b/>
      <sz val="13"/>
      <color rgb="FFFFFFFF"/>
      <name val="Georgia"/>
    </font>
    <font>
      <b/>
      <sz val="13"/>
      <color rgb="FF141A47"/>
      <name val="Calibri"/>
    </font>
    <font>
      <b/>
      <sz val="13"/>
      <name val="Calibri"/>
    </font>
    <font>
      <sz val="11"/>
      <name val="Calibri"/>
    </font>
    <font>
      <i/>
      <sz val="11"/>
      <color rgb="FFA0A8B8"/>
      <name val="Calibri"/>
    </font>
    <font>
      <sz val="11"/>
      <color theme="1"/>
      <name val="Calibri"/>
      <family val="2"/>
      <scheme val="minor"/>
    </font>
    <font>
      <b/>
      <sz val="14"/>
      <color rgb="FFFFFFFF"/>
      <name val="Georgia"/>
      <charset val="1"/>
    </font>
    <font>
      <i/>
      <sz val="11"/>
      <color rgb="FF141A47"/>
      <name val="Calibri"/>
      <charset val="1"/>
    </font>
    <font>
      <b/>
      <sz val="12"/>
      <color rgb="FFFFFFFF"/>
      <name val="Calibri"/>
      <charset val="1"/>
    </font>
    <font>
      <sz val="11"/>
      <color rgb="FF141A47"/>
      <name val="Calibri"/>
      <charset val="1"/>
    </font>
    <font>
      <b/>
      <sz val="11"/>
      <color rgb="FFFFFFFF"/>
      <name val="Calibri"/>
      <charset val="1"/>
    </font>
    <font>
      <b/>
      <sz val="12"/>
      <color rgb="FF141A47"/>
      <name val="Calibri"/>
      <charset val="1"/>
    </font>
    <font>
      <b/>
      <sz val="11"/>
      <color rgb="FF1B5E20"/>
      <name val="Calibri"/>
      <charset val="1"/>
    </font>
    <font>
      <b/>
      <sz val="11"/>
      <color rgb="FF1E2761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rgb="FF141A47"/>
      </patternFill>
    </fill>
    <fill>
      <patternFill patternType="solid">
        <fgColor rgb="FF1E2761"/>
      </patternFill>
    </fill>
    <fill>
      <patternFill patternType="solid">
        <fgColor rgb="FFF5E6C0"/>
      </patternFill>
    </fill>
    <fill>
      <patternFill patternType="solid">
        <fgColor rgb="FFCADCFC"/>
      </patternFill>
    </fill>
    <fill>
      <patternFill patternType="solid">
        <fgColor rgb="FFFFFF00"/>
      </patternFill>
    </fill>
    <fill>
      <patternFill patternType="solid">
        <fgColor rgb="FFF4F6FB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B0000"/>
        <bgColor rgb="FF800000"/>
      </patternFill>
    </fill>
    <fill>
      <patternFill patternType="solid">
        <fgColor rgb="FFF5E6C0"/>
        <bgColor rgb="FFE8F5E9"/>
      </patternFill>
    </fill>
    <fill>
      <patternFill patternType="solid">
        <fgColor rgb="FF1E2761"/>
        <bgColor rgb="FF141A47"/>
      </patternFill>
    </fill>
    <fill>
      <patternFill patternType="solid">
        <fgColor rgb="FF141A47"/>
        <bgColor rgb="FF1E2761"/>
      </patternFill>
    </fill>
    <fill>
      <patternFill patternType="solid">
        <fgColor rgb="FFF4F6FB"/>
        <bgColor rgb="FFE8F5E9"/>
      </patternFill>
    </fill>
    <fill>
      <patternFill patternType="solid">
        <fgColor rgb="FFFFFFFF"/>
        <bgColor rgb="FFF4F6FB"/>
      </patternFill>
    </fill>
  </fills>
  <borders count="4">
    <border>
      <left/>
      <right/>
      <top/>
      <bottom/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medium">
        <color rgb="FF1E2761"/>
      </left>
      <right style="medium">
        <color rgb="FF1E2761"/>
      </right>
      <top style="medium">
        <color rgb="FF1E2761"/>
      </top>
      <bottom style="medium">
        <color rgb="FF1E2761"/>
      </bottom>
      <diagonal/>
    </border>
    <border>
      <left style="thin">
        <color rgb="FFAAAAAA"/>
      </left>
      <right style="thin">
        <color rgb="FFD0D7E8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44" fontId="25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5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14" fillId="4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4" fontId="17" fillId="10" borderId="1" xfId="0" applyNumberFormat="1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 wrapText="1"/>
    </xf>
    <xf numFmtId="164" fontId="21" fillId="6" borderId="2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5" fontId="22" fillId="6" borderId="2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24" fillId="6" borderId="1" xfId="0" applyFont="1" applyFill="1" applyBorder="1" applyAlignment="1">
      <alignment horizontal="left" vertical="center" wrapText="1"/>
    </xf>
    <xf numFmtId="44" fontId="0" fillId="0" borderId="0" xfId="1" applyFont="1"/>
    <xf numFmtId="164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9" fillId="11" borderId="1" xfId="0" applyNumberFormat="1" applyFont="1" applyFill="1" applyBorder="1" applyAlignment="1">
      <alignment horizontal="center" vertical="center" wrapText="1"/>
    </xf>
    <xf numFmtId="44" fontId="23" fillId="6" borderId="1" xfId="2" applyNumberFormat="1" applyFont="1" applyFill="1" applyBorder="1" applyAlignment="1">
      <alignment horizontal="center" vertical="center" wrapText="1"/>
    </xf>
    <xf numFmtId="2" fontId="23" fillId="6" borderId="1" xfId="2" applyNumberFormat="1" applyFont="1" applyFill="1" applyBorder="1" applyAlignment="1">
      <alignment horizontal="center" vertical="center" wrapText="1"/>
    </xf>
    <xf numFmtId="44" fontId="23" fillId="6" borderId="1" xfId="1" applyFont="1" applyFill="1" applyBorder="1" applyAlignment="1">
      <alignment horizontal="center" vertical="center" wrapText="1"/>
    </xf>
    <xf numFmtId="0" fontId="26" fillId="12" borderId="0" xfId="0" applyFont="1" applyFill="1" applyAlignment="1">
      <alignment horizontal="center" vertical="center" wrapText="1"/>
    </xf>
    <xf numFmtId="0" fontId="27" fillId="13" borderId="0" xfId="0" applyFont="1" applyFill="1" applyAlignment="1">
      <alignment horizontal="center" vertical="center" wrapText="1"/>
    </xf>
    <xf numFmtId="0" fontId="28" fillId="14" borderId="1" xfId="0" applyFont="1" applyFill="1" applyBorder="1" applyAlignment="1">
      <alignment horizontal="center" vertical="center" wrapText="1"/>
    </xf>
    <xf numFmtId="0" fontId="28" fillId="15" borderId="1" xfId="0" applyFont="1" applyFill="1" applyBorder="1" applyAlignment="1">
      <alignment horizontal="center" vertical="center" wrapText="1"/>
    </xf>
    <xf numFmtId="0" fontId="29" fillId="16" borderId="1" xfId="0" applyFont="1" applyFill="1" applyBorder="1" applyAlignment="1">
      <alignment horizontal="left" vertical="center" wrapText="1"/>
    </xf>
    <xf numFmtId="176" fontId="29" fillId="17" borderId="1" xfId="0" applyNumberFormat="1" applyFont="1" applyFill="1" applyBorder="1" applyAlignment="1">
      <alignment horizontal="center" vertical="center" wrapText="1"/>
    </xf>
    <xf numFmtId="1" fontId="29" fillId="17" borderId="1" xfId="0" applyNumberFormat="1" applyFont="1" applyFill="1" applyBorder="1" applyAlignment="1">
      <alignment horizontal="center" vertical="center" wrapText="1"/>
    </xf>
    <xf numFmtId="0" fontId="30" fillId="14" borderId="2" xfId="0" applyFont="1" applyFill="1" applyBorder="1" applyAlignment="1">
      <alignment horizontal="left" vertical="center" wrapText="1"/>
    </xf>
    <xf numFmtId="176" fontId="31" fillId="13" borderId="2" xfId="0" applyNumberFormat="1" applyFont="1" applyFill="1" applyBorder="1" applyAlignment="1">
      <alignment horizontal="center" vertical="center" wrapText="1"/>
    </xf>
    <xf numFmtId="49" fontId="32" fillId="17" borderId="1" xfId="0" applyNumberFormat="1" applyFont="1" applyFill="1" applyBorder="1" applyAlignment="1">
      <alignment horizontal="center" vertical="center" wrapText="1"/>
    </xf>
    <xf numFmtId="165" fontId="31" fillId="13" borderId="2" xfId="0" applyNumberFormat="1" applyFont="1" applyFill="1" applyBorder="1" applyAlignment="1">
      <alignment horizontal="center" vertical="center" wrapText="1"/>
    </xf>
    <xf numFmtId="165" fontId="29" fillId="17" borderId="1" xfId="0" applyNumberFormat="1" applyFont="1" applyFill="1" applyBorder="1" applyAlignment="1">
      <alignment horizontal="center" vertical="center" wrapText="1"/>
    </xf>
    <xf numFmtId="166" fontId="31" fillId="13" borderId="2" xfId="0" applyNumberFormat="1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left" vertical="center" wrapText="1"/>
    </xf>
    <xf numFmtId="0" fontId="29" fillId="13" borderId="3" xfId="0" applyFont="1" applyFill="1" applyBorder="1" applyAlignment="1">
      <alignment horizontal="left" vertical="top" wrapText="1"/>
    </xf>
    <xf numFmtId="0" fontId="30" fillId="15" borderId="1" xfId="0" applyFont="1" applyFill="1" applyBorder="1" applyAlignment="1">
      <alignment horizontal="center" vertical="center" wrapText="1"/>
    </xf>
    <xf numFmtId="0" fontId="29" fillId="17" borderId="1" xfId="0" applyFont="1" applyFill="1" applyBorder="1" applyAlignment="1">
      <alignment horizontal="center" vertical="center" wrapText="1"/>
    </xf>
    <xf numFmtId="0" fontId="29" fillId="16" borderId="1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"/>
  <sheetViews>
    <sheetView tabSelected="1" topLeftCell="A6" workbookViewId="0">
      <selection activeCell="C11" sqref="C11:D11"/>
    </sheetView>
  </sheetViews>
  <sheetFormatPr defaultRowHeight="15" x14ac:dyDescent="0.25"/>
  <cols>
    <col min="1" max="1" width="3" customWidth="1"/>
    <col min="2" max="2" width="28.28515625" customWidth="1"/>
    <col min="3" max="3" width="60" customWidth="1"/>
    <col min="4" max="4" width="20" customWidth="1"/>
  </cols>
  <sheetData>
    <row r="1" spans="2:4" ht="8.1" customHeight="1" x14ac:dyDescent="0.25"/>
    <row r="2" spans="2:4" ht="20.100000000000001" customHeight="1" x14ac:dyDescent="0.25">
      <c r="B2" s="39" t="s">
        <v>0</v>
      </c>
      <c r="C2" s="33"/>
      <c r="D2" s="33"/>
    </row>
    <row r="3" spans="2:4" ht="30" customHeight="1" x14ac:dyDescent="0.25">
      <c r="B3" s="38" t="s">
        <v>1</v>
      </c>
      <c r="C3" s="33"/>
      <c r="D3" s="33"/>
    </row>
    <row r="4" spans="2:4" ht="20.100000000000001" customHeight="1" x14ac:dyDescent="0.25">
      <c r="B4" s="37" t="s">
        <v>2</v>
      </c>
      <c r="C4" s="33"/>
      <c r="D4" s="33"/>
    </row>
    <row r="5" spans="2:4" ht="9.9499999999999993" customHeight="1" x14ac:dyDescent="0.25"/>
    <row r="6" spans="2:4" ht="20.100000000000001" customHeight="1" x14ac:dyDescent="0.25">
      <c r="B6" s="1" t="s">
        <v>3</v>
      </c>
      <c r="C6" s="1" t="s">
        <v>4</v>
      </c>
      <c r="D6" s="1" t="s">
        <v>5</v>
      </c>
    </row>
    <row r="7" spans="2:4" ht="20.100000000000001" customHeight="1" x14ac:dyDescent="0.25">
      <c r="B7" s="2"/>
      <c r="C7" s="2"/>
      <c r="D7" s="2"/>
    </row>
    <row r="8" spans="2:4" ht="9.9499999999999993" customHeight="1" x14ac:dyDescent="0.25"/>
    <row r="9" spans="2:4" x14ac:dyDescent="0.25">
      <c r="B9" s="34" t="s">
        <v>6</v>
      </c>
      <c r="C9" s="33"/>
      <c r="D9" s="33"/>
    </row>
    <row r="10" spans="2:4" ht="39.950000000000003" customHeight="1" x14ac:dyDescent="0.25">
      <c r="B10" s="3" t="s">
        <v>7</v>
      </c>
      <c r="C10" s="35" t="s">
        <v>8</v>
      </c>
      <c r="D10" s="33"/>
    </row>
    <row r="11" spans="2:4" ht="39.950000000000003" customHeight="1" x14ac:dyDescent="0.25">
      <c r="B11" s="3" t="s">
        <v>9</v>
      </c>
      <c r="C11" s="35" t="s">
        <v>10</v>
      </c>
      <c r="D11" s="33"/>
    </row>
    <row r="12" spans="2:4" ht="39.950000000000003" customHeight="1" x14ac:dyDescent="0.25">
      <c r="B12" s="3" t="s">
        <v>11</v>
      </c>
      <c r="C12" s="35" t="s">
        <v>12</v>
      </c>
      <c r="D12" s="33"/>
    </row>
    <row r="13" spans="2:4" ht="39.950000000000003" customHeight="1" x14ac:dyDescent="0.25">
      <c r="B13" s="3" t="s">
        <v>13</v>
      </c>
      <c r="C13" s="35" t="s">
        <v>14</v>
      </c>
      <c r="D13" s="33"/>
    </row>
    <row r="14" spans="2:4" ht="9.9499999999999993" customHeight="1" x14ac:dyDescent="0.25"/>
    <row r="15" spans="2:4" x14ac:dyDescent="0.25">
      <c r="B15" s="34" t="s">
        <v>15</v>
      </c>
      <c r="C15" s="33"/>
      <c r="D15" s="33"/>
    </row>
    <row r="16" spans="2:4" ht="21.95" customHeight="1" x14ac:dyDescent="0.25">
      <c r="B16" s="5" t="s">
        <v>16</v>
      </c>
      <c r="C16" s="35" t="s">
        <v>17</v>
      </c>
      <c r="D16" s="33"/>
    </row>
    <row r="17" spans="2:4" ht="21.95" customHeight="1" x14ac:dyDescent="0.25">
      <c r="B17" s="5" t="s">
        <v>18</v>
      </c>
      <c r="C17" s="35" t="s">
        <v>19</v>
      </c>
      <c r="D17" s="33"/>
    </row>
    <row r="18" spans="2:4" ht="21.95" customHeight="1" x14ac:dyDescent="0.25">
      <c r="B18" s="5" t="s">
        <v>20</v>
      </c>
      <c r="C18" s="35" t="s">
        <v>21</v>
      </c>
      <c r="D18" s="33"/>
    </row>
    <row r="19" spans="2:4" ht="21.95" customHeight="1" x14ac:dyDescent="0.25">
      <c r="B19" s="5" t="s">
        <v>22</v>
      </c>
      <c r="C19" s="35" t="s">
        <v>23</v>
      </c>
      <c r="D19" s="33"/>
    </row>
    <row r="20" spans="2:4" ht="21.95" customHeight="1" x14ac:dyDescent="0.25">
      <c r="B20" s="5" t="s">
        <v>24</v>
      </c>
      <c r="C20" s="35" t="s">
        <v>25</v>
      </c>
      <c r="D20" s="33"/>
    </row>
    <row r="21" spans="2:4" ht="21.95" customHeight="1" x14ac:dyDescent="0.25">
      <c r="B21" s="6" t="s">
        <v>26</v>
      </c>
      <c r="C21" s="36" t="s">
        <v>27</v>
      </c>
      <c r="D21" s="33"/>
    </row>
    <row r="22" spans="2:4" ht="9.9499999999999993" customHeight="1" x14ac:dyDescent="0.25"/>
    <row r="23" spans="2:4" x14ac:dyDescent="0.25">
      <c r="B23" s="34" t="s">
        <v>28</v>
      </c>
      <c r="C23" s="33"/>
      <c r="D23" s="33"/>
    </row>
    <row r="24" spans="2:4" ht="21.95" customHeight="1" x14ac:dyDescent="0.25">
      <c r="B24" s="7" t="s">
        <v>29</v>
      </c>
      <c r="C24" s="32" t="s">
        <v>30</v>
      </c>
      <c r="D24" s="33"/>
    </row>
    <row r="25" spans="2:4" ht="21.95" customHeight="1" x14ac:dyDescent="0.25">
      <c r="B25" s="8" t="s">
        <v>29</v>
      </c>
      <c r="C25" s="32" t="s">
        <v>31</v>
      </c>
      <c r="D25" s="33"/>
    </row>
    <row r="26" spans="2:4" ht="21.95" customHeight="1" x14ac:dyDescent="0.25">
      <c r="B26" s="9" t="s">
        <v>29</v>
      </c>
      <c r="C26" s="32" t="s">
        <v>32</v>
      </c>
      <c r="D26" s="33"/>
    </row>
    <row r="27" spans="2:4" ht="21.95" customHeight="1" x14ac:dyDescent="0.25">
      <c r="B27" s="10" t="s">
        <v>29</v>
      </c>
      <c r="C27" s="32" t="s">
        <v>33</v>
      </c>
      <c r="D27" s="33"/>
    </row>
  </sheetData>
  <mergeCells count="20">
    <mergeCell ref="B2:D2"/>
    <mergeCell ref="C27:D27"/>
    <mergeCell ref="B4:D4"/>
    <mergeCell ref="C17:D17"/>
    <mergeCell ref="B3:D3"/>
    <mergeCell ref="C19:D19"/>
    <mergeCell ref="C13:D13"/>
    <mergeCell ref="C18:D18"/>
    <mergeCell ref="B9:D9"/>
    <mergeCell ref="B15:D15"/>
    <mergeCell ref="C12:D12"/>
    <mergeCell ref="C21:D21"/>
    <mergeCell ref="C11:D11"/>
    <mergeCell ref="C24:D24"/>
    <mergeCell ref="B23:D23"/>
    <mergeCell ref="C26:D26"/>
    <mergeCell ref="C20:D20"/>
    <mergeCell ref="C10:D10"/>
    <mergeCell ref="C16:D16"/>
    <mergeCell ref="C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3"/>
  <sheetViews>
    <sheetView workbookViewId="0">
      <selection activeCell="E17" sqref="E17"/>
    </sheetView>
  </sheetViews>
  <sheetFormatPr defaultRowHeight="15" x14ac:dyDescent="0.25"/>
  <cols>
    <col min="1" max="1" width="3" customWidth="1"/>
    <col min="2" max="2" width="32.28515625" customWidth="1"/>
    <col min="3" max="3" width="22" bestFit="1" customWidth="1"/>
    <col min="4" max="5" width="18" customWidth="1"/>
    <col min="6" max="6" width="5" customWidth="1"/>
  </cols>
  <sheetData>
    <row r="1" spans="2:5" ht="8.1" customHeight="1" x14ac:dyDescent="0.25"/>
    <row r="2" spans="2:5" ht="32.1" customHeight="1" x14ac:dyDescent="0.25">
      <c r="B2" s="42" t="s">
        <v>34</v>
      </c>
      <c r="C2" s="33"/>
      <c r="D2" s="33"/>
      <c r="E2" s="33"/>
    </row>
    <row r="3" spans="2:5" ht="21.95" customHeight="1" x14ac:dyDescent="0.25">
      <c r="B3" s="41" t="s">
        <v>35</v>
      </c>
      <c r="C3" s="33"/>
      <c r="D3" s="33"/>
      <c r="E3" s="33"/>
    </row>
    <row r="4" spans="2:5" ht="9.9499999999999993" customHeight="1" x14ac:dyDescent="0.25"/>
    <row r="5" spans="2:5" ht="27.95" customHeight="1" x14ac:dyDescent="0.25">
      <c r="B5" s="11"/>
      <c r="C5" s="11" t="s">
        <v>36</v>
      </c>
      <c r="D5" s="11" t="s">
        <v>37</v>
      </c>
      <c r="E5" s="11" t="s">
        <v>38</v>
      </c>
    </row>
    <row r="6" spans="2:5" ht="21.95" customHeight="1" x14ac:dyDescent="0.25">
      <c r="B6" s="12"/>
      <c r="C6" s="12" t="s">
        <v>39</v>
      </c>
      <c r="D6" s="12" t="s">
        <v>40</v>
      </c>
      <c r="E6" s="12" t="s">
        <v>41</v>
      </c>
    </row>
    <row r="7" spans="2:5" ht="21.95" customHeight="1" x14ac:dyDescent="0.25">
      <c r="B7" s="13" t="s">
        <v>42</v>
      </c>
      <c r="C7" s="14">
        <v>-12000000</v>
      </c>
      <c r="D7" s="14">
        <v>-8000000</v>
      </c>
      <c r="E7" s="14">
        <v>-18000000</v>
      </c>
    </row>
    <row r="8" spans="2:5" ht="21.95" customHeight="1" x14ac:dyDescent="0.25">
      <c r="B8" s="4" t="s">
        <v>43</v>
      </c>
      <c r="C8" s="15">
        <v>2200000</v>
      </c>
      <c r="D8" s="15">
        <v>1800000</v>
      </c>
      <c r="E8" s="15">
        <v>3500000</v>
      </c>
    </row>
    <row r="9" spans="2:5" ht="21.95" customHeight="1" x14ac:dyDescent="0.25">
      <c r="B9" s="4" t="s">
        <v>44</v>
      </c>
      <c r="C9" s="15">
        <v>2400000</v>
      </c>
      <c r="D9" s="15">
        <v>2000000</v>
      </c>
      <c r="E9" s="15">
        <v>3800000</v>
      </c>
    </row>
    <row r="10" spans="2:5" ht="21.95" customHeight="1" x14ac:dyDescent="0.25">
      <c r="B10" s="4" t="s">
        <v>45</v>
      </c>
      <c r="C10" s="15">
        <v>2600000</v>
      </c>
      <c r="D10" s="15">
        <v>2200000</v>
      </c>
      <c r="E10" s="15">
        <v>4100000</v>
      </c>
    </row>
    <row r="11" spans="2:5" ht="21.95" customHeight="1" x14ac:dyDescent="0.25">
      <c r="B11" s="4" t="s">
        <v>46</v>
      </c>
      <c r="C11" s="15">
        <v>2800000</v>
      </c>
      <c r="D11" s="15">
        <v>2400000</v>
      </c>
      <c r="E11" s="15">
        <v>4400000</v>
      </c>
    </row>
    <row r="12" spans="2:5" ht="21.95" customHeight="1" x14ac:dyDescent="0.25">
      <c r="B12" s="4" t="s">
        <v>47</v>
      </c>
      <c r="C12" s="15">
        <v>3000000</v>
      </c>
      <c r="D12" s="15">
        <v>2600000</v>
      </c>
      <c r="E12" s="15">
        <v>4700000</v>
      </c>
    </row>
    <row r="13" spans="2:5" ht="21.95" customHeight="1" x14ac:dyDescent="0.25">
      <c r="B13" s="4" t="s">
        <v>48</v>
      </c>
      <c r="C13" s="15">
        <v>3200000</v>
      </c>
      <c r="D13" s="15">
        <v>2800000</v>
      </c>
      <c r="E13" s="15">
        <v>5000000</v>
      </c>
    </row>
    <row r="14" spans="2:5" ht="21.95" customHeight="1" x14ac:dyDescent="0.25">
      <c r="B14" s="4" t="s">
        <v>49</v>
      </c>
      <c r="C14" s="15">
        <v>3400000</v>
      </c>
      <c r="D14" s="53">
        <f>3000000+D19</f>
        <v>3200000</v>
      </c>
      <c r="E14" s="15">
        <v>5300000</v>
      </c>
    </row>
    <row r="15" spans="2:5" ht="21.95" customHeight="1" x14ac:dyDescent="0.25">
      <c r="B15" s="4" t="s">
        <v>50</v>
      </c>
      <c r="C15" s="15">
        <v>3600000</v>
      </c>
      <c r="D15" s="16" t="s">
        <v>51</v>
      </c>
      <c r="E15" s="15">
        <v>5600000</v>
      </c>
    </row>
    <row r="16" spans="2:5" ht="21.95" customHeight="1" x14ac:dyDescent="0.25">
      <c r="B16" s="4" t="s">
        <v>52</v>
      </c>
      <c r="C16" s="15">
        <v>3800000</v>
      </c>
      <c r="D16" s="16" t="s">
        <v>51</v>
      </c>
      <c r="E16" s="15">
        <v>5900000</v>
      </c>
    </row>
    <row r="17" spans="2:5" ht="21.95" customHeight="1" x14ac:dyDescent="0.25">
      <c r="B17" s="4" t="s">
        <v>153</v>
      </c>
      <c r="C17" s="53">
        <f>4000000+C19</f>
        <v>4500000</v>
      </c>
      <c r="D17" s="16" t="s">
        <v>51</v>
      </c>
      <c r="E17" s="53">
        <f>6200000+E19</f>
        <v>7000000</v>
      </c>
    </row>
    <row r="18" spans="2:5" ht="21.95" customHeight="1" x14ac:dyDescent="0.25">
      <c r="B18" s="17" t="s">
        <v>53</v>
      </c>
      <c r="C18" s="18">
        <v>10</v>
      </c>
      <c r="D18" s="18">
        <v>7</v>
      </c>
      <c r="E18" s="18">
        <v>10</v>
      </c>
    </row>
    <row r="19" spans="2:5" ht="21.95" customHeight="1" x14ac:dyDescent="0.25">
      <c r="B19" s="17" t="s">
        <v>54</v>
      </c>
      <c r="C19" s="19">
        <v>500000</v>
      </c>
      <c r="D19" s="19">
        <v>200000</v>
      </c>
      <c r="E19" s="19">
        <v>800000</v>
      </c>
    </row>
    <row r="20" spans="2:5" ht="9.9499999999999993" customHeight="1" x14ac:dyDescent="0.25"/>
    <row r="21" spans="2:5" ht="30" customHeight="1" x14ac:dyDescent="0.25">
      <c r="B21" s="40" t="s">
        <v>55</v>
      </c>
      <c r="C21" s="33"/>
      <c r="D21" s="33"/>
      <c r="E21" s="33"/>
    </row>
    <row r="23" spans="2:5" x14ac:dyDescent="0.25">
      <c r="C23" s="50"/>
    </row>
  </sheetData>
  <mergeCells count="3">
    <mergeCell ref="B21:E21"/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3"/>
  <sheetViews>
    <sheetView workbookViewId="0">
      <selection activeCell="E20" sqref="E20"/>
    </sheetView>
  </sheetViews>
  <sheetFormatPr defaultRowHeight="15" x14ac:dyDescent="0.25"/>
  <cols>
    <col min="1" max="1" width="3" customWidth="1"/>
    <col min="2" max="2" width="41.140625" customWidth="1"/>
    <col min="3" max="3" width="47.5703125" customWidth="1"/>
    <col min="4" max="4" width="31.42578125" customWidth="1"/>
    <col min="5" max="5" width="29.42578125" customWidth="1"/>
    <col min="6" max="6" width="5" customWidth="1"/>
  </cols>
  <sheetData>
    <row r="1" spans="2:5" ht="8.1" customHeight="1" x14ac:dyDescent="0.25"/>
    <row r="2" spans="2:5" ht="32.1" customHeight="1" x14ac:dyDescent="0.25">
      <c r="B2" s="42" t="s">
        <v>56</v>
      </c>
      <c r="C2" s="33"/>
      <c r="D2" s="33"/>
      <c r="E2" s="33"/>
    </row>
    <row r="3" spans="2:5" ht="21.95" customHeight="1" x14ac:dyDescent="0.25">
      <c r="B3" s="45" t="s">
        <v>57</v>
      </c>
      <c r="C3" s="33"/>
      <c r="D3" s="33"/>
      <c r="E3" s="33"/>
    </row>
    <row r="4" spans="2:5" ht="21.95" customHeight="1" x14ac:dyDescent="0.25">
      <c r="B4" s="33"/>
      <c r="C4" s="33"/>
      <c r="D4" s="33"/>
      <c r="E4" s="33"/>
    </row>
    <row r="5" spans="2:5" ht="21.95" customHeight="1" x14ac:dyDescent="0.25">
      <c r="B5" s="33"/>
      <c r="C5" s="33"/>
      <c r="D5" s="33"/>
      <c r="E5" s="33"/>
    </row>
    <row r="6" spans="2:5" ht="9.9499999999999993" customHeight="1" x14ac:dyDescent="0.25"/>
    <row r="7" spans="2:5" ht="27.95" customHeight="1" x14ac:dyDescent="0.25">
      <c r="B7" s="11"/>
      <c r="C7" s="11" t="s">
        <v>58</v>
      </c>
      <c r="D7" s="11" t="s">
        <v>59</v>
      </c>
      <c r="E7" s="11" t="s">
        <v>60</v>
      </c>
    </row>
    <row r="8" spans="2:5" ht="21.95" customHeight="1" x14ac:dyDescent="0.25">
      <c r="B8" s="17" t="s">
        <v>61</v>
      </c>
      <c r="C8" s="20" t="s">
        <v>62</v>
      </c>
      <c r="D8" s="20" t="s">
        <v>62</v>
      </c>
      <c r="E8" s="20" t="s">
        <v>62</v>
      </c>
    </row>
    <row r="9" spans="2:5" ht="21.95" customHeight="1" x14ac:dyDescent="0.25">
      <c r="B9" s="17" t="s">
        <v>42</v>
      </c>
      <c r="C9" s="21">
        <f>'Project Data'!C7</f>
        <v>-12000000</v>
      </c>
      <c r="D9" s="21">
        <f>'Project Data'!D7</f>
        <v>-8000000</v>
      </c>
      <c r="E9" s="21">
        <f>'Project Data'!E7</f>
        <v>-18000000</v>
      </c>
    </row>
    <row r="10" spans="2:5" ht="21.95" customHeight="1" x14ac:dyDescent="0.25">
      <c r="B10" s="17" t="s">
        <v>53</v>
      </c>
      <c r="C10" s="22">
        <f>'Project Data'!C18</f>
        <v>10</v>
      </c>
      <c r="D10" s="22">
        <f>'Project Data'!D18</f>
        <v>7</v>
      </c>
      <c r="E10" s="22">
        <f>'Project Data'!E18</f>
        <v>10</v>
      </c>
    </row>
    <row r="11" spans="2:5" ht="9.9499999999999993" customHeight="1" x14ac:dyDescent="0.25"/>
    <row r="12" spans="2:5" ht="24" customHeight="1" x14ac:dyDescent="0.25">
      <c r="B12" s="43" t="s">
        <v>63</v>
      </c>
      <c r="C12" s="33"/>
      <c r="D12" s="33"/>
      <c r="E12" s="33"/>
    </row>
    <row r="13" spans="2:5" ht="21.95" customHeight="1" x14ac:dyDescent="0.25">
      <c r="B13" s="23" t="s">
        <v>64</v>
      </c>
      <c r="C13" s="21">
        <f>'Project Data'!C17</f>
        <v>4500000</v>
      </c>
      <c r="D13" s="21">
        <f>'Project Data'!D14</f>
        <v>3200000</v>
      </c>
      <c r="E13" s="21">
        <f>'Project Data'!E17</f>
        <v>7000000</v>
      </c>
    </row>
    <row r="14" spans="2:5" ht="21.95" customHeight="1" x14ac:dyDescent="0.25">
      <c r="B14" s="23" t="s">
        <v>65</v>
      </c>
      <c r="C14" s="21">
        <f>'Project Data'!C19</f>
        <v>500000</v>
      </c>
      <c r="D14" s="21">
        <f>'Project Data'!D19</f>
        <v>200000</v>
      </c>
      <c r="E14" s="21">
        <f>'Project Data'!E19</f>
        <v>800000</v>
      </c>
    </row>
    <row r="15" spans="2:5" ht="34.5" customHeight="1" x14ac:dyDescent="0.25">
      <c r="B15" s="24" t="s">
        <v>66</v>
      </c>
      <c r="C15" s="51">
        <f>C13+C14</f>
        <v>5000000</v>
      </c>
      <c r="D15" s="51">
        <f>D13+D14</f>
        <v>3400000</v>
      </c>
      <c r="E15" s="51">
        <f>E13+E14</f>
        <v>7800000</v>
      </c>
    </row>
    <row r="16" spans="2:5" ht="30" customHeight="1" x14ac:dyDescent="0.25"/>
    <row r="17" spans="2:5" ht="24" customHeight="1" x14ac:dyDescent="0.25">
      <c r="B17" s="43" t="s">
        <v>67</v>
      </c>
      <c r="C17" s="33"/>
      <c r="D17" s="33"/>
      <c r="E17" s="33"/>
    </row>
    <row r="18" spans="2:5" ht="21.95" customHeight="1" x14ac:dyDescent="0.25">
      <c r="B18" s="44" t="s">
        <v>68</v>
      </c>
      <c r="C18" s="33"/>
      <c r="D18" s="33"/>
      <c r="E18" s="33"/>
    </row>
    <row r="19" spans="2:5" ht="37.5" customHeight="1" x14ac:dyDescent="0.25">
      <c r="B19" s="25" t="s">
        <v>69</v>
      </c>
      <c r="C19" s="26">
        <f>NPV(C8,'Project Data'!C8:C17)+'NPV Analysis'!C9</f>
        <v>7204607.0842245892</v>
      </c>
      <c r="D19" s="26">
        <f>NPV(D8,'Project Data'!D8:D14)+'NPV Analysis'!D9</f>
        <v>3843639.9991490375</v>
      </c>
      <c r="E19" s="26">
        <f>NPV(E8,'Project Data'!E8:E17)+'NPV Analysis'!E9</f>
        <v>12111562.70691346</v>
      </c>
    </row>
    <row r="20" spans="2:5" ht="29.25" customHeight="1" x14ac:dyDescent="0.25">
      <c r="C20" s="52" t="str">
        <f ca="1">_xlfn.FORMULATEXT(C19)</f>
        <v>=NPV(C8,'Project Data'!C8:C17)+'NPV Analysis'!C9</v>
      </c>
      <c r="D20" s="52" t="str">
        <f ca="1">_xlfn.FORMULATEXT(D19)</f>
        <v>=NPV(D8,'Project Data'!D8:D14)+'NPV Analysis'!D9</v>
      </c>
      <c r="E20" s="52" t="str">
        <f ca="1">_xlfn.FORMULATEXT(E19)</f>
        <v>=NPV(E8,'Project Data'!E8:E17)+'NPV Analysis'!E9</v>
      </c>
    </row>
    <row r="21" spans="2:5" ht="24" customHeight="1" x14ac:dyDescent="0.25">
      <c r="B21" s="43" t="s">
        <v>70</v>
      </c>
      <c r="C21" s="33"/>
      <c r="D21" s="33"/>
      <c r="E21" s="33"/>
    </row>
    <row r="22" spans="2:5" ht="24" customHeight="1" x14ac:dyDescent="0.25">
      <c r="B22" s="17" t="s">
        <v>71</v>
      </c>
      <c r="C22" s="27" t="s">
        <v>151</v>
      </c>
      <c r="D22" s="27" t="s">
        <v>151</v>
      </c>
      <c r="E22" s="27" t="s">
        <v>151</v>
      </c>
    </row>
    <row r="23" spans="2:5" ht="27.95" customHeight="1" x14ac:dyDescent="0.25">
      <c r="B23" s="17" t="s">
        <v>72</v>
      </c>
      <c r="C23" s="27" t="s">
        <v>152</v>
      </c>
      <c r="D23" s="27" t="s">
        <v>152</v>
      </c>
      <c r="E23" s="27" t="s">
        <v>152</v>
      </c>
    </row>
  </sheetData>
  <mergeCells count="6">
    <mergeCell ref="B17:E17"/>
    <mergeCell ref="B18:E18"/>
    <mergeCell ref="B12:E12"/>
    <mergeCell ref="B21:E21"/>
    <mergeCell ref="B2:E2"/>
    <mergeCell ref="B3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7"/>
  <sheetViews>
    <sheetView topLeftCell="A7" workbookViewId="0">
      <selection activeCell="C22" sqref="C22:E23"/>
    </sheetView>
  </sheetViews>
  <sheetFormatPr defaultRowHeight="15" x14ac:dyDescent="0.25"/>
  <cols>
    <col min="1" max="1" width="3" customWidth="1"/>
    <col min="2" max="2" width="30" customWidth="1"/>
    <col min="3" max="4" width="20" customWidth="1"/>
    <col min="5" max="5" width="14.7109375" bestFit="1" customWidth="1"/>
    <col min="6" max="6" width="5" customWidth="1"/>
  </cols>
  <sheetData>
    <row r="1" spans="2:5" ht="8.1" customHeight="1" x14ac:dyDescent="0.25"/>
    <row r="2" spans="2:5" ht="32.1" customHeight="1" x14ac:dyDescent="0.25">
      <c r="B2" s="42" t="s">
        <v>73</v>
      </c>
      <c r="C2" s="33"/>
      <c r="D2" s="33"/>
      <c r="E2" s="33"/>
    </row>
    <row r="3" spans="2:5" ht="21.95" customHeight="1" x14ac:dyDescent="0.25">
      <c r="B3" s="45" t="s">
        <v>74</v>
      </c>
      <c r="C3" s="33"/>
      <c r="D3" s="33"/>
      <c r="E3" s="33"/>
    </row>
    <row r="4" spans="2:5" ht="21.95" customHeight="1" x14ac:dyDescent="0.25">
      <c r="B4" s="33"/>
      <c r="C4" s="33"/>
      <c r="D4" s="33"/>
      <c r="E4" s="33"/>
    </row>
    <row r="5" spans="2:5" ht="21.95" customHeight="1" x14ac:dyDescent="0.25">
      <c r="B5" s="33"/>
      <c r="C5" s="33"/>
      <c r="D5" s="33"/>
      <c r="E5" s="33"/>
    </row>
    <row r="6" spans="2:5" ht="9.9499999999999993" customHeight="1" x14ac:dyDescent="0.25"/>
    <row r="7" spans="2:5" ht="27.95" customHeight="1" x14ac:dyDescent="0.25">
      <c r="B7" s="11"/>
      <c r="C7" s="11" t="s">
        <v>58</v>
      </c>
      <c r="D7" s="11" t="s">
        <v>59</v>
      </c>
      <c r="E7" s="11" t="s">
        <v>60</v>
      </c>
    </row>
    <row r="8" spans="2:5" ht="24" customHeight="1" x14ac:dyDescent="0.25">
      <c r="B8" s="43" t="s">
        <v>75</v>
      </c>
      <c r="C8" s="33"/>
      <c r="D8" s="33"/>
      <c r="E8" s="33"/>
    </row>
    <row r="9" spans="2:5" ht="21.95" customHeight="1" x14ac:dyDescent="0.25">
      <c r="B9" s="44" t="s">
        <v>76</v>
      </c>
      <c r="C9" s="33"/>
      <c r="D9" s="33"/>
      <c r="E9" s="33"/>
    </row>
    <row r="10" spans="2:5" ht="30" customHeight="1" x14ac:dyDescent="0.25">
      <c r="B10" s="25" t="s">
        <v>77</v>
      </c>
      <c r="C10" s="28">
        <f>IRR('Project Data'!C7:C17)</f>
        <v>0.19742659338769952</v>
      </c>
      <c r="D10" s="28">
        <f>IRR('Project Data'!D7:D14)</f>
        <v>0.20799876089805758</v>
      </c>
      <c r="E10" s="28">
        <f>IRR('Project Data'!E7:E17)</f>
        <v>0.20964699279898569</v>
      </c>
    </row>
    <row r="11" spans="2:5" ht="21.95" customHeight="1" x14ac:dyDescent="0.25">
      <c r="B11" s="17" t="s">
        <v>78</v>
      </c>
      <c r="C11" s="20">
        <v>0.09</v>
      </c>
      <c r="D11" s="20">
        <v>0.09</v>
      </c>
      <c r="E11" s="20">
        <v>0.09</v>
      </c>
    </row>
    <row r="12" spans="2:5" ht="21.95" customHeight="1" x14ac:dyDescent="0.25">
      <c r="B12" s="17" t="s">
        <v>79</v>
      </c>
      <c r="C12" s="27" t="s">
        <v>151</v>
      </c>
      <c r="D12" s="27" t="s">
        <v>151</v>
      </c>
      <c r="E12" s="27" t="s">
        <v>151</v>
      </c>
    </row>
    <row r="13" spans="2:5" ht="9.9499999999999993" customHeight="1" x14ac:dyDescent="0.25"/>
    <row r="14" spans="2:5" ht="24" customHeight="1" x14ac:dyDescent="0.25">
      <c r="B14" s="43" t="s">
        <v>80</v>
      </c>
      <c r="C14" s="33"/>
      <c r="D14" s="33"/>
      <c r="E14" s="33"/>
    </row>
    <row r="15" spans="2:5" ht="21.95" customHeight="1" x14ac:dyDescent="0.25">
      <c r="B15" s="44" t="s">
        <v>81</v>
      </c>
      <c r="C15" s="33"/>
      <c r="D15" s="33"/>
      <c r="E15" s="33"/>
    </row>
    <row r="16" spans="2:5" ht="29.25" customHeight="1" x14ac:dyDescent="0.25">
      <c r="B16" s="17" t="s">
        <v>82</v>
      </c>
      <c r="C16" s="54">
        <f>'NPV Analysis'!C19+ABS('NPV Analysis'!C9)</f>
        <v>19204607.084224589</v>
      </c>
      <c r="D16" s="54">
        <f>'NPV Analysis'!D19+ABS('NPV Analysis'!D9)</f>
        <v>11843639.999149038</v>
      </c>
      <c r="E16" s="54">
        <f>'NPV Analysis'!E19+ABS('NPV Analysis'!E9)</f>
        <v>30111562.70691346</v>
      </c>
    </row>
    <row r="17" spans="2:5" ht="36.75" customHeight="1" x14ac:dyDescent="0.25">
      <c r="B17" s="17" t="s">
        <v>83</v>
      </c>
      <c r="C17" s="56" cm="1">
        <f t="array" ref="C17:E17">ABS('Project Data'!C7:E7)</f>
        <v>12000000</v>
      </c>
      <c r="D17" s="56">
        <v>8000000</v>
      </c>
      <c r="E17" s="56">
        <v>18000000</v>
      </c>
    </row>
    <row r="18" spans="2:5" ht="35.25" customHeight="1" x14ac:dyDescent="0.25">
      <c r="B18" s="25" t="s">
        <v>84</v>
      </c>
      <c r="C18" s="55">
        <f>C16/C17</f>
        <v>1.6003839236853825</v>
      </c>
      <c r="D18" s="55">
        <f>D16/D17</f>
        <v>1.4804549998936296</v>
      </c>
      <c r="E18" s="55">
        <f>E16/E17</f>
        <v>1.6728645948285255</v>
      </c>
    </row>
    <row r="19" spans="2:5" ht="27" customHeight="1" x14ac:dyDescent="0.25">
      <c r="B19" s="17" t="s">
        <v>85</v>
      </c>
      <c r="C19" s="29">
        <v>2</v>
      </c>
      <c r="D19" s="29">
        <v>3</v>
      </c>
      <c r="E19" s="29">
        <v>1</v>
      </c>
    </row>
    <row r="20" spans="2:5" ht="23.25" customHeight="1" x14ac:dyDescent="0.25"/>
    <row r="21" spans="2:5" ht="24" customHeight="1" x14ac:dyDescent="0.25">
      <c r="B21" s="43" t="s">
        <v>86</v>
      </c>
      <c r="C21" s="33"/>
      <c r="D21" s="33"/>
      <c r="E21" s="33"/>
    </row>
    <row r="22" spans="2:5" ht="21.95" customHeight="1" x14ac:dyDescent="0.25">
      <c r="B22" s="47" t="s">
        <v>87</v>
      </c>
      <c r="C22" s="46"/>
      <c r="D22" s="33"/>
      <c r="E22" s="33"/>
    </row>
    <row r="23" spans="2:5" ht="21.95" customHeight="1" x14ac:dyDescent="0.25">
      <c r="B23" s="33"/>
      <c r="C23" s="33"/>
      <c r="D23" s="33"/>
      <c r="E23" s="33"/>
    </row>
    <row r="24" spans="2:5" ht="21.95" customHeight="1" x14ac:dyDescent="0.25">
      <c r="B24" s="47" t="s">
        <v>88</v>
      </c>
      <c r="C24" s="46"/>
      <c r="D24" s="33"/>
      <c r="E24" s="33"/>
    </row>
    <row r="25" spans="2:5" ht="30" customHeight="1" x14ac:dyDescent="0.25">
      <c r="B25" s="33"/>
      <c r="C25" s="33"/>
      <c r="D25" s="33"/>
      <c r="E25" s="33"/>
    </row>
    <row r="26" spans="2:5" ht="21.95" customHeight="1" x14ac:dyDescent="0.25">
      <c r="B26" s="47" t="s">
        <v>89</v>
      </c>
      <c r="C26" s="46"/>
      <c r="D26" s="33"/>
      <c r="E26" s="33"/>
    </row>
    <row r="27" spans="2:5" ht="42.75" customHeight="1" x14ac:dyDescent="0.25">
      <c r="B27" s="33"/>
      <c r="C27" s="33"/>
      <c r="D27" s="33"/>
      <c r="E27" s="33"/>
    </row>
  </sheetData>
  <mergeCells count="13">
    <mergeCell ref="B2:E2"/>
    <mergeCell ref="B26:B27"/>
    <mergeCell ref="B3:E5"/>
    <mergeCell ref="B24:B25"/>
    <mergeCell ref="B14:E14"/>
    <mergeCell ref="C24:E25"/>
    <mergeCell ref="B9:E9"/>
    <mergeCell ref="B8:E8"/>
    <mergeCell ref="C26:E27"/>
    <mergeCell ref="B22:B23"/>
    <mergeCell ref="B21:E21"/>
    <mergeCell ref="B15:E15"/>
    <mergeCell ref="C22:E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39"/>
  <sheetViews>
    <sheetView topLeftCell="A15" workbookViewId="0"/>
  </sheetViews>
  <sheetFormatPr defaultRowHeight="15" x14ac:dyDescent="0.25"/>
  <cols>
    <col min="1" max="1" width="3" customWidth="1"/>
    <col min="2" max="2" width="30" customWidth="1"/>
    <col min="3" max="3" width="55" customWidth="1"/>
    <col min="4" max="4" width="5" customWidth="1"/>
  </cols>
  <sheetData>
    <row r="1" spans="2:3" ht="8.1" customHeight="1" x14ac:dyDescent="0.25"/>
    <row r="2" spans="2:3" ht="32.1" customHeight="1" x14ac:dyDescent="0.25">
      <c r="B2" s="42" t="s">
        <v>90</v>
      </c>
      <c r="C2" s="33"/>
    </row>
    <row r="3" spans="2:3" ht="21.95" customHeight="1" x14ac:dyDescent="0.25">
      <c r="B3" s="45" t="s">
        <v>91</v>
      </c>
      <c r="C3" s="33"/>
    </row>
    <row r="4" spans="2:3" ht="9.9499999999999993" customHeight="1" x14ac:dyDescent="0.25"/>
    <row r="5" spans="2:3" ht="24" customHeight="1" x14ac:dyDescent="0.25">
      <c r="B5" s="5" t="s">
        <v>92</v>
      </c>
      <c r="C5" s="30" t="s">
        <v>93</v>
      </c>
    </row>
    <row r="6" spans="2:3" ht="24" customHeight="1" x14ac:dyDescent="0.25">
      <c r="B6" s="5" t="s">
        <v>94</v>
      </c>
      <c r="C6" s="31"/>
    </row>
    <row r="7" spans="2:3" ht="24" customHeight="1" x14ac:dyDescent="0.25">
      <c r="B7" s="5" t="s">
        <v>4</v>
      </c>
      <c r="C7" s="31"/>
    </row>
    <row r="8" spans="2:3" ht="24" customHeight="1" x14ac:dyDescent="0.25">
      <c r="B8" s="5" t="s">
        <v>95</v>
      </c>
      <c r="C8" s="30" t="s">
        <v>96</v>
      </c>
    </row>
    <row r="9" spans="2:3" ht="9.9499999999999993" customHeight="1" x14ac:dyDescent="0.25"/>
    <row r="10" spans="2:3" ht="42.75" customHeight="1" x14ac:dyDescent="0.25">
      <c r="B10" s="5" t="s">
        <v>97</v>
      </c>
      <c r="C10" s="49" t="s">
        <v>98</v>
      </c>
    </row>
    <row r="11" spans="2:3" ht="21.95" customHeight="1" x14ac:dyDescent="0.25">
      <c r="B11" s="48"/>
      <c r="C11" s="33"/>
    </row>
    <row r="12" spans="2:3" ht="21.95" customHeight="1" x14ac:dyDescent="0.25">
      <c r="B12" s="33"/>
      <c r="C12" s="33"/>
    </row>
    <row r="13" spans="2:3" ht="21.95" customHeight="1" x14ac:dyDescent="0.25">
      <c r="B13" s="33"/>
      <c r="C13" s="33"/>
    </row>
    <row r="14" spans="2:3" ht="6" customHeight="1" x14ac:dyDescent="0.25"/>
    <row r="15" spans="2:3" ht="51.75" customHeight="1" x14ac:dyDescent="0.25">
      <c r="B15" s="5" t="s">
        <v>99</v>
      </c>
      <c r="C15" s="49" t="s">
        <v>100</v>
      </c>
    </row>
    <row r="16" spans="2:3" ht="21.95" customHeight="1" x14ac:dyDescent="0.25">
      <c r="B16" s="48"/>
      <c r="C16" s="33"/>
    </row>
    <row r="17" spans="2:3" ht="21.95" customHeight="1" x14ac:dyDescent="0.25">
      <c r="B17" s="33"/>
      <c r="C17" s="33"/>
    </row>
    <row r="18" spans="2:3" ht="21.95" customHeight="1" x14ac:dyDescent="0.25">
      <c r="B18" s="33"/>
      <c r="C18" s="33"/>
    </row>
    <row r="19" spans="2:3" ht="6" customHeight="1" x14ac:dyDescent="0.25"/>
    <row r="20" spans="2:3" ht="39" customHeight="1" x14ac:dyDescent="0.25">
      <c r="B20" s="5" t="s">
        <v>101</v>
      </c>
      <c r="C20" s="49" t="s">
        <v>102</v>
      </c>
    </row>
    <row r="21" spans="2:3" ht="21.95" customHeight="1" x14ac:dyDescent="0.25">
      <c r="B21" s="48"/>
      <c r="C21" s="33"/>
    </row>
    <row r="22" spans="2:3" ht="21.95" customHeight="1" x14ac:dyDescent="0.25">
      <c r="B22" s="33"/>
      <c r="C22" s="33"/>
    </row>
    <row r="23" spans="2:3" ht="21.95" customHeight="1" x14ac:dyDescent="0.25">
      <c r="B23" s="33"/>
      <c r="C23" s="33"/>
    </row>
    <row r="24" spans="2:3" ht="6" customHeight="1" x14ac:dyDescent="0.25"/>
    <row r="25" spans="2:3" ht="36.75" customHeight="1" x14ac:dyDescent="0.25">
      <c r="B25" s="5" t="s">
        <v>103</v>
      </c>
      <c r="C25" s="49" t="s">
        <v>104</v>
      </c>
    </row>
    <row r="26" spans="2:3" ht="21.95" customHeight="1" x14ac:dyDescent="0.25">
      <c r="B26" s="48"/>
      <c r="C26" s="33"/>
    </row>
    <row r="27" spans="2:3" ht="21.95" customHeight="1" x14ac:dyDescent="0.25">
      <c r="B27" s="33"/>
      <c r="C27" s="33"/>
    </row>
    <row r="28" spans="2:3" ht="21.95" customHeight="1" x14ac:dyDescent="0.25">
      <c r="B28" s="33"/>
      <c r="C28" s="33"/>
    </row>
    <row r="29" spans="2:3" ht="6" customHeight="1" x14ac:dyDescent="0.25"/>
    <row r="30" spans="2:3" ht="37.5" customHeight="1" x14ac:dyDescent="0.25">
      <c r="B30" s="5" t="s">
        <v>105</v>
      </c>
      <c r="C30" s="49" t="s">
        <v>106</v>
      </c>
    </row>
    <row r="31" spans="2:3" ht="21.95" customHeight="1" x14ac:dyDescent="0.25">
      <c r="B31" s="48"/>
      <c r="C31" s="33"/>
    </row>
    <row r="32" spans="2:3" ht="21.95" customHeight="1" x14ac:dyDescent="0.25">
      <c r="B32" s="33"/>
      <c r="C32" s="33"/>
    </row>
    <row r="33" spans="2:3" ht="21.95" customHeight="1" x14ac:dyDescent="0.25">
      <c r="B33" s="33"/>
      <c r="C33" s="33"/>
    </row>
    <row r="34" spans="2:3" ht="6" customHeight="1" x14ac:dyDescent="0.25"/>
    <row r="35" spans="2:3" ht="21.95" customHeight="1" x14ac:dyDescent="0.25">
      <c r="B35" s="5" t="s">
        <v>107</v>
      </c>
      <c r="C35" s="49" t="s">
        <v>108</v>
      </c>
    </row>
    <row r="36" spans="2:3" ht="21.95" customHeight="1" x14ac:dyDescent="0.25">
      <c r="B36" s="48"/>
      <c r="C36" s="33"/>
    </row>
    <row r="37" spans="2:3" ht="21.95" customHeight="1" x14ac:dyDescent="0.25">
      <c r="B37" s="33"/>
      <c r="C37" s="33"/>
    </row>
    <row r="38" spans="2:3" ht="21.95" customHeight="1" x14ac:dyDescent="0.25">
      <c r="B38" s="33"/>
      <c r="C38" s="33"/>
    </row>
    <row r="39" spans="2:3" ht="6" customHeight="1" x14ac:dyDescent="0.25"/>
  </sheetData>
  <mergeCells count="14">
    <mergeCell ref="B36:B38"/>
    <mergeCell ref="B31:B33"/>
    <mergeCell ref="B2:C2"/>
    <mergeCell ref="C30:C33"/>
    <mergeCell ref="B3:C3"/>
    <mergeCell ref="B26:B28"/>
    <mergeCell ref="C25:C28"/>
    <mergeCell ref="B21:B23"/>
    <mergeCell ref="C20:C23"/>
    <mergeCell ref="B11:B13"/>
    <mergeCell ref="B16:B18"/>
    <mergeCell ref="C15:C18"/>
    <mergeCell ref="C10:C13"/>
    <mergeCell ref="C35:C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38"/>
  <sheetViews>
    <sheetView topLeftCell="A29" workbookViewId="0">
      <selection sqref="A1:XFD1048576"/>
    </sheetView>
  </sheetViews>
  <sheetFormatPr defaultColWidth="8.7109375" defaultRowHeight="15" x14ac:dyDescent="0.25"/>
  <cols>
    <col min="1" max="1" width="3" customWidth="1"/>
    <col min="2" max="2" width="28" customWidth="1"/>
    <col min="3" max="5" width="22" customWidth="1"/>
    <col min="6" max="6" width="5" customWidth="1"/>
  </cols>
  <sheetData>
    <row r="1" spans="2:5" ht="7.5" customHeight="1" x14ac:dyDescent="0.25"/>
    <row r="2" spans="2:5" ht="31.5" customHeight="1" x14ac:dyDescent="0.25">
      <c r="B2" s="57" t="s">
        <v>109</v>
      </c>
      <c r="C2" s="57"/>
      <c r="D2" s="57"/>
      <c r="E2" s="57"/>
    </row>
    <row r="3" spans="2:5" ht="21.75" customHeight="1" x14ac:dyDescent="0.25">
      <c r="B3" s="58" t="s">
        <v>110</v>
      </c>
      <c r="C3" s="58"/>
      <c r="D3" s="58"/>
      <c r="E3" s="58"/>
    </row>
    <row r="4" spans="2:5" ht="9.75" customHeight="1" x14ac:dyDescent="0.25"/>
    <row r="5" spans="2:5" ht="25.5" customHeight="1" x14ac:dyDescent="0.25">
      <c r="B5" s="59" t="s">
        <v>111</v>
      </c>
      <c r="C5" s="59"/>
      <c r="D5" s="59"/>
      <c r="E5" s="59"/>
    </row>
    <row r="6" spans="2:5" ht="25.5" customHeight="1" x14ac:dyDescent="0.25">
      <c r="B6" s="60"/>
      <c r="C6" s="60" t="s">
        <v>112</v>
      </c>
      <c r="D6" s="60" t="s">
        <v>113</v>
      </c>
      <c r="E6" s="60" t="s">
        <v>114</v>
      </c>
    </row>
    <row r="7" spans="2:5" ht="24" customHeight="1" x14ac:dyDescent="0.25">
      <c r="B7" s="61" t="s">
        <v>115</v>
      </c>
      <c r="C7" s="62">
        <v>-12000000</v>
      </c>
      <c r="D7" s="62">
        <v>-8000000</v>
      </c>
      <c r="E7" s="62">
        <v>-18000000</v>
      </c>
    </row>
    <row r="8" spans="2:5" ht="24" customHeight="1" x14ac:dyDescent="0.25">
      <c r="B8" s="61" t="s">
        <v>53</v>
      </c>
      <c r="C8" s="63">
        <v>10</v>
      </c>
      <c r="D8" s="63">
        <v>7</v>
      </c>
      <c r="E8" s="63">
        <v>10</v>
      </c>
    </row>
    <row r="9" spans="2:5" ht="7.5" customHeight="1" x14ac:dyDescent="0.25"/>
    <row r="10" spans="2:5" ht="25.5" customHeight="1" x14ac:dyDescent="0.25">
      <c r="B10" s="59" t="s">
        <v>116</v>
      </c>
      <c r="C10" s="59"/>
      <c r="D10" s="59"/>
      <c r="E10" s="59"/>
    </row>
    <row r="11" spans="2:5" ht="24" customHeight="1" x14ac:dyDescent="0.25">
      <c r="B11" s="61" t="s">
        <v>66</v>
      </c>
      <c r="C11" s="62">
        <v>4500000</v>
      </c>
      <c r="D11" s="62">
        <v>3200000</v>
      </c>
      <c r="E11" s="62">
        <v>7000000</v>
      </c>
    </row>
    <row r="12" spans="2:5" ht="24" customHeight="1" x14ac:dyDescent="0.25">
      <c r="B12" s="64" t="s">
        <v>69</v>
      </c>
      <c r="C12" s="65">
        <v>7204607.0842245799</v>
      </c>
      <c r="D12" s="65">
        <v>3843639.9991490399</v>
      </c>
      <c r="E12" s="65">
        <v>12111562.706913499</v>
      </c>
    </row>
    <row r="13" spans="2:5" ht="24" customHeight="1" x14ac:dyDescent="0.25">
      <c r="B13" s="61" t="s">
        <v>117</v>
      </c>
      <c r="C13" s="66" t="s">
        <v>118</v>
      </c>
      <c r="D13" s="66" t="s">
        <v>118</v>
      </c>
      <c r="E13" s="66" t="s">
        <v>118</v>
      </c>
    </row>
    <row r="14" spans="2:5" ht="7.5" customHeight="1" x14ac:dyDescent="0.25"/>
    <row r="15" spans="2:5" ht="25.5" customHeight="1" x14ac:dyDescent="0.25">
      <c r="B15" s="59" t="s">
        <v>119</v>
      </c>
      <c r="C15" s="59"/>
      <c r="D15" s="59"/>
      <c r="E15" s="59"/>
    </row>
    <row r="16" spans="2:5" ht="24" customHeight="1" x14ac:dyDescent="0.25">
      <c r="B16" s="64" t="s">
        <v>77</v>
      </c>
      <c r="C16" s="67">
        <v>0.19742659338769999</v>
      </c>
      <c r="D16" s="67">
        <v>0.20799876089805799</v>
      </c>
      <c r="E16" s="67">
        <v>0.20964699279898599</v>
      </c>
    </row>
    <row r="17" spans="2:5" ht="24" customHeight="1" x14ac:dyDescent="0.25">
      <c r="B17" s="61" t="s">
        <v>78</v>
      </c>
      <c r="C17" s="68">
        <v>0.09</v>
      </c>
      <c r="D17" s="68">
        <v>0.09</v>
      </c>
      <c r="E17" s="68">
        <v>0.09</v>
      </c>
    </row>
    <row r="18" spans="2:5" ht="24" customHeight="1" x14ac:dyDescent="0.25">
      <c r="B18" s="61" t="s">
        <v>120</v>
      </c>
      <c r="C18" s="66" t="s">
        <v>121</v>
      </c>
      <c r="D18" s="66" t="s">
        <v>121</v>
      </c>
      <c r="E18" s="66" t="s">
        <v>121</v>
      </c>
    </row>
    <row r="19" spans="2:5" ht="7.5" customHeight="1" x14ac:dyDescent="0.25"/>
    <row r="20" spans="2:5" ht="25.5" customHeight="1" x14ac:dyDescent="0.25">
      <c r="B20" s="59" t="s">
        <v>84</v>
      </c>
      <c r="C20" s="59"/>
      <c r="D20" s="59"/>
      <c r="E20" s="59"/>
    </row>
    <row r="21" spans="2:5" ht="24" customHeight="1" x14ac:dyDescent="0.25">
      <c r="B21" s="61" t="s">
        <v>82</v>
      </c>
      <c r="C21" s="62">
        <v>19204607.0842246</v>
      </c>
      <c r="D21" s="62">
        <v>11843639.999149</v>
      </c>
      <c r="E21" s="62">
        <v>30111562.706913501</v>
      </c>
    </row>
    <row r="22" spans="2:5" ht="24" customHeight="1" x14ac:dyDescent="0.25">
      <c r="B22" s="61" t="s">
        <v>83</v>
      </c>
      <c r="C22" s="62">
        <v>12000000</v>
      </c>
      <c r="D22" s="62">
        <v>8000000</v>
      </c>
      <c r="E22" s="62">
        <v>18000000</v>
      </c>
    </row>
    <row r="23" spans="2:5" ht="24" customHeight="1" x14ac:dyDescent="0.25">
      <c r="B23" s="64" t="s">
        <v>84</v>
      </c>
      <c r="C23" s="69">
        <v>1.6003839236853801</v>
      </c>
      <c r="D23" s="69">
        <v>1.4804549998936301</v>
      </c>
      <c r="E23" s="69">
        <v>1.6728645948285299</v>
      </c>
    </row>
    <row r="24" spans="2:5" ht="24" customHeight="1" x14ac:dyDescent="0.25">
      <c r="B24" s="61" t="s">
        <v>122</v>
      </c>
      <c r="C24" s="63">
        <v>2</v>
      </c>
      <c r="D24" s="63">
        <v>3</v>
      </c>
      <c r="E24" s="63">
        <v>1</v>
      </c>
    </row>
    <row r="25" spans="2:5" ht="7.5" customHeight="1" x14ac:dyDescent="0.25"/>
    <row r="26" spans="2:5" ht="25.5" customHeight="1" x14ac:dyDescent="0.25">
      <c r="B26" s="59" t="s">
        <v>123</v>
      </c>
      <c r="C26" s="59"/>
      <c r="D26" s="59"/>
      <c r="E26" s="59"/>
    </row>
    <row r="27" spans="2:5" ht="49.5" customHeight="1" x14ac:dyDescent="0.25">
      <c r="B27" s="70" t="s">
        <v>124</v>
      </c>
      <c r="C27" s="71" t="s">
        <v>154</v>
      </c>
      <c r="D27" s="71"/>
      <c r="E27" s="71"/>
    </row>
    <row r="28" spans="2:5" ht="49.5" customHeight="1" x14ac:dyDescent="0.25">
      <c r="B28" s="70" t="s">
        <v>125</v>
      </c>
      <c r="C28" s="71" t="s">
        <v>155</v>
      </c>
      <c r="D28" s="71"/>
      <c r="E28" s="71"/>
    </row>
    <row r="29" spans="2:5" ht="49.5" customHeight="1" x14ac:dyDescent="0.25">
      <c r="B29" s="70" t="s">
        <v>126</v>
      </c>
      <c r="C29" s="71" t="s">
        <v>156</v>
      </c>
      <c r="D29" s="71"/>
      <c r="E29" s="71"/>
    </row>
    <row r="30" spans="2:5" ht="49.5" customHeight="1" x14ac:dyDescent="0.25">
      <c r="B30" s="70" t="s">
        <v>127</v>
      </c>
      <c r="C30" s="71" t="s">
        <v>157</v>
      </c>
      <c r="D30" s="71"/>
      <c r="E30" s="71"/>
    </row>
    <row r="31" spans="2:5" ht="9.75" customHeight="1" x14ac:dyDescent="0.25"/>
    <row r="32" spans="2:5" ht="25.5" customHeight="1" x14ac:dyDescent="0.25">
      <c r="B32" s="59" t="s">
        <v>128</v>
      </c>
      <c r="C32" s="59"/>
      <c r="D32" s="59"/>
      <c r="E32" s="59"/>
    </row>
    <row r="33" spans="2:5" ht="24" customHeight="1" x14ac:dyDescent="0.25">
      <c r="B33" s="72" t="s">
        <v>129</v>
      </c>
      <c r="C33" s="72" t="s">
        <v>130</v>
      </c>
      <c r="D33" s="72" t="s">
        <v>131</v>
      </c>
      <c r="E33" s="72" t="s">
        <v>132</v>
      </c>
    </row>
    <row r="34" spans="2:5" ht="24" customHeight="1" x14ac:dyDescent="0.25">
      <c r="B34" s="73" t="s">
        <v>133</v>
      </c>
      <c r="C34" s="73" t="s">
        <v>134</v>
      </c>
      <c r="D34" s="73" t="s">
        <v>135</v>
      </c>
      <c r="E34" s="73" t="s">
        <v>136</v>
      </c>
    </row>
    <row r="35" spans="2:5" ht="24" customHeight="1" x14ac:dyDescent="0.25">
      <c r="B35" s="74" t="s">
        <v>137</v>
      </c>
      <c r="C35" s="74" t="s">
        <v>138</v>
      </c>
      <c r="D35" s="74" t="s">
        <v>139</v>
      </c>
      <c r="E35" s="74" t="s">
        <v>140</v>
      </c>
    </row>
    <row r="36" spans="2:5" ht="24" customHeight="1" x14ac:dyDescent="0.25">
      <c r="B36" s="73" t="s">
        <v>141</v>
      </c>
      <c r="C36" s="73" t="s">
        <v>142</v>
      </c>
      <c r="D36" s="73" t="s">
        <v>143</v>
      </c>
      <c r="E36" s="73" t="s">
        <v>144</v>
      </c>
    </row>
    <row r="37" spans="2:5" ht="24" customHeight="1" x14ac:dyDescent="0.25">
      <c r="B37" s="74" t="s">
        <v>145</v>
      </c>
      <c r="C37" s="74" t="s">
        <v>146</v>
      </c>
      <c r="D37" s="74" t="s">
        <v>147</v>
      </c>
      <c r="E37" s="74" t="s">
        <v>148</v>
      </c>
    </row>
    <row r="38" spans="2:5" ht="24" customHeight="1" x14ac:dyDescent="0.25">
      <c r="B38" s="73" t="s">
        <v>149</v>
      </c>
      <c r="C38" s="73" t="s">
        <v>150</v>
      </c>
      <c r="D38" s="73" t="s">
        <v>150</v>
      </c>
      <c r="E38" s="73" t="s">
        <v>150</v>
      </c>
    </row>
  </sheetData>
  <mergeCells count="12">
    <mergeCell ref="B32:E32"/>
    <mergeCell ref="B15:E15"/>
    <mergeCell ref="B3:E3"/>
    <mergeCell ref="B5:E5"/>
    <mergeCell ref="B2:E2"/>
    <mergeCell ref="C30:E30"/>
    <mergeCell ref="B10:E10"/>
    <mergeCell ref="B20:E20"/>
    <mergeCell ref="B26:E26"/>
    <mergeCell ref="C29:E29"/>
    <mergeCell ref="C28:E28"/>
    <mergeCell ref="C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Project Data</vt:lpstr>
      <vt:lpstr>NPV Analysis</vt:lpstr>
      <vt:lpstr>IRR &amp; PI Analysis</vt:lpstr>
      <vt:lpstr>Recommendation</vt:lpstr>
      <vt:lpstr>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Bethany Evitts</cp:lastModifiedBy>
  <dcterms:created xsi:type="dcterms:W3CDTF">2026-03-07T18:06:48Z</dcterms:created>
  <dcterms:modified xsi:type="dcterms:W3CDTF">2026-03-09T23:02:06Z</dcterms:modified>
</cp:coreProperties>
</file>