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7 - Valuing Stocks/"/>
    </mc:Choice>
  </mc:AlternateContent>
  <xr:revisionPtr revIDLastSave="148" documentId="8_{5629AE23-604F-4DB7-B8A0-9DEC5C35FB34}" xr6:coauthVersionLast="47" xr6:coauthVersionMax="47" xr10:uidLastSave="{9619F784-19B0-4253-BCD0-DFAF124D7CCB}"/>
  <bookViews>
    <workbookView minimized="1" xWindow="1210" yWindow="1200" windowWidth="19710" windowHeight="8170" tabRatio="834" activeTab="27" xr2:uid="{00000000-000D-0000-FFFF-FFFF00000000}"/>
  </bookViews>
  <sheets>
    <sheet name="Chapter 8" sheetId="23" r:id="rId1"/>
    <sheet name="#1" sheetId="1" r:id="rId2"/>
    <sheet name="#2" sheetId="2" r:id="rId3"/>
    <sheet name="#3" sheetId="3" r:id="rId4"/>
    <sheet name="#4" sheetId="4" r:id="rId5"/>
    <sheet name="#5" sheetId="5" r:id="rId6"/>
    <sheet name="#6" sheetId="6" r:id="rId7"/>
    <sheet name="#7" sheetId="7" r:id="rId8"/>
    <sheet name="#8" sheetId="8" r:id="rId9"/>
    <sheet name="#9" sheetId="28" r:id="rId10"/>
    <sheet name="#10" sheetId="37" r:id="rId11"/>
    <sheet name="#11" sheetId="38" r:id="rId12"/>
    <sheet name="#12" sheetId="30" r:id="rId13"/>
    <sheet name="#13" sheetId="31" r:id="rId14"/>
    <sheet name="#14" sheetId="9" r:id="rId15"/>
    <sheet name="#15" sheetId="10" r:id="rId16"/>
    <sheet name="#16" sheetId="11" r:id="rId17"/>
    <sheet name="#17" sheetId="12" r:id="rId18"/>
    <sheet name="#18" sheetId="13" r:id="rId19"/>
    <sheet name="#19" sheetId="14" r:id="rId20"/>
    <sheet name="#20" sheetId="16" r:id="rId21"/>
    <sheet name="#21" sheetId="17" r:id="rId22"/>
    <sheet name="#22" sheetId="18" r:id="rId23"/>
    <sheet name="#23" sheetId="19" r:id="rId24"/>
    <sheet name="#24" sheetId="25" r:id="rId25"/>
    <sheet name="#25" sheetId="26" r:id="rId26"/>
    <sheet name="#26" sheetId="32" r:id="rId27"/>
    <sheet name="#27" sheetId="33" r:id="rId28"/>
    <sheet name="#28" sheetId="34" r:id="rId29"/>
    <sheet name="#29" sheetId="35" r:id="rId30"/>
    <sheet name="#30" sheetId="39" r:id="rId31"/>
    <sheet name="#31" sheetId="40" r:id="rId32"/>
    <sheet name="#32" sheetId="20" r:id="rId33"/>
    <sheet name="#33" sheetId="21" r:id="rId34"/>
    <sheet name="#34, 35" sheetId="22" r:id="rId35"/>
    <sheet name="#35 Answer Report" sheetId="46" r:id="rId36"/>
  </sheets>
  <definedNames>
    <definedName name="solver_adj" localSheetId="34" hidden="1">'#34, 35'!$D$7</definedName>
    <definedName name="solver_cvg" localSheetId="34" hidden="1">0.0001</definedName>
    <definedName name="solver_drv" localSheetId="34" hidden="1">1</definedName>
    <definedName name="solver_eng" localSheetId="34" hidden="1">1</definedName>
    <definedName name="solver_est" localSheetId="34" hidden="1">1</definedName>
    <definedName name="solver_itr" localSheetId="34" hidden="1">100</definedName>
    <definedName name="solver_lin" localSheetId="34" hidden="1">2</definedName>
    <definedName name="solver_mip" localSheetId="34" hidden="1">2147483647</definedName>
    <definedName name="solver_mni" localSheetId="34" hidden="1">30</definedName>
    <definedName name="solver_mrt" localSheetId="34" hidden="1">0.075</definedName>
    <definedName name="solver_msl" localSheetId="34" hidden="1">2</definedName>
    <definedName name="solver_neg" localSheetId="34" hidden="1">2</definedName>
    <definedName name="solver_nod" localSheetId="34" hidden="1">2147483647</definedName>
    <definedName name="solver_num" localSheetId="34" hidden="1">0</definedName>
    <definedName name="solver_nwt" localSheetId="34" hidden="1">1</definedName>
    <definedName name="solver_opt" localSheetId="34" hidden="1">'#34, 35'!$D$21</definedName>
    <definedName name="solver_pre" localSheetId="34" hidden="1">0.000001</definedName>
    <definedName name="solver_rbv" localSheetId="34" hidden="1">1</definedName>
    <definedName name="solver_rlx" localSheetId="34" hidden="1">1</definedName>
    <definedName name="solver_rsd" localSheetId="34" hidden="1">0</definedName>
    <definedName name="solver_scl" localSheetId="34" hidden="1">2</definedName>
    <definedName name="solver_sho" localSheetId="34" hidden="1">2</definedName>
    <definedName name="solver_ssz" localSheetId="34" hidden="1">100</definedName>
    <definedName name="solver_tim" localSheetId="34" hidden="1">100</definedName>
    <definedName name="solver_tol" localSheetId="34" hidden="1">0.05</definedName>
    <definedName name="solver_typ" localSheetId="34" hidden="1">3</definedName>
    <definedName name="solver_val" localSheetId="34" hidden="1">84.25</definedName>
    <definedName name="solver_ver" localSheetId="3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9" l="1"/>
  <c r="N17" i="18"/>
  <c r="Q17" i="18"/>
  <c r="Q15" i="18"/>
  <c r="N15" i="18"/>
  <c r="M15" i="18"/>
  <c r="G14" i="8"/>
  <c r="I26" i="20"/>
  <c r="I28" i="20"/>
  <c r="I29" i="20"/>
  <c r="I30" i="20"/>
  <c r="I32" i="20"/>
  <c r="I33" i="20"/>
  <c r="I34" i="20"/>
  <c r="I36" i="20"/>
  <c r="I37" i="20"/>
  <c r="I38" i="20"/>
  <c r="I39" i="20"/>
  <c r="I25" i="20"/>
  <c r="G19" i="21"/>
  <c r="G20" i="21"/>
  <c r="G21" i="21"/>
  <c r="G23" i="21"/>
  <c r="G17" i="21"/>
  <c r="G21" i="22"/>
  <c r="G19" i="22"/>
  <c r="G17" i="25"/>
  <c r="M7" i="19"/>
  <c r="G19" i="19"/>
  <c r="G21" i="19"/>
  <c r="G23" i="19"/>
  <c r="G17" i="19"/>
  <c r="R20" i="1"/>
  <c r="R19" i="1"/>
  <c r="R18" i="1"/>
  <c r="O20" i="1"/>
  <c r="N20" i="1"/>
  <c r="O19" i="1"/>
  <c r="N19" i="1"/>
  <c r="O18" i="1"/>
  <c r="N18" i="1"/>
  <c r="G20" i="1"/>
  <c r="G19" i="1"/>
  <c r="G18" i="1"/>
  <c r="D17" i="18"/>
  <c r="G17" i="18"/>
  <c r="G15" i="18"/>
  <c r="D16" i="13"/>
  <c r="D19" i="13"/>
  <c r="D20" i="13" s="1"/>
  <c r="D21" i="13" l="1"/>
  <c r="C15" i="18" l="1"/>
  <c r="D23" i="13"/>
  <c r="D23" i="12"/>
  <c r="D22" i="12"/>
  <c r="D21" i="12"/>
  <c r="D14" i="6"/>
  <c r="D16" i="6" s="1"/>
  <c r="D18" i="6" s="1"/>
  <c r="D15" i="4" l="1"/>
  <c r="D20" i="1"/>
  <c r="D19" i="1"/>
  <c r="D18" i="1"/>
  <c r="D18" i="40" l="1"/>
  <c r="C20" i="1" l="1"/>
  <c r="C19" i="1"/>
  <c r="C18" i="1"/>
  <c r="D20" i="40" l="1"/>
  <c r="D17" i="40"/>
  <c r="D19" i="40" s="1"/>
  <c r="C19" i="39"/>
  <c r="C18" i="39"/>
  <c r="D22" i="39"/>
  <c r="D23" i="39" s="1"/>
  <c r="D24" i="39" s="1"/>
  <c r="D25" i="39" s="1"/>
  <c r="D26" i="39" s="1"/>
  <c r="D14" i="37"/>
  <c r="D16" i="37" s="1"/>
  <c r="D8" i="38"/>
  <c r="D7" i="38"/>
  <c r="F22" i="39" l="1"/>
  <c r="D21" i="40"/>
  <c r="D23" i="40" s="1"/>
  <c r="D15" i="38"/>
  <c r="D17" i="38" s="1"/>
  <c r="F23" i="39" l="1"/>
  <c r="F24" i="39" l="1"/>
  <c r="D18" i="39" l="1"/>
  <c r="F25" i="39"/>
  <c r="D16" i="35"/>
  <c r="D18" i="35" s="1"/>
  <c r="C16" i="35"/>
  <c r="C18" i="35"/>
  <c r="G20" i="34"/>
  <c r="F20" i="34"/>
  <c r="E20" i="34"/>
  <c r="D19" i="34"/>
  <c r="D20" i="34"/>
  <c r="D25" i="34"/>
  <c r="G19" i="34"/>
  <c r="F19" i="34"/>
  <c r="E19" i="34"/>
  <c r="D21" i="33"/>
  <c r="G18" i="33"/>
  <c r="F18" i="33"/>
  <c r="E18" i="33"/>
  <c r="D18" i="33"/>
  <c r="D17" i="32"/>
  <c r="D19" i="32" s="1"/>
  <c r="D15" i="32"/>
  <c r="C19" i="31"/>
  <c r="C18" i="31"/>
  <c r="D16" i="31"/>
  <c r="D18" i="31" s="1"/>
  <c r="D16" i="30"/>
  <c r="D15" i="30"/>
  <c r="C16" i="30"/>
  <c r="C15" i="30"/>
  <c r="D22" i="34" l="1"/>
  <c r="D27" i="34" s="1"/>
  <c r="D23" i="34"/>
  <c r="D28" i="34" s="1"/>
  <c r="D21" i="32"/>
  <c r="D20" i="33"/>
  <c r="D23" i="33" s="1"/>
  <c r="D19" i="39"/>
  <c r="E26" i="39" s="1"/>
  <c r="F26" i="39" s="1"/>
  <c r="D28" i="39" s="1"/>
  <c r="D19" i="31"/>
  <c r="D19" i="22"/>
  <c r="D21" i="22" s="1"/>
  <c r="D15" i="18"/>
  <c r="D18" i="12"/>
  <c r="D16" i="10"/>
  <c r="D18" i="10" s="1"/>
  <c r="D19" i="28"/>
  <c r="D18" i="28"/>
  <c r="D17" i="28"/>
  <c r="D17" i="26"/>
  <c r="D17" i="25"/>
  <c r="D18" i="9"/>
  <c r="D19" i="9" s="1"/>
  <c r="D21" i="9" s="1"/>
  <c r="D17" i="19"/>
  <c r="D21" i="19" s="1"/>
  <c r="D23" i="19" s="1"/>
  <c r="D16" i="11"/>
  <c r="D15" i="16"/>
  <c r="D9" i="3"/>
  <c r="D8" i="3"/>
  <c r="D17" i="3" s="1"/>
  <c r="D7" i="3"/>
  <c r="D15" i="3" s="1"/>
  <c r="D19" i="14"/>
  <c r="D21" i="14" s="1"/>
  <c r="D15" i="17"/>
  <c r="D36" i="20"/>
  <c r="D37" i="20" s="1"/>
  <c r="D38" i="20" s="1"/>
  <c r="D39" i="20" s="1"/>
  <c r="D32" i="20"/>
  <c r="D33" i="20" s="1"/>
  <c r="D34" i="20" s="1"/>
  <c r="D28" i="20"/>
  <c r="D29" i="20" s="1"/>
  <c r="D30" i="20" s="1"/>
  <c r="D24" i="20"/>
  <c r="D25" i="20" s="1"/>
  <c r="D26" i="20" s="1"/>
  <c r="D15" i="2"/>
  <c r="D20" i="21"/>
  <c r="D19" i="21"/>
  <c r="D17" i="21"/>
  <c r="D14" i="5"/>
  <c r="D15" i="7"/>
  <c r="D14" i="8"/>
  <c r="D17" i="11" l="1"/>
  <c r="D18" i="11" s="1"/>
  <c r="D19" i="11" s="1"/>
  <c r="D20" i="11" s="1"/>
  <c r="D24" i="12"/>
  <c r="D26" i="12" s="1"/>
  <c r="D21" i="21"/>
  <c r="D23" i="21" s="1"/>
  <c r="D23" i="14"/>
  <c r="D25" i="14" s="1"/>
  <c r="D19" i="19"/>
  <c r="D22" i="11" l="1"/>
</calcChain>
</file>

<file path=xl/sharedStrings.xml><?xml version="1.0" encoding="utf-8"?>
<sst xmlns="http://schemas.openxmlformats.org/spreadsheetml/2006/main" count="470" uniqueCount="232">
  <si>
    <t>Question 3</t>
  </si>
  <si>
    <t>Input area:</t>
  </si>
  <si>
    <t>Output area:</t>
  </si>
  <si>
    <t>Question 1</t>
  </si>
  <si>
    <t>Chapter 8</t>
  </si>
  <si>
    <t>Dividend paid</t>
  </si>
  <si>
    <t>Dividend growth rate</t>
  </si>
  <si>
    <t>Required return</t>
  </si>
  <si>
    <t>Question 2</t>
  </si>
  <si>
    <t>Question 4</t>
  </si>
  <si>
    <t>Question 5</t>
  </si>
  <si>
    <t>Question 6</t>
  </si>
  <si>
    <t>Stock price</t>
  </si>
  <si>
    <t>Question 7</t>
  </si>
  <si>
    <t>Years until dividend ceases</t>
  </si>
  <si>
    <t>Current dividend</t>
  </si>
  <si>
    <t>Question 8</t>
  </si>
  <si>
    <t>Share price</t>
  </si>
  <si>
    <t>Question 9</t>
  </si>
  <si>
    <t>Final required return</t>
  </si>
  <si>
    <t>Question 10</t>
  </si>
  <si>
    <t>Years until first dividend</t>
  </si>
  <si>
    <t>Future dividend</t>
  </si>
  <si>
    <t>Question 11</t>
  </si>
  <si>
    <t>Dividend</t>
  </si>
  <si>
    <t>Question 12</t>
  </si>
  <si>
    <t>Dividend one</t>
  </si>
  <si>
    <t>Dividend two</t>
  </si>
  <si>
    <t>Dividend three</t>
  </si>
  <si>
    <t>Dividend four</t>
  </si>
  <si>
    <t>Question 13</t>
  </si>
  <si>
    <t>Dividend growth rate - period 1</t>
  </si>
  <si>
    <t>Dividend growth rate - period 2</t>
  </si>
  <si>
    <t>Question 14</t>
  </si>
  <si>
    <t>Initial dividend growth rate</t>
  </si>
  <si>
    <t>Second growth rate</t>
  </si>
  <si>
    <t>Final growth rate</t>
  </si>
  <si>
    <t>Question 15</t>
  </si>
  <si>
    <t>Question 17</t>
  </si>
  <si>
    <t>Years until dividend begins</t>
  </si>
  <si>
    <t>Question 18</t>
  </si>
  <si>
    <t>Dividend yield</t>
  </si>
  <si>
    <t>Change in price</t>
  </si>
  <si>
    <t>Question 19</t>
  </si>
  <si>
    <t>Most recent dividend</t>
  </si>
  <si>
    <t>Stock X dividend growth rate</t>
  </si>
  <si>
    <t>Stock W dividend growth rate</t>
  </si>
  <si>
    <t>Stock Y dividend growth rate</t>
  </si>
  <si>
    <t>Stock Z:</t>
  </si>
  <si>
    <t>Initial growth rate</t>
  </si>
  <si>
    <t>Dividend yields:</t>
  </si>
  <si>
    <t>Question 20</t>
  </si>
  <si>
    <t>Year 1 dividend growth rate</t>
  </si>
  <si>
    <t>Year 2 dividend growth rate</t>
  </si>
  <si>
    <t>Year 3 dividend growth rate</t>
  </si>
  <si>
    <t>Input boxes in tan</t>
  </si>
  <si>
    <t>Output boxes in yellow</t>
  </si>
  <si>
    <t>Given data in blue</t>
  </si>
  <si>
    <t>Calculations in red</t>
  </si>
  <si>
    <t>Answers in green</t>
  </si>
  <si>
    <t>a.</t>
  </si>
  <si>
    <t>b.</t>
  </si>
  <si>
    <t>Year 4 dividend growth rate</t>
  </si>
  <si>
    <t xml:space="preserve">Price   </t>
  </si>
  <si>
    <t>Year</t>
  </si>
  <si>
    <t>Years of growth</t>
  </si>
  <si>
    <t>Required return for first 3 years</t>
  </si>
  <si>
    <t>Required return for second 3 years</t>
  </si>
  <si>
    <t xml:space="preserve">Required return </t>
  </si>
  <si>
    <t xml:space="preserve">Dividend yield  </t>
  </si>
  <si>
    <t xml:space="preserve">Capital gains yield  </t>
  </si>
  <si>
    <t xml:space="preserve">Required return  </t>
  </si>
  <si>
    <t xml:space="preserve">Current dividend </t>
  </si>
  <si>
    <t xml:space="preserve">Share price </t>
  </si>
  <si>
    <t xml:space="preserve">Stock price at beginning of final period </t>
  </si>
  <si>
    <t xml:space="preserve">Stock price at beginning of second period </t>
  </si>
  <si>
    <t xml:space="preserve">Current stock price </t>
  </si>
  <si>
    <t xml:space="preserve">Price </t>
  </si>
  <si>
    <t xml:space="preserve">Next four dividends </t>
  </si>
  <si>
    <t xml:space="preserve">Effective quarterly rate </t>
  </si>
  <si>
    <t xml:space="preserve">Effective first dividend </t>
  </si>
  <si>
    <t>Question 22</t>
  </si>
  <si>
    <t>Question 21</t>
  </si>
  <si>
    <t xml:space="preserve">Stock W price </t>
  </si>
  <si>
    <t xml:space="preserve">Dividend yield </t>
  </si>
  <si>
    <t xml:space="preserve">Capital gains yield </t>
  </si>
  <si>
    <t xml:space="preserve">Stock X price </t>
  </si>
  <si>
    <t xml:space="preserve">Stock Y price </t>
  </si>
  <si>
    <t xml:space="preserve">Stock Z price at final rate </t>
  </si>
  <si>
    <t xml:space="preserve">Stock Z current price </t>
  </si>
  <si>
    <t xml:space="preserve">Today's closing price </t>
  </si>
  <si>
    <t xml:space="preserve">Yesterday's closing price </t>
  </si>
  <si>
    <t xml:space="preserve">Earnings per share </t>
  </si>
  <si>
    <t xml:space="preserve">Net income </t>
  </si>
  <si>
    <t>Input Area:</t>
  </si>
  <si>
    <t>Dividend per share</t>
  </si>
  <si>
    <t>Terminal growth rate</t>
  </si>
  <si>
    <t>Output Area:</t>
  </si>
  <si>
    <r>
      <t>P</t>
    </r>
    <r>
      <rPr>
        <vertAlign val="subscript"/>
        <sz val="12"/>
        <rFont val="Arial"/>
        <family val="2"/>
      </rPr>
      <t>4</t>
    </r>
    <r>
      <rPr>
        <sz val="12"/>
        <rFont val="Arial"/>
        <family val="2"/>
      </rPr>
      <t xml:space="preserve"> </t>
    </r>
  </si>
  <si>
    <t xml:space="preserve">Next year's dividend </t>
  </si>
  <si>
    <t xml:space="preserve">Current dividend  </t>
  </si>
  <si>
    <t xml:space="preserve">NOTE: Some functions used in these spreadsheets may require that </t>
  </si>
  <si>
    <t>Next year's dividend</t>
  </si>
  <si>
    <t>Question 23</t>
  </si>
  <si>
    <t>Red required return</t>
  </si>
  <si>
    <t>Yellow required return</t>
  </si>
  <si>
    <t>Blue required return</t>
  </si>
  <si>
    <t>Red price</t>
  </si>
  <si>
    <t>Yellow price</t>
  </si>
  <si>
    <t>Blue price</t>
  </si>
  <si>
    <t>Stock price at constant growth</t>
  </si>
  <si>
    <t>Price after Year 4 dividend</t>
  </si>
  <si>
    <t>the "Analysis ToolPak" or "Solver Add-In" be installed in Excel.</t>
  </si>
  <si>
    <t xml:space="preserve">"Go." Check "Analyis ToolPak" and </t>
  </si>
  <si>
    <t>"Solver Add-In," then click "OK."</t>
  </si>
  <si>
    <t>Question 31</t>
  </si>
  <si>
    <t>Question 30</t>
  </si>
  <si>
    <t>Question 29</t>
  </si>
  <si>
    <t>Question 28</t>
  </si>
  <si>
    <t>Question 27</t>
  </si>
  <si>
    <t>EPS</t>
  </si>
  <si>
    <t>Benchmark PE</t>
  </si>
  <si>
    <t>Sales per share</t>
  </si>
  <si>
    <t>Shares outstanding</t>
  </si>
  <si>
    <t>Question 24</t>
  </si>
  <si>
    <t>Earnings growth rate</t>
  </si>
  <si>
    <t>Current stock price</t>
  </si>
  <si>
    <t>Next year's EPS</t>
  </si>
  <si>
    <t>Target stock price next year</t>
  </si>
  <si>
    <t>c.</t>
  </si>
  <si>
    <t>Implicit return</t>
  </si>
  <si>
    <t>Question 25</t>
  </si>
  <si>
    <t>Year 1</t>
  </si>
  <si>
    <t>Year 2</t>
  </si>
  <si>
    <t>Year 3</t>
  </si>
  <si>
    <t>Year 4</t>
  </si>
  <si>
    <t>PE ratio</t>
  </si>
  <si>
    <t>Average PE</t>
  </si>
  <si>
    <t>Question 26</t>
  </si>
  <si>
    <t>High stock price</t>
  </si>
  <si>
    <t>Low stock price</t>
  </si>
  <si>
    <t>Low PE ratio</t>
  </si>
  <si>
    <t>High PE ratio</t>
  </si>
  <si>
    <t>Average low PE ratio</t>
  </si>
  <si>
    <t>Average high PE ratio</t>
  </si>
  <si>
    <t>High target stock price next year</t>
  </si>
  <si>
    <t>Low target stock price next year</t>
  </si>
  <si>
    <t>Year for target stock price</t>
  </si>
  <si>
    <t>Problems 1-35</t>
  </si>
  <si>
    <t>Questions 34, 35</t>
  </si>
  <si>
    <t>Question 33</t>
  </si>
  <si>
    <t>Question 32</t>
  </si>
  <si>
    <t>Number of seats</t>
  </si>
  <si>
    <t xml:space="preserve">Straight voting shares required  </t>
  </si>
  <si>
    <t xml:space="preserve">Dollars required in straight voting  </t>
  </si>
  <si>
    <t xml:space="preserve">Cumulative voting shares required </t>
  </si>
  <si>
    <t xml:space="preserve">Dollars required in cumulative voting </t>
  </si>
  <si>
    <t>Terminal price</t>
  </si>
  <si>
    <t>Present value</t>
  </si>
  <si>
    <t>Terminal payout ratio</t>
  </si>
  <si>
    <t>Equity</t>
  </si>
  <si>
    <t>Net income</t>
  </si>
  <si>
    <t>Dividends</t>
  </si>
  <si>
    <t>ROE</t>
  </si>
  <si>
    <t>Sustainable growth rate</t>
  </si>
  <si>
    <t>Current EPS</t>
  </si>
  <si>
    <t>EPS in one year</t>
  </si>
  <si>
    <t>Target stock price in one year</t>
  </si>
  <si>
    <t>Question 16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</si>
  <si>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</si>
  <si>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</si>
  <si>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</si>
  <si>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</si>
  <si>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100 sec,  Iterations 100, Precision 0.000001</t>
  </si>
  <si>
    <t xml:space="preserve"> Convergence 0.0001, Population Size 100, Random Seed 0, Derivatives Forward, Require Bounds</t>
  </si>
  <si>
    <t>Max Subproblems Unlimited, Max Integer Sols Unlimited, Integer Tolerance 5%, Solve Without Integer Constraints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</si>
  <si>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</si>
  <si>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</si>
  <si>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</si>
  <si>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</si>
  <si>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</si>
  <si>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</si>
  <si>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</si>
  <si>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</si>
  <si>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</si>
  <si>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</si>
  <si>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</si>
  <si>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</si>
  <si>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$D$7</t>
  </si>
  <si>
    <t>Contin</t>
  </si>
  <si>
    <t>Binding</t>
  </si>
  <si>
    <t>Benchmark PS</t>
  </si>
  <si>
    <t>Common shares outstanding</t>
  </si>
  <si>
    <t>Retention ratio</t>
  </si>
  <si>
    <t>To install these, click on the File tab</t>
  </si>
  <si>
    <t>then "Options," "Add-Ins" and select</t>
  </si>
  <si>
    <t xml:space="preserve">Sales </t>
  </si>
  <si>
    <t>Microsoft Excel 16.0 Answer Report</t>
  </si>
  <si>
    <t>Solution Time: 0.031 Seconds.</t>
  </si>
  <si>
    <t>Iterations: 1 Subproblems: 0</t>
  </si>
  <si>
    <t>Year for price</t>
  </si>
  <si>
    <t>Dividend next year</t>
  </si>
  <si>
    <t>As the required return increases, the stock price decreases. This is a function of the time value of money: A higher discount rate decreases the present value of cash flows. It is also important to note that relatively small changes in the required return can have a dramatic impact on the stock price. </t>
  </si>
  <si>
    <t>Price at end of high growth</t>
  </si>
  <si>
    <t>Initial number of years</t>
  </si>
  <si>
    <t>Second number of years</t>
  </si>
  <si>
    <r>
      <t>X D</t>
    </r>
    <r>
      <rPr>
        <vertAlign val="subscript"/>
        <sz val="12"/>
        <rFont val="Arial"/>
        <family val="2"/>
      </rPr>
      <t>0</t>
    </r>
  </si>
  <si>
    <t>Years of high growth</t>
  </si>
  <si>
    <t>Notice that the return is the same as the growth rate in earnings. Assuming a stock pays no dividends and the PE ratio is constant, this will always be true when using price ratios to evaluate the price of a share of stock. </t>
  </si>
  <si>
    <t>In all cases, the required return is 12%, but this return is distributed differently between current income and capital gains. High growth stocks have an appreciable capital gains component but a relatively small current income yield; conversely, mature, negative growth stocks provide a high current income but also price depreciation over time.</t>
  </si>
  <si>
    <t>Share price after Year 3 dividend</t>
  </si>
  <si>
    <t>To solve Problem #35, adjust the required return until the share price is equal to $67.25. Alternatively, you could use the "Solver" or "Goal Seek" functions as we did.</t>
  </si>
  <si>
    <t>Cash flow</t>
  </si>
  <si>
    <t>Initial years of growth</t>
  </si>
  <si>
    <t>Worksheet: [FCF 14th edition Chapter 08.xlsx]#34, 35</t>
  </si>
  <si>
    <t>Report Created: 2/18/2023 5:55:21 PM</t>
  </si>
  <si>
    <t>$D$21</t>
  </si>
  <si>
    <t>$D$21=84.25</t>
  </si>
  <si>
    <t xml:space="preserve"> </t>
  </si>
  <si>
    <t>Dividend Yield = Dividend Paid / Closting Price</t>
  </si>
  <si>
    <t>EPS =Closing Price/ PE Ratio</t>
  </si>
  <si>
    <t>Closing Price = PE Ration * EPS</t>
  </si>
  <si>
    <t xml:space="preserve"> Net Income=EPS *Commonshares Outstanding</t>
  </si>
  <si>
    <t>=D0*(1+g)/(r-g)</t>
  </si>
  <si>
    <t>=D0*(1+g)/ Dividend Per Year</t>
  </si>
  <si>
    <t>=(1+r)^(1/DivperYear) -1</t>
  </si>
  <si>
    <t>Dividend paid (D0)</t>
  </si>
  <si>
    <t>Dividend growth rate (g))</t>
  </si>
  <si>
    <t>Required return ('r)</t>
  </si>
  <si>
    <t>Dividends per year (Qtrly)</t>
  </si>
  <si>
    <t>Required Return = Dividend/ Share Price</t>
  </si>
  <si>
    <t>=Dividend Paid/Dividend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</si>
</sst>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  <numFmt numFmtId="167" formatCode="_(* #,##0.00_);_(* \(#,##0.00\);_(* &quot;-&quot;_);_(@_)"/>
    <numFmt numFmtId="168" formatCode="_(&quot;$&quot;* #,##0.0000_);_(&quot;$&quot;* \(#,##0.0000\);_(&quot;$&quot;* &quot;-&quot;??_);_(@_)"/>
    <numFmt numFmtId="169" formatCode="_(* #,##0.0_);_(* \(#,##0.0\);_(* &quot;-&quot;_);_(@_)"/>
  </numFmts>
  <fonts count="3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indexed="48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0"/>
      <color indexed="8"/>
      <name val="Arial"/>
      <family val="2"/>
    </font>
    <font>
      <sz val="48"/>
      <color indexed="52"/>
      <name val="Arial"/>
      <family val="2"/>
    </font>
    <font>
      <sz val="10"/>
      <color indexed="19"/>
      <name val="Arial"/>
      <family val="2"/>
    </font>
    <font>
      <sz val="18"/>
      <color indexed="52"/>
      <name val="Arial"/>
      <family val="2"/>
    </font>
    <font>
      <sz val="12"/>
      <color indexed="8"/>
      <name val="Arial"/>
      <family val="2"/>
    </font>
    <font>
      <b/>
      <sz val="12"/>
      <color indexed="47"/>
      <name val="Arial"/>
      <family val="2"/>
    </font>
    <font>
      <b/>
      <sz val="12"/>
      <color indexed="43"/>
      <name val="Arial"/>
      <family val="2"/>
    </font>
    <font>
      <b/>
      <sz val="12"/>
      <color indexed="48"/>
      <name val="Arial"/>
      <family val="2"/>
    </font>
    <font>
      <b/>
      <sz val="12"/>
      <color indexed="10"/>
      <name val="Arial"/>
      <family val="2"/>
    </font>
    <font>
      <vertAlign val="subscript"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b/>
      <sz val="12"/>
      <color rgb="FF339966"/>
      <name val="Arial"/>
      <family val="2"/>
    </font>
    <font>
      <b/>
      <sz val="10"/>
      <name val="Arial"/>
      <family val="2"/>
    </font>
    <font>
      <sz val="12"/>
      <color rgb="FF0050C7"/>
      <name val="Arial"/>
      <family val="2"/>
    </font>
    <font>
      <b/>
      <sz val="12"/>
      <color rgb="FF007A37"/>
      <name val="Arial"/>
      <family val="2"/>
    </font>
    <font>
      <sz val="12"/>
      <color rgb="FFB80000"/>
      <name val="Arial"/>
      <family val="2"/>
    </font>
    <font>
      <b/>
      <sz val="12"/>
      <color rgb="FFB80000"/>
      <name val="Arial"/>
      <family val="2"/>
    </font>
    <font>
      <b/>
      <sz val="10"/>
      <color indexed="18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1" fillId="0" borderId="0"/>
  </cellStyleXfs>
  <cellXfs count="161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41" fontId="5" fillId="3" borderId="0" xfId="2" applyNumberFormat="1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9" fontId="7" fillId="3" borderId="0" xfId="3" applyFont="1" applyFill="1" applyBorder="1" applyAlignment="1">
      <alignment horizontal="right"/>
    </xf>
    <xf numFmtId="164" fontId="5" fillId="3" borderId="5" xfId="2" applyNumberFormat="1" applyFont="1" applyFill="1" applyBorder="1"/>
    <xf numFmtId="44" fontId="6" fillId="3" borderId="0" xfId="2" applyFont="1" applyFill="1" applyBorder="1"/>
    <xf numFmtId="43" fontId="6" fillId="3" borderId="0" xfId="1" applyFont="1" applyFill="1" applyBorder="1"/>
    <xf numFmtId="167" fontId="6" fillId="3" borderId="0" xfId="2" applyNumberFormat="1" applyFont="1" applyFill="1" applyBorder="1"/>
    <xf numFmtId="44" fontId="4" fillId="0" borderId="0" xfId="2" applyFont="1" applyFill="1" applyBorder="1"/>
    <xf numFmtId="9" fontId="4" fillId="0" borderId="0" xfId="3" applyFont="1" applyFill="1" applyBorder="1"/>
    <xf numFmtId="37" fontId="4" fillId="0" borderId="0" xfId="1" applyNumberFormat="1" applyFont="1" applyFill="1" applyBorder="1"/>
    <xf numFmtId="44" fontId="4" fillId="2" borderId="5" xfId="2" applyFont="1" applyFill="1" applyBorder="1"/>
    <xf numFmtId="9" fontId="4" fillId="2" borderId="5" xfId="3" applyFont="1" applyFill="1" applyBorder="1"/>
    <xf numFmtId="166" fontId="4" fillId="2" borderId="5" xfId="3" applyNumberFormat="1" applyFont="1" applyFill="1" applyBorder="1"/>
    <xf numFmtId="37" fontId="4" fillId="2" borderId="5" xfId="1" applyNumberFormat="1" applyFont="1" applyFill="1" applyBorder="1"/>
    <xf numFmtId="41" fontId="5" fillId="3" borderId="5" xfId="2" applyNumberFormat="1" applyFont="1" applyFill="1" applyBorder="1"/>
    <xf numFmtId="0" fontId="3" fillId="2" borderId="0" xfId="0" applyFont="1" applyFill="1"/>
    <xf numFmtId="0" fontId="3" fillId="3" borderId="0" xfId="0" applyFont="1" applyFill="1"/>
    <xf numFmtId="9" fontId="7" fillId="3" borderId="0" xfId="3" applyFont="1" applyFill="1" applyBorder="1"/>
    <xf numFmtId="9" fontId="7" fillId="3" borderId="0" xfId="2" applyNumberFormat="1" applyFont="1" applyFill="1" applyBorder="1"/>
    <xf numFmtId="167" fontId="6" fillId="3" borderId="5" xfId="2" applyNumberFormat="1" applyFont="1" applyFill="1" applyBorder="1"/>
    <xf numFmtId="44" fontId="7" fillId="3" borderId="0" xfId="2" applyFont="1" applyFill="1" applyBorder="1"/>
    <xf numFmtId="9" fontId="7" fillId="3" borderId="7" xfId="3" applyFont="1" applyFill="1" applyBorder="1"/>
    <xf numFmtId="167" fontId="6" fillId="3" borderId="8" xfId="2" applyNumberFormat="1" applyFont="1" applyFill="1" applyBorder="1"/>
    <xf numFmtId="0" fontId="8" fillId="4" borderId="0" xfId="0" applyFont="1" applyFill="1"/>
    <xf numFmtId="0" fontId="0" fillId="4" borderId="0" xfId="0" applyFill="1"/>
    <xf numFmtId="2" fontId="9" fillId="4" borderId="0" xfId="0" applyNumberFormat="1" applyFont="1" applyFill="1"/>
    <xf numFmtId="0" fontId="10" fillId="4" borderId="0" xfId="0" applyFont="1" applyFill="1"/>
    <xf numFmtId="0" fontId="11" fillId="4" borderId="0" xfId="0" applyFont="1" applyFill="1" applyAlignment="1">
      <alignment horizontal="center"/>
    </xf>
    <xf numFmtId="0" fontId="12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5" fillId="4" borderId="0" xfId="0" applyFont="1" applyFill="1"/>
    <xf numFmtId="0" fontId="16" fillId="4" borderId="0" xfId="0" applyFont="1" applyFill="1"/>
    <xf numFmtId="0" fontId="7" fillId="4" borderId="0" xfId="0" applyFont="1" applyFill="1"/>
    <xf numFmtId="44" fontId="5" fillId="2" borderId="0" xfId="2" applyFont="1" applyFill="1" applyBorder="1"/>
    <xf numFmtId="9" fontId="5" fillId="2" borderId="0" xfId="3" applyFont="1" applyFill="1" applyBorder="1"/>
    <xf numFmtId="0" fontId="3" fillId="3" borderId="4" xfId="0" applyFont="1" applyFill="1" applyBorder="1"/>
    <xf numFmtId="0" fontId="18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41" fontId="5" fillId="2" borderId="0" xfId="3" applyNumberFormat="1" applyFont="1" applyFill="1" applyBorder="1"/>
    <xf numFmtId="44" fontId="5" fillId="2" borderId="0" xfId="1" applyNumberFormat="1" applyFont="1" applyFill="1" applyBorder="1"/>
    <xf numFmtId="0" fontId="2" fillId="0" borderId="0" xfId="0" quotePrefix="1" applyFont="1"/>
    <xf numFmtId="0" fontId="21" fillId="4" borderId="0" xfId="4" applyFont="1" applyFill="1"/>
    <xf numFmtId="0" fontId="22" fillId="4" borderId="0" xfId="4" applyFont="1" applyFill="1"/>
    <xf numFmtId="0" fontId="23" fillId="4" borderId="0" xfId="4" applyFont="1" applyFill="1"/>
    <xf numFmtId="0" fontId="25" fillId="3" borderId="4" xfId="0" applyFont="1" applyFill="1" applyBorder="1"/>
    <xf numFmtId="44" fontId="26" fillId="3" borderId="0" xfId="0" applyNumberFormat="1" applyFont="1" applyFill="1"/>
    <xf numFmtId="0" fontId="24" fillId="2" borderId="0" xfId="0" applyFont="1" applyFill="1" applyAlignment="1">
      <alignment horizontal="right"/>
    </xf>
    <xf numFmtId="0" fontId="24" fillId="5" borderId="0" xfId="0" applyFont="1" applyFill="1" applyAlignment="1">
      <alignment horizontal="right"/>
    </xf>
    <xf numFmtId="0" fontId="2" fillId="0" borderId="0" xfId="5" applyFont="1"/>
    <xf numFmtId="0" fontId="18" fillId="0" borderId="0" xfId="5" applyFont="1"/>
    <xf numFmtId="0" fontId="3" fillId="0" borderId="0" xfId="5" applyFont="1"/>
    <xf numFmtId="0" fontId="2" fillId="2" borderId="1" xfId="5" applyFont="1" applyFill="1" applyBorder="1"/>
    <xf numFmtId="0" fontId="3" fillId="2" borderId="2" xfId="5" applyFont="1" applyFill="1" applyBorder="1"/>
    <xf numFmtId="0" fontId="2" fillId="2" borderId="2" xfId="5" applyFont="1" applyFill="1" applyBorder="1"/>
    <xf numFmtId="0" fontId="2" fillId="2" borderId="3" xfId="5" applyFont="1" applyFill="1" applyBorder="1"/>
    <xf numFmtId="0" fontId="2" fillId="2" borderId="4" xfId="5" applyFont="1" applyFill="1" applyBorder="1"/>
    <xf numFmtId="0" fontId="2" fillId="2" borderId="0" xfId="5" applyFont="1" applyFill="1"/>
    <xf numFmtId="0" fontId="2" fillId="2" borderId="5" xfId="5" applyFont="1" applyFill="1" applyBorder="1"/>
    <xf numFmtId="0" fontId="2" fillId="2" borderId="6" xfId="5" applyFont="1" applyFill="1" applyBorder="1"/>
    <xf numFmtId="0" fontId="2" fillId="2" borderId="7" xfId="5" applyFont="1" applyFill="1" applyBorder="1"/>
    <xf numFmtId="0" fontId="2" fillId="2" borderId="8" xfId="5" applyFont="1" applyFill="1" applyBorder="1"/>
    <xf numFmtId="0" fontId="2" fillId="3" borderId="1" xfId="5" applyFont="1" applyFill="1" applyBorder="1"/>
    <xf numFmtId="0" fontId="2" fillId="3" borderId="2" xfId="5" applyFont="1" applyFill="1" applyBorder="1"/>
    <xf numFmtId="0" fontId="2" fillId="3" borderId="3" xfId="5" applyFont="1" applyFill="1" applyBorder="1"/>
    <xf numFmtId="0" fontId="2" fillId="3" borderId="0" xfId="5" applyFont="1" applyFill="1"/>
    <xf numFmtId="3" fontId="6" fillId="3" borderId="0" xfId="5" applyNumberFormat="1" applyFont="1" applyFill="1"/>
    <xf numFmtId="0" fontId="2" fillId="3" borderId="5" xfId="5" applyFont="1" applyFill="1" applyBorder="1"/>
    <xf numFmtId="0" fontId="2" fillId="3" borderId="6" xfId="5" applyFont="1" applyFill="1" applyBorder="1"/>
    <xf numFmtId="0" fontId="2" fillId="3" borderId="7" xfId="5" applyFont="1" applyFill="1" applyBorder="1"/>
    <xf numFmtId="0" fontId="2" fillId="3" borderId="8" xfId="5" applyFont="1" applyFill="1" applyBorder="1"/>
    <xf numFmtId="0" fontId="1" fillId="0" borderId="0" xfId="5"/>
    <xf numFmtId="0" fontId="24" fillId="3" borderId="4" xfId="5" applyFont="1" applyFill="1" applyBorder="1"/>
    <xf numFmtId="0" fontId="27" fillId="0" borderId="0" xfId="0" applyFont="1"/>
    <xf numFmtId="0" fontId="0" fillId="0" borderId="11" xfId="0" applyBorder="1"/>
    <xf numFmtId="44" fontId="0" fillId="0" borderId="11" xfId="0" applyNumberFormat="1" applyBorder="1"/>
    <xf numFmtId="10" fontId="0" fillId="0" borderId="11" xfId="0" applyNumberFormat="1" applyBorder="1"/>
    <xf numFmtId="10" fontId="26" fillId="5" borderId="0" xfId="3" applyNumberFormat="1" applyFont="1" applyFill="1" applyBorder="1"/>
    <xf numFmtId="44" fontId="28" fillId="2" borderId="0" xfId="2" applyFont="1" applyFill="1" applyBorder="1"/>
    <xf numFmtId="9" fontId="28" fillId="2" borderId="0" xfId="3" applyFont="1" applyFill="1" applyBorder="1"/>
    <xf numFmtId="166" fontId="28" fillId="2" borderId="0" xfId="3" applyNumberFormat="1" applyFont="1" applyFill="1" applyBorder="1"/>
    <xf numFmtId="37" fontId="28" fillId="2" borderId="0" xfId="1" applyNumberFormat="1" applyFont="1" applyFill="1" applyBorder="1"/>
    <xf numFmtId="44" fontId="29" fillId="3" borderId="9" xfId="2" applyFont="1" applyFill="1" applyBorder="1"/>
    <xf numFmtId="10" fontId="29" fillId="3" borderId="9" xfId="3" applyNumberFormat="1" applyFont="1" applyFill="1" applyBorder="1"/>
    <xf numFmtId="44" fontId="30" fillId="2" borderId="0" xfId="2" applyFont="1" applyFill="1" applyBorder="1"/>
    <xf numFmtId="166" fontId="30" fillId="2" borderId="0" xfId="3" applyNumberFormat="1" applyFont="1" applyFill="1" applyBorder="1"/>
    <xf numFmtId="10" fontId="29" fillId="3" borderId="9" xfId="3" applyNumberFormat="1" applyFont="1" applyFill="1" applyBorder="1" applyAlignment="1">
      <alignment horizontal="right"/>
    </xf>
    <xf numFmtId="10" fontId="29" fillId="3" borderId="9" xfId="0" applyNumberFormat="1" applyFont="1" applyFill="1" applyBorder="1"/>
    <xf numFmtId="10" fontId="28" fillId="2" borderId="0" xfId="3" applyNumberFormat="1" applyFont="1" applyFill="1" applyBorder="1"/>
    <xf numFmtId="10" fontId="29" fillId="3" borderId="9" xfId="2" applyNumberFormat="1" applyFont="1" applyFill="1" applyBorder="1"/>
    <xf numFmtId="44" fontId="30" fillId="3" borderId="0" xfId="0" applyNumberFormat="1" applyFont="1" applyFill="1"/>
    <xf numFmtId="165" fontId="28" fillId="2" borderId="0" xfId="1" applyNumberFormat="1" applyFont="1" applyFill="1" applyBorder="1"/>
    <xf numFmtId="44" fontId="30" fillId="2" borderId="0" xfId="1" applyNumberFormat="1" applyFont="1" applyFill="1" applyBorder="1"/>
    <xf numFmtId="44" fontId="28" fillId="2" borderId="0" xfId="1" applyNumberFormat="1" applyFont="1" applyFill="1" applyBorder="1"/>
    <xf numFmtId="37" fontId="30" fillId="2" borderId="0" xfId="2" applyNumberFormat="1" applyFont="1" applyFill="1" applyBorder="1"/>
    <xf numFmtId="3" fontId="30" fillId="3" borderId="0" xfId="5" applyNumberFormat="1" applyFont="1" applyFill="1"/>
    <xf numFmtId="164" fontId="29" fillId="3" borderId="9" xfId="3" applyNumberFormat="1" applyFont="1" applyFill="1" applyBorder="1"/>
    <xf numFmtId="37" fontId="28" fillId="2" borderId="0" xfId="2" applyNumberFormat="1" applyFont="1" applyFill="1" applyBorder="1"/>
    <xf numFmtId="164" fontId="29" fillId="3" borderId="9" xfId="5" applyNumberFormat="1" applyFont="1" applyFill="1" applyBorder="1"/>
    <xf numFmtId="41" fontId="28" fillId="2" borderId="0" xfId="3" applyNumberFormat="1" applyFont="1" applyFill="1" applyBorder="1"/>
    <xf numFmtId="164" fontId="28" fillId="2" borderId="0" xfId="2" applyNumberFormat="1" applyFont="1" applyFill="1" applyBorder="1"/>
    <xf numFmtId="41" fontId="28" fillId="2" borderId="0" xfId="2" applyNumberFormat="1" applyFont="1" applyFill="1" applyBorder="1"/>
    <xf numFmtId="169" fontId="28" fillId="2" borderId="0" xfId="3" applyNumberFormat="1" applyFont="1" applyFill="1" applyBorder="1"/>
    <xf numFmtId="44" fontId="30" fillId="3" borderId="0" xfId="2" applyFont="1" applyFill="1" applyBorder="1"/>
    <xf numFmtId="43" fontId="30" fillId="3" borderId="0" xfId="1" applyFont="1" applyFill="1" applyBorder="1"/>
    <xf numFmtId="44" fontId="29" fillId="3" borderId="9" xfId="1" applyNumberFormat="1" applyFont="1" applyFill="1" applyBorder="1"/>
    <xf numFmtId="43" fontId="30" fillId="3" borderId="0" xfId="0" applyNumberFormat="1" applyFont="1" applyFill="1"/>
    <xf numFmtId="167" fontId="2" fillId="3" borderId="0" xfId="2" applyNumberFormat="1" applyFont="1" applyFill="1" applyBorder="1"/>
    <xf numFmtId="167" fontId="2" fillId="3" borderId="0" xfId="2" quotePrefix="1" applyNumberFormat="1" applyFont="1" applyFill="1" applyBorder="1"/>
    <xf numFmtId="167" fontId="30" fillId="3" borderId="0" xfId="2" applyNumberFormat="1" applyFont="1" applyFill="1" applyBorder="1"/>
    <xf numFmtId="43" fontId="28" fillId="2" borderId="0" xfId="1" applyFont="1" applyFill="1" applyBorder="1"/>
    <xf numFmtId="164" fontId="29" fillId="3" borderId="9" xfId="2" applyNumberFormat="1" applyFont="1" applyFill="1" applyBorder="1"/>
    <xf numFmtId="44" fontId="29" fillId="3" borderId="9" xfId="0" applyNumberFormat="1" applyFont="1" applyFill="1" applyBorder="1"/>
    <xf numFmtId="10" fontId="29" fillId="5" borderId="9" xfId="3" applyNumberFormat="1" applyFont="1" applyFill="1" applyBorder="1"/>
    <xf numFmtId="44" fontId="28" fillId="2" borderId="0" xfId="3" applyNumberFormat="1" applyFont="1" applyFill="1" applyBorder="1"/>
    <xf numFmtId="44" fontId="28" fillId="2" borderId="0" xfId="0" applyNumberFormat="1" applyFont="1" applyFill="1"/>
    <xf numFmtId="43" fontId="28" fillId="2" borderId="0" xfId="0" applyNumberFormat="1" applyFont="1" applyFill="1"/>
    <xf numFmtId="0" fontId="28" fillId="2" borderId="0" xfId="0" applyFont="1" applyFill="1"/>
    <xf numFmtId="2" fontId="30" fillId="3" borderId="0" xfId="0" applyNumberFormat="1" applyFont="1" applyFill="1"/>
    <xf numFmtId="0" fontId="30" fillId="3" borderId="0" xfId="0" applyFont="1" applyFill="1"/>
    <xf numFmtId="44" fontId="31" fillId="3" borderId="0" xfId="0" applyNumberFormat="1" applyFont="1" applyFill="1"/>
    <xf numFmtId="44" fontId="29" fillId="5" borderId="9" xfId="3" applyNumberFormat="1" applyFont="1" applyFill="1" applyBorder="1"/>
    <xf numFmtId="165" fontId="28" fillId="2" borderId="0" xfId="3" applyNumberFormat="1" applyFont="1" applyFill="1" applyBorder="1"/>
    <xf numFmtId="164" fontId="28" fillId="2" borderId="0" xfId="3" applyNumberFormat="1" applyFont="1" applyFill="1" applyBorder="1"/>
    <xf numFmtId="10" fontId="30" fillId="3" borderId="0" xfId="3" applyNumberFormat="1" applyFont="1" applyFill="1" applyBorder="1"/>
    <xf numFmtId="44" fontId="30" fillId="3" borderId="0" xfId="1" applyNumberFormat="1" applyFont="1" applyFill="1" applyBorder="1"/>
    <xf numFmtId="9" fontId="29" fillId="3" borderId="9" xfId="3" applyFont="1" applyFill="1" applyBorder="1"/>
    <xf numFmtId="9" fontId="29" fillId="3" borderId="9" xfId="2" applyNumberFormat="1" applyFont="1" applyFill="1" applyBorder="1"/>
    <xf numFmtId="166" fontId="29" fillId="3" borderId="9" xfId="3" applyNumberFormat="1" applyFont="1" applyFill="1" applyBorder="1"/>
    <xf numFmtId="168" fontId="30" fillId="3" borderId="0" xfId="2" applyNumberFormat="1" applyFont="1" applyFill="1" applyBorder="1"/>
    <xf numFmtId="0" fontId="32" fillId="0" borderId="10" xfId="0" applyFont="1" applyBorder="1" applyAlignment="1">
      <alignment horizontal="center"/>
    </xf>
    <xf numFmtId="8" fontId="29" fillId="3" borderId="9" xfId="2" applyNumberFormat="1" applyFont="1" applyFill="1" applyBorder="1"/>
    <xf numFmtId="0" fontId="1" fillId="0" borderId="0" xfId="0" applyFont="1"/>
    <xf numFmtId="44" fontId="2" fillId="0" borderId="0" xfId="0" applyNumberFormat="1" applyFont="1"/>
    <xf numFmtId="10" fontId="2" fillId="0" borderId="0" xfId="3" applyNumberFormat="1" applyFont="1"/>
    <xf numFmtId="0" fontId="33" fillId="0" borderId="0" xfId="0" quotePrefix="1" applyFont="1"/>
    <xf numFmtId="0" fontId="33" fillId="0" borderId="0" xfId="0" applyFont="1"/>
    <xf numFmtId="0" fontId="2" fillId="5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6">
    <cellStyle name="Comma" xfId="1" builtinId="3"/>
    <cellStyle name="Currency" xfId="2" builtinId="4"/>
    <cellStyle name="Normal" xfId="0" builtinId="0"/>
    <cellStyle name="Normal 2" xfId="4" xr:uid="{00000000-0005-0000-0000-000003000000}"/>
    <cellStyle name="Normal 3" xfId="5" xr:uid="{00000000-0005-0000-0000-000004000000}"/>
    <cellStyle name="Percent" xfId="3" builtinId="5"/>
  </cellStyles>
  <dxfs count="0"/>
  <tableStyles count="0" defaultTableStyle="TableStyleMedium9" defaultPivotStyle="PivotStyleLight16"/>
  <colors>
    <mruColors>
      <color rgb="FF0000FF"/>
      <color rgb="FFB80000"/>
      <color rgb="FF007A37"/>
      <color rgb="FF0050C7"/>
      <color rgb="FFFFFF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4</xdr:col>
      <xdr:colOff>562053</xdr:colOff>
      <xdr:row>26</xdr:row>
      <xdr:rowOff>38133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0" y="5095875"/>
          <a:ext cx="562053" cy="238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25</xdr:row>
      <xdr:rowOff>0</xdr:rowOff>
    </xdr:from>
    <xdr:to>
      <xdr:col>22</xdr:col>
      <xdr:colOff>201041</xdr:colOff>
      <xdr:row>55</xdr:row>
      <xdr:rowOff>143573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84F80-B835-60C6-D654-E8FF728A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4825" y="4791075"/>
          <a:ext cx="7278116" cy="50013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9</xdr:col>
      <xdr:colOff>591397</xdr:colOff>
      <xdr:row>24</xdr:row>
      <xdr:rowOff>9617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1F95F-7782-4E6E-AE72-193B386EB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3762375"/>
          <a:ext cx="6068272" cy="6573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14</xdr:col>
      <xdr:colOff>515569</xdr:colOff>
      <xdr:row>32</xdr:row>
      <xdr:rowOff>66956</xdr:rowOff>
    </xdr:to>
    <xdr:pic>
      <xdr:nvPicPr>
        <xdr:cNvPr id="2" name="Picture 1" descr="A white background with colorful text&#10;&#10;AI-generated content may be incorrect.">
          <a:extLst>
            <a:ext uri="{FF2B5EF4-FFF2-40B4-BE49-F238E27FC236}">
              <a16:creationId xmlns:a16="http://schemas.microsoft.com/office/drawing/2014/main" id="{5C8B56E7-5ABA-8C9A-77FA-7DE31AD39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3790950"/>
          <a:ext cx="8735644" cy="20100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20</xdr:col>
      <xdr:colOff>325086</xdr:colOff>
      <xdr:row>2</xdr:row>
      <xdr:rowOff>95322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5E29F-3F78-B282-074C-2C8C744CC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5" y="0"/>
          <a:ext cx="8859486" cy="5144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16</xdr:col>
      <xdr:colOff>86914</xdr:colOff>
      <xdr:row>1</xdr:row>
      <xdr:rowOff>161980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A756B-B693-4A95-49EF-041EC5C5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0"/>
          <a:ext cx="8516539" cy="3905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12</xdr:col>
      <xdr:colOff>1687217</xdr:colOff>
      <xdr:row>36</xdr:row>
      <xdr:rowOff>19370</xdr:rowOff>
    </xdr:to>
    <xdr:pic>
      <xdr:nvPicPr>
        <xdr:cNvPr id="3" name="Picture 2" descr="A close-up of a message&#10;&#10;AI-generated content may be incorrect.">
          <a:extLst>
            <a:ext uri="{FF2B5EF4-FFF2-40B4-BE49-F238E27FC236}">
              <a16:creationId xmlns:a16="http://schemas.microsoft.com/office/drawing/2014/main" id="{E2EE989B-DB81-F7B5-3530-AF0E69671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4448175"/>
          <a:ext cx="9259592" cy="2295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workbookViewId="0"/>
  </sheetViews>
  <sheetFormatPr defaultColWidth="9.1796875" defaultRowHeight="12.5" x14ac:dyDescent="0.25"/>
  <cols>
    <col min="1" max="3" width="9.1796875" style="45"/>
    <col min="4" max="4" width="42.54296875" style="45" customWidth="1"/>
    <col min="5" max="16384" width="9.1796875" style="45"/>
  </cols>
  <sheetData>
    <row r="1" spans="1:29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29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29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29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29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29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29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29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spans="1:29" ht="60" x14ac:dyDescent="1.1499999999999999">
      <c r="A12" s="44"/>
      <c r="B12" s="44"/>
      <c r="C12" s="44"/>
      <c r="D12" s="46" t="s">
        <v>4</v>
      </c>
      <c r="E12" s="44"/>
      <c r="F12" s="47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spans="1:29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spans="1:29" ht="22.5" x14ac:dyDescent="0.45">
      <c r="A14" s="44"/>
      <c r="B14" s="44"/>
      <c r="C14" s="44"/>
      <c r="D14" s="48" t="s">
        <v>148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29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spans="1:29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spans="1:29" ht="15.5" x14ac:dyDescent="0.35">
      <c r="A17" s="44"/>
      <c r="B17" s="44"/>
      <c r="C17" s="44"/>
      <c r="D17" s="49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spans="1:29" ht="15.5" x14ac:dyDescent="0.35">
      <c r="A18" s="44"/>
      <c r="B18" s="44"/>
      <c r="C18" s="44"/>
      <c r="D18" s="50" t="s">
        <v>55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 ht="15.5" x14ac:dyDescent="0.35">
      <c r="A19" s="44"/>
      <c r="B19" s="44"/>
      <c r="C19" s="44"/>
      <c r="D19" s="51" t="s">
        <v>56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5.5" x14ac:dyDescent="0.35">
      <c r="A20" s="44"/>
      <c r="B20" s="44"/>
      <c r="C20" s="44"/>
      <c r="D20" s="52" t="s">
        <v>57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5.5" x14ac:dyDescent="0.35">
      <c r="A21" s="44"/>
      <c r="B21" s="44"/>
      <c r="C21" s="44"/>
      <c r="D21" s="53" t="s">
        <v>58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5.5" x14ac:dyDescent="0.35">
      <c r="A22" s="44"/>
      <c r="B22" s="44"/>
      <c r="C22" s="44"/>
      <c r="D22" s="54" t="s">
        <v>59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spans="1:29" ht="15.5" x14ac:dyDescent="0.35">
      <c r="A23" s="44"/>
      <c r="B23" s="44"/>
      <c r="C23" s="44"/>
      <c r="D23" s="49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 spans="1:29" ht="15.5" x14ac:dyDescent="0.35">
      <c r="A24" s="44"/>
      <c r="B24" s="44"/>
      <c r="C24" s="44"/>
      <c r="D24" s="64" t="s">
        <v>101</v>
      </c>
      <c r="E24" s="65"/>
      <c r="F24" s="65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 spans="1:29" ht="15.5" x14ac:dyDescent="0.35">
      <c r="A25" s="44"/>
      <c r="B25" s="44"/>
      <c r="C25" s="44"/>
      <c r="D25" s="64" t="s">
        <v>112</v>
      </c>
      <c r="E25" s="65"/>
      <c r="F25" s="65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spans="1:29" ht="15.5" x14ac:dyDescent="0.35">
      <c r="A26" s="44"/>
      <c r="B26" s="44"/>
      <c r="C26" s="44"/>
      <c r="D26" s="64" t="s">
        <v>194</v>
      </c>
      <c r="E26" s="65"/>
      <c r="F26" s="65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 spans="1:29" ht="15.5" x14ac:dyDescent="0.35">
      <c r="A27" s="44"/>
      <c r="B27" s="44"/>
      <c r="C27" s="44"/>
      <c r="D27" s="64" t="s">
        <v>195</v>
      </c>
      <c r="E27" s="65"/>
      <c r="F27" s="65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 spans="1:29" ht="15.5" x14ac:dyDescent="0.35">
      <c r="A28" s="44"/>
      <c r="B28" s="44"/>
      <c r="C28" s="44"/>
      <c r="D28" s="66" t="s">
        <v>113</v>
      </c>
      <c r="E28" s="65"/>
      <c r="F28" s="65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 spans="1:29" ht="15.5" x14ac:dyDescent="0.35">
      <c r="A29" s="44"/>
      <c r="B29" s="44"/>
      <c r="C29" s="44"/>
      <c r="D29" s="66" t="s">
        <v>114</v>
      </c>
      <c r="E29" s="65"/>
      <c r="F29" s="65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spans="1:29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 spans="1:29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 spans="1:29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pans="1:29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 spans="1:29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spans="1:2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spans="1:29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spans="1:29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 spans="1:29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1111">
    <tabColor rgb="FF0000FF"/>
  </sheetPr>
  <dimension ref="B1:R23"/>
  <sheetViews>
    <sheetView topLeftCell="A3" workbookViewId="0">
      <selection activeCell="Q15" sqref="Q15"/>
    </sheetView>
  </sheetViews>
  <sheetFormatPr defaultRowHeight="12.5" x14ac:dyDescent="0.25"/>
  <cols>
    <col min="2" max="2" width="3.1796875" customWidth="1"/>
    <col min="3" max="3" width="22.81640625" customWidth="1"/>
    <col min="4" max="4" width="19.54296875" customWidth="1"/>
    <col min="5" max="5" width="3.1796875" customWidth="1"/>
    <col min="6" max="8" width="9.1796875" customWidth="1"/>
    <col min="14" max="14" width="18" customWidth="1"/>
    <col min="15" max="15" width="15" customWidth="1"/>
    <col min="17" max="17" width="9.1796875" customWidth="1"/>
  </cols>
  <sheetData>
    <row r="1" spans="2:16" s="1" customFormat="1" ht="18" x14ac:dyDescent="0.4">
      <c r="C1" s="58" t="s">
        <v>4</v>
      </c>
    </row>
    <row r="2" spans="2:16" s="1" customFormat="1" ht="15.5" x14ac:dyDescent="0.35">
      <c r="C2" s="1" t="s">
        <v>3</v>
      </c>
    </row>
    <row r="3" spans="2:16" s="1" customFormat="1" ht="15.5" x14ac:dyDescent="0.35"/>
    <row r="4" spans="2:16" s="1" customFormat="1" ht="15.5" x14ac:dyDescent="0.35">
      <c r="C4" s="2" t="s">
        <v>1</v>
      </c>
      <c r="N4" s="2" t="s">
        <v>1</v>
      </c>
    </row>
    <row r="5" spans="2:16" s="1" customFormat="1" ht="16" thickBot="1" x14ac:dyDescent="0.4">
      <c r="C5" s="2"/>
      <c r="N5" s="2"/>
    </row>
    <row r="6" spans="2:16" s="1" customFormat="1" ht="15.5" x14ac:dyDescent="0.35">
      <c r="B6" s="3"/>
      <c r="C6" s="4"/>
      <c r="D6" s="5"/>
      <c r="E6" s="6"/>
      <c r="M6" s="3"/>
      <c r="N6" s="4"/>
      <c r="O6" s="5"/>
      <c r="P6" s="6"/>
    </row>
    <row r="7" spans="2:16" s="1" customFormat="1" ht="15.5" x14ac:dyDescent="0.35">
      <c r="B7" s="7"/>
      <c r="C7" s="8" t="s">
        <v>5</v>
      </c>
      <c r="D7" s="100">
        <v>3.65</v>
      </c>
      <c r="E7" s="9"/>
      <c r="M7" s="7"/>
      <c r="N7" s="8" t="s">
        <v>5</v>
      </c>
      <c r="O7" s="100">
        <v>1.9</v>
      </c>
      <c r="P7" s="9"/>
    </row>
    <row r="8" spans="2:16" s="1" customFormat="1" ht="15.5" x14ac:dyDescent="0.35">
      <c r="B8" s="7"/>
      <c r="C8" s="8" t="s">
        <v>6</v>
      </c>
      <c r="D8" s="101">
        <v>0.04</v>
      </c>
      <c r="E8" s="9"/>
      <c r="M8" s="7"/>
      <c r="N8" s="8" t="s">
        <v>6</v>
      </c>
      <c r="O8" s="101">
        <v>0.06</v>
      </c>
      <c r="P8" s="9"/>
    </row>
    <row r="9" spans="2:16" s="1" customFormat="1" ht="15.5" x14ac:dyDescent="0.35">
      <c r="B9" s="7"/>
      <c r="C9" s="8" t="s">
        <v>7</v>
      </c>
      <c r="D9" s="102">
        <v>0.105</v>
      </c>
      <c r="E9" s="9"/>
      <c r="M9" s="7"/>
      <c r="N9" s="8" t="s">
        <v>7</v>
      </c>
      <c r="O9" s="102">
        <v>0.1</v>
      </c>
      <c r="P9" s="9"/>
    </row>
    <row r="10" spans="2:16" s="1" customFormat="1" ht="15.5" x14ac:dyDescent="0.35">
      <c r="B10" s="7"/>
      <c r="C10" s="8" t="s">
        <v>200</v>
      </c>
      <c r="D10" s="103">
        <v>0</v>
      </c>
      <c r="E10" s="9"/>
      <c r="M10" s="7"/>
      <c r="N10" s="8" t="s">
        <v>200</v>
      </c>
      <c r="O10" s="103">
        <v>0</v>
      </c>
      <c r="P10" s="9"/>
    </row>
    <row r="11" spans="2:16" s="1" customFormat="1" ht="15.5" x14ac:dyDescent="0.35">
      <c r="B11" s="7"/>
      <c r="C11" s="8" t="s">
        <v>200</v>
      </c>
      <c r="D11" s="103">
        <v>3</v>
      </c>
      <c r="E11" s="9"/>
      <c r="M11" s="7"/>
      <c r="N11" s="8" t="s">
        <v>200</v>
      </c>
      <c r="O11" s="103">
        <v>3</v>
      </c>
      <c r="P11" s="9"/>
    </row>
    <row r="12" spans="2:16" s="1" customFormat="1" ht="15.5" x14ac:dyDescent="0.35">
      <c r="B12" s="7"/>
      <c r="C12" s="8" t="s">
        <v>200</v>
      </c>
      <c r="D12" s="103">
        <v>15</v>
      </c>
      <c r="E12" s="9"/>
      <c r="M12" s="7"/>
      <c r="N12" s="8" t="s">
        <v>200</v>
      </c>
      <c r="O12" s="103">
        <v>5</v>
      </c>
      <c r="P12" s="9"/>
    </row>
    <row r="13" spans="2:16" s="1" customFormat="1" ht="15" customHeight="1" thickBot="1" x14ac:dyDescent="0.4">
      <c r="B13" s="10"/>
      <c r="C13" s="11"/>
      <c r="D13" s="11"/>
      <c r="E13" s="12"/>
      <c r="M13" s="10"/>
      <c r="N13" s="11"/>
      <c r="O13" s="11"/>
      <c r="P13" s="12"/>
    </row>
    <row r="14" spans="2:16" s="1" customFormat="1" ht="15.5" x14ac:dyDescent="0.35"/>
    <row r="15" spans="2:16" s="1" customFormat="1" ht="15.5" x14ac:dyDescent="0.35">
      <c r="C15" s="2" t="s">
        <v>2</v>
      </c>
      <c r="N15" s="2" t="s">
        <v>2</v>
      </c>
    </row>
    <row r="16" spans="2:16" s="1" customFormat="1" ht="16" thickBot="1" x14ac:dyDescent="0.4">
      <c r="C16" s="2"/>
      <c r="N16" s="2"/>
    </row>
    <row r="17" spans="2:18" s="1" customFormat="1" ht="15.5" x14ac:dyDescent="0.35">
      <c r="B17" s="13"/>
      <c r="C17" s="14"/>
      <c r="D17" s="14"/>
      <c r="E17" s="15"/>
      <c r="M17" s="13"/>
      <c r="N17" s="14"/>
      <c r="O17" s="14"/>
      <c r="P17" s="15"/>
    </row>
    <row r="18" spans="2:18" s="1" customFormat="1" ht="15.5" x14ac:dyDescent="0.35">
      <c r="B18" s="16"/>
      <c r="C18" s="17" t="str">
        <f>"Price in "&amp;D10&amp;" years"</f>
        <v>Price in 0 years</v>
      </c>
      <c r="D18" s="104">
        <f>(D7*(1+D8)^(D10+1))/(D9-D8)</f>
        <v>58.4</v>
      </c>
      <c r="E18" s="18"/>
      <c r="G18" s="1" t="str">
        <f ca="1">_xlfn.FORMULATEXT(D18)</f>
        <v>=(D7*(1+D8)^(D10+1))/(D9-D8)</v>
      </c>
      <c r="M18" s="16"/>
      <c r="N18" s="17" t="str">
        <f>"Price in "&amp;O10&amp;" years"</f>
        <v>Price in 0 years</v>
      </c>
      <c r="O18" s="104">
        <f>(O7*(1+O8)^(O10+1))/(O9-O8)</f>
        <v>50.349999999999987</v>
      </c>
      <c r="P18" s="18"/>
      <c r="R18" s="1" t="str">
        <f ca="1">_xlfn.FORMULATEXT(O18)</f>
        <v>=(O7*(1+O8)^(O10+1))/(O9-O8)</v>
      </c>
    </row>
    <row r="19" spans="2:18" s="1" customFormat="1" ht="15.5" x14ac:dyDescent="0.35">
      <c r="B19" s="16"/>
      <c r="C19" s="17" t="str">
        <f t="shared" ref="C19:C20" si="0">"Price in "&amp;D11&amp;" years"</f>
        <v>Price in 3 years</v>
      </c>
      <c r="D19" s="104">
        <f>(D7*(1+D8)^(D11+1))/(D9-D8)</f>
        <v>65.692057600000012</v>
      </c>
      <c r="E19" s="18"/>
      <c r="G19" s="1" t="str">
        <f ca="1">_xlfn.FORMULATEXT(D19)</f>
        <v>=(D7*(1+D8)^(D11+1))/(D9-D8)</v>
      </c>
      <c r="M19" s="16"/>
      <c r="N19" s="17" t="str">
        <f t="shared" ref="N19:N20" si="1">"Price in "&amp;O11&amp;" years"</f>
        <v>Price in 3 years</v>
      </c>
      <c r="O19" s="104">
        <f>(O7*(1+O8)^(O11+1))/(O9-O8)</f>
        <v>59.967655600000001</v>
      </c>
      <c r="P19" s="18"/>
      <c r="R19" s="1" t="str">
        <f ca="1">_xlfn.FORMULATEXT(O19)</f>
        <v>=(O7*(1+O8)^(O11+1))/(O9-O8)</v>
      </c>
    </row>
    <row r="20" spans="2:18" s="1" customFormat="1" ht="15.5" x14ac:dyDescent="0.35">
      <c r="B20" s="16"/>
      <c r="C20" s="17" t="str">
        <f t="shared" si="0"/>
        <v>Price in 15 years</v>
      </c>
      <c r="D20" s="104">
        <f>(D7*(1+D8)^(D12+1))/(D9-D8)</f>
        <v>105.17510072160395</v>
      </c>
      <c r="E20" s="18"/>
      <c r="G20" s="1" t="str">
        <f ca="1">_xlfn.FORMULATEXT(D20)</f>
        <v>=(D7*(1+D8)^(D12+1))/(D9-D8)</v>
      </c>
      <c r="M20" s="16"/>
      <c r="N20" s="17" t="str">
        <f t="shared" si="1"/>
        <v>Price in 5 years</v>
      </c>
      <c r="O20" s="104">
        <f>(O7*(1+O8)^(O12+1))/(O9-O8)</f>
        <v>67.379657832160007</v>
      </c>
      <c r="P20" s="18"/>
      <c r="R20" s="1" t="str">
        <f ca="1">_xlfn.FORMULATEXT(O20)</f>
        <v>=(O7*(1+O8)^(O12+1))/(O9-O8)</v>
      </c>
    </row>
    <row r="21" spans="2:18" s="1" customFormat="1" ht="15" customHeight="1" thickBot="1" x14ac:dyDescent="0.4">
      <c r="B21" s="20"/>
      <c r="C21" s="21"/>
      <c r="D21" s="21"/>
      <c r="E21" s="22"/>
      <c r="M21" s="20"/>
      <c r="N21" s="21"/>
      <c r="O21" s="21"/>
      <c r="P21" s="22"/>
    </row>
    <row r="22" spans="2:18" s="1" customFormat="1" ht="15.5" x14ac:dyDescent="0.35"/>
    <row r="23" spans="2:18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211111"/>
  <dimension ref="B1:J25"/>
  <sheetViews>
    <sheetView workbookViewId="0">
      <selection activeCell="D15" sqref="D15"/>
    </sheetView>
  </sheetViews>
  <sheetFormatPr defaultRowHeight="12.5" x14ac:dyDescent="0.25"/>
  <cols>
    <col min="2" max="2" width="3.1796875" customWidth="1"/>
    <col min="3" max="3" width="21.54296875" customWidth="1"/>
    <col min="4" max="4" width="19.5429687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8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5</v>
      </c>
      <c r="D7" s="100">
        <v>1.93</v>
      </c>
      <c r="E7" s="9"/>
    </row>
    <row r="8" spans="2:5" s="1" customFormat="1" ht="15.5" x14ac:dyDescent="0.35">
      <c r="B8" s="7"/>
      <c r="C8" s="8" t="s">
        <v>6</v>
      </c>
      <c r="D8" s="102">
        <v>4.2999999999999997E-2</v>
      </c>
      <c r="E8" s="9"/>
    </row>
    <row r="9" spans="2:5" s="1" customFormat="1" ht="15.5" x14ac:dyDescent="0.35">
      <c r="B9" s="7"/>
      <c r="C9" s="8" t="s">
        <v>12</v>
      </c>
      <c r="D9" s="100">
        <v>41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">
        <v>68</v>
      </c>
      <c r="D15" s="105">
        <f>D7/D9+D8</f>
        <v>9.0073170731707314E-2</v>
      </c>
      <c r="E15" s="18"/>
    </row>
    <row r="16" spans="2:5" s="1" customFormat="1" ht="15" customHeight="1" thickBot="1" x14ac:dyDescent="0.4">
      <c r="B16" s="20"/>
      <c r="C16" s="21"/>
      <c r="D16" s="21"/>
      <c r="E16" s="22"/>
    </row>
    <row r="17" spans="10:10" s="1" customFormat="1" ht="15.5" x14ac:dyDescent="0.35"/>
    <row r="25" spans="10:10" x14ac:dyDescent="0.25">
      <c r="J25" s="154" t="s">
        <v>218</v>
      </c>
    </row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2111111"/>
  <dimension ref="B1:E19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1.54296875" customWidth="1"/>
    <col min="4" max="4" width="15.1796875" customWidth="1"/>
    <col min="5" max="5" width="3.1796875" customWidth="1"/>
    <col min="6" max="6" width="10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0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5</v>
      </c>
      <c r="D7" s="106">
        <f>'#2'!D7</f>
        <v>1.93</v>
      </c>
      <c r="E7" s="9"/>
    </row>
    <row r="8" spans="2:5" s="1" customFormat="1" ht="15.5" x14ac:dyDescent="0.35">
      <c r="B8" s="7"/>
      <c r="C8" s="8" t="s">
        <v>6</v>
      </c>
      <c r="D8" s="107">
        <f>'#2'!D8</f>
        <v>4.2999999999999997E-2</v>
      </c>
      <c r="E8" s="9"/>
    </row>
    <row r="9" spans="2:5" s="1" customFormat="1" ht="15.5" x14ac:dyDescent="0.35">
      <c r="B9" s="7"/>
      <c r="C9" s="8" t="s">
        <v>17</v>
      </c>
      <c r="D9" s="106">
        <f>'#2'!D9</f>
        <v>41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">
        <v>69</v>
      </c>
      <c r="D15" s="108">
        <f>D7/D9</f>
        <v>4.7073170731707317E-2</v>
      </c>
      <c r="E15" s="18"/>
    </row>
    <row r="16" spans="2:5" s="1" customFormat="1" ht="15.5" x14ac:dyDescent="0.35">
      <c r="B16" s="16"/>
      <c r="C16" s="17"/>
      <c r="D16" s="23"/>
      <c r="E16" s="18"/>
    </row>
    <row r="17" spans="2:5" s="1" customFormat="1" ht="15.5" x14ac:dyDescent="0.35">
      <c r="B17" s="16"/>
      <c r="C17" s="17" t="s">
        <v>70</v>
      </c>
      <c r="D17" s="109">
        <f>D8</f>
        <v>4.2999999999999997E-2</v>
      </c>
      <c r="E17" s="18"/>
    </row>
    <row r="18" spans="2:5" s="1" customFormat="1" ht="15" customHeight="1" thickBot="1" x14ac:dyDescent="0.4">
      <c r="B18" s="20"/>
      <c r="C18" s="21"/>
      <c r="D18" s="21"/>
      <c r="E18" s="22"/>
    </row>
    <row r="19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211112"/>
  <dimension ref="B1:E19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2.81640625" customWidth="1"/>
    <col min="4" max="4" width="19.54296875" customWidth="1"/>
    <col min="5" max="5" width="3.1796875" customWidth="1"/>
    <col min="6" max="6" width="10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9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201</v>
      </c>
      <c r="D7" s="100">
        <v>3.26</v>
      </c>
      <c r="E7" s="9"/>
    </row>
    <row r="8" spans="2:5" s="1" customFormat="1" ht="15.5" x14ac:dyDescent="0.35">
      <c r="B8" s="7"/>
      <c r="C8" s="8" t="s">
        <v>6</v>
      </c>
      <c r="D8" s="110">
        <v>3.7499999999999999E-2</v>
      </c>
      <c r="E8" s="9"/>
    </row>
    <row r="9" spans="2:5" s="1" customFormat="1" ht="15.5" x14ac:dyDescent="0.35">
      <c r="B9" s="7"/>
      <c r="C9" s="8" t="s">
        <v>7</v>
      </c>
      <c r="D9" s="101">
        <v>0.11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">
        <v>63</v>
      </c>
      <c r="D15" s="104">
        <f>D7/(D9-D8)</f>
        <v>44.965517241379303</v>
      </c>
      <c r="E15" s="18"/>
    </row>
    <row r="16" spans="2:5" s="1" customFormat="1" ht="15" customHeight="1" thickBot="1" x14ac:dyDescent="0.4">
      <c r="B16" s="20"/>
      <c r="C16" s="21"/>
      <c r="D16" s="21"/>
      <c r="E16" s="22"/>
    </row>
    <row r="17" s="1" customFormat="1" ht="15.5" x14ac:dyDescent="0.35"/>
    <row r="18" s="1" customFormat="1" ht="15.5" x14ac:dyDescent="0.35"/>
    <row r="19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2111121">
    <tabColor rgb="FF0000FF"/>
  </sheetPr>
  <dimension ref="B1:E16"/>
  <sheetViews>
    <sheetView workbookViewId="0">
      <selection activeCell="G17" sqref="G17"/>
    </sheetView>
  </sheetViews>
  <sheetFormatPr defaultRowHeight="12.5" x14ac:dyDescent="0.25"/>
  <cols>
    <col min="2" max="2" width="3.1796875" customWidth="1"/>
    <col min="3" max="3" width="22.81640625" customWidth="1"/>
    <col min="4" max="4" width="19.5429687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10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6</v>
      </c>
      <c r="D7" s="102">
        <v>3.2000000000000001E-2</v>
      </c>
      <c r="E7" s="9"/>
    </row>
    <row r="8" spans="2:5" s="1" customFormat="1" ht="15.5" x14ac:dyDescent="0.35">
      <c r="B8" s="7"/>
      <c r="C8" s="8" t="s">
        <v>41</v>
      </c>
      <c r="D8" s="102">
        <v>5.6000000000000001E-2</v>
      </c>
      <c r="E8" s="9"/>
    </row>
    <row r="9" spans="2:5" s="1" customFormat="1" ht="15" customHeight="1" thickBot="1" x14ac:dyDescent="0.4">
      <c r="B9" s="10"/>
      <c r="C9" s="11"/>
      <c r="D9" s="11"/>
      <c r="E9" s="12"/>
    </row>
    <row r="10" spans="2:5" s="1" customFormat="1" ht="15.5" x14ac:dyDescent="0.35"/>
    <row r="11" spans="2:5" s="1" customFormat="1" ht="15.5" x14ac:dyDescent="0.35">
      <c r="C11" s="2" t="s">
        <v>2</v>
      </c>
    </row>
    <row r="12" spans="2:5" s="1" customFormat="1" ht="16" thickBot="1" x14ac:dyDescent="0.4">
      <c r="C12" s="2"/>
    </row>
    <row r="13" spans="2:5" s="1" customFormat="1" ht="15.5" x14ac:dyDescent="0.35">
      <c r="B13" s="13"/>
      <c r="C13" s="14"/>
      <c r="D13" s="14"/>
      <c r="E13" s="15"/>
    </row>
    <row r="14" spans="2:5" s="1" customFormat="1" ht="15.5" x14ac:dyDescent="0.35">
      <c r="B14" s="16"/>
      <c r="C14" s="17" t="s">
        <v>71</v>
      </c>
      <c r="D14" s="111">
        <f>D7+D8</f>
        <v>8.7999999999999995E-2</v>
      </c>
      <c r="E14" s="18"/>
    </row>
    <row r="15" spans="2:5" s="1" customFormat="1" ht="15" customHeight="1" thickBot="1" x14ac:dyDescent="0.4">
      <c r="B15" s="20"/>
      <c r="C15" s="21"/>
      <c r="D15" s="21"/>
      <c r="E15" s="22"/>
    </row>
    <row r="16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21111211"/>
  <dimension ref="B1:E21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2.81640625" customWidth="1"/>
    <col min="4" max="4" width="19.5429687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11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12</v>
      </c>
      <c r="D7" s="100">
        <v>87</v>
      </c>
      <c r="E7" s="9"/>
    </row>
    <row r="8" spans="2:5" s="1" customFormat="1" ht="15.5" x14ac:dyDescent="0.35">
      <c r="B8" s="7"/>
      <c r="C8" s="8" t="s">
        <v>7</v>
      </c>
      <c r="D8" s="102">
        <v>0.105</v>
      </c>
      <c r="E8" s="9"/>
    </row>
    <row r="9" spans="2:5" s="1" customFormat="1" ht="15" customHeight="1" thickBot="1" x14ac:dyDescent="0.4">
      <c r="B9" s="10"/>
      <c r="C9" s="11"/>
      <c r="D9" s="11"/>
      <c r="E9" s="12"/>
    </row>
    <row r="10" spans="2:5" s="1" customFormat="1" ht="15.5" x14ac:dyDescent="0.35"/>
    <row r="11" spans="2:5" s="1" customFormat="1" ht="15.5" x14ac:dyDescent="0.35">
      <c r="C11" s="2" t="s">
        <v>2</v>
      </c>
    </row>
    <row r="12" spans="2:5" s="1" customFormat="1" ht="16" thickBot="1" x14ac:dyDescent="0.4">
      <c r="C12" s="2"/>
    </row>
    <row r="13" spans="2:5" s="1" customFormat="1" ht="15.5" x14ac:dyDescent="0.35">
      <c r="B13" s="13"/>
      <c r="C13" s="14"/>
      <c r="D13" s="14"/>
      <c r="E13" s="15"/>
    </row>
    <row r="14" spans="2:5" s="1" customFormat="1" ht="15.5" x14ac:dyDescent="0.35">
      <c r="B14" s="16"/>
      <c r="C14" s="17" t="s">
        <v>41</v>
      </c>
      <c r="D14" s="146">
        <f>D8/2</f>
        <v>5.2499999999999998E-2</v>
      </c>
      <c r="E14" s="18"/>
    </row>
    <row r="15" spans="2:5" s="1" customFormat="1" ht="15.5" x14ac:dyDescent="0.35">
      <c r="B15" s="16"/>
      <c r="C15" s="17"/>
      <c r="D15" s="17"/>
      <c r="E15" s="18"/>
    </row>
    <row r="16" spans="2:5" s="1" customFormat="1" ht="15.5" x14ac:dyDescent="0.35">
      <c r="B16" s="16"/>
      <c r="C16" s="17" t="s">
        <v>102</v>
      </c>
      <c r="D16" s="112">
        <f>D14*D7</f>
        <v>4.5674999999999999</v>
      </c>
      <c r="E16" s="18"/>
    </row>
    <row r="17" spans="2:5" s="1" customFormat="1" ht="15.5" x14ac:dyDescent="0.35">
      <c r="B17" s="16"/>
      <c r="C17" s="17"/>
      <c r="D17" s="17"/>
      <c r="E17" s="18"/>
    </row>
    <row r="18" spans="2:5" s="1" customFormat="1" ht="15.5" x14ac:dyDescent="0.35">
      <c r="B18" s="16"/>
      <c r="C18" s="17" t="s">
        <v>72</v>
      </c>
      <c r="D18" s="104">
        <f>D16/(1+D14)</f>
        <v>4.3396674584323041</v>
      </c>
      <c r="E18" s="18"/>
    </row>
    <row r="19" spans="2:5" s="1" customFormat="1" ht="15" customHeight="1" thickBot="1" x14ac:dyDescent="0.4">
      <c r="B19" s="20"/>
      <c r="C19" s="21"/>
      <c r="D19" s="21"/>
      <c r="E19" s="22"/>
    </row>
    <row r="20" spans="2:5" s="1" customFormat="1" ht="15.5" x14ac:dyDescent="0.35"/>
    <row r="21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211112111"/>
  <dimension ref="B1:E18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8.453125" customWidth="1"/>
    <col min="4" max="4" width="16.179687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13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15</v>
      </c>
      <c r="D7" s="100">
        <v>8.5</v>
      </c>
      <c r="E7" s="9"/>
    </row>
    <row r="8" spans="2:5" s="1" customFormat="1" ht="15.5" x14ac:dyDescent="0.35">
      <c r="B8" s="7"/>
      <c r="C8" s="8" t="s">
        <v>14</v>
      </c>
      <c r="D8" s="113">
        <v>13</v>
      </c>
      <c r="E8" s="9"/>
    </row>
    <row r="9" spans="2:5" s="1" customFormat="1" ht="15.5" x14ac:dyDescent="0.35">
      <c r="B9" s="7"/>
      <c r="C9" s="8" t="s">
        <v>7</v>
      </c>
      <c r="D9" s="102">
        <v>0.10299999999999999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">
        <v>73</v>
      </c>
      <c r="D15" s="104">
        <f>PV(D9,D8,-D7)</f>
        <v>59.451485777032126</v>
      </c>
      <c r="E15" s="24"/>
    </row>
    <row r="16" spans="2:5" s="1" customFormat="1" ht="15" customHeight="1" thickBot="1" x14ac:dyDescent="0.4">
      <c r="B16" s="20"/>
      <c r="C16" s="21"/>
      <c r="D16" s="21"/>
      <c r="E16" s="22"/>
    </row>
    <row r="17" s="1" customFormat="1" ht="15.5" x14ac:dyDescent="0.35"/>
    <row r="18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2111121111"/>
  <dimension ref="B1:I16"/>
  <sheetViews>
    <sheetView workbookViewId="0">
      <selection activeCell="I15" sqref="I15"/>
    </sheetView>
  </sheetViews>
  <sheetFormatPr defaultRowHeight="12.5" x14ac:dyDescent="0.25"/>
  <cols>
    <col min="2" max="2" width="3.1796875" customWidth="1"/>
    <col min="3" max="3" width="28.453125" customWidth="1"/>
    <col min="4" max="4" width="16.1796875" customWidth="1"/>
    <col min="5" max="5" width="3.1796875" customWidth="1"/>
  </cols>
  <sheetData>
    <row r="1" spans="2:9" s="1" customFormat="1" ht="18" x14ac:dyDescent="0.4">
      <c r="C1" s="58" t="s">
        <v>4</v>
      </c>
    </row>
    <row r="2" spans="2:9" s="1" customFormat="1" ht="15.5" x14ac:dyDescent="0.35">
      <c r="C2" s="1" t="s">
        <v>16</v>
      </c>
    </row>
    <row r="3" spans="2:9" s="1" customFormat="1" ht="15.5" x14ac:dyDescent="0.35"/>
    <row r="4" spans="2:9" s="1" customFormat="1" ht="15.5" x14ac:dyDescent="0.35">
      <c r="C4" s="2" t="s">
        <v>1</v>
      </c>
    </row>
    <row r="5" spans="2:9" s="1" customFormat="1" ht="16" thickBot="1" x14ac:dyDescent="0.4">
      <c r="C5" s="2"/>
    </row>
    <row r="6" spans="2:9" s="1" customFormat="1" ht="15.5" x14ac:dyDescent="0.35">
      <c r="B6" s="3"/>
      <c r="C6" s="4"/>
      <c r="D6" s="5"/>
      <c r="E6" s="6"/>
    </row>
    <row r="7" spans="2:9" s="1" customFormat="1" ht="15.5" x14ac:dyDescent="0.35">
      <c r="B7" s="7"/>
      <c r="C7" s="8" t="s">
        <v>24</v>
      </c>
      <c r="D7" s="100">
        <v>3.25</v>
      </c>
      <c r="E7" s="9"/>
    </row>
    <row r="8" spans="2:9" s="1" customFormat="1" ht="15.5" x14ac:dyDescent="0.35">
      <c r="B8" s="7"/>
      <c r="C8" s="8" t="s">
        <v>17</v>
      </c>
      <c r="D8" s="115">
        <v>104</v>
      </c>
      <c r="E8" s="9"/>
    </row>
    <row r="9" spans="2:9" s="1" customFormat="1" ht="15" customHeight="1" thickBot="1" x14ac:dyDescent="0.4">
      <c r="B9" s="10"/>
      <c r="C9" s="11"/>
      <c r="D9" s="11"/>
      <c r="E9" s="12"/>
    </row>
    <row r="10" spans="2:9" s="1" customFormat="1" ht="15.5" x14ac:dyDescent="0.35"/>
    <row r="11" spans="2:9" s="1" customFormat="1" ht="15.5" x14ac:dyDescent="0.35">
      <c r="C11" s="2" t="s">
        <v>2</v>
      </c>
    </row>
    <row r="12" spans="2:9" s="1" customFormat="1" ht="16" thickBot="1" x14ac:dyDescent="0.4">
      <c r="C12" s="2"/>
    </row>
    <row r="13" spans="2:9" s="1" customFormat="1" ht="15.5" x14ac:dyDescent="0.35">
      <c r="B13" s="13"/>
      <c r="C13" s="14"/>
      <c r="D13" s="14"/>
      <c r="E13" s="15"/>
    </row>
    <row r="14" spans="2:9" s="1" customFormat="1" ht="15.5" x14ac:dyDescent="0.35">
      <c r="B14" s="16"/>
      <c r="C14" s="17" t="s">
        <v>68</v>
      </c>
      <c r="D14" s="105">
        <f>D7/D8</f>
        <v>3.125E-2</v>
      </c>
      <c r="E14" s="24"/>
      <c r="G14" s="1" t="str">
        <f ca="1">_xlfn.FORMULATEXT(D14)</f>
        <v>=D7/D8</v>
      </c>
      <c r="I14" s="63" t="s">
        <v>230</v>
      </c>
    </row>
    <row r="15" spans="2:9" s="1" customFormat="1" ht="15" customHeight="1" thickBot="1" x14ac:dyDescent="0.4">
      <c r="B15" s="20"/>
      <c r="C15" s="21"/>
      <c r="D15" s="21"/>
      <c r="E15" s="22"/>
    </row>
    <row r="16" spans="2:9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B1:E24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2.81640625" customWidth="1"/>
    <col min="4" max="4" width="20.45312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18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5</v>
      </c>
      <c r="D7" s="100">
        <v>3.75</v>
      </c>
      <c r="E7" s="9"/>
    </row>
    <row r="8" spans="2:5" s="1" customFormat="1" ht="15.5" x14ac:dyDescent="0.35">
      <c r="B8" s="7"/>
      <c r="C8" s="8" t="s">
        <v>6</v>
      </c>
      <c r="D8" s="101">
        <v>0.04</v>
      </c>
      <c r="E8" s="9"/>
    </row>
    <row r="9" spans="2:5" s="1" customFormat="1" ht="15.5" x14ac:dyDescent="0.35">
      <c r="B9" s="7"/>
      <c r="C9" s="8" t="s">
        <v>104</v>
      </c>
      <c r="D9" s="101">
        <v>0.08</v>
      </c>
      <c r="E9" s="9"/>
    </row>
    <row r="10" spans="2:5" s="1" customFormat="1" ht="15.5" x14ac:dyDescent="0.35">
      <c r="B10" s="7"/>
      <c r="C10" s="8" t="s">
        <v>105</v>
      </c>
      <c r="D10" s="101">
        <v>0.11</v>
      </c>
      <c r="E10" s="9"/>
    </row>
    <row r="11" spans="2:5" s="1" customFormat="1" ht="15.5" x14ac:dyDescent="0.35">
      <c r="B11" s="7"/>
      <c r="C11" s="8" t="s">
        <v>106</v>
      </c>
      <c r="D11" s="101">
        <v>0.14000000000000001</v>
      </c>
      <c r="E11" s="9"/>
    </row>
    <row r="12" spans="2:5" s="1" customFormat="1" ht="15" customHeight="1" thickBot="1" x14ac:dyDescent="0.4">
      <c r="B12" s="10"/>
      <c r="C12" s="11"/>
      <c r="D12" s="11"/>
      <c r="E12" s="12"/>
    </row>
    <row r="13" spans="2:5" s="1" customFormat="1" ht="15.5" x14ac:dyDescent="0.35"/>
    <row r="14" spans="2:5" s="1" customFormat="1" ht="15.5" x14ac:dyDescent="0.35">
      <c r="C14" s="2" t="s">
        <v>2</v>
      </c>
    </row>
    <row r="15" spans="2:5" s="1" customFormat="1" ht="16" thickBot="1" x14ac:dyDescent="0.4">
      <c r="C15" s="2"/>
    </row>
    <row r="16" spans="2:5" s="1" customFormat="1" ht="15.5" x14ac:dyDescent="0.35">
      <c r="B16" s="13"/>
      <c r="C16" s="14"/>
      <c r="D16" s="14"/>
      <c r="E16" s="15"/>
    </row>
    <row r="17" spans="2:5" s="1" customFormat="1" ht="15.5" x14ac:dyDescent="0.35">
      <c r="B17" s="16"/>
      <c r="C17" s="17" t="s">
        <v>107</v>
      </c>
      <c r="D17" s="104">
        <f>D7/(D9-D8)</f>
        <v>93.75</v>
      </c>
      <c r="E17" s="18"/>
    </row>
    <row r="18" spans="2:5" s="1" customFormat="1" ht="15.5" x14ac:dyDescent="0.35">
      <c r="B18" s="16"/>
      <c r="C18" s="17" t="s">
        <v>108</v>
      </c>
      <c r="D18" s="104">
        <f>D7/(D10-D8)</f>
        <v>53.571428571428569</v>
      </c>
      <c r="E18" s="18"/>
    </row>
    <row r="19" spans="2:5" s="1" customFormat="1" ht="15.5" x14ac:dyDescent="0.35">
      <c r="B19" s="16"/>
      <c r="C19" s="17" t="s">
        <v>109</v>
      </c>
      <c r="D19" s="104">
        <f>D7/(D11-D8)</f>
        <v>37.5</v>
      </c>
      <c r="E19" s="18"/>
    </row>
    <row r="20" spans="2:5" s="1" customFormat="1" ht="15.5" x14ac:dyDescent="0.35">
      <c r="B20" s="16"/>
      <c r="C20" s="17"/>
      <c r="D20" s="41"/>
      <c r="E20" s="18"/>
    </row>
    <row r="21" spans="2:5" s="1" customFormat="1" ht="107.25" customHeight="1" x14ac:dyDescent="0.35">
      <c r="B21" s="16"/>
      <c r="C21" s="159" t="s">
        <v>202</v>
      </c>
      <c r="D21" s="159"/>
      <c r="E21" s="18"/>
    </row>
    <row r="22" spans="2:5" s="1" customFormat="1" ht="15" customHeight="1" thickBot="1" x14ac:dyDescent="0.4">
      <c r="B22" s="20"/>
      <c r="C22" s="21"/>
      <c r="D22" s="21"/>
      <c r="E22" s="22"/>
    </row>
    <row r="23" spans="2:5" s="1" customFormat="1" ht="15.5" x14ac:dyDescent="0.35"/>
    <row r="24" spans="2:5" s="1" customFormat="1" ht="15.5" x14ac:dyDescent="0.35"/>
  </sheetData>
  <mergeCells count="1">
    <mergeCell ref="C21:D21"/>
  </mergeCells>
  <pageMargins left="0.75" right="0.75" top="1" bottom="1" header="0.5" footer="0.5"/>
  <pageSetup orientation="portrait" horizont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B1:E18"/>
  <sheetViews>
    <sheetView workbookViewId="0">
      <selection activeCell="C2" sqref="C2"/>
    </sheetView>
  </sheetViews>
  <sheetFormatPr defaultColWidth="9.1796875" defaultRowHeight="12.5" x14ac:dyDescent="0.25"/>
  <cols>
    <col min="1" max="1" width="9.1796875" style="93"/>
    <col min="2" max="2" width="3.1796875" style="93" customWidth="1"/>
    <col min="3" max="3" width="39.7265625" style="93" bestFit="1" customWidth="1"/>
    <col min="4" max="4" width="18.81640625" style="93" bestFit="1" customWidth="1"/>
    <col min="5" max="5" width="3.1796875" style="93" customWidth="1"/>
    <col min="6" max="16384" width="9.1796875" style="93"/>
  </cols>
  <sheetData>
    <row r="1" spans="2:5" s="71" customFormat="1" ht="18" x14ac:dyDescent="0.4">
      <c r="C1" s="72" t="s">
        <v>4</v>
      </c>
    </row>
    <row r="2" spans="2:5" s="71" customFormat="1" ht="15.5" x14ac:dyDescent="0.35">
      <c r="C2" s="71" t="s">
        <v>20</v>
      </c>
    </row>
    <row r="3" spans="2:5" s="71" customFormat="1" ht="15.5" x14ac:dyDescent="0.35"/>
    <row r="4" spans="2:5" s="71" customFormat="1" ht="15.5" x14ac:dyDescent="0.35">
      <c r="C4" s="73" t="s">
        <v>1</v>
      </c>
    </row>
    <row r="5" spans="2:5" s="71" customFormat="1" ht="16" thickBot="1" x14ac:dyDescent="0.4">
      <c r="C5" s="73"/>
    </row>
    <row r="6" spans="2:5" s="71" customFormat="1" ht="15.5" x14ac:dyDescent="0.35">
      <c r="B6" s="74"/>
      <c r="C6" s="75"/>
      <c r="D6" s="76"/>
      <c r="E6" s="77"/>
    </row>
    <row r="7" spans="2:5" s="71" customFormat="1" ht="15.5" x14ac:dyDescent="0.35">
      <c r="B7" s="78"/>
      <c r="C7" s="79" t="s">
        <v>123</v>
      </c>
      <c r="D7" s="119">
        <v>840000</v>
      </c>
      <c r="E7" s="80"/>
    </row>
    <row r="8" spans="2:5" s="71" customFormat="1" ht="15.5" x14ac:dyDescent="0.35">
      <c r="B8" s="78"/>
      <c r="C8" s="79" t="s">
        <v>17</v>
      </c>
      <c r="D8" s="115">
        <v>48</v>
      </c>
      <c r="E8" s="80"/>
    </row>
    <row r="9" spans="2:5" s="71" customFormat="1" ht="15" customHeight="1" thickBot="1" x14ac:dyDescent="0.4">
      <c r="B9" s="81"/>
      <c r="C9" s="82"/>
      <c r="D9" s="82"/>
      <c r="E9" s="83"/>
    </row>
    <row r="10" spans="2:5" s="71" customFormat="1" ht="15.5" x14ac:dyDescent="0.35"/>
    <row r="11" spans="2:5" s="71" customFormat="1" ht="15.5" x14ac:dyDescent="0.35">
      <c r="C11" s="73" t="s">
        <v>2</v>
      </c>
    </row>
    <row r="12" spans="2:5" s="71" customFormat="1" ht="16" thickBot="1" x14ac:dyDescent="0.4">
      <c r="C12" s="73"/>
    </row>
    <row r="13" spans="2:5" s="71" customFormat="1" ht="15.5" x14ac:dyDescent="0.35">
      <c r="B13" s="84"/>
      <c r="C13" s="85"/>
      <c r="D13" s="85"/>
      <c r="E13" s="86"/>
    </row>
    <row r="14" spans="2:5" s="71" customFormat="1" ht="15.5" x14ac:dyDescent="0.35">
      <c r="B14" s="94"/>
      <c r="C14" s="87" t="s">
        <v>153</v>
      </c>
      <c r="D14" s="117">
        <f>(D7/2)+1</f>
        <v>420001</v>
      </c>
      <c r="E14" s="89"/>
    </row>
    <row r="15" spans="2:5" s="71" customFormat="1" ht="15.5" x14ac:dyDescent="0.35">
      <c r="B15" s="94"/>
      <c r="C15" s="87"/>
      <c r="D15" s="88"/>
      <c r="E15" s="89"/>
    </row>
    <row r="16" spans="2:5" s="71" customFormat="1" ht="15.5" x14ac:dyDescent="0.35">
      <c r="B16" s="94"/>
      <c r="C16" s="87" t="s">
        <v>154</v>
      </c>
      <c r="D16" s="120">
        <f>D14*D8</f>
        <v>20160048</v>
      </c>
      <c r="E16" s="89"/>
    </row>
    <row r="17" spans="2:5" s="71" customFormat="1" ht="15" customHeight="1" thickBot="1" x14ac:dyDescent="0.4">
      <c r="B17" s="90"/>
      <c r="C17" s="91"/>
      <c r="D17" s="91"/>
      <c r="E17" s="92"/>
    </row>
    <row r="18" spans="2:5" s="71" customFormat="1" ht="15.5" x14ac:dyDescent="0.35"/>
  </sheetData>
  <pageMargins left="0.75" right="0.75" top="1" bottom="1" header="0.5" footer="0.5"/>
  <pageSetup orientation="portrait" horizont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19"/>
  <sheetViews>
    <sheetView workbookViewId="0">
      <selection activeCell="C2" sqref="C2"/>
    </sheetView>
  </sheetViews>
  <sheetFormatPr defaultColWidth="9.1796875" defaultRowHeight="12.5" x14ac:dyDescent="0.25"/>
  <cols>
    <col min="1" max="1" width="9.1796875" style="93"/>
    <col min="2" max="2" width="3.1796875" style="93" customWidth="1"/>
    <col min="3" max="3" width="39.7265625" style="93" bestFit="1" customWidth="1"/>
    <col min="4" max="4" width="16.1796875" style="93" customWidth="1"/>
    <col min="5" max="5" width="3.1796875" style="93" customWidth="1"/>
    <col min="6" max="16384" width="9.1796875" style="93"/>
  </cols>
  <sheetData>
    <row r="1" spans="2:5" s="71" customFormat="1" ht="18" x14ac:dyDescent="0.4">
      <c r="C1" s="72" t="s">
        <v>4</v>
      </c>
    </row>
    <row r="2" spans="2:5" s="71" customFormat="1" ht="15.5" x14ac:dyDescent="0.35">
      <c r="C2" s="71" t="s">
        <v>23</v>
      </c>
    </row>
    <row r="3" spans="2:5" s="71" customFormat="1" ht="15.5" x14ac:dyDescent="0.35"/>
    <row r="4" spans="2:5" s="71" customFormat="1" ht="15.5" x14ac:dyDescent="0.35">
      <c r="C4" s="73" t="s">
        <v>1</v>
      </c>
    </row>
    <row r="5" spans="2:5" s="71" customFormat="1" ht="16" thickBot="1" x14ac:dyDescent="0.4">
      <c r="C5" s="73"/>
    </row>
    <row r="6" spans="2:5" s="71" customFormat="1" ht="15.5" x14ac:dyDescent="0.35">
      <c r="B6" s="74"/>
      <c r="C6" s="75"/>
      <c r="D6" s="76"/>
      <c r="E6" s="77"/>
    </row>
    <row r="7" spans="2:5" s="71" customFormat="1" ht="15.5" x14ac:dyDescent="0.35">
      <c r="B7" s="78"/>
      <c r="C7" s="79" t="s">
        <v>123</v>
      </c>
      <c r="D7" s="116">
        <f>'#10'!D7</f>
        <v>840000</v>
      </c>
      <c r="E7" s="80"/>
    </row>
    <row r="8" spans="2:5" s="71" customFormat="1" ht="15.5" x14ac:dyDescent="0.35">
      <c r="B8" s="78"/>
      <c r="C8" s="79" t="s">
        <v>17</v>
      </c>
      <c r="D8" s="114">
        <f>'#10'!D8</f>
        <v>48</v>
      </c>
      <c r="E8" s="80"/>
    </row>
    <row r="9" spans="2:5" s="71" customFormat="1" ht="15.5" x14ac:dyDescent="0.35">
      <c r="B9" s="78"/>
      <c r="C9" s="79" t="s">
        <v>152</v>
      </c>
      <c r="D9" s="103">
        <v>4</v>
      </c>
      <c r="E9" s="80"/>
    </row>
    <row r="10" spans="2:5" s="71" customFormat="1" ht="15" customHeight="1" thickBot="1" x14ac:dyDescent="0.4">
      <c r="B10" s="81"/>
      <c r="C10" s="82"/>
      <c r="D10" s="82"/>
      <c r="E10" s="83"/>
    </row>
    <row r="11" spans="2:5" s="71" customFormat="1" ht="15.5" x14ac:dyDescent="0.35"/>
    <row r="12" spans="2:5" s="71" customFormat="1" ht="15.5" x14ac:dyDescent="0.35">
      <c r="C12" s="73" t="s">
        <v>2</v>
      </c>
    </row>
    <row r="13" spans="2:5" s="71" customFormat="1" ht="16" thickBot="1" x14ac:dyDescent="0.4">
      <c r="C13" s="73"/>
    </row>
    <row r="14" spans="2:5" s="71" customFormat="1" ht="15.5" x14ac:dyDescent="0.35">
      <c r="B14" s="84"/>
      <c r="C14" s="85"/>
      <c r="D14" s="85"/>
      <c r="E14" s="86"/>
    </row>
    <row r="15" spans="2:5" s="71" customFormat="1" ht="15.5" x14ac:dyDescent="0.35">
      <c r="B15" s="94"/>
      <c r="C15" s="87" t="s">
        <v>155</v>
      </c>
      <c r="D15" s="117">
        <f>((1/(D9+1)*D7)+1)</f>
        <v>168001</v>
      </c>
      <c r="E15" s="89"/>
    </row>
    <row r="16" spans="2:5" s="71" customFormat="1" ht="15.5" x14ac:dyDescent="0.35">
      <c r="B16" s="94"/>
      <c r="C16" s="87"/>
      <c r="D16" s="87"/>
      <c r="E16" s="89"/>
    </row>
    <row r="17" spans="2:5" s="71" customFormat="1" ht="15.5" x14ac:dyDescent="0.35">
      <c r="B17" s="94"/>
      <c r="C17" s="87" t="s">
        <v>156</v>
      </c>
      <c r="D17" s="118">
        <f>D15*D8</f>
        <v>8064048</v>
      </c>
      <c r="E17" s="24"/>
    </row>
    <row r="18" spans="2:5" s="71" customFormat="1" ht="15" customHeight="1" thickBot="1" x14ac:dyDescent="0.4">
      <c r="B18" s="90"/>
      <c r="C18" s="91"/>
      <c r="D18" s="91"/>
      <c r="E18" s="92"/>
    </row>
    <row r="19" spans="2:5" s="71" customFormat="1" ht="15.5" x14ac:dyDescent="0.35"/>
  </sheetData>
  <pageMargins left="0.75" right="0.75" top="1" bottom="1" header="0.5" footer="0.5"/>
  <pageSetup orientation="portrait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B1:E19"/>
  <sheetViews>
    <sheetView workbookViewId="0">
      <selection activeCell="A4" sqref="A4:G18"/>
    </sheetView>
  </sheetViews>
  <sheetFormatPr defaultRowHeight="12.5" x14ac:dyDescent="0.25"/>
  <cols>
    <col min="2" max="2" width="3.1796875" customWidth="1"/>
    <col min="3" max="3" width="24.7265625" bestFit="1" customWidth="1"/>
    <col min="4" max="4" width="19.5429687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25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120</v>
      </c>
      <c r="D7" s="100">
        <v>5.27</v>
      </c>
      <c r="E7" s="9"/>
    </row>
    <row r="8" spans="2:5" s="1" customFormat="1" ht="15.5" x14ac:dyDescent="0.35">
      <c r="B8" s="7"/>
      <c r="C8" s="8" t="s">
        <v>121</v>
      </c>
      <c r="D8" s="121">
        <v>18</v>
      </c>
      <c r="E8" s="9"/>
    </row>
    <row r="9" spans="2:5" s="1" customFormat="1" ht="15.5" x14ac:dyDescent="0.35">
      <c r="B9" s="7"/>
      <c r="C9" s="8" t="s">
        <v>121</v>
      </c>
      <c r="D9" s="121">
        <v>21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tr">
        <f>"Stock price at PE of "&amp;D8</f>
        <v>Stock price at PE of 18</v>
      </c>
      <c r="D15" s="104">
        <f>D8*D7</f>
        <v>94.859999999999985</v>
      </c>
      <c r="E15" s="18"/>
    </row>
    <row r="16" spans="2:5" s="1" customFormat="1" ht="15.5" x14ac:dyDescent="0.35">
      <c r="B16" s="16"/>
      <c r="C16" s="17" t="str">
        <f>"Stock price at PE of "&amp;D9</f>
        <v>Stock price at PE of 21</v>
      </c>
      <c r="D16" s="104">
        <f>D9*D7</f>
        <v>110.66999999999999</v>
      </c>
      <c r="E16" s="18"/>
    </row>
    <row r="17" spans="2:5" s="1" customFormat="1" ht="15" customHeight="1" thickBot="1" x14ac:dyDescent="0.4">
      <c r="B17" s="20"/>
      <c r="C17" s="21"/>
      <c r="D17" s="21"/>
      <c r="E17" s="22"/>
    </row>
    <row r="18" spans="2:5" s="1" customFormat="1" ht="15.5" x14ac:dyDescent="0.35"/>
    <row r="19" spans="2:5" s="1" customFormat="1" ht="15.5" x14ac:dyDescent="0.35"/>
  </sheetData>
  <pageMargins left="0.75" right="0.75" top="1" bottom="1" header="0.5" footer="0.5"/>
  <pageSetup orientation="portrait" horizont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00FF"/>
  </sheetPr>
  <dimension ref="B1:E22"/>
  <sheetViews>
    <sheetView workbookViewId="0">
      <selection activeCell="A3" sqref="A3:G22"/>
    </sheetView>
  </sheetViews>
  <sheetFormatPr defaultRowHeight="12.5" x14ac:dyDescent="0.25"/>
  <cols>
    <col min="2" max="2" width="3.1796875" customWidth="1"/>
    <col min="3" max="3" width="26" customWidth="1"/>
    <col min="4" max="4" width="19.5429687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30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196</v>
      </c>
      <c r="D7" s="122">
        <v>3100000</v>
      </c>
      <c r="E7" s="9"/>
    </row>
    <row r="8" spans="2:5" s="1" customFormat="1" ht="15.5" x14ac:dyDescent="0.35">
      <c r="B8" s="7"/>
      <c r="C8" s="8" t="s">
        <v>123</v>
      </c>
      <c r="D8" s="123">
        <v>175000</v>
      </c>
      <c r="E8" s="9"/>
    </row>
    <row r="9" spans="2:5" s="1" customFormat="1" ht="15.5" x14ac:dyDescent="0.35">
      <c r="B9" s="7"/>
      <c r="C9" s="8" t="s">
        <v>191</v>
      </c>
      <c r="D9" s="124">
        <v>3.9</v>
      </c>
      <c r="E9" s="9"/>
    </row>
    <row r="10" spans="2:5" s="1" customFormat="1" ht="15.5" x14ac:dyDescent="0.35">
      <c r="B10" s="7"/>
      <c r="C10" s="8" t="s">
        <v>191</v>
      </c>
      <c r="D10" s="124">
        <v>3.1</v>
      </c>
      <c r="E10" s="9"/>
    </row>
    <row r="11" spans="2:5" s="1" customFormat="1" ht="15" customHeight="1" thickBot="1" x14ac:dyDescent="0.4">
      <c r="B11" s="10"/>
      <c r="C11" s="11"/>
      <c r="D11" s="11"/>
      <c r="E11" s="12"/>
    </row>
    <row r="12" spans="2:5" s="1" customFormat="1" ht="15.5" x14ac:dyDescent="0.35"/>
    <row r="13" spans="2:5" s="1" customFormat="1" ht="15.5" x14ac:dyDescent="0.35">
      <c r="C13" s="2" t="s">
        <v>2</v>
      </c>
    </row>
    <row r="14" spans="2:5" s="1" customFormat="1" ht="16" thickBot="1" x14ac:dyDescent="0.4">
      <c r="C14" s="2"/>
    </row>
    <row r="15" spans="2:5" s="1" customFormat="1" ht="15.5" x14ac:dyDescent="0.35">
      <c r="B15" s="13"/>
      <c r="C15" s="14"/>
      <c r="D15" s="14"/>
      <c r="E15" s="15"/>
    </row>
    <row r="16" spans="2:5" s="1" customFormat="1" ht="15.5" x14ac:dyDescent="0.35">
      <c r="B16" s="16"/>
      <c r="C16" s="17" t="s">
        <v>122</v>
      </c>
      <c r="D16" s="112">
        <f>D7/D8</f>
        <v>17.714285714285715</v>
      </c>
      <c r="E16" s="18"/>
    </row>
    <row r="17" spans="2:5" s="1" customFormat="1" ht="15.5" x14ac:dyDescent="0.35">
      <c r="B17" s="16"/>
      <c r="C17" s="17"/>
      <c r="D17" s="17"/>
      <c r="E17" s="18"/>
    </row>
    <row r="18" spans="2:5" s="1" customFormat="1" ht="15.5" x14ac:dyDescent="0.35">
      <c r="B18" s="16"/>
      <c r="C18" s="17" t="str">
        <f>"Stock price at PS of "&amp;D9</f>
        <v>Stock price at PS of 3.9</v>
      </c>
      <c r="D18" s="104">
        <f>D9*D16</f>
        <v>69.085714285714289</v>
      </c>
      <c r="E18" s="18"/>
    </row>
    <row r="19" spans="2:5" s="1" customFormat="1" ht="15.5" x14ac:dyDescent="0.35">
      <c r="B19" s="16"/>
      <c r="C19" s="17" t="str">
        <f>"Stock price at PS of "&amp;D10</f>
        <v>Stock price at PS of 3.1</v>
      </c>
      <c r="D19" s="104">
        <f>D16*D10</f>
        <v>54.914285714285718</v>
      </c>
      <c r="E19" s="18"/>
    </row>
    <row r="20" spans="2:5" s="1" customFormat="1" ht="15" customHeight="1" thickBot="1" x14ac:dyDescent="0.4">
      <c r="B20" s="20"/>
      <c r="C20" s="21"/>
      <c r="D20" s="21"/>
      <c r="E20" s="22"/>
    </row>
    <row r="21" spans="2:5" s="1" customFormat="1" ht="15.5" x14ac:dyDescent="0.35"/>
    <row r="22" spans="2:5" s="1" customFormat="1" ht="15.5" x14ac:dyDescent="0.35"/>
  </sheetData>
  <pageMargins left="0.75" right="0.75" top="1" bottom="1" header="0.5" footer="0.5"/>
  <pageSetup orientation="portrait" horizont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211113"/>
  <dimension ref="B1:E24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44.26953125" bestFit="1" customWidth="1"/>
    <col min="4" max="4" width="19.54296875" customWidth="1"/>
    <col min="5" max="5" width="3.1796875" customWidth="1"/>
    <col min="6" max="7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33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5</v>
      </c>
      <c r="D7" s="100">
        <v>3.45</v>
      </c>
      <c r="E7" s="9"/>
    </row>
    <row r="8" spans="2:5" s="1" customFormat="1" ht="15.5" x14ac:dyDescent="0.35">
      <c r="B8" s="7"/>
      <c r="C8" s="8" t="s">
        <v>6</v>
      </c>
      <c r="D8" s="102">
        <v>3.4000000000000002E-2</v>
      </c>
      <c r="E8" s="9"/>
    </row>
    <row r="9" spans="2:5" s="1" customFormat="1" ht="15.5" x14ac:dyDescent="0.35">
      <c r="B9" s="7"/>
      <c r="C9" s="8"/>
      <c r="D9" s="102"/>
      <c r="E9" s="9"/>
    </row>
    <row r="10" spans="2:5" s="1" customFormat="1" ht="15.5" x14ac:dyDescent="0.35">
      <c r="B10" s="7"/>
      <c r="C10" s="8" t="s">
        <v>66</v>
      </c>
      <c r="D10" s="101">
        <v>0.15</v>
      </c>
      <c r="E10" s="9"/>
    </row>
    <row r="11" spans="2:5" s="1" customFormat="1" ht="15.5" x14ac:dyDescent="0.35">
      <c r="B11" s="7"/>
      <c r="C11" s="8" t="s">
        <v>67</v>
      </c>
      <c r="D11" s="101">
        <v>0.13</v>
      </c>
      <c r="E11" s="9"/>
    </row>
    <row r="12" spans="2:5" s="1" customFormat="1" ht="15.5" x14ac:dyDescent="0.35">
      <c r="B12" s="7"/>
      <c r="C12" s="8" t="s">
        <v>19</v>
      </c>
      <c r="D12" s="101">
        <v>0.11</v>
      </c>
      <c r="E12" s="9"/>
    </row>
    <row r="13" spans="2:5" s="1" customFormat="1" ht="15" customHeight="1" thickBot="1" x14ac:dyDescent="0.4">
      <c r="B13" s="10"/>
      <c r="C13" s="11"/>
      <c r="D13" s="11"/>
      <c r="E13" s="12"/>
    </row>
    <row r="14" spans="2:5" s="1" customFormat="1" ht="15.5" x14ac:dyDescent="0.35"/>
    <row r="15" spans="2:5" s="1" customFormat="1" ht="15.5" x14ac:dyDescent="0.35">
      <c r="C15" s="2" t="s">
        <v>2</v>
      </c>
    </row>
    <row r="16" spans="2:5" s="1" customFormat="1" ht="16" thickBot="1" x14ac:dyDescent="0.4">
      <c r="C16" s="2"/>
    </row>
    <row r="17" spans="2:5" s="1" customFormat="1" ht="15.5" x14ac:dyDescent="0.35">
      <c r="B17" s="13"/>
      <c r="C17" s="14"/>
      <c r="D17" s="14"/>
      <c r="E17" s="15"/>
    </row>
    <row r="18" spans="2:5" s="1" customFormat="1" ht="15.5" x14ac:dyDescent="0.35">
      <c r="B18" s="16"/>
      <c r="C18" s="17" t="s">
        <v>74</v>
      </c>
      <c r="D18" s="125">
        <f>(D7*(1+D8)^7)/(D12-D8)</f>
        <v>57.365300656009218</v>
      </c>
      <c r="E18" s="18"/>
    </row>
    <row r="19" spans="2:5" s="1" customFormat="1" ht="15.5" x14ac:dyDescent="0.35">
      <c r="B19" s="16"/>
      <c r="C19" s="17" t="s">
        <v>75</v>
      </c>
      <c r="D19" s="126">
        <f>(D7*(1+D8)^4/(1+D11))+(D7*(1+D8)^5)/((1+D11)^2)+D7*(1+D8)^6/(1+D11)^3+D18/(1+D11)^3</f>
        <v>49.362675251399175</v>
      </c>
      <c r="E19" s="18"/>
    </row>
    <row r="20" spans="2:5" s="1" customFormat="1" ht="15.5" x14ac:dyDescent="0.35">
      <c r="B20" s="16"/>
      <c r="C20" s="17"/>
      <c r="D20" s="26"/>
      <c r="E20" s="18"/>
    </row>
    <row r="21" spans="2:5" s="1" customFormat="1" ht="15.5" x14ac:dyDescent="0.35">
      <c r="B21" s="16"/>
      <c r="C21" s="17" t="s">
        <v>76</v>
      </c>
      <c r="D21" s="127">
        <f>D7*(1+D8)/(1+D10)+D7*((1+D8)^2)/((1+D10)^2)+D7*(1+D8)^3/(1+D10)^3+D19/(1+D10)^3</f>
        <v>40.855629903969223</v>
      </c>
      <c r="E21" s="18"/>
    </row>
    <row r="22" spans="2:5" s="1" customFormat="1" ht="15" customHeight="1" thickBot="1" x14ac:dyDescent="0.4">
      <c r="B22" s="20"/>
      <c r="C22" s="21"/>
      <c r="D22" s="21"/>
      <c r="E22" s="22"/>
    </row>
    <row r="23" spans="2:5" s="1" customFormat="1" ht="15.5" x14ac:dyDescent="0.35"/>
    <row r="24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2111121112"/>
  <dimension ref="B1:E20"/>
  <sheetViews>
    <sheetView workbookViewId="0">
      <selection activeCell="D18" sqref="D18"/>
    </sheetView>
  </sheetViews>
  <sheetFormatPr defaultRowHeight="12.5" x14ac:dyDescent="0.25"/>
  <cols>
    <col min="2" max="2" width="3.1796875" customWidth="1"/>
    <col min="3" max="3" width="31.7265625" bestFit="1" customWidth="1"/>
    <col min="4" max="4" width="16.179687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37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22</v>
      </c>
      <c r="D7" s="100">
        <v>18</v>
      </c>
      <c r="E7" s="9"/>
    </row>
    <row r="8" spans="2:5" s="1" customFormat="1" ht="15.5" x14ac:dyDescent="0.35">
      <c r="B8" s="7"/>
      <c r="C8" s="8" t="s">
        <v>21</v>
      </c>
      <c r="D8" s="113">
        <v>10</v>
      </c>
      <c r="E8" s="9"/>
    </row>
    <row r="9" spans="2:5" s="1" customFormat="1" ht="15.5" x14ac:dyDescent="0.35">
      <c r="B9" s="7"/>
      <c r="C9" s="8" t="s">
        <v>6</v>
      </c>
      <c r="D9" s="102">
        <v>3.6999999999999998E-2</v>
      </c>
      <c r="E9" s="9"/>
    </row>
    <row r="10" spans="2:5" s="1" customFormat="1" ht="15.5" x14ac:dyDescent="0.35">
      <c r="B10" s="7"/>
      <c r="C10" s="8" t="s">
        <v>7</v>
      </c>
      <c r="D10" s="102">
        <v>0.115</v>
      </c>
      <c r="E10" s="9"/>
    </row>
    <row r="11" spans="2:5" s="1" customFormat="1" ht="15" customHeight="1" thickBot="1" x14ac:dyDescent="0.4">
      <c r="B11" s="10"/>
      <c r="C11" s="11"/>
      <c r="D11" s="11"/>
      <c r="E11" s="12"/>
    </row>
    <row r="12" spans="2:5" s="1" customFormat="1" ht="15.5" x14ac:dyDescent="0.35"/>
    <row r="13" spans="2:5" s="1" customFormat="1" ht="15.5" x14ac:dyDescent="0.35">
      <c r="C13" s="2" t="s">
        <v>2</v>
      </c>
    </row>
    <row r="14" spans="2:5" s="1" customFormat="1" ht="16" thickBot="1" x14ac:dyDescent="0.4">
      <c r="C14" s="2"/>
    </row>
    <row r="15" spans="2:5" s="1" customFormat="1" ht="15.5" x14ac:dyDescent="0.35">
      <c r="B15" s="13"/>
      <c r="C15" s="14"/>
      <c r="D15" s="14"/>
      <c r="E15" s="15"/>
    </row>
    <row r="16" spans="2:5" s="1" customFormat="1" ht="15.5" x14ac:dyDescent="0.35">
      <c r="B16" s="16"/>
      <c r="C16" s="17" t="s">
        <v>110</v>
      </c>
      <c r="D16" s="112">
        <f>D7/(D10-D9)</f>
        <v>230.76923076923072</v>
      </c>
      <c r="E16" s="18"/>
    </row>
    <row r="17" spans="2:5" s="1" customFormat="1" ht="15.5" x14ac:dyDescent="0.35">
      <c r="B17" s="16"/>
      <c r="C17" s="17"/>
      <c r="D17" s="17"/>
      <c r="E17" s="18"/>
    </row>
    <row r="18" spans="2:5" s="1" customFormat="1" ht="15.5" x14ac:dyDescent="0.35">
      <c r="B18" s="16"/>
      <c r="C18" s="17" t="s">
        <v>73</v>
      </c>
      <c r="D18" s="104">
        <f>PV(D10,D8-1,,-D16)</f>
        <v>86.637137746486076</v>
      </c>
      <c r="E18" s="24"/>
    </row>
    <row r="19" spans="2:5" s="1" customFormat="1" ht="15" customHeight="1" thickBot="1" x14ac:dyDescent="0.4">
      <c r="B19" s="20"/>
      <c r="C19" s="21"/>
      <c r="D19" s="21"/>
      <c r="E19" s="22"/>
    </row>
    <row r="20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21111211121"/>
  <dimension ref="B1:E24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2.1796875" bestFit="1" customWidth="1"/>
    <col min="4" max="4" width="16.179687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168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24</v>
      </c>
      <c r="D7" s="100">
        <v>4.5</v>
      </c>
      <c r="E7" s="9"/>
    </row>
    <row r="8" spans="2:5" s="1" customFormat="1" ht="15.5" x14ac:dyDescent="0.35">
      <c r="B8" s="7"/>
      <c r="C8" s="8" t="s">
        <v>6</v>
      </c>
      <c r="D8" s="115">
        <v>8</v>
      </c>
      <c r="E8" s="9"/>
    </row>
    <row r="9" spans="2:5" s="1" customFormat="1" ht="15.5" x14ac:dyDescent="0.35">
      <c r="B9" s="7"/>
      <c r="C9" s="8" t="s">
        <v>7</v>
      </c>
      <c r="D9" s="101">
        <v>0.1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59" t="s">
        <v>64</v>
      </c>
      <c r="D15" s="60" t="s">
        <v>24</v>
      </c>
      <c r="E15" s="18"/>
    </row>
    <row r="16" spans="2:5" s="1" customFormat="1" ht="15.5" x14ac:dyDescent="0.35">
      <c r="B16" s="16"/>
      <c r="C16" s="59">
        <v>1</v>
      </c>
      <c r="D16" s="112">
        <f>D7+D8</f>
        <v>12.5</v>
      </c>
      <c r="E16" s="18"/>
    </row>
    <row r="17" spans="2:5" s="1" customFormat="1" ht="15.5" x14ac:dyDescent="0.35">
      <c r="B17" s="16"/>
      <c r="C17" s="59">
        <v>2</v>
      </c>
      <c r="D17" s="128">
        <f>D16+D8</f>
        <v>20.5</v>
      </c>
      <c r="E17" s="18"/>
    </row>
    <row r="18" spans="2:5" s="1" customFormat="1" ht="15.5" x14ac:dyDescent="0.35">
      <c r="B18" s="16"/>
      <c r="C18" s="59">
        <v>3</v>
      </c>
      <c r="D18" s="128">
        <f>D17+D8</f>
        <v>28.5</v>
      </c>
      <c r="E18" s="18"/>
    </row>
    <row r="19" spans="2:5" s="1" customFormat="1" ht="15.5" x14ac:dyDescent="0.35">
      <c r="B19" s="16"/>
      <c r="C19" s="59">
        <v>4</v>
      </c>
      <c r="D19" s="128">
        <f>D18+D8</f>
        <v>36.5</v>
      </c>
      <c r="E19" s="18"/>
    </row>
    <row r="20" spans="2:5" s="1" customFormat="1" ht="15.5" x14ac:dyDescent="0.35">
      <c r="B20" s="16"/>
      <c r="C20" s="59">
        <v>5</v>
      </c>
      <c r="D20" s="128">
        <f>D19+D8</f>
        <v>44.5</v>
      </c>
      <c r="E20" s="18"/>
    </row>
    <row r="21" spans="2:5" s="1" customFormat="1" ht="15.5" x14ac:dyDescent="0.35">
      <c r="B21" s="16"/>
      <c r="C21" s="17"/>
      <c r="D21" s="17"/>
      <c r="E21" s="18"/>
    </row>
    <row r="22" spans="2:5" s="1" customFormat="1" ht="15.5" x14ac:dyDescent="0.35">
      <c r="B22" s="16"/>
      <c r="C22" s="17" t="s">
        <v>17</v>
      </c>
      <c r="D22" s="104">
        <f>NPV(D9,D16:D20)</f>
        <v>102.27924694661935</v>
      </c>
      <c r="E22" s="24"/>
    </row>
    <row r="23" spans="2:5" s="1" customFormat="1" ht="15" customHeight="1" thickBot="1" x14ac:dyDescent="0.4">
      <c r="B23" s="20"/>
      <c r="C23" s="21"/>
      <c r="D23" s="21"/>
      <c r="E23" s="22"/>
    </row>
    <row r="24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211112111211"/>
  <dimension ref="B1:E28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8.453125" customWidth="1"/>
    <col min="4" max="4" width="16.179687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38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26</v>
      </c>
      <c r="D7" s="100">
        <v>13</v>
      </c>
      <c r="E7" s="9"/>
    </row>
    <row r="8" spans="2:5" s="1" customFormat="1" ht="15.5" x14ac:dyDescent="0.35">
      <c r="B8" s="7"/>
      <c r="C8" s="8" t="s">
        <v>27</v>
      </c>
      <c r="D8" s="115">
        <v>10</v>
      </c>
      <c r="E8" s="9"/>
    </row>
    <row r="9" spans="2:5" s="1" customFormat="1" ht="15.5" x14ac:dyDescent="0.35">
      <c r="B9" s="7"/>
      <c r="C9" s="8" t="s">
        <v>28</v>
      </c>
      <c r="D9" s="115">
        <v>8</v>
      </c>
      <c r="E9" s="9"/>
    </row>
    <row r="10" spans="2:5" s="1" customFormat="1" ht="15.5" x14ac:dyDescent="0.35">
      <c r="B10" s="7"/>
      <c r="C10" s="8" t="s">
        <v>29</v>
      </c>
      <c r="D10" s="115">
        <v>3.15</v>
      </c>
      <c r="E10" s="9"/>
    </row>
    <row r="11" spans="2:5" s="1" customFormat="1" ht="15.5" x14ac:dyDescent="0.35">
      <c r="B11" s="7"/>
      <c r="C11" s="8" t="s">
        <v>6</v>
      </c>
      <c r="D11" s="101">
        <v>0.04</v>
      </c>
      <c r="E11" s="9"/>
    </row>
    <row r="12" spans="2:5" s="1" customFormat="1" ht="15.5" x14ac:dyDescent="0.35">
      <c r="B12" s="7"/>
      <c r="C12" s="8" t="s">
        <v>7</v>
      </c>
      <c r="D12" s="110">
        <v>0.105</v>
      </c>
      <c r="E12" s="9"/>
    </row>
    <row r="13" spans="2:5" s="1" customFormat="1" ht="15" customHeight="1" thickBot="1" x14ac:dyDescent="0.4">
      <c r="B13" s="10"/>
      <c r="C13" s="11"/>
      <c r="D13" s="11"/>
      <c r="E13" s="12"/>
    </row>
    <row r="14" spans="2:5" s="1" customFormat="1" ht="15.5" x14ac:dyDescent="0.35"/>
    <row r="15" spans="2:5" s="1" customFormat="1" ht="15.5" x14ac:dyDescent="0.35">
      <c r="C15" s="2" t="s">
        <v>2</v>
      </c>
    </row>
    <row r="16" spans="2:5" s="1" customFormat="1" ht="16" thickBot="1" x14ac:dyDescent="0.4">
      <c r="C16" s="2"/>
    </row>
    <row r="17" spans="2:5" s="1" customFormat="1" ht="15.5" x14ac:dyDescent="0.35">
      <c r="B17" s="13"/>
      <c r="C17" s="14"/>
      <c r="D17" s="14"/>
      <c r="E17" s="15"/>
    </row>
    <row r="18" spans="2:5" s="1" customFormat="1" ht="15.5" x14ac:dyDescent="0.35">
      <c r="B18" s="16"/>
      <c r="C18" s="17" t="s">
        <v>111</v>
      </c>
      <c r="D18" s="112">
        <f>(D10*(1+D11))/(D12-D11)</f>
        <v>50.4</v>
      </c>
      <c r="E18" s="18"/>
    </row>
    <row r="19" spans="2:5" s="1" customFormat="1" ht="15.5" x14ac:dyDescent="0.35">
      <c r="B19" s="16"/>
      <c r="C19" s="17"/>
      <c r="D19" s="17"/>
      <c r="E19" s="18"/>
    </row>
    <row r="20" spans="2:5" s="1" customFormat="1" ht="15.5" x14ac:dyDescent="0.35">
      <c r="B20" s="16"/>
      <c r="C20" s="59" t="s">
        <v>64</v>
      </c>
      <c r="D20" s="60" t="s">
        <v>212</v>
      </c>
      <c r="E20" s="18"/>
    </row>
    <row r="21" spans="2:5" s="1" customFormat="1" ht="15.5" x14ac:dyDescent="0.35">
      <c r="B21" s="16"/>
      <c r="C21" s="59">
        <v>1</v>
      </c>
      <c r="D21" s="112">
        <f>D7</f>
        <v>13</v>
      </c>
      <c r="E21" s="18"/>
    </row>
    <row r="22" spans="2:5" s="1" customFormat="1" ht="15.5" x14ac:dyDescent="0.35">
      <c r="B22" s="16"/>
      <c r="C22" s="59">
        <v>2</v>
      </c>
      <c r="D22" s="128">
        <f>D8</f>
        <v>10</v>
      </c>
      <c r="E22" s="18"/>
    </row>
    <row r="23" spans="2:5" s="1" customFormat="1" ht="15.5" x14ac:dyDescent="0.35">
      <c r="B23" s="16"/>
      <c r="C23" s="59">
        <v>3</v>
      </c>
      <c r="D23" s="128">
        <f>D9</f>
        <v>8</v>
      </c>
      <c r="E23" s="18"/>
    </row>
    <row r="24" spans="2:5" s="1" customFormat="1" ht="15.5" x14ac:dyDescent="0.35">
      <c r="B24" s="16"/>
      <c r="C24" s="59">
        <v>4</v>
      </c>
      <c r="D24" s="128">
        <f>D10+D18</f>
        <v>53.55</v>
      </c>
      <c r="E24" s="18"/>
    </row>
    <row r="25" spans="2:5" s="1" customFormat="1" ht="15.5" x14ac:dyDescent="0.35">
      <c r="B25" s="16"/>
      <c r="C25" s="17"/>
      <c r="D25" s="17"/>
      <c r="E25" s="18"/>
    </row>
    <row r="26" spans="2:5" s="1" customFormat="1" ht="15.5" x14ac:dyDescent="0.35">
      <c r="B26" s="16"/>
      <c r="C26" s="17" t="s">
        <v>73</v>
      </c>
      <c r="D26" s="104">
        <f>NPV(D12,D21:D24)</f>
        <v>61.801695212890706</v>
      </c>
      <c r="E26" s="24"/>
    </row>
    <row r="27" spans="2:5" s="1" customFormat="1" ht="15" customHeight="1" thickBot="1" x14ac:dyDescent="0.4">
      <c r="B27" s="20"/>
      <c r="C27" s="21"/>
      <c r="D27" s="21"/>
      <c r="E27" s="22"/>
    </row>
    <row r="28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1211112111212"/>
  <dimension ref="B1:E27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40.54296875" bestFit="1" customWidth="1"/>
    <col min="4" max="4" width="16.179687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40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31</v>
      </c>
      <c r="D7" s="101">
        <v>0.3</v>
      </c>
      <c r="E7" s="9"/>
    </row>
    <row r="8" spans="2:5" s="1" customFormat="1" ht="15.5" x14ac:dyDescent="0.35">
      <c r="B8" s="7"/>
      <c r="C8" s="8" t="s">
        <v>32</v>
      </c>
      <c r="D8" s="101">
        <v>0.04</v>
      </c>
      <c r="E8" s="9"/>
    </row>
    <row r="9" spans="2:5" s="1" customFormat="1" ht="15.5" x14ac:dyDescent="0.35">
      <c r="B9" s="7"/>
      <c r="C9" s="8" t="s">
        <v>7</v>
      </c>
      <c r="D9" s="101">
        <v>0.1</v>
      </c>
      <c r="E9" s="9"/>
    </row>
    <row r="10" spans="2:5" s="1" customFormat="1" ht="15.5" x14ac:dyDescent="0.35">
      <c r="B10" s="7"/>
      <c r="C10" s="8" t="s">
        <v>24</v>
      </c>
      <c r="D10" s="100">
        <v>2.95</v>
      </c>
      <c r="E10" s="9"/>
    </row>
    <row r="11" spans="2:5" s="1" customFormat="1" ht="15" customHeight="1" thickBot="1" x14ac:dyDescent="0.4">
      <c r="B11" s="10"/>
      <c r="C11" s="11"/>
      <c r="D11" s="11"/>
      <c r="E11" s="12"/>
    </row>
    <row r="12" spans="2:5" s="1" customFormat="1" ht="15.5" x14ac:dyDescent="0.35"/>
    <row r="13" spans="2:5" s="1" customFormat="1" ht="15.5" x14ac:dyDescent="0.35">
      <c r="C13" s="2" t="s">
        <v>2</v>
      </c>
    </row>
    <row r="14" spans="2:5" s="1" customFormat="1" ht="16" thickBot="1" x14ac:dyDescent="0.4">
      <c r="C14" s="2"/>
    </row>
    <row r="15" spans="2:5" s="1" customFormat="1" ht="15.5" x14ac:dyDescent="0.35">
      <c r="B15" s="13"/>
      <c r="C15" s="14"/>
      <c r="D15" s="14"/>
      <c r="E15" s="15"/>
    </row>
    <row r="16" spans="2:5" s="1" customFormat="1" ht="15.5" x14ac:dyDescent="0.35">
      <c r="B16" s="16"/>
      <c r="C16" s="17" t="s">
        <v>203</v>
      </c>
      <c r="D16" s="125">
        <f>D10*(1+D7)^3*(1+D8)/(D9-D8)</f>
        <v>112.33993333333336</v>
      </c>
      <c r="E16" s="18"/>
    </row>
    <row r="17" spans="2:5" s="1" customFormat="1" ht="15.5" x14ac:dyDescent="0.35">
      <c r="B17" s="16"/>
      <c r="C17" s="17"/>
      <c r="D17" s="17"/>
      <c r="E17" s="18"/>
    </row>
    <row r="18" spans="2:5" s="1" customFormat="1" ht="15.5" x14ac:dyDescent="0.35">
      <c r="B18" s="16"/>
      <c r="C18" s="59" t="s">
        <v>64</v>
      </c>
      <c r="D18" s="60" t="s">
        <v>212</v>
      </c>
      <c r="E18" s="18"/>
    </row>
    <row r="19" spans="2:5" s="1" customFormat="1" ht="15.5" x14ac:dyDescent="0.35">
      <c r="B19" s="16"/>
      <c r="C19" s="59">
        <v>1</v>
      </c>
      <c r="D19" s="112">
        <f>D10*(1+D7)</f>
        <v>3.8350000000000004</v>
      </c>
      <c r="E19" s="18"/>
    </row>
    <row r="20" spans="2:5" s="1" customFormat="1" ht="15.5" x14ac:dyDescent="0.35">
      <c r="B20" s="16"/>
      <c r="C20" s="59">
        <v>2</v>
      </c>
      <c r="D20" s="128">
        <f>D19*(1+D7)</f>
        <v>4.9855000000000009</v>
      </c>
      <c r="E20" s="18"/>
    </row>
    <row r="21" spans="2:5" s="1" customFormat="1" ht="15.5" x14ac:dyDescent="0.35">
      <c r="B21" s="16"/>
      <c r="C21" s="59">
        <v>3</v>
      </c>
      <c r="D21" s="128">
        <f>D20*(1+D7)+D16</f>
        <v>118.82108333333336</v>
      </c>
      <c r="E21" s="18"/>
    </row>
    <row r="22" spans="2:5" s="1" customFormat="1" ht="15.5" x14ac:dyDescent="0.35">
      <c r="B22" s="16"/>
      <c r="C22" s="59"/>
      <c r="D22" s="128"/>
      <c r="E22" s="18"/>
    </row>
    <row r="23" spans="2:5" s="1" customFormat="1" ht="15.5" x14ac:dyDescent="0.35">
      <c r="B23" s="16"/>
      <c r="C23" s="17" t="s">
        <v>73</v>
      </c>
      <c r="D23" s="104">
        <f>NPV(D9,D19:D21)</f>
        <v>96.878650137741047</v>
      </c>
      <c r="E23" s="24"/>
    </row>
    <row r="24" spans="2:5" s="1" customFormat="1" ht="15" customHeight="1" thickBot="1" x14ac:dyDescent="0.4">
      <c r="B24" s="20"/>
      <c r="C24" s="21"/>
      <c r="D24" s="21"/>
      <c r="E24" s="22"/>
    </row>
    <row r="25" spans="2:5" s="1" customFormat="1" ht="15.5" x14ac:dyDescent="0.35"/>
    <row r="26" spans="2:5" s="1" customFormat="1" ht="15.5" x14ac:dyDescent="0.35"/>
    <row r="27" spans="2:5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12111131"/>
  <dimension ref="B1:G28"/>
  <sheetViews>
    <sheetView workbookViewId="0">
      <selection activeCell="I15" sqref="I15"/>
    </sheetView>
  </sheetViews>
  <sheetFormatPr defaultRowHeight="12.5" x14ac:dyDescent="0.25"/>
  <cols>
    <col min="2" max="2" width="3.1796875" customWidth="1"/>
    <col min="3" max="3" width="26.81640625" customWidth="1"/>
    <col min="4" max="4" width="13.1796875" customWidth="1"/>
    <col min="5" max="5" width="3.1796875" customWidth="1"/>
    <col min="6" max="6" width="3.81640625" customWidth="1"/>
    <col min="7" max="7" width="3.1796875" customWidth="1"/>
  </cols>
  <sheetData>
    <row r="1" spans="2:6" s="1" customFormat="1" ht="18" x14ac:dyDescent="0.4">
      <c r="C1" s="58" t="s">
        <v>4</v>
      </c>
    </row>
    <row r="2" spans="2:6" s="1" customFormat="1" ht="15.5" x14ac:dyDescent="0.35">
      <c r="C2" s="1" t="s">
        <v>43</v>
      </c>
    </row>
    <row r="3" spans="2:6" s="1" customFormat="1" ht="15.5" x14ac:dyDescent="0.35"/>
    <row r="4" spans="2:6" s="1" customFormat="1" ht="15.5" x14ac:dyDescent="0.35">
      <c r="C4" s="2" t="s">
        <v>1</v>
      </c>
    </row>
    <row r="5" spans="2:6" s="1" customFormat="1" ht="16" thickBot="1" x14ac:dyDescent="0.4">
      <c r="C5" s="2"/>
    </row>
    <row r="6" spans="2:6" s="1" customFormat="1" ht="15.5" x14ac:dyDescent="0.35">
      <c r="B6" s="3"/>
      <c r="C6" s="4"/>
      <c r="D6" s="5"/>
      <c r="E6" s="6"/>
    </row>
    <row r="7" spans="2:6" s="1" customFormat="1" ht="15.5" x14ac:dyDescent="0.35">
      <c r="B7" s="7"/>
      <c r="C7" s="8" t="s">
        <v>34</v>
      </c>
      <c r="D7" s="101">
        <v>0.25</v>
      </c>
      <c r="E7" s="32"/>
      <c r="F7" s="29"/>
    </row>
    <row r="8" spans="2:6" s="1" customFormat="1" ht="15.5" x14ac:dyDescent="0.35">
      <c r="B8" s="7"/>
      <c r="C8" s="8" t="s">
        <v>204</v>
      </c>
      <c r="D8" s="103">
        <v>3</v>
      </c>
      <c r="E8" s="34"/>
      <c r="F8" s="30"/>
    </row>
    <row r="9" spans="2:6" s="1" customFormat="1" ht="15.5" x14ac:dyDescent="0.35">
      <c r="B9" s="7"/>
      <c r="C9" s="8" t="s">
        <v>35</v>
      </c>
      <c r="D9" s="101">
        <v>0.15</v>
      </c>
      <c r="E9" s="32"/>
      <c r="F9" s="29"/>
    </row>
    <row r="10" spans="2:6" s="1" customFormat="1" ht="15.5" x14ac:dyDescent="0.35">
      <c r="B10" s="7"/>
      <c r="C10" s="8" t="s">
        <v>205</v>
      </c>
      <c r="D10" s="103">
        <v>1</v>
      </c>
      <c r="E10" s="34"/>
      <c r="F10" s="30"/>
    </row>
    <row r="11" spans="2:6" s="1" customFormat="1" ht="15.5" x14ac:dyDescent="0.35">
      <c r="B11" s="7"/>
      <c r="C11" s="8" t="s">
        <v>36</v>
      </c>
      <c r="D11" s="101">
        <v>0.06</v>
      </c>
      <c r="E11" s="32"/>
      <c r="F11" s="29"/>
    </row>
    <row r="12" spans="2:6" s="1" customFormat="1" ht="15.5" x14ac:dyDescent="0.35">
      <c r="B12" s="7"/>
      <c r="C12" s="8" t="s">
        <v>7</v>
      </c>
      <c r="D12" s="101">
        <v>0.1</v>
      </c>
      <c r="E12" s="32"/>
      <c r="F12" s="29"/>
    </row>
    <row r="13" spans="2:6" s="1" customFormat="1" ht="15.5" x14ac:dyDescent="0.35">
      <c r="B13" s="7"/>
      <c r="C13" s="8" t="s">
        <v>17</v>
      </c>
      <c r="D13" s="122">
        <v>94</v>
      </c>
      <c r="E13" s="31"/>
      <c r="F13" s="28"/>
    </row>
    <row r="14" spans="2:6" s="1" customFormat="1" ht="15" customHeight="1" thickBot="1" x14ac:dyDescent="0.4">
      <c r="B14" s="10"/>
      <c r="C14" s="11"/>
      <c r="D14" s="11"/>
      <c r="E14" s="12"/>
    </row>
    <row r="15" spans="2:6" s="1" customFormat="1" ht="15.5" x14ac:dyDescent="0.35"/>
    <row r="16" spans="2:6" s="1" customFormat="1" ht="15.5" x14ac:dyDescent="0.35">
      <c r="C16" s="2" t="s">
        <v>2</v>
      </c>
    </row>
    <row r="17" spans="2:7" s="1" customFormat="1" ht="16" thickBot="1" x14ac:dyDescent="0.4">
      <c r="C17" s="2"/>
    </row>
    <row r="18" spans="2:7" s="1" customFormat="1" ht="15.5" x14ac:dyDescent="0.35">
      <c r="B18" s="13"/>
      <c r="C18" s="14"/>
      <c r="D18" s="14"/>
      <c r="E18" s="14"/>
      <c r="F18" s="14"/>
      <c r="G18" s="15"/>
    </row>
    <row r="19" spans="2:7" s="1" customFormat="1" ht="16.5" x14ac:dyDescent="0.4">
      <c r="B19" s="16"/>
      <c r="C19" s="17" t="s">
        <v>98</v>
      </c>
      <c r="D19" s="131">
        <f>(1+D7)^D8*(1+D9)*(1+D11)/(D12-D11)</f>
        <v>59.521484374999986</v>
      </c>
      <c r="E19" s="130" t="s">
        <v>206</v>
      </c>
      <c r="F19" s="129"/>
      <c r="G19" s="35"/>
    </row>
    <row r="20" spans="2:7" s="1" customFormat="1" ht="15.5" x14ac:dyDescent="0.35">
      <c r="B20" s="16"/>
      <c r="C20" s="17"/>
      <c r="D20" s="131"/>
      <c r="E20" s="129"/>
      <c r="F20" s="129"/>
      <c r="G20" s="35"/>
    </row>
    <row r="21" spans="2:7" s="1" customFormat="1" ht="16.5" x14ac:dyDescent="0.4">
      <c r="B21" s="16"/>
      <c r="C21" s="17" t="s">
        <v>73</v>
      </c>
      <c r="D21" s="131">
        <f>(1+D7)/(1+D12)+(1+D7)^2/(1+D12)^2+(1+D7)^3/(1+D12)^3+((1+D7)^3*(1+D9)+D19)/(1+D12)^4</f>
        <v>46.083184635612298</v>
      </c>
      <c r="E21" s="129" t="s">
        <v>206</v>
      </c>
      <c r="F21" s="129"/>
      <c r="G21" s="35"/>
    </row>
    <row r="22" spans="2:7" s="1" customFormat="1" ht="15.5" x14ac:dyDescent="0.35">
      <c r="B22" s="16"/>
      <c r="C22" s="17"/>
      <c r="D22" s="131"/>
      <c r="E22" s="27"/>
      <c r="F22" s="27"/>
      <c r="G22" s="35"/>
    </row>
    <row r="23" spans="2:7" s="1" customFormat="1" ht="15.5" x14ac:dyDescent="0.35">
      <c r="B23" s="16"/>
      <c r="C23" s="17" t="s">
        <v>72</v>
      </c>
      <c r="D23" s="125">
        <f>D13/D21</f>
        <v>2.0397895836252253</v>
      </c>
      <c r="E23" s="19"/>
      <c r="F23" s="19"/>
      <c r="G23" s="35"/>
    </row>
    <row r="24" spans="2:7" s="1" customFormat="1" ht="15.5" x14ac:dyDescent="0.35">
      <c r="B24" s="16"/>
      <c r="C24" s="17"/>
      <c r="D24" s="25"/>
      <c r="E24" s="19"/>
      <c r="F24" s="19"/>
      <c r="G24" s="35"/>
    </row>
    <row r="25" spans="2:7" s="1" customFormat="1" ht="15.5" x14ac:dyDescent="0.35">
      <c r="B25" s="16"/>
      <c r="C25" s="17" t="s">
        <v>99</v>
      </c>
      <c r="D25" s="104">
        <f>D23*(1+D7)</f>
        <v>2.5497369795315317</v>
      </c>
      <c r="E25" s="19"/>
      <c r="F25" s="19"/>
      <c r="G25" s="35"/>
    </row>
    <row r="26" spans="2:7" s="1" customFormat="1" ht="15" customHeight="1" thickBot="1" x14ac:dyDescent="0.4">
      <c r="B26" s="20"/>
      <c r="C26" s="21"/>
      <c r="D26" s="21"/>
      <c r="E26" s="21"/>
      <c r="F26" s="21"/>
      <c r="G26" s="22"/>
    </row>
    <row r="27" spans="2:7" s="1" customFormat="1" ht="15.5" x14ac:dyDescent="0.35"/>
    <row r="28" spans="2:7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211114"/>
  <dimension ref="B1:E18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3" customWidth="1"/>
    <col min="4" max="4" width="16.54296875" customWidth="1"/>
    <col min="5" max="5" width="3.1796875" customWidth="1"/>
    <col min="6" max="8" width="9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51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5</v>
      </c>
      <c r="D7" s="100">
        <v>10.15</v>
      </c>
      <c r="E7" s="9"/>
    </row>
    <row r="8" spans="2:5" s="1" customFormat="1" ht="15.5" x14ac:dyDescent="0.35">
      <c r="B8" s="7"/>
      <c r="C8" s="8" t="s">
        <v>6</v>
      </c>
      <c r="D8" s="101">
        <v>-0.03</v>
      </c>
      <c r="E8" s="9"/>
    </row>
    <row r="9" spans="2:5" s="1" customFormat="1" ht="15.5" x14ac:dyDescent="0.35">
      <c r="B9" s="7"/>
      <c r="C9" s="8" t="s">
        <v>7</v>
      </c>
      <c r="D9" s="110">
        <v>9.5000000000000001E-2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">
        <v>77</v>
      </c>
      <c r="D15" s="104">
        <f>(D7*(1+D8))/(D9-D8)</f>
        <v>78.763999999999996</v>
      </c>
      <c r="E15" s="18"/>
    </row>
    <row r="16" spans="2:5" s="1" customFormat="1" ht="15" customHeight="1" thickBot="1" x14ac:dyDescent="0.4">
      <c r="B16" s="20"/>
      <c r="C16" s="21"/>
      <c r="D16" s="21"/>
      <c r="E16" s="22"/>
    </row>
    <row r="17" s="1" customFormat="1" ht="15.5" x14ac:dyDescent="0.35"/>
    <row r="18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1211112112"/>
  <dimension ref="B1:E17"/>
  <sheetViews>
    <sheetView workbookViewId="0">
      <selection sqref="A1:X34"/>
    </sheetView>
  </sheetViews>
  <sheetFormatPr defaultRowHeight="12.5" x14ac:dyDescent="0.25"/>
  <cols>
    <col min="2" max="2" width="3.1796875" customWidth="1"/>
    <col min="3" max="3" width="22.81640625" customWidth="1"/>
    <col min="4" max="4" width="1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82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12</v>
      </c>
      <c r="D7" s="100">
        <v>53</v>
      </c>
      <c r="E7" s="9"/>
    </row>
    <row r="8" spans="2:5" s="1" customFormat="1" ht="15.5" x14ac:dyDescent="0.35">
      <c r="B8" s="7"/>
      <c r="C8" s="8" t="s">
        <v>7</v>
      </c>
      <c r="D8" s="101">
        <v>0.12</v>
      </c>
      <c r="E8" s="9"/>
    </row>
    <row r="9" spans="2:5" s="1" customFormat="1" ht="15.5" x14ac:dyDescent="0.35">
      <c r="B9" s="7"/>
      <c r="C9" s="8" t="s">
        <v>6</v>
      </c>
      <c r="D9" s="110">
        <v>3.5000000000000003E-2</v>
      </c>
      <c r="E9" s="9"/>
    </row>
    <row r="10" spans="2:5" s="1" customFormat="1" ht="15" customHeight="1" thickBot="1" x14ac:dyDescent="0.4">
      <c r="B10" s="10"/>
      <c r="C10" s="11"/>
      <c r="D10" s="11"/>
      <c r="E10" s="12"/>
    </row>
    <row r="11" spans="2:5" s="1" customFormat="1" ht="15.5" x14ac:dyDescent="0.35"/>
    <row r="12" spans="2:5" s="1" customFormat="1" ht="15.5" x14ac:dyDescent="0.35">
      <c r="C12" s="2" t="s">
        <v>2</v>
      </c>
    </row>
    <row r="13" spans="2:5" s="1" customFormat="1" ht="16" thickBot="1" x14ac:dyDescent="0.4">
      <c r="C13" s="2"/>
    </row>
    <row r="14" spans="2:5" s="1" customFormat="1" ht="15.5" x14ac:dyDescent="0.35">
      <c r="B14" s="13"/>
      <c r="C14" s="14"/>
      <c r="D14" s="14"/>
      <c r="E14" s="15"/>
    </row>
    <row r="15" spans="2:5" s="1" customFormat="1" ht="15.5" x14ac:dyDescent="0.35">
      <c r="B15" s="16"/>
      <c r="C15" s="17" t="s">
        <v>100</v>
      </c>
      <c r="D15" s="104">
        <f>(D7*(D8-D9))/(1+D9)</f>
        <v>4.3526570048309177</v>
      </c>
      <c r="E15" s="24"/>
    </row>
    <row r="16" spans="2:5" s="1" customFormat="1" ht="15" customHeight="1" thickBot="1" x14ac:dyDescent="0.4">
      <c r="B16" s="20"/>
      <c r="C16" s="21"/>
      <c r="D16" s="21"/>
      <c r="E16" s="22"/>
    </row>
    <row r="17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12111121113"/>
  <dimension ref="B1:Q29"/>
  <sheetViews>
    <sheetView workbookViewId="0">
      <selection activeCell="N15" sqref="N15"/>
    </sheetView>
  </sheetViews>
  <sheetFormatPr defaultRowHeight="12.5" x14ac:dyDescent="0.25"/>
  <cols>
    <col min="2" max="2" width="3.1796875" customWidth="1"/>
    <col min="3" max="3" width="28.453125" customWidth="1"/>
    <col min="4" max="4" width="16.1796875" customWidth="1"/>
    <col min="5" max="5" width="3.1796875" customWidth="1"/>
    <col min="7" max="7" width="11" customWidth="1"/>
    <col min="13" max="13" width="26.1796875" customWidth="1"/>
    <col min="14" max="14" width="25.26953125" customWidth="1"/>
  </cols>
  <sheetData>
    <row r="1" spans="2:17" s="1" customFormat="1" ht="18" x14ac:dyDescent="0.4">
      <c r="C1" s="58" t="s">
        <v>4</v>
      </c>
    </row>
    <row r="2" spans="2:17" s="1" customFormat="1" ht="15.5" x14ac:dyDescent="0.35">
      <c r="C2" s="1" t="s">
        <v>81</v>
      </c>
    </row>
    <row r="3" spans="2:17" s="1" customFormat="1" ht="15.5" x14ac:dyDescent="0.35"/>
    <row r="4" spans="2:17" s="1" customFormat="1" ht="15.5" x14ac:dyDescent="0.35">
      <c r="C4" s="2" t="s">
        <v>1</v>
      </c>
    </row>
    <row r="5" spans="2:17" s="1" customFormat="1" ht="16" thickBot="1" x14ac:dyDescent="0.4">
      <c r="C5" s="2"/>
    </row>
    <row r="6" spans="2:17" s="1" customFormat="1" ht="15.5" x14ac:dyDescent="0.35">
      <c r="B6" s="3"/>
      <c r="C6" s="4"/>
      <c r="D6" s="5"/>
      <c r="E6" s="6"/>
      <c r="L6" s="3"/>
      <c r="M6" s="4"/>
      <c r="N6" s="5"/>
      <c r="O6" s="6"/>
    </row>
    <row r="7" spans="2:17" s="1" customFormat="1" ht="15.5" x14ac:dyDescent="0.35">
      <c r="B7" s="7"/>
      <c r="C7" s="8" t="s">
        <v>15</v>
      </c>
      <c r="D7" s="100">
        <v>20</v>
      </c>
      <c r="E7" s="9"/>
      <c r="L7" s="7"/>
      <c r="M7" s="8" t="s">
        <v>15</v>
      </c>
      <c r="N7" s="100">
        <v>23</v>
      </c>
      <c r="O7" s="9"/>
    </row>
    <row r="8" spans="2:17" s="1" customFormat="1" ht="15.5" x14ac:dyDescent="0.35">
      <c r="B8" s="7"/>
      <c r="C8" s="8" t="s">
        <v>39</v>
      </c>
      <c r="D8" s="113">
        <v>20</v>
      </c>
      <c r="E8" s="9"/>
      <c r="L8" s="7"/>
      <c r="M8" s="8" t="s">
        <v>39</v>
      </c>
      <c r="N8" s="113">
        <v>12</v>
      </c>
      <c r="O8" s="9"/>
    </row>
    <row r="9" spans="2:17" s="1" customFormat="1" ht="15.5" x14ac:dyDescent="0.35">
      <c r="B9" s="7"/>
      <c r="C9" s="8" t="s">
        <v>7</v>
      </c>
      <c r="D9" s="110">
        <v>5.7000000000000002E-2</v>
      </c>
      <c r="E9" s="9"/>
      <c r="L9" s="7"/>
      <c r="M9" s="8" t="s">
        <v>7</v>
      </c>
      <c r="N9" s="110">
        <v>3.6999999999999998E-2</v>
      </c>
      <c r="O9" s="9"/>
    </row>
    <row r="10" spans="2:17" s="1" customFormat="1" ht="15" customHeight="1" thickBot="1" x14ac:dyDescent="0.4">
      <c r="B10" s="10"/>
      <c r="C10" s="11"/>
      <c r="D10" s="11"/>
      <c r="E10" s="12"/>
      <c r="L10" s="10"/>
      <c r="M10" s="11"/>
      <c r="N10" s="11"/>
      <c r="O10" s="12"/>
    </row>
    <row r="11" spans="2:17" s="1" customFormat="1" ht="15.5" x14ac:dyDescent="0.35"/>
    <row r="12" spans="2:17" s="1" customFormat="1" ht="15.5" x14ac:dyDescent="0.35">
      <c r="C12" s="2" t="s">
        <v>2</v>
      </c>
      <c r="M12" s="2" t="s">
        <v>2</v>
      </c>
    </row>
    <row r="13" spans="2:17" s="1" customFormat="1" ht="16" thickBot="1" x14ac:dyDescent="0.4">
      <c r="C13" s="2"/>
      <c r="M13" s="2"/>
    </row>
    <row r="14" spans="2:17" s="1" customFormat="1" ht="15.5" x14ac:dyDescent="0.35">
      <c r="B14" s="13"/>
      <c r="C14" s="14"/>
      <c r="D14" s="14"/>
      <c r="E14" s="15"/>
      <c r="L14" s="13"/>
      <c r="M14" s="14"/>
      <c r="N14" s="14"/>
      <c r="O14" s="15"/>
    </row>
    <row r="15" spans="2:17" s="1" customFormat="1" ht="15.5" x14ac:dyDescent="0.35">
      <c r="B15" s="16"/>
      <c r="C15" s="17" t="str">
        <f>"Share price at Year "&amp;D8-1</f>
        <v>Share price at Year 19</v>
      </c>
      <c r="D15" s="112">
        <f>D7/D9</f>
        <v>350.87719298245611</v>
      </c>
      <c r="E15" s="18"/>
      <c r="G15" s="1" t="str">
        <f ca="1">_xlfn.FORMULATEXT(D15)</f>
        <v>=D7/D9</v>
      </c>
      <c r="L15" s="16"/>
      <c r="M15" s="17" t="str">
        <f>"Share price at Year "&amp;N8-1</f>
        <v>Share price at Year 11</v>
      </c>
      <c r="N15" s="112">
        <f>N7/N9</f>
        <v>621.62162162162167</v>
      </c>
      <c r="O15" s="18"/>
      <c r="Q15" s="1" t="str">
        <f ca="1">_xlfn.FORMULATEXT(N15)</f>
        <v>=N7/N9</v>
      </c>
    </row>
    <row r="16" spans="2:17" s="1" customFormat="1" ht="15.5" x14ac:dyDescent="0.35">
      <c r="B16" s="16"/>
      <c r="C16" s="17"/>
      <c r="D16" s="17"/>
      <c r="E16" s="18"/>
      <c r="L16" s="16"/>
      <c r="M16" s="17"/>
      <c r="N16" s="17"/>
      <c r="O16" s="18"/>
    </row>
    <row r="17" spans="2:17" s="1" customFormat="1" ht="15.5" x14ac:dyDescent="0.35">
      <c r="B17" s="16"/>
      <c r="C17" s="17" t="s">
        <v>17</v>
      </c>
      <c r="D17" s="153">
        <f>PV(D9,D8-1,0,-D15)</f>
        <v>122.38561685607472</v>
      </c>
      <c r="E17" s="24"/>
      <c r="G17" s="1" t="str">
        <f ca="1">_xlfn.FORMULATEXT(D17)</f>
        <v>=PV(D9,D8-1,0,-D15)</v>
      </c>
      <c r="L17" s="16"/>
      <c r="M17" s="17" t="s">
        <v>17</v>
      </c>
      <c r="N17" s="153">
        <f>PV(N9,N8-1,0,-N15)</f>
        <v>416.83079019765989</v>
      </c>
      <c r="O17" s="24"/>
      <c r="Q17" s="1" t="str">
        <f ca="1">_xlfn.FORMULATEXT(N17)</f>
        <v>=PV(N9,N8-1,0,-N15)</v>
      </c>
    </row>
    <row r="18" spans="2:17" s="1" customFormat="1" ht="15" customHeight="1" thickBot="1" x14ac:dyDescent="0.4">
      <c r="B18" s="20"/>
      <c r="C18" s="21"/>
      <c r="D18" s="21"/>
      <c r="E18" s="22"/>
      <c r="L18" s="20"/>
      <c r="M18" s="21"/>
      <c r="N18" s="21"/>
      <c r="O18" s="22"/>
    </row>
    <row r="19" spans="2:17" s="1" customFormat="1" ht="15.5" x14ac:dyDescent="0.35"/>
    <row r="20" spans="2:17" s="1" customFormat="1" ht="15.5" x14ac:dyDescent="0.35"/>
    <row r="21" spans="2:17" s="1" customFormat="1" ht="15.5" x14ac:dyDescent="0.35"/>
    <row r="22" spans="2:17" s="1" customFormat="1" ht="15.5" x14ac:dyDescent="0.35"/>
    <row r="23" spans="2:17" s="1" customFormat="1" ht="15.5" x14ac:dyDescent="0.35"/>
    <row r="24" spans="2:17" s="1" customFormat="1" ht="15.5" x14ac:dyDescent="0.35"/>
    <row r="25" spans="2:17" s="1" customFormat="1" ht="15.5" x14ac:dyDescent="0.35"/>
    <row r="26" spans="2:17" s="1" customFormat="1" ht="15.5" x14ac:dyDescent="0.35"/>
    <row r="27" spans="2:17" s="1" customFormat="1" ht="15.5" x14ac:dyDescent="0.35"/>
    <row r="28" spans="2:17" s="1" customFormat="1" ht="15.5" x14ac:dyDescent="0.35"/>
    <row r="29" spans="2:17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21111211131">
    <tabColor rgb="FF0000FF"/>
  </sheetPr>
  <dimension ref="B1:Q26"/>
  <sheetViews>
    <sheetView workbookViewId="0">
      <selection activeCell="I7" sqref="I7"/>
    </sheetView>
  </sheetViews>
  <sheetFormatPr defaultRowHeight="12.5" x14ac:dyDescent="0.25"/>
  <cols>
    <col min="2" max="2" width="3.1796875" customWidth="1"/>
    <col min="3" max="3" width="30.81640625" bestFit="1" customWidth="1"/>
    <col min="4" max="4" width="16.81640625" bestFit="1" customWidth="1"/>
    <col min="5" max="5" width="3.1796875" customWidth="1"/>
    <col min="7" max="7" width="14.81640625" customWidth="1"/>
    <col min="9" max="9" width="14.7265625" customWidth="1"/>
  </cols>
  <sheetData>
    <row r="1" spans="2:13" s="1" customFormat="1" ht="18" x14ac:dyDescent="0.4">
      <c r="C1" s="58" t="s">
        <v>4</v>
      </c>
    </row>
    <row r="2" spans="2:13" s="1" customFormat="1" ht="15.5" x14ac:dyDescent="0.35">
      <c r="C2" s="1" t="s">
        <v>103</v>
      </c>
    </row>
    <row r="3" spans="2:13" s="1" customFormat="1" ht="15.5" x14ac:dyDescent="0.35"/>
    <row r="4" spans="2:13" s="1" customFormat="1" ht="15.5" x14ac:dyDescent="0.35">
      <c r="C4" s="2" t="s">
        <v>1</v>
      </c>
    </row>
    <row r="5" spans="2:13" s="1" customFormat="1" ht="16" thickBot="1" x14ac:dyDescent="0.4">
      <c r="C5" s="2"/>
    </row>
    <row r="6" spans="2:13" s="1" customFormat="1" ht="15.5" x14ac:dyDescent="0.35">
      <c r="B6" s="3"/>
      <c r="C6" s="4"/>
      <c r="D6" s="5"/>
      <c r="E6" s="6"/>
    </row>
    <row r="7" spans="2:13" s="1" customFormat="1" ht="15.5" x14ac:dyDescent="0.35">
      <c r="B7" s="7"/>
      <c r="C7" s="8" t="s">
        <v>41</v>
      </c>
      <c r="D7" s="110">
        <v>2.1499999999999998E-2</v>
      </c>
      <c r="E7" s="9"/>
      <c r="I7" s="155">
        <f>D8/D7</f>
        <v>95.348837209302332</v>
      </c>
      <c r="M7" s="156">
        <f>D8/95.35</f>
        <v>2.1499737808075511E-2</v>
      </c>
    </row>
    <row r="8" spans="2:13" s="1" customFormat="1" ht="15.5" x14ac:dyDescent="0.35">
      <c r="B8" s="7"/>
      <c r="C8" s="8" t="s">
        <v>5</v>
      </c>
      <c r="D8" s="100">
        <v>2.0499999999999998</v>
      </c>
      <c r="E8" s="9"/>
    </row>
    <row r="9" spans="2:13" s="1" customFormat="1" ht="15.5" x14ac:dyDescent="0.35">
      <c r="B9" s="7"/>
      <c r="C9" s="8" t="s">
        <v>42</v>
      </c>
      <c r="D9" s="132">
        <v>0.27</v>
      </c>
      <c r="E9" s="9"/>
    </row>
    <row r="10" spans="2:13" s="1" customFormat="1" ht="15.5" x14ac:dyDescent="0.35">
      <c r="B10" s="7"/>
      <c r="C10" s="8" t="s">
        <v>136</v>
      </c>
      <c r="D10" s="113">
        <v>20</v>
      </c>
      <c r="E10" s="9"/>
    </row>
    <row r="11" spans="2:13" s="1" customFormat="1" ht="15.5" x14ac:dyDescent="0.35">
      <c r="B11" s="7"/>
      <c r="C11" s="8" t="s">
        <v>192</v>
      </c>
      <c r="D11" s="113">
        <v>25000000</v>
      </c>
      <c r="E11" s="9"/>
    </row>
    <row r="12" spans="2:13" s="1" customFormat="1" ht="15" customHeight="1" thickBot="1" x14ac:dyDescent="0.4">
      <c r="B12" s="10"/>
      <c r="C12" s="11"/>
      <c r="D12" s="11"/>
      <c r="E12" s="12"/>
    </row>
    <row r="13" spans="2:13" s="1" customFormat="1" ht="15.5" x14ac:dyDescent="0.35"/>
    <row r="14" spans="2:13" s="1" customFormat="1" ht="15.5" x14ac:dyDescent="0.35">
      <c r="C14" s="2" t="s">
        <v>2</v>
      </c>
    </row>
    <row r="15" spans="2:13" s="1" customFormat="1" ht="16" thickBot="1" x14ac:dyDescent="0.4">
      <c r="C15" s="2"/>
    </row>
    <row r="16" spans="2:13" s="1" customFormat="1" ht="15.5" x14ac:dyDescent="0.35">
      <c r="B16" s="13"/>
      <c r="C16" s="14"/>
      <c r="D16" s="14"/>
      <c r="E16" s="15"/>
    </row>
    <row r="17" spans="2:17" s="1" customFormat="1" ht="15.5" x14ac:dyDescent="0.35">
      <c r="B17" s="16"/>
      <c r="C17" s="17" t="s">
        <v>90</v>
      </c>
      <c r="D17" s="125">
        <f>D8/D7</f>
        <v>95.348837209302332</v>
      </c>
      <c r="E17" s="24"/>
      <c r="G17" s="1" t="str">
        <f ca="1">_xlfn.FORMULATEXT(D17)</f>
        <v>=D8/D7</v>
      </c>
      <c r="I17" s="157" t="s">
        <v>231</v>
      </c>
      <c r="J17" s="158"/>
      <c r="K17" s="158"/>
      <c r="M17" s="157" t="s">
        <v>219</v>
      </c>
      <c r="N17" s="158"/>
      <c r="O17" s="158"/>
      <c r="P17" s="158"/>
      <c r="Q17" s="158"/>
    </row>
    <row r="18" spans="2:17" s="1" customFormat="1" ht="15.5" x14ac:dyDescent="0.35">
      <c r="B18" s="16"/>
      <c r="C18" s="17"/>
      <c r="D18" s="25"/>
      <c r="E18" s="24"/>
    </row>
    <row r="19" spans="2:17" s="1" customFormat="1" ht="15.5" x14ac:dyDescent="0.35">
      <c r="B19" s="16"/>
      <c r="C19" s="17" t="s">
        <v>91</v>
      </c>
      <c r="D19" s="104">
        <f>D17-D9</f>
        <v>95.078837209302336</v>
      </c>
      <c r="E19" s="24"/>
      <c r="G19" s="1" t="str">
        <f t="shared" ref="G19:G23" ca="1" si="0">_xlfn.FORMULATEXT(D19)</f>
        <v>=D17-D9</v>
      </c>
    </row>
    <row r="20" spans="2:17" s="1" customFormat="1" ht="15.5" x14ac:dyDescent="0.35">
      <c r="B20" s="16"/>
      <c r="C20" s="17"/>
      <c r="D20" s="25"/>
      <c r="E20" s="24"/>
    </row>
    <row r="21" spans="2:17" s="1" customFormat="1" ht="15.5" x14ac:dyDescent="0.35">
      <c r="B21" s="16"/>
      <c r="C21" s="17" t="s">
        <v>92</v>
      </c>
      <c r="D21" s="125">
        <f>D17/D10</f>
        <v>4.7674418604651168</v>
      </c>
      <c r="E21" s="24"/>
      <c r="G21" s="1" t="str">
        <f t="shared" ca="1" si="0"/>
        <v>=D17/D10</v>
      </c>
      <c r="I21" s="157" t="s">
        <v>220</v>
      </c>
      <c r="M21" s="157" t="s">
        <v>221</v>
      </c>
    </row>
    <row r="22" spans="2:17" s="1" customFormat="1" ht="15.5" x14ac:dyDescent="0.35">
      <c r="B22" s="16"/>
      <c r="C22" s="17"/>
      <c r="D22" s="25"/>
      <c r="E22" s="24"/>
    </row>
    <row r="23" spans="2:17" s="1" customFormat="1" ht="15.5" x14ac:dyDescent="0.35">
      <c r="B23" s="16"/>
      <c r="C23" s="17" t="s">
        <v>93</v>
      </c>
      <c r="D23" s="133">
        <f>D21*D11</f>
        <v>119186046.51162791</v>
      </c>
      <c r="E23" s="24"/>
      <c r="G23" s="1" t="str">
        <f t="shared" ca="1" si="0"/>
        <v>=D21*D11</v>
      </c>
      <c r="I23" s="157" t="s">
        <v>222</v>
      </c>
    </row>
    <row r="24" spans="2:17" s="1" customFormat="1" ht="15" customHeight="1" thickBot="1" x14ac:dyDescent="0.4">
      <c r="B24" s="20"/>
      <c r="C24" s="21"/>
      <c r="D24" s="21"/>
      <c r="E24" s="22"/>
    </row>
    <row r="25" spans="2:17" s="1" customFormat="1" ht="15.5" x14ac:dyDescent="0.35"/>
    <row r="26" spans="2:17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9"/>
  <sheetViews>
    <sheetView workbookViewId="0">
      <selection sqref="A1:XFD1048576"/>
    </sheetView>
  </sheetViews>
  <sheetFormatPr defaultRowHeight="12.5" x14ac:dyDescent="0.25"/>
  <cols>
    <col min="2" max="2" width="3.1796875" customWidth="1"/>
    <col min="3" max="3" width="24.81640625" customWidth="1"/>
    <col min="4" max="4" width="18.1796875" customWidth="1"/>
    <col min="5" max="5" width="3.1796875" customWidth="1"/>
  </cols>
  <sheetData>
    <row r="1" spans="1:10" ht="18" x14ac:dyDescent="0.4">
      <c r="A1" s="1"/>
      <c r="B1" s="1"/>
      <c r="C1" s="58" t="s">
        <v>4</v>
      </c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/>
      <c r="C2" s="1" t="s">
        <v>124</v>
      </c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1"/>
      <c r="B4" s="1"/>
      <c r="C4" s="2" t="s">
        <v>94</v>
      </c>
      <c r="D4" s="1"/>
      <c r="E4" s="1"/>
      <c r="F4" s="1"/>
      <c r="G4" s="1"/>
      <c r="H4" s="1"/>
      <c r="I4" s="1"/>
      <c r="J4" s="1"/>
    </row>
    <row r="5" spans="1:10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1"/>
      <c r="B6" s="3"/>
      <c r="C6" s="5"/>
      <c r="D6" s="5"/>
      <c r="E6" s="6"/>
      <c r="F6" s="1"/>
      <c r="G6" s="1"/>
      <c r="H6" s="1"/>
      <c r="I6" s="1"/>
      <c r="J6" s="1"/>
    </row>
    <row r="7" spans="1:10" ht="15.5" x14ac:dyDescent="0.35">
      <c r="A7" s="1"/>
      <c r="B7" s="7"/>
      <c r="C7" s="8" t="s">
        <v>95</v>
      </c>
      <c r="D7" s="100">
        <v>2.2000000000000002</v>
      </c>
      <c r="E7" s="9"/>
      <c r="F7" s="1"/>
      <c r="G7" s="1"/>
      <c r="H7" s="1"/>
      <c r="I7" s="1"/>
      <c r="J7" s="1"/>
    </row>
    <row r="8" spans="1:10" ht="15.5" x14ac:dyDescent="0.35">
      <c r="A8" s="1"/>
      <c r="B8" s="7"/>
      <c r="C8" s="8" t="s">
        <v>49</v>
      </c>
      <c r="D8" s="101">
        <v>0.24</v>
      </c>
      <c r="E8" s="9"/>
      <c r="F8" s="1"/>
      <c r="G8" s="1"/>
      <c r="H8" s="1"/>
      <c r="I8" s="1"/>
      <c r="J8" s="1"/>
    </row>
    <row r="9" spans="1:10" ht="15.5" x14ac:dyDescent="0.35">
      <c r="A9" s="1"/>
      <c r="B9" s="7"/>
      <c r="C9" s="8" t="s">
        <v>96</v>
      </c>
      <c r="D9" s="102">
        <v>3.5000000000000003E-2</v>
      </c>
      <c r="E9" s="9"/>
      <c r="F9" s="1"/>
      <c r="G9" s="1"/>
      <c r="H9" s="1"/>
      <c r="I9" s="1"/>
      <c r="J9" s="1"/>
    </row>
    <row r="10" spans="1:10" ht="15.5" x14ac:dyDescent="0.35">
      <c r="A10" s="1"/>
      <c r="B10" s="7"/>
      <c r="C10" s="8" t="s">
        <v>207</v>
      </c>
      <c r="D10" s="113">
        <v>8</v>
      </c>
      <c r="E10" s="9"/>
      <c r="F10" s="1"/>
      <c r="G10" s="1"/>
      <c r="H10" s="1"/>
      <c r="I10" s="1"/>
      <c r="J10" s="1"/>
    </row>
    <row r="11" spans="1:10" ht="15.5" x14ac:dyDescent="0.35">
      <c r="A11" s="1"/>
      <c r="B11" s="7"/>
      <c r="C11" s="8" t="s">
        <v>7</v>
      </c>
      <c r="D11" s="101">
        <v>0.12</v>
      </c>
      <c r="E11" s="9"/>
      <c r="F11" s="1"/>
      <c r="G11" s="1"/>
      <c r="H11" s="1"/>
      <c r="I11" s="1"/>
      <c r="J11" s="1"/>
    </row>
    <row r="12" spans="1:10" ht="16" thickBot="1" x14ac:dyDescent="0.4">
      <c r="A12" s="1"/>
      <c r="B12" s="10"/>
      <c r="C12" s="11"/>
      <c r="D12" s="11"/>
      <c r="E12" s="12"/>
      <c r="F12" s="1"/>
      <c r="G12" s="1"/>
      <c r="H12" s="1"/>
      <c r="I12" s="1"/>
      <c r="J12" s="1"/>
    </row>
    <row r="13" spans="1:10" ht="15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5" x14ac:dyDescent="0.35">
      <c r="A14" s="1"/>
      <c r="B14" s="1"/>
      <c r="C14" s="2" t="s">
        <v>97</v>
      </c>
      <c r="D14" s="1"/>
      <c r="E14" s="1"/>
      <c r="F14" s="1"/>
      <c r="G14" s="1"/>
      <c r="H14" s="1"/>
      <c r="I14" s="1"/>
      <c r="J14" s="1"/>
    </row>
    <row r="15" spans="1:10" ht="16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.5" x14ac:dyDescent="0.35">
      <c r="A16" s="1"/>
      <c r="B16" s="13"/>
      <c r="C16" s="14"/>
      <c r="D16" s="14"/>
      <c r="E16" s="15"/>
      <c r="F16" s="1"/>
      <c r="G16" s="1"/>
      <c r="H16" s="1"/>
      <c r="I16" s="1"/>
      <c r="J16" s="1"/>
    </row>
    <row r="17" spans="1:10" ht="15.5" x14ac:dyDescent="0.35">
      <c r="A17" s="1"/>
      <c r="B17" s="16"/>
      <c r="C17" s="17" t="s">
        <v>12</v>
      </c>
      <c r="D17" s="104">
        <f>(((D7*(1+D8))/(D11-D8))*(1-(((1+D8)/(1+D11))^D10)))+((((1+D8)/(1+D11))^D10)*((D7*(1+D9))/(D11-D9)))</f>
        <v>89.062004511357145</v>
      </c>
      <c r="E17" s="18"/>
      <c r="F17" s="1"/>
      <c r="G17" s="1" t="str">
        <f ca="1">_xlfn.FORMULATEXT(D17)</f>
        <v>=(((D7*(1+D8))/(D11-D8))*(1-(((1+D8)/(1+D11))^D10)))+((((1+D8)/(1+D11))^D10)*((D7*(1+D9))/(D11-D9)))</v>
      </c>
      <c r="H17" s="1"/>
      <c r="I17" s="1"/>
      <c r="J17" s="1"/>
    </row>
    <row r="18" spans="1:10" ht="16" thickBot="1" x14ac:dyDescent="0.4">
      <c r="A18" s="1"/>
      <c r="B18" s="20"/>
      <c r="C18" s="21"/>
      <c r="D18" s="21"/>
      <c r="E18" s="22"/>
      <c r="F18" s="1"/>
      <c r="G18" s="1"/>
      <c r="H18" s="1"/>
      <c r="I18" s="1"/>
      <c r="J18" s="1"/>
    </row>
    <row r="19" spans="1:10" ht="15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</sheetData>
  <phoneticPr fontId="19" type="noConversion"/>
  <pageMargins left="0.75" right="0.75" top="1" bottom="1" header="0.5" footer="0.5"/>
  <pageSetup orientation="portrait" horizontalDpi="360" verticalDpi="360" copies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9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4.81640625" customWidth="1"/>
    <col min="4" max="4" width="18.1796875" customWidth="1"/>
    <col min="5" max="5" width="3.1796875" customWidth="1"/>
  </cols>
  <sheetData>
    <row r="1" spans="1:10" ht="18" x14ac:dyDescent="0.4">
      <c r="A1" s="1"/>
      <c r="B1" s="1"/>
      <c r="C1" s="58" t="s">
        <v>4</v>
      </c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/>
      <c r="C2" s="1" t="s">
        <v>131</v>
      </c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1"/>
      <c r="B4" s="1"/>
      <c r="C4" s="2" t="s">
        <v>94</v>
      </c>
      <c r="D4" s="1"/>
      <c r="E4" s="1"/>
      <c r="F4" s="1"/>
      <c r="G4" s="1"/>
      <c r="H4" s="1"/>
      <c r="I4" s="1"/>
      <c r="J4" s="1"/>
    </row>
    <row r="5" spans="1:10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1"/>
      <c r="B6" s="3"/>
      <c r="C6" s="5"/>
      <c r="D6" s="5"/>
      <c r="E6" s="6"/>
      <c r="F6" s="1"/>
      <c r="G6" s="1"/>
      <c r="H6" s="1"/>
      <c r="I6" s="1"/>
      <c r="J6" s="1"/>
    </row>
    <row r="7" spans="1:10" ht="15.5" x14ac:dyDescent="0.35">
      <c r="A7" s="1"/>
      <c r="B7" s="7"/>
      <c r="C7" s="8" t="s">
        <v>49</v>
      </c>
      <c r="D7" s="101">
        <v>0.18</v>
      </c>
      <c r="E7" s="9"/>
      <c r="F7" s="1"/>
      <c r="G7" s="1"/>
      <c r="H7" s="1"/>
      <c r="I7" s="1"/>
      <c r="J7" s="1"/>
    </row>
    <row r="8" spans="1:10" ht="15.5" x14ac:dyDescent="0.35">
      <c r="A8" s="1"/>
      <c r="B8" s="7"/>
      <c r="C8" s="8" t="s">
        <v>207</v>
      </c>
      <c r="D8" s="113">
        <v>11</v>
      </c>
      <c r="E8" s="9"/>
      <c r="F8" s="1"/>
      <c r="G8" s="1"/>
      <c r="H8" s="1"/>
      <c r="I8" s="1"/>
      <c r="J8" s="1"/>
    </row>
    <row r="9" spans="1:10" ht="15.5" x14ac:dyDescent="0.35">
      <c r="A9" s="1"/>
      <c r="B9" s="7"/>
      <c r="C9" s="8" t="s">
        <v>96</v>
      </c>
      <c r="D9" s="101">
        <v>0.04</v>
      </c>
      <c r="E9" s="9"/>
      <c r="F9" s="1"/>
      <c r="G9" s="1"/>
      <c r="H9" s="1"/>
      <c r="I9" s="1"/>
      <c r="J9" s="1"/>
    </row>
    <row r="10" spans="1:10" ht="15.5" x14ac:dyDescent="0.35">
      <c r="A10" s="1"/>
      <c r="B10" s="7"/>
      <c r="C10" s="8" t="s">
        <v>7</v>
      </c>
      <c r="D10" s="101">
        <v>0.11</v>
      </c>
      <c r="E10" s="9"/>
      <c r="F10" s="1"/>
      <c r="G10" s="1"/>
      <c r="H10" s="1"/>
      <c r="I10" s="1"/>
      <c r="J10" s="1"/>
    </row>
    <row r="11" spans="1:10" ht="15.5" x14ac:dyDescent="0.35">
      <c r="A11" s="1"/>
      <c r="B11" s="7"/>
      <c r="C11" s="8" t="s">
        <v>95</v>
      </c>
      <c r="D11" s="100">
        <v>1.5</v>
      </c>
      <c r="E11" s="9"/>
      <c r="F11" s="1"/>
      <c r="G11" s="1"/>
      <c r="H11" s="1"/>
      <c r="I11" s="1"/>
      <c r="J11" s="1"/>
    </row>
    <row r="12" spans="1:10" ht="16" thickBot="1" x14ac:dyDescent="0.4">
      <c r="A12" s="1"/>
      <c r="B12" s="10"/>
      <c r="C12" s="11"/>
      <c r="D12" s="11"/>
      <c r="E12" s="12"/>
      <c r="F12" s="1"/>
      <c r="G12" s="1"/>
      <c r="H12" s="1"/>
      <c r="I12" s="1"/>
      <c r="J12" s="1"/>
    </row>
    <row r="13" spans="1:10" ht="15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5" x14ac:dyDescent="0.35">
      <c r="A14" s="1"/>
      <c r="B14" s="1"/>
      <c r="C14" s="2" t="s">
        <v>97</v>
      </c>
      <c r="D14" s="1"/>
      <c r="E14" s="1"/>
      <c r="F14" s="1"/>
      <c r="G14" s="1"/>
      <c r="H14" s="1"/>
      <c r="I14" s="1"/>
      <c r="J14" s="1"/>
    </row>
    <row r="15" spans="1:10" ht="16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.5" x14ac:dyDescent="0.35">
      <c r="A16" s="1"/>
      <c r="B16" s="13"/>
      <c r="C16" s="14"/>
      <c r="D16" s="14"/>
      <c r="E16" s="15"/>
      <c r="F16" s="1"/>
      <c r="G16" s="1"/>
      <c r="H16" s="1"/>
      <c r="I16" s="1"/>
      <c r="J16" s="1"/>
    </row>
    <row r="17" spans="1:10" ht="15.5" x14ac:dyDescent="0.35">
      <c r="A17" s="1"/>
      <c r="B17" s="16"/>
      <c r="C17" s="17" t="s">
        <v>12</v>
      </c>
      <c r="D17" s="104">
        <f>(((D11*(1+D7))/(D10-D7))*(1-(((1+D7)/(1+D10))^D8)))+((((1+D7)/(1+D10))^D8)*((D11*(1+D9))/(D10-D9)))</f>
        <v>67.931368409008584</v>
      </c>
      <c r="E17" s="18"/>
      <c r="F17" s="1"/>
      <c r="G17" s="1"/>
      <c r="H17" s="1"/>
      <c r="I17" s="1"/>
      <c r="J17" s="1"/>
    </row>
    <row r="18" spans="1:10" ht="16" thickBot="1" x14ac:dyDescent="0.4">
      <c r="A18" s="1"/>
      <c r="B18" s="20"/>
      <c r="C18" s="21"/>
      <c r="D18" s="21"/>
      <c r="E18" s="22"/>
      <c r="F18" s="1"/>
      <c r="G18" s="1"/>
      <c r="H18" s="1"/>
      <c r="I18" s="1"/>
      <c r="J18" s="1"/>
    </row>
    <row r="19" spans="1:10" ht="15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</sheetData>
  <phoneticPr fontId="19" type="noConversion"/>
  <pageMargins left="0.75" right="0.75" top="1" bottom="1" header="0.5" footer="0.5"/>
  <pageSetup orientation="portrait" horizontalDpi="360" verticalDpi="360" copies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65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29.1796875" bestFit="1" customWidth="1"/>
    <col min="4" max="4" width="18.1796875" customWidth="1"/>
    <col min="5" max="5" width="3.1796875" customWidth="1"/>
  </cols>
  <sheetData>
    <row r="1" spans="1:10" ht="18" x14ac:dyDescent="0.4">
      <c r="A1" s="1"/>
      <c r="B1" s="1"/>
      <c r="C1" s="58" t="s">
        <v>4</v>
      </c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/>
      <c r="C2" s="1" t="s">
        <v>138</v>
      </c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1"/>
      <c r="B4" s="1"/>
      <c r="C4" s="2" t="s">
        <v>94</v>
      </c>
      <c r="D4" s="1"/>
      <c r="E4" s="1"/>
      <c r="F4" s="1"/>
      <c r="G4" s="1"/>
      <c r="H4" s="1"/>
      <c r="I4" s="1"/>
      <c r="J4" s="1"/>
    </row>
    <row r="5" spans="1:10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1"/>
      <c r="B6" s="3"/>
      <c r="C6" s="5"/>
      <c r="D6" s="5"/>
      <c r="E6" s="6"/>
      <c r="F6" s="1"/>
      <c r="G6" s="1"/>
      <c r="H6" s="1"/>
      <c r="I6" s="1"/>
      <c r="J6" s="1"/>
    </row>
    <row r="7" spans="1:10" ht="15.5" x14ac:dyDescent="0.35">
      <c r="A7" s="1"/>
      <c r="B7" s="7"/>
      <c r="C7" s="8" t="s">
        <v>120</v>
      </c>
      <c r="D7" s="136">
        <v>6.05</v>
      </c>
      <c r="E7" s="9"/>
      <c r="F7" s="1"/>
      <c r="G7" s="1"/>
      <c r="H7" s="1"/>
      <c r="I7" s="1"/>
      <c r="J7" s="1"/>
    </row>
    <row r="8" spans="1:10" ht="15.5" x14ac:dyDescent="0.35">
      <c r="A8" s="1"/>
      <c r="B8" s="7"/>
      <c r="C8" s="8" t="s">
        <v>121</v>
      </c>
      <c r="D8" s="113">
        <v>21</v>
      </c>
      <c r="E8" s="9"/>
      <c r="F8" s="1"/>
      <c r="G8" s="1"/>
      <c r="H8" s="1"/>
      <c r="I8" s="1"/>
      <c r="J8" s="1"/>
    </row>
    <row r="9" spans="1:10" ht="15.5" x14ac:dyDescent="0.35">
      <c r="A9" s="1"/>
      <c r="B9" s="7"/>
      <c r="C9" s="8" t="s">
        <v>125</v>
      </c>
      <c r="D9" s="102">
        <v>5.1999999999999998E-2</v>
      </c>
      <c r="E9" s="9"/>
      <c r="F9" s="1"/>
      <c r="G9" s="1"/>
      <c r="H9" s="1"/>
      <c r="I9" s="1"/>
      <c r="J9" s="1"/>
    </row>
    <row r="10" spans="1:10" ht="16" thickBot="1" x14ac:dyDescent="0.4">
      <c r="A10" s="1"/>
      <c r="B10" s="10"/>
      <c r="C10" s="11"/>
      <c r="D10" s="11"/>
      <c r="E10" s="12"/>
      <c r="F10" s="1"/>
      <c r="G10" s="1"/>
      <c r="H10" s="1"/>
      <c r="I10" s="1"/>
      <c r="J10" s="1"/>
    </row>
    <row r="11" spans="1:10" ht="15.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5" x14ac:dyDescent="0.35">
      <c r="A12" s="1"/>
      <c r="B12" s="1"/>
      <c r="C12" s="2" t="s">
        <v>97</v>
      </c>
      <c r="D12" s="1"/>
      <c r="E12" s="1"/>
      <c r="F12" s="1"/>
      <c r="G12" s="1"/>
      <c r="H12" s="1"/>
      <c r="I12" s="1"/>
      <c r="J12" s="1"/>
    </row>
    <row r="13" spans="1:10" ht="16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5" x14ac:dyDescent="0.35">
      <c r="A14" s="1"/>
      <c r="B14" s="13"/>
      <c r="C14" s="14"/>
      <c r="D14" s="14"/>
      <c r="E14" s="15"/>
      <c r="F14" s="1"/>
      <c r="G14" s="1"/>
      <c r="H14" s="1"/>
      <c r="I14" s="1"/>
      <c r="J14" s="1"/>
    </row>
    <row r="15" spans="1:10" ht="15.5" x14ac:dyDescent="0.35">
      <c r="A15" s="1"/>
      <c r="B15" s="57" t="s">
        <v>60</v>
      </c>
      <c r="C15" s="17" t="s">
        <v>126</v>
      </c>
      <c r="D15" s="134">
        <f>D8*D7</f>
        <v>127.05</v>
      </c>
      <c r="E15" s="18"/>
      <c r="F15" s="1"/>
      <c r="G15" s="1"/>
      <c r="H15" s="1"/>
      <c r="I15" s="1"/>
      <c r="J15" s="1"/>
    </row>
    <row r="16" spans="1:10" ht="15.5" x14ac:dyDescent="0.35">
      <c r="A16" s="1"/>
      <c r="B16" s="57"/>
      <c r="C16" s="17"/>
      <c r="D16" s="17"/>
      <c r="E16" s="18"/>
      <c r="F16" s="1"/>
      <c r="G16" s="1"/>
      <c r="H16" s="1"/>
      <c r="I16" s="1"/>
      <c r="J16" s="1"/>
    </row>
    <row r="17" spans="1:10" ht="15.5" x14ac:dyDescent="0.35">
      <c r="A17" s="1"/>
      <c r="B17" s="57" t="s">
        <v>61</v>
      </c>
      <c r="C17" s="17" t="s">
        <v>127</v>
      </c>
      <c r="D17" s="112">
        <f>D7*(1+D9)</f>
        <v>6.3646000000000003</v>
      </c>
      <c r="E17" s="18"/>
      <c r="F17" s="1"/>
      <c r="G17" s="1"/>
      <c r="H17" s="1"/>
      <c r="I17" s="1"/>
      <c r="J17" s="1"/>
    </row>
    <row r="18" spans="1:10" ht="15.5" x14ac:dyDescent="0.35">
      <c r="A18" s="1"/>
      <c r="B18" s="57"/>
      <c r="C18" s="17"/>
      <c r="D18" s="17"/>
      <c r="E18" s="18"/>
      <c r="F18" s="1"/>
      <c r="G18" s="1"/>
      <c r="H18" s="1"/>
      <c r="I18" s="1"/>
      <c r="J18" s="1"/>
    </row>
    <row r="19" spans="1:10" ht="15.5" x14ac:dyDescent="0.35">
      <c r="A19" s="1"/>
      <c r="B19" s="57"/>
      <c r="C19" s="17" t="s">
        <v>128</v>
      </c>
      <c r="D19" s="134">
        <f>D17*D8</f>
        <v>133.6566</v>
      </c>
      <c r="E19" s="18"/>
      <c r="F19" s="1"/>
      <c r="G19" s="1"/>
      <c r="H19" s="1"/>
      <c r="I19" s="1"/>
      <c r="J19" s="1"/>
    </row>
    <row r="20" spans="1:10" ht="15.5" x14ac:dyDescent="0.35">
      <c r="A20" s="1"/>
      <c r="B20" s="57"/>
      <c r="C20" s="17"/>
      <c r="D20" s="17"/>
      <c r="E20" s="18"/>
      <c r="F20" s="1"/>
      <c r="G20" s="1"/>
      <c r="H20" s="1"/>
      <c r="I20" s="1"/>
      <c r="J20" s="1"/>
    </row>
    <row r="21" spans="1:10" ht="15.5" x14ac:dyDescent="0.35">
      <c r="A21" s="1"/>
      <c r="B21" s="57" t="s">
        <v>129</v>
      </c>
      <c r="C21" s="17" t="s">
        <v>130</v>
      </c>
      <c r="D21" s="135">
        <f>(D19-D15)/D15</f>
        <v>5.2000000000000005E-2</v>
      </c>
      <c r="E21" s="18"/>
      <c r="F21" s="1"/>
      <c r="G21" s="1"/>
      <c r="H21" s="1"/>
      <c r="I21" s="1"/>
      <c r="J21" s="1"/>
    </row>
    <row r="22" spans="1:10" ht="15.5" x14ac:dyDescent="0.35">
      <c r="A22" s="1"/>
      <c r="B22" s="67"/>
      <c r="C22" s="17"/>
      <c r="D22" s="99"/>
      <c r="E22" s="18"/>
      <c r="F22" s="1"/>
      <c r="G22" s="1"/>
      <c r="H22" s="1"/>
      <c r="I22" s="1"/>
      <c r="J22" s="1"/>
    </row>
    <row r="23" spans="1:10" ht="78.75" customHeight="1" x14ac:dyDescent="0.35">
      <c r="A23" s="1"/>
      <c r="B23" s="67"/>
      <c r="C23" s="159" t="s">
        <v>208</v>
      </c>
      <c r="D23" s="159"/>
      <c r="E23" s="18"/>
      <c r="F23" s="1"/>
      <c r="G23" s="1"/>
      <c r="H23" s="1"/>
      <c r="I23" s="1"/>
      <c r="J23" s="1"/>
    </row>
    <row r="24" spans="1:10" ht="16" thickBot="1" x14ac:dyDescent="0.4">
      <c r="A24" s="1"/>
      <c r="B24" s="20"/>
      <c r="C24" s="21"/>
      <c r="D24" s="21"/>
      <c r="E24" s="22"/>
      <c r="F24" s="1"/>
      <c r="G24" s="1"/>
      <c r="H24" s="1"/>
      <c r="I24" s="1"/>
      <c r="J24" s="1"/>
    </row>
    <row r="25" spans="1:10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mergeCells count="1">
    <mergeCell ref="C23:D23"/>
  </mergeCells>
  <pageMargins left="0.75" right="0.75" top="1" bottom="1" header="0.5" footer="0.5"/>
  <pageSetup orientation="portrait" horizontalDpi="360" verticalDpi="360" copies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5"/>
  <sheetViews>
    <sheetView tabSelected="1" workbookViewId="0">
      <selection activeCell="C2" sqref="C2"/>
    </sheetView>
  </sheetViews>
  <sheetFormatPr defaultRowHeight="12.5" x14ac:dyDescent="0.25"/>
  <cols>
    <col min="2" max="2" width="3.1796875" customWidth="1"/>
    <col min="3" max="3" width="29.1796875" bestFit="1" customWidth="1"/>
    <col min="4" max="7" width="11.7265625" customWidth="1"/>
    <col min="8" max="8" width="3.1796875" customWidth="1"/>
  </cols>
  <sheetData>
    <row r="1" spans="1:13" ht="18" x14ac:dyDescent="0.4">
      <c r="A1" s="1"/>
      <c r="B1" s="1"/>
      <c r="C1" s="58" t="s">
        <v>4</v>
      </c>
      <c r="D1" s="58"/>
      <c r="E1" s="58"/>
      <c r="F1" s="58"/>
      <c r="G1" s="1"/>
      <c r="H1" s="1"/>
      <c r="I1" s="1"/>
      <c r="J1" s="1"/>
      <c r="K1" s="1"/>
      <c r="L1" s="1"/>
      <c r="M1" s="1"/>
    </row>
    <row r="2" spans="1:13" ht="15.5" x14ac:dyDescent="0.35">
      <c r="A2" s="1"/>
      <c r="B2" s="1"/>
      <c r="C2" s="1" t="s">
        <v>119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5" x14ac:dyDescent="0.35">
      <c r="A4" s="1"/>
      <c r="B4" s="1"/>
      <c r="C4" s="2" t="s">
        <v>94</v>
      </c>
      <c r="D4" s="2"/>
      <c r="E4" s="2"/>
      <c r="F4" s="2"/>
      <c r="G4" s="1"/>
      <c r="H4" s="1"/>
      <c r="I4" s="1"/>
      <c r="J4" s="1"/>
      <c r="K4" s="1"/>
      <c r="L4" s="1"/>
      <c r="M4" s="1"/>
    </row>
    <row r="5" spans="1:13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5" x14ac:dyDescent="0.35">
      <c r="A6" s="1"/>
      <c r="B6" s="3"/>
      <c r="C6" s="5"/>
      <c r="D6" s="5"/>
      <c r="E6" s="5"/>
      <c r="F6" s="5"/>
      <c r="G6" s="5"/>
      <c r="H6" s="6"/>
      <c r="I6" s="1"/>
      <c r="J6" s="1"/>
      <c r="K6" s="1"/>
      <c r="L6" s="1"/>
      <c r="M6" s="1"/>
    </row>
    <row r="7" spans="1:13" ht="15.5" x14ac:dyDescent="0.35">
      <c r="A7" s="1"/>
      <c r="B7" s="7"/>
      <c r="C7" s="8"/>
      <c r="D7" s="69" t="s">
        <v>132</v>
      </c>
      <c r="E7" s="69" t="s">
        <v>133</v>
      </c>
      <c r="F7" s="69" t="s">
        <v>134</v>
      </c>
      <c r="G7" s="69" t="s">
        <v>135</v>
      </c>
      <c r="H7" s="9"/>
      <c r="I7" s="1"/>
      <c r="J7" s="1"/>
      <c r="K7" s="1"/>
      <c r="L7" s="1"/>
      <c r="M7" s="1"/>
    </row>
    <row r="8" spans="1:13" ht="15.5" x14ac:dyDescent="0.35">
      <c r="A8" s="1"/>
      <c r="B8" s="7"/>
      <c r="C8" s="8" t="s">
        <v>12</v>
      </c>
      <c r="D8" s="137">
        <v>58.13</v>
      </c>
      <c r="E8" s="137">
        <v>62.51</v>
      </c>
      <c r="F8" s="137">
        <v>68.97</v>
      </c>
      <c r="G8" s="115">
        <v>74.180000000000007</v>
      </c>
      <c r="H8" s="9"/>
      <c r="I8" s="1"/>
      <c r="J8" s="1"/>
      <c r="K8" s="1"/>
      <c r="L8" s="1"/>
      <c r="M8" s="1"/>
    </row>
    <row r="9" spans="1:13" ht="15.5" x14ac:dyDescent="0.35">
      <c r="A9" s="1"/>
      <c r="B9" s="7"/>
      <c r="C9" s="8" t="s">
        <v>120</v>
      </c>
      <c r="D9" s="138">
        <v>2.35</v>
      </c>
      <c r="E9" s="138">
        <v>2.4700000000000002</v>
      </c>
      <c r="F9" s="138">
        <v>2.78</v>
      </c>
      <c r="G9" s="132">
        <v>3.04</v>
      </c>
      <c r="H9" s="9"/>
      <c r="I9" s="1"/>
      <c r="J9" s="1"/>
      <c r="K9" s="1"/>
      <c r="L9" s="1"/>
      <c r="M9" s="1"/>
    </row>
    <row r="10" spans="1:13" ht="15.5" x14ac:dyDescent="0.35">
      <c r="A10" s="1"/>
      <c r="B10" s="7"/>
      <c r="C10" s="8"/>
      <c r="D10" s="139"/>
      <c r="E10" s="139"/>
      <c r="F10" s="139"/>
      <c r="G10" s="101"/>
      <c r="H10" s="9"/>
      <c r="I10" s="1"/>
      <c r="J10" s="1"/>
      <c r="K10" s="1"/>
      <c r="L10" s="1"/>
      <c r="M10" s="1"/>
    </row>
    <row r="11" spans="1:13" ht="15.5" x14ac:dyDescent="0.35">
      <c r="A11" s="1"/>
      <c r="B11" s="7"/>
      <c r="C11" s="8" t="s">
        <v>125</v>
      </c>
      <c r="D11" s="101">
        <v>0.11</v>
      </c>
      <c r="E11" s="139"/>
      <c r="F11" s="139"/>
      <c r="G11" s="139"/>
      <c r="H11" s="9"/>
      <c r="I11" s="1"/>
      <c r="J11" s="1"/>
      <c r="K11" s="1"/>
      <c r="L11" s="1"/>
      <c r="M11" s="1"/>
    </row>
    <row r="12" spans="1:13" ht="16" thickBot="1" x14ac:dyDescent="0.4">
      <c r="A12" s="1"/>
      <c r="B12" s="10"/>
      <c r="C12" s="11"/>
      <c r="D12" s="11"/>
      <c r="E12" s="11"/>
      <c r="F12" s="11"/>
      <c r="G12" s="11"/>
      <c r="H12" s="12"/>
      <c r="I12" s="1"/>
      <c r="J12" s="1"/>
      <c r="K12" s="1"/>
      <c r="L12" s="1"/>
      <c r="M12" s="1"/>
    </row>
    <row r="13" spans="1:13" ht="15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5" x14ac:dyDescent="0.35">
      <c r="A14" s="1"/>
      <c r="B14" s="1"/>
      <c r="C14" s="2" t="s">
        <v>97</v>
      </c>
      <c r="D14" s="2"/>
      <c r="E14" s="2"/>
      <c r="F14" s="2"/>
      <c r="G14" s="1"/>
      <c r="H14" s="1"/>
      <c r="I14" s="1"/>
      <c r="J14" s="1"/>
      <c r="K14" s="1"/>
      <c r="L14" s="1"/>
      <c r="M14" s="1"/>
    </row>
    <row r="15" spans="1:13" ht="16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5" x14ac:dyDescent="0.35">
      <c r="A16" s="1"/>
      <c r="B16" s="13"/>
      <c r="C16" s="14"/>
      <c r="D16" s="14"/>
      <c r="E16" s="14"/>
      <c r="F16" s="14"/>
      <c r="G16" s="14"/>
      <c r="H16" s="15"/>
      <c r="I16" s="1"/>
      <c r="J16" s="1"/>
      <c r="K16" s="1"/>
      <c r="L16" s="1"/>
      <c r="M16" s="1"/>
    </row>
    <row r="17" spans="1:13" ht="15.5" x14ac:dyDescent="0.35">
      <c r="A17" s="1"/>
      <c r="B17" s="67"/>
      <c r="C17" s="17"/>
      <c r="D17" s="70" t="s">
        <v>132</v>
      </c>
      <c r="E17" s="70" t="s">
        <v>133</v>
      </c>
      <c r="F17" s="70" t="s">
        <v>134</v>
      </c>
      <c r="G17" s="70" t="s">
        <v>135</v>
      </c>
      <c r="H17" s="18"/>
      <c r="I17" s="1"/>
      <c r="J17" s="1"/>
      <c r="K17" s="1"/>
      <c r="L17" s="1"/>
      <c r="M17" s="1"/>
    </row>
    <row r="18" spans="1:13" ht="15.5" x14ac:dyDescent="0.35">
      <c r="A18" s="1"/>
      <c r="B18" s="67"/>
      <c r="C18" s="17" t="s">
        <v>136</v>
      </c>
      <c r="D18" s="140">
        <f>D8/D9</f>
        <v>24.736170212765959</v>
      </c>
      <c r="E18" s="140">
        <f t="shared" ref="E18:G18" si="0">E8/E9</f>
        <v>25.307692307692307</v>
      </c>
      <c r="F18" s="140">
        <f t="shared" si="0"/>
        <v>24.809352517985612</v>
      </c>
      <c r="G18" s="140">
        <f t="shared" si="0"/>
        <v>24.401315789473685</v>
      </c>
      <c r="H18" s="18"/>
      <c r="I18" s="1"/>
      <c r="J18" s="1"/>
      <c r="K18" s="1"/>
      <c r="L18" s="1"/>
      <c r="M18" s="1"/>
    </row>
    <row r="19" spans="1:13" ht="15.5" x14ac:dyDescent="0.35">
      <c r="A19" s="1"/>
      <c r="B19" s="67"/>
      <c r="C19" s="17"/>
      <c r="D19" s="141"/>
      <c r="E19" s="141"/>
      <c r="F19" s="141"/>
      <c r="G19" s="112"/>
      <c r="H19" s="18"/>
      <c r="I19" s="1"/>
      <c r="J19" s="1"/>
      <c r="K19" s="1"/>
      <c r="L19" s="1"/>
      <c r="M19" s="1"/>
    </row>
    <row r="20" spans="1:13" ht="15.5" x14ac:dyDescent="0.35">
      <c r="A20" s="1"/>
      <c r="B20" s="67"/>
      <c r="C20" s="17" t="s">
        <v>137</v>
      </c>
      <c r="D20" s="140">
        <f>AVERAGE(D18:G18)</f>
        <v>24.813632706979391</v>
      </c>
      <c r="E20" s="141"/>
      <c r="F20" s="141"/>
      <c r="G20" s="141"/>
      <c r="H20" s="18"/>
      <c r="I20" s="1"/>
      <c r="J20" s="1"/>
      <c r="K20" s="1"/>
      <c r="L20" s="1"/>
      <c r="M20" s="1"/>
    </row>
    <row r="21" spans="1:13" ht="15.5" x14ac:dyDescent="0.35">
      <c r="A21" s="1"/>
      <c r="B21" s="67"/>
      <c r="C21" s="17" t="s">
        <v>127</v>
      </c>
      <c r="D21" s="112">
        <f>G9*(1+D11)</f>
        <v>3.3744000000000005</v>
      </c>
      <c r="E21" s="141"/>
      <c r="F21" s="141"/>
      <c r="G21" s="142"/>
      <c r="H21" s="18"/>
      <c r="I21" s="1"/>
      <c r="J21" s="1"/>
      <c r="K21" s="1"/>
      <c r="L21" s="1"/>
      <c r="M21" s="1"/>
    </row>
    <row r="22" spans="1:13" ht="15.5" x14ac:dyDescent="0.35">
      <c r="A22" s="1"/>
      <c r="B22" s="67"/>
      <c r="C22" s="17"/>
      <c r="D22" s="17"/>
      <c r="E22" s="17"/>
      <c r="F22" s="17"/>
      <c r="G22" s="17"/>
      <c r="H22" s="18"/>
      <c r="I22" s="1"/>
      <c r="J22" s="1"/>
      <c r="K22" s="1"/>
      <c r="L22" s="1"/>
      <c r="M22" s="1"/>
    </row>
    <row r="23" spans="1:13" ht="15.5" x14ac:dyDescent="0.35">
      <c r="A23" s="1"/>
      <c r="B23" s="67"/>
      <c r="C23" s="17" t="s">
        <v>128</v>
      </c>
      <c r="D23" s="143">
        <f>D20*D21</f>
        <v>83.731122206431266</v>
      </c>
      <c r="E23" s="17"/>
      <c r="F23" s="17"/>
      <c r="G23" s="68"/>
      <c r="H23" s="18"/>
      <c r="I23" s="1"/>
      <c r="J23" s="1"/>
      <c r="K23" s="1"/>
      <c r="L23" s="1"/>
      <c r="M23" s="1"/>
    </row>
    <row r="24" spans="1:13" ht="16" thickBot="1" x14ac:dyDescent="0.4">
      <c r="A24" s="1"/>
      <c r="B24" s="20"/>
      <c r="C24" s="21"/>
      <c r="D24" s="21"/>
      <c r="E24" s="21"/>
      <c r="F24" s="21"/>
      <c r="G24" s="21"/>
      <c r="H24" s="22"/>
      <c r="I24" s="1"/>
      <c r="J24" s="1"/>
      <c r="K24" s="1"/>
      <c r="L24" s="1"/>
      <c r="M24" s="1"/>
    </row>
    <row r="25" spans="1:13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pageMargins left="0.75" right="0.75" top="1" bottom="1" header="0.5" footer="0.5"/>
  <pageSetup orientation="portrait" horizontalDpi="360" verticalDpi="360" copies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70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33.7265625" bestFit="1" customWidth="1"/>
    <col min="4" max="7" width="11.7265625" customWidth="1"/>
    <col min="8" max="8" width="3.1796875" customWidth="1"/>
  </cols>
  <sheetData>
    <row r="1" spans="1:13" ht="18" x14ac:dyDescent="0.4">
      <c r="A1" s="1"/>
      <c r="B1" s="1"/>
      <c r="C1" s="58" t="s">
        <v>4</v>
      </c>
      <c r="D1" s="58"/>
      <c r="E1" s="58"/>
      <c r="F1" s="58"/>
      <c r="G1" s="1"/>
      <c r="H1" s="1"/>
      <c r="I1" s="1"/>
      <c r="J1" s="1"/>
      <c r="K1" s="1"/>
      <c r="L1" s="1"/>
      <c r="M1" s="1"/>
    </row>
    <row r="2" spans="1:13" ht="15.5" x14ac:dyDescent="0.35">
      <c r="A2" s="1"/>
      <c r="B2" s="1"/>
      <c r="C2" s="1" t="s">
        <v>118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5" x14ac:dyDescent="0.35">
      <c r="A4" s="1"/>
      <c r="B4" s="1"/>
      <c r="C4" s="2" t="s">
        <v>94</v>
      </c>
      <c r="D4" s="2"/>
      <c r="E4" s="2"/>
      <c r="F4" s="2"/>
      <c r="G4" s="1"/>
      <c r="H4" s="1"/>
      <c r="I4" s="1"/>
      <c r="J4" s="1"/>
      <c r="K4" s="1"/>
      <c r="L4" s="1"/>
      <c r="M4" s="1"/>
    </row>
    <row r="5" spans="1:13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5" x14ac:dyDescent="0.35">
      <c r="A6" s="1"/>
      <c r="B6" s="3"/>
      <c r="C6" s="5"/>
      <c r="D6" s="5"/>
      <c r="E6" s="5"/>
      <c r="F6" s="5"/>
      <c r="G6" s="5"/>
      <c r="H6" s="6"/>
      <c r="I6" s="1"/>
      <c r="J6" s="1"/>
      <c r="K6" s="1"/>
      <c r="L6" s="1"/>
      <c r="M6" s="1"/>
    </row>
    <row r="7" spans="1:13" ht="15.5" x14ac:dyDescent="0.35">
      <c r="A7" s="1"/>
      <c r="B7" s="7"/>
      <c r="C7" s="8"/>
      <c r="D7" s="69" t="s">
        <v>132</v>
      </c>
      <c r="E7" s="69" t="s">
        <v>133</v>
      </c>
      <c r="F7" s="69" t="s">
        <v>134</v>
      </c>
      <c r="G7" s="69" t="s">
        <v>135</v>
      </c>
      <c r="H7" s="9"/>
      <c r="I7" s="1"/>
      <c r="J7" s="1"/>
      <c r="K7" s="1"/>
      <c r="L7" s="1"/>
      <c r="M7" s="1"/>
    </row>
    <row r="8" spans="1:13" ht="15.5" x14ac:dyDescent="0.35">
      <c r="A8" s="1"/>
      <c r="B8" s="7"/>
      <c r="C8" s="8" t="s">
        <v>139</v>
      </c>
      <c r="D8" s="137">
        <v>62.18</v>
      </c>
      <c r="E8" s="137">
        <v>67.290000000000006</v>
      </c>
      <c r="F8" s="137">
        <v>74.180000000000007</v>
      </c>
      <c r="G8" s="115">
        <v>78.27</v>
      </c>
      <c r="H8" s="9"/>
      <c r="I8" s="1"/>
      <c r="J8" s="1"/>
      <c r="K8" s="1"/>
      <c r="L8" s="1"/>
      <c r="M8" s="1"/>
    </row>
    <row r="9" spans="1:13" ht="15.5" x14ac:dyDescent="0.35">
      <c r="A9" s="1"/>
      <c r="B9" s="7"/>
      <c r="C9" s="8" t="s">
        <v>140</v>
      </c>
      <c r="D9" s="138">
        <v>40.299999999999997</v>
      </c>
      <c r="E9" s="138">
        <v>43.18</v>
      </c>
      <c r="F9" s="138">
        <v>39.270000000000003</v>
      </c>
      <c r="G9" s="132">
        <v>46.21</v>
      </c>
      <c r="H9" s="9"/>
      <c r="I9" s="1"/>
      <c r="J9" s="1"/>
      <c r="K9" s="1"/>
      <c r="L9" s="1"/>
      <c r="M9" s="1"/>
    </row>
    <row r="10" spans="1:13" ht="15.5" x14ac:dyDescent="0.35">
      <c r="A10" s="1"/>
      <c r="B10" s="7"/>
      <c r="C10" s="8" t="s">
        <v>120</v>
      </c>
      <c r="D10" s="138">
        <v>2.35</v>
      </c>
      <c r="E10" s="138">
        <v>2.58</v>
      </c>
      <c r="F10" s="138">
        <v>2.73</v>
      </c>
      <c r="G10" s="132">
        <v>2.89</v>
      </c>
      <c r="H10" s="9"/>
      <c r="I10" s="1"/>
      <c r="J10" s="1"/>
      <c r="K10" s="1"/>
      <c r="L10" s="1"/>
      <c r="M10" s="1"/>
    </row>
    <row r="11" spans="1:13" ht="15.5" x14ac:dyDescent="0.35">
      <c r="A11" s="1"/>
      <c r="B11" s="7"/>
      <c r="C11" s="8"/>
      <c r="D11" s="139"/>
      <c r="E11" s="139"/>
      <c r="F11" s="139"/>
      <c r="G11" s="101"/>
      <c r="H11" s="9"/>
      <c r="I11" s="1"/>
      <c r="J11" s="1"/>
      <c r="K11" s="1"/>
      <c r="L11" s="1"/>
      <c r="M11" s="1"/>
    </row>
    <row r="12" spans="1:13" ht="15.5" x14ac:dyDescent="0.35">
      <c r="A12" s="1"/>
      <c r="B12" s="7"/>
      <c r="C12" s="8" t="s">
        <v>125</v>
      </c>
      <c r="D12" s="102">
        <v>0.09</v>
      </c>
      <c r="E12" s="139"/>
      <c r="F12" s="139"/>
      <c r="G12" s="139"/>
      <c r="H12" s="9"/>
      <c r="I12" s="1"/>
      <c r="J12" s="1"/>
      <c r="K12" s="1"/>
      <c r="L12" s="1"/>
      <c r="M12" s="1"/>
    </row>
    <row r="13" spans="1:13" ht="16" thickBot="1" x14ac:dyDescent="0.4">
      <c r="A13" s="1"/>
      <c r="B13" s="10"/>
      <c r="C13" s="11"/>
      <c r="D13" s="11"/>
      <c r="E13" s="11"/>
      <c r="F13" s="11"/>
      <c r="G13" s="11"/>
      <c r="H13" s="12"/>
      <c r="I13" s="1"/>
      <c r="J13" s="1"/>
      <c r="K13" s="1"/>
      <c r="L13" s="1"/>
      <c r="M13" s="1"/>
    </row>
    <row r="14" spans="1:13" ht="15.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5" x14ac:dyDescent="0.35">
      <c r="A15" s="1"/>
      <c r="B15" s="1"/>
      <c r="C15" s="2" t="s">
        <v>97</v>
      </c>
      <c r="D15" s="2"/>
      <c r="E15" s="2"/>
      <c r="F15" s="2"/>
      <c r="G15" s="1"/>
      <c r="H15" s="1"/>
      <c r="I15" s="1"/>
      <c r="J15" s="1"/>
      <c r="K15" s="1"/>
      <c r="L15" s="1"/>
      <c r="M15" s="1"/>
    </row>
    <row r="16" spans="1:13" ht="16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5" x14ac:dyDescent="0.35">
      <c r="A17" s="1"/>
      <c r="B17" s="13"/>
      <c r="C17" s="14"/>
      <c r="D17" s="14"/>
      <c r="E17" s="14"/>
      <c r="F17" s="14"/>
      <c r="G17" s="14"/>
      <c r="H17" s="15"/>
      <c r="I17" s="1"/>
      <c r="J17" s="1"/>
      <c r="K17" s="1"/>
      <c r="L17" s="1"/>
      <c r="M17" s="1"/>
    </row>
    <row r="18" spans="1:13" ht="15.5" x14ac:dyDescent="0.35">
      <c r="A18" s="1"/>
      <c r="B18" s="67"/>
      <c r="C18" s="17"/>
      <c r="D18" s="70" t="s">
        <v>132</v>
      </c>
      <c r="E18" s="70" t="s">
        <v>133</v>
      </c>
      <c r="F18" s="70" t="s">
        <v>134</v>
      </c>
      <c r="G18" s="70" t="s">
        <v>135</v>
      </c>
      <c r="H18" s="18"/>
      <c r="I18" s="1"/>
      <c r="J18" s="1"/>
      <c r="K18" s="1"/>
      <c r="L18" s="1"/>
      <c r="M18" s="1"/>
    </row>
    <row r="19" spans="1:13" ht="15.5" x14ac:dyDescent="0.35">
      <c r="A19" s="1"/>
      <c r="B19" s="67"/>
      <c r="C19" s="17" t="s">
        <v>142</v>
      </c>
      <c r="D19" s="128">
        <f>D8/D10</f>
        <v>26.459574468085105</v>
      </c>
      <c r="E19" s="128">
        <f t="shared" ref="E19:G19" si="0">E8/E10</f>
        <v>26.081395348837212</v>
      </c>
      <c r="F19" s="128">
        <f t="shared" si="0"/>
        <v>27.172161172161175</v>
      </c>
      <c r="G19" s="128">
        <f t="shared" si="0"/>
        <v>27.083044982698958</v>
      </c>
      <c r="H19" s="18"/>
      <c r="I19" s="1"/>
      <c r="J19" s="1"/>
      <c r="K19" s="1"/>
      <c r="L19" s="1"/>
      <c r="M19" s="1"/>
    </row>
    <row r="20" spans="1:13" ht="15.5" x14ac:dyDescent="0.35">
      <c r="A20" s="1"/>
      <c r="B20" s="67"/>
      <c r="C20" s="17" t="s">
        <v>141</v>
      </c>
      <c r="D20" s="128">
        <f>D9/D10</f>
        <v>17.148936170212764</v>
      </c>
      <c r="E20" s="128">
        <f t="shared" ref="E20:G20" si="1">E9/E10</f>
        <v>16.736434108527131</v>
      </c>
      <c r="F20" s="128">
        <f t="shared" si="1"/>
        <v>14.384615384615385</v>
      </c>
      <c r="G20" s="128">
        <f t="shared" si="1"/>
        <v>15.989619377162629</v>
      </c>
      <c r="H20" s="18"/>
      <c r="I20" s="1"/>
      <c r="J20" s="1"/>
      <c r="K20" s="1"/>
      <c r="L20" s="1"/>
      <c r="M20" s="1"/>
    </row>
    <row r="21" spans="1:13" ht="15.5" x14ac:dyDescent="0.35">
      <c r="A21" s="1"/>
      <c r="B21" s="67"/>
      <c r="C21" s="17"/>
      <c r="D21" s="128"/>
      <c r="E21" s="141"/>
      <c r="F21" s="141"/>
      <c r="G21" s="112"/>
      <c r="H21" s="18"/>
      <c r="I21" s="1"/>
      <c r="J21" s="1"/>
      <c r="K21" s="1"/>
      <c r="L21" s="1"/>
      <c r="M21" s="1"/>
    </row>
    <row r="22" spans="1:13" ht="15.5" x14ac:dyDescent="0.35">
      <c r="A22" s="1"/>
      <c r="B22" s="67"/>
      <c r="C22" s="17" t="s">
        <v>144</v>
      </c>
      <c r="D22" s="140">
        <f>AVERAGE(D19:G19)</f>
        <v>26.699043992945612</v>
      </c>
      <c r="E22" s="141"/>
      <c r="F22" s="141"/>
      <c r="G22" s="141"/>
      <c r="H22" s="18"/>
      <c r="I22" s="1"/>
      <c r="J22" s="1"/>
      <c r="K22" s="1"/>
      <c r="L22" s="1"/>
      <c r="M22" s="1"/>
    </row>
    <row r="23" spans="1:13" ht="15.5" x14ac:dyDescent="0.35">
      <c r="A23" s="1"/>
      <c r="B23" s="67"/>
      <c r="C23" s="17" t="s">
        <v>143</v>
      </c>
      <c r="D23" s="140">
        <f>AVERAGE(D20:G20)</f>
        <v>16.064901260129478</v>
      </c>
      <c r="E23" s="141"/>
      <c r="F23" s="141"/>
      <c r="G23" s="141"/>
      <c r="H23" s="18"/>
      <c r="I23" s="1"/>
      <c r="J23" s="1"/>
      <c r="K23" s="1"/>
      <c r="L23" s="1"/>
      <c r="M23" s="1"/>
    </row>
    <row r="24" spans="1:13" ht="15.5" x14ac:dyDescent="0.35">
      <c r="A24" s="1"/>
      <c r="B24" s="67"/>
      <c r="C24" s="17"/>
      <c r="D24" s="140"/>
      <c r="E24" s="141"/>
      <c r="F24" s="141"/>
      <c r="G24" s="141"/>
      <c r="H24" s="18"/>
      <c r="I24" s="1"/>
      <c r="J24" s="1"/>
      <c r="K24" s="1"/>
      <c r="L24" s="1"/>
      <c r="M24" s="1"/>
    </row>
    <row r="25" spans="1:13" ht="15.5" x14ac:dyDescent="0.35">
      <c r="A25" s="1"/>
      <c r="B25" s="67"/>
      <c r="C25" s="17" t="s">
        <v>127</v>
      </c>
      <c r="D25" s="112">
        <f>G10*(1+D12)</f>
        <v>3.1501000000000006</v>
      </c>
      <c r="E25" s="141"/>
      <c r="F25" s="141"/>
      <c r="G25" s="142"/>
      <c r="H25" s="18"/>
      <c r="I25" s="1"/>
      <c r="J25" s="1"/>
      <c r="K25" s="1"/>
      <c r="L25" s="1"/>
      <c r="M25" s="1"/>
    </row>
    <row r="26" spans="1:13" ht="15.5" x14ac:dyDescent="0.35">
      <c r="A26" s="1"/>
      <c r="B26" s="67"/>
      <c r="C26" s="17"/>
      <c r="D26" s="17"/>
      <c r="E26" s="17"/>
      <c r="F26" s="17"/>
      <c r="G26" s="17"/>
      <c r="H26" s="18"/>
      <c r="I26" s="1"/>
      <c r="J26" s="1"/>
      <c r="K26" s="1"/>
      <c r="L26" s="1"/>
      <c r="M26" s="1"/>
    </row>
    <row r="27" spans="1:13" ht="15.5" x14ac:dyDescent="0.35">
      <c r="A27" s="1"/>
      <c r="B27" s="67"/>
      <c r="C27" s="17" t="s">
        <v>145</v>
      </c>
      <c r="D27" s="143">
        <f>D22*D25</f>
        <v>84.104658482177982</v>
      </c>
      <c r="E27" s="17"/>
      <c r="F27" s="17"/>
      <c r="G27" s="68"/>
      <c r="H27" s="18"/>
      <c r="I27" s="1"/>
      <c r="J27" s="1"/>
      <c r="K27" s="1"/>
      <c r="L27" s="1"/>
      <c r="M27" s="1"/>
    </row>
    <row r="28" spans="1:13" ht="15.5" x14ac:dyDescent="0.35">
      <c r="A28" s="1"/>
      <c r="B28" s="67"/>
      <c r="C28" s="17" t="s">
        <v>146</v>
      </c>
      <c r="D28" s="143">
        <f>D23*D25</f>
        <v>50.606045459533874</v>
      </c>
      <c r="E28" s="17"/>
      <c r="F28" s="17"/>
      <c r="G28" s="68"/>
      <c r="H28" s="18"/>
      <c r="I28" s="1"/>
      <c r="J28" s="1"/>
      <c r="K28" s="1"/>
      <c r="L28" s="1"/>
      <c r="M28" s="1"/>
    </row>
    <row r="29" spans="1:13" ht="16" thickBot="1" x14ac:dyDescent="0.4">
      <c r="A29" s="1"/>
      <c r="B29" s="20"/>
      <c r="C29" s="21"/>
      <c r="D29" s="21"/>
      <c r="E29" s="21"/>
      <c r="F29" s="21"/>
      <c r="G29" s="21"/>
      <c r="H29" s="22"/>
      <c r="I29" s="1"/>
      <c r="J29" s="1"/>
      <c r="K29" s="1"/>
      <c r="L29" s="1"/>
      <c r="M29" s="1"/>
    </row>
    <row r="30" spans="1:13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pageMargins left="0.75" right="0.75" top="1" bottom="1" header="0.5" footer="0.5"/>
  <pageSetup orientation="portrait" horizontalDpi="360" verticalDpi="360" copies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60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31.26953125" customWidth="1"/>
    <col min="4" max="4" width="18.1796875" customWidth="1"/>
    <col min="5" max="5" width="3.1796875" customWidth="1"/>
  </cols>
  <sheetData>
    <row r="1" spans="1:10" ht="18" x14ac:dyDescent="0.4">
      <c r="A1" s="1"/>
      <c r="B1" s="1"/>
      <c r="C1" s="58" t="s">
        <v>4</v>
      </c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/>
      <c r="C2" s="1" t="s">
        <v>117</v>
      </c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1"/>
      <c r="B4" s="1"/>
      <c r="C4" s="2" t="s">
        <v>94</v>
      </c>
      <c r="D4" s="1"/>
      <c r="E4" s="1"/>
      <c r="F4" s="1"/>
      <c r="G4" s="1"/>
      <c r="H4" s="1"/>
      <c r="I4" s="1"/>
      <c r="J4" s="1"/>
    </row>
    <row r="5" spans="1:10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1"/>
      <c r="B6" s="3"/>
      <c r="C6" s="5"/>
      <c r="D6" s="5"/>
      <c r="E6" s="6"/>
      <c r="F6" s="1"/>
      <c r="G6" s="1"/>
      <c r="H6" s="1"/>
      <c r="I6" s="1"/>
      <c r="J6" s="1"/>
    </row>
    <row r="7" spans="1:10" ht="15.5" x14ac:dyDescent="0.35">
      <c r="A7" s="1"/>
      <c r="B7" s="7"/>
      <c r="C7" s="8" t="s">
        <v>120</v>
      </c>
      <c r="D7" s="136">
        <v>2.85</v>
      </c>
      <c r="E7" s="9"/>
      <c r="F7" s="1"/>
      <c r="G7" s="1"/>
      <c r="H7" s="1"/>
      <c r="I7" s="1"/>
      <c r="J7" s="1"/>
    </row>
    <row r="8" spans="1:10" ht="15.5" x14ac:dyDescent="0.35">
      <c r="A8" s="1"/>
      <c r="B8" s="7"/>
      <c r="C8" s="8" t="s">
        <v>125</v>
      </c>
      <c r="D8" s="101">
        <v>0.08</v>
      </c>
      <c r="E8" s="9"/>
      <c r="F8" s="1"/>
      <c r="G8" s="1"/>
      <c r="H8" s="1"/>
      <c r="I8" s="1"/>
      <c r="J8" s="1"/>
    </row>
    <row r="9" spans="1:10" ht="15.5" x14ac:dyDescent="0.35">
      <c r="A9" s="1"/>
      <c r="B9" s="7"/>
      <c r="C9" s="8" t="s">
        <v>121</v>
      </c>
      <c r="D9" s="113">
        <v>19</v>
      </c>
      <c r="E9" s="9"/>
      <c r="F9" s="1"/>
      <c r="G9" s="1"/>
      <c r="H9" s="1"/>
      <c r="I9" s="1"/>
      <c r="J9" s="1"/>
    </row>
    <row r="10" spans="1:10" ht="15.5" x14ac:dyDescent="0.35">
      <c r="A10" s="1"/>
      <c r="B10" s="7"/>
      <c r="C10" s="8" t="s">
        <v>147</v>
      </c>
      <c r="D10" s="144">
        <v>5</v>
      </c>
      <c r="E10" s="9"/>
      <c r="F10" s="1"/>
      <c r="G10" s="1"/>
      <c r="H10" s="1"/>
      <c r="I10" s="1"/>
      <c r="J10" s="1"/>
    </row>
    <row r="11" spans="1:10" ht="16" thickBot="1" x14ac:dyDescent="0.4">
      <c r="A11" s="1"/>
      <c r="B11" s="10"/>
      <c r="C11" s="11"/>
      <c r="D11" s="11"/>
      <c r="E11" s="12"/>
      <c r="F11" s="1"/>
      <c r="G11" s="1"/>
      <c r="H11" s="1"/>
      <c r="I11" s="1"/>
      <c r="J11" s="1"/>
    </row>
    <row r="12" spans="1:10" ht="15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.5" x14ac:dyDescent="0.35">
      <c r="A13" s="1"/>
      <c r="B13" s="1"/>
      <c r="C13" s="2" t="s">
        <v>97</v>
      </c>
      <c r="D13" s="1"/>
      <c r="E13" s="1"/>
      <c r="F13" s="1"/>
      <c r="G13" s="1"/>
      <c r="H13" s="1"/>
      <c r="I13" s="1"/>
      <c r="J13" s="1"/>
    </row>
    <row r="14" spans="1:10" ht="16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.5" x14ac:dyDescent="0.35">
      <c r="A15" s="1"/>
      <c r="B15" s="13"/>
      <c r="C15" s="14"/>
      <c r="D15" s="14"/>
      <c r="E15" s="15"/>
      <c r="F15" s="1"/>
      <c r="G15" s="1"/>
      <c r="H15" s="1"/>
      <c r="I15" s="1"/>
      <c r="J15" s="1"/>
    </row>
    <row r="16" spans="1:10" ht="15.5" x14ac:dyDescent="0.35">
      <c r="A16" s="1"/>
      <c r="B16" s="16"/>
      <c r="C16" s="17" t="str">
        <f>"Projected EPS in "&amp;D10&amp;" years"</f>
        <v>Projected EPS in 5 years</v>
      </c>
      <c r="D16" s="112">
        <f>FV(D8,D10,,-D7)</f>
        <v>4.187585018880001</v>
      </c>
      <c r="E16" s="18"/>
      <c r="F16" s="1"/>
      <c r="G16" s="1"/>
      <c r="H16" s="1"/>
      <c r="I16" s="1"/>
      <c r="J16" s="1"/>
    </row>
    <row r="17" spans="1:10" ht="15.5" x14ac:dyDescent="0.35">
      <c r="A17" s="1"/>
      <c r="B17" s="16"/>
      <c r="C17" s="17"/>
      <c r="D17" s="17"/>
      <c r="E17" s="18"/>
      <c r="F17" s="1"/>
      <c r="G17" s="1"/>
      <c r="H17" s="1"/>
      <c r="I17" s="1"/>
      <c r="J17" s="1"/>
    </row>
    <row r="18" spans="1:10" ht="15.5" x14ac:dyDescent="0.35">
      <c r="A18" s="1"/>
      <c r="B18" s="67"/>
      <c r="C18" s="17" t="str">
        <f>"Target stock price in "&amp;D10&amp;" years"</f>
        <v>Target stock price in 5 years</v>
      </c>
      <c r="D18" s="134">
        <f>D16*D9</f>
        <v>79.564115358720017</v>
      </c>
      <c r="E18" s="18"/>
      <c r="F18" s="1"/>
      <c r="G18" s="1"/>
      <c r="H18" s="1"/>
      <c r="I18" s="1"/>
      <c r="J18" s="1"/>
    </row>
    <row r="19" spans="1:10" ht="16" thickBot="1" x14ac:dyDescent="0.4">
      <c r="A19" s="1"/>
      <c r="B19" s="20"/>
      <c r="C19" s="21"/>
      <c r="D19" s="21"/>
      <c r="E19" s="22"/>
      <c r="F19" s="1"/>
      <c r="G19" s="1"/>
      <c r="H19" s="1"/>
      <c r="I19" s="1"/>
      <c r="J19" s="1"/>
    </row>
    <row r="20" spans="1:10" ht="15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ageMargins left="0.75" right="0.75" top="1" bottom="1" header="0.5" footer="0.5"/>
  <pageSetup orientation="portrait" horizontalDpi="360" verticalDpi="360" copies="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G30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35.81640625" bestFit="1" customWidth="1"/>
    <col min="4" max="6" width="16.1796875" customWidth="1"/>
    <col min="7" max="7" width="3.1796875" customWidth="1"/>
  </cols>
  <sheetData>
    <row r="1" spans="2:7" s="1" customFormat="1" ht="18" x14ac:dyDescent="0.4">
      <c r="C1" s="58" t="s">
        <v>4</v>
      </c>
    </row>
    <row r="2" spans="2:7" s="1" customFormat="1" ht="15.5" x14ac:dyDescent="0.35">
      <c r="C2" s="1" t="s">
        <v>116</v>
      </c>
    </row>
    <row r="3" spans="2:7" s="1" customFormat="1" ht="15.5" x14ac:dyDescent="0.35"/>
    <row r="4" spans="2:7" s="1" customFormat="1" ht="15.5" x14ac:dyDescent="0.35">
      <c r="C4" s="2" t="s">
        <v>1</v>
      </c>
    </row>
    <row r="5" spans="2:7" s="1" customFormat="1" ht="16" thickBot="1" x14ac:dyDescent="0.4">
      <c r="C5" s="2"/>
    </row>
    <row r="6" spans="2:7" s="1" customFormat="1" ht="15.5" x14ac:dyDescent="0.35">
      <c r="B6" s="3"/>
      <c r="C6" s="4"/>
      <c r="D6" s="5"/>
      <c r="E6" s="5"/>
      <c r="F6" s="5"/>
      <c r="G6" s="6"/>
    </row>
    <row r="7" spans="2:7" s="1" customFormat="1" ht="15.5" x14ac:dyDescent="0.35">
      <c r="B7" s="7"/>
      <c r="C7" s="8" t="s">
        <v>24</v>
      </c>
      <c r="D7" s="100">
        <v>1.87</v>
      </c>
      <c r="E7" s="55"/>
      <c r="F7" s="55"/>
      <c r="G7" s="9"/>
    </row>
    <row r="8" spans="2:7" s="1" customFormat="1" ht="15.5" x14ac:dyDescent="0.35">
      <c r="B8" s="7"/>
      <c r="C8" s="8" t="s">
        <v>6</v>
      </c>
      <c r="D8" s="101">
        <v>0.13</v>
      </c>
      <c r="E8" s="62"/>
      <c r="F8" s="62"/>
      <c r="G8" s="9"/>
    </row>
    <row r="9" spans="2:7" s="1" customFormat="1" ht="15.5" x14ac:dyDescent="0.35">
      <c r="B9" s="7"/>
      <c r="C9" s="8" t="s">
        <v>65</v>
      </c>
      <c r="D9" s="121">
        <v>5</v>
      </c>
      <c r="E9" s="61"/>
      <c r="F9" s="61"/>
      <c r="G9" s="9"/>
    </row>
    <row r="10" spans="2:7" s="1" customFormat="1" ht="15.5" x14ac:dyDescent="0.35">
      <c r="B10" s="7"/>
      <c r="C10" s="8" t="s">
        <v>159</v>
      </c>
      <c r="D10" s="101">
        <v>0.3</v>
      </c>
      <c r="E10" s="61"/>
      <c r="F10" s="61"/>
      <c r="G10" s="9"/>
    </row>
    <row r="11" spans="2:7" s="1" customFormat="1" ht="15.5" x14ac:dyDescent="0.35">
      <c r="B11" s="7"/>
      <c r="C11" s="8" t="s">
        <v>121</v>
      </c>
      <c r="D11" s="121">
        <v>19</v>
      </c>
      <c r="E11" s="61"/>
      <c r="F11" s="61"/>
      <c r="G11" s="9"/>
    </row>
    <row r="12" spans="2:7" s="1" customFormat="1" ht="15.5" x14ac:dyDescent="0.35">
      <c r="B12" s="7"/>
      <c r="C12" s="8" t="s">
        <v>7</v>
      </c>
      <c r="D12" s="101">
        <v>0.11</v>
      </c>
      <c r="E12" s="56"/>
      <c r="F12" s="56"/>
      <c r="G12" s="9"/>
    </row>
    <row r="13" spans="2:7" s="1" customFormat="1" ht="15" customHeight="1" thickBot="1" x14ac:dyDescent="0.4">
      <c r="B13" s="10"/>
      <c r="C13" s="11"/>
      <c r="D13" s="11"/>
      <c r="E13" s="11"/>
      <c r="F13" s="11"/>
      <c r="G13" s="12"/>
    </row>
    <row r="14" spans="2:7" s="1" customFormat="1" ht="15.5" x14ac:dyDescent="0.35"/>
    <row r="15" spans="2:7" s="1" customFormat="1" ht="15.5" x14ac:dyDescent="0.35">
      <c r="C15" s="2" t="s">
        <v>2</v>
      </c>
    </row>
    <row r="16" spans="2:7" s="1" customFormat="1" ht="16" thickBot="1" x14ac:dyDescent="0.4">
      <c r="C16" s="2"/>
    </row>
    <row r="17" spans="2:7" s="1" customFormat="1" ht="15.5" x14ac:dyDescent="0.35">
      <c r="B17" s="13"/>
      <c r="C17" s="14"/>
      <c r="D17" s="14"/>
      <c r="E17" s="14"/>
      <c r="F17" s="14"/>
      <c r="G17" s="15"/>
    </row>
    <row r="18" spans="2:7" s="1" customFormat="1" ht="15.5" x14ac:dyDescent="0.35">
      <c r="B18" s="16"/>
      <c r="C18" s="17" t="str">
        <f>"EPS in "&amp;D9&amp;" years"</f>
        <v>EPS in 5 years</v>
      </c>
      <c r="D18" s="112">
        <f>D26/D10</f>
        <v>11.484512617636662</v>
      </c>
      <c r="E18" s="17"/>
      <c r="F18" s="17"/>
      <c r="G18" s="18"/>
    </row>
    <row r="19" spans="2:7" s="1" customFormat="1" ht="15.5" x14ac:dyDescent="0.35">
      <c r="B19" s="16"/>
      <c r="C19" s="17" t="str">
        <f>"Stock price in "&amp;D9&amp;" years"</f>
        <v>Stock price in 5 years</v>
      </c>
      <c r="D19" s="134">
        <f>D18*D11</f>
        <v>218.20573973509659</v>
      </c>
      <c r="E19" s="17"/>
      <c r="F19" s="17"/>
      <c r="G19" s="18"/>
    </row>
    <row r="20" spans="2:7" s="1" customFormat="1" ht="15.5" x14ac:dyDescent="0.35">
      <c r="B20" s="16"/>
      <c r="C20" s="17"/>
      <c r="D20" s="17"/>
      <c r="E20" s="17"/>
      <c r="F20" s="17"/>
      <c r="G20" s="18"/>
    </row>
    <row r="21" spans="2:7" s="1" customFormat="1" ht="15.5" x14ac:dyDescent="0.35">
      <c r="B21" s="16"/>
      <c r="C21" s="59" t="s">
        <v>64</v>
      </c>
      <c r="D21" s="60" t="s">
        <v>24</v>
      </c>
      <c r="E21" s="60" t="s">
        <v>157</v>
      </c>
      <c r="F21" s="60" t="s">
        <v>158</v>
      </c>
      <c r="G21" s="18"/>
    </row>
    <row r="22" spans="2:7" s="1" customFormat="1" ht="15.5" x14ac:dyDescent="0.35">
      <c r="B22" s="16"/>
      <c r="C22" s="59">
        <v>1</v>
      </c>
      <c r="D22" s="112">
        <f>D7*(1+D8)</f>
        <v>2.1130999999999998</v>
      </c>
      <c r="E22" s="112"/>
      <c r="F22" s="112">
        <f>PV($D$12,C22,,-D22-E22)</f>
        <v>1.9036936936936932</v>
      </c>
      <c r="G22" s="18"/>
    </row>
    <row r="23" spans="2:7" s="1" customFormat="1" ht="15.5" x14ac:dyDescent="0.35">
      <c r="B23" s="16"/>
      <c r="C23" s="59">
        <v>2</v>
      </c>
      <c r="D23" s="128">
        <f>D22*(1+$D$8)</f>
        <v>2.3878029999999995</v>
      </c>
      <c r="E23" s="128"/>
      <c r="F23" s="128">
        <f t="shared" ref="F23:F26" si="0">PV($D$12,C23,,-D23-E23)</f>
        <v>1.9379944809674532</v>
      </c>
      <c r="G23" s="18"/>
    </row>
    <row r="24" spans="2:7" s="1" customFormat="1" ht="15.5" x14ac:dyDescent="0.35">
      <c r="B24" s="16"/>
      <c r="C24" s="59">
        <v>3</v>
      </c>
      <c r="D24" s="128">
        <f t="shared" ref="D24:D26" si="1">D23*(1+$D$8)</f>
        <v>2.698217389999999</v>
      </c>
      <c r="E24" s="128"/>
      <c r="F24" s="128">
        <f t="shared" si="0"/>
        <v>1.972913300444344</v>
      </c>
      <c r="G24" s="18"/>
    </row>
    <row r="25" spans="2:7" s="1" customFormat="1" ht="15.5" x14ac:dyDescent="0.35">
      <c r="B25" s="16"/>
      <c r="C25" s="59">
        <v>4</v>
      </c>
      <c r="D25" s="128">
        <f t="shared" si="1"/>
        <v>3.0489856506999988</v>
      </c>
      <c r="E25" s="128"/>
      <c r="F25" s="128">
        <f t="shared" si="0"/>
        <v>2.0084612878397374</v>
      </c>
      <c r="G25" s="18"/>
    </row>
    <row r="26" spans="2:7" s="1" customFormat="1" ht="15.5" x14ac:dyDescent="0.35">
      <c r="B26" s="16"/>
      <c r="C26" s="59">
        <v>5</v>
      </c>
      <c r="D26" s="128">
        <f t="shared" si="1"/>
        <v>3.4453537852909983</v>
      </c>
      <c r="E26" s="128">
        <f t="shared" ref="E26" si="2">IF($D$9=C26,$D$19,0)</f>
        <v>218.20573973509659</v>
      </c>
      <c r="F26" s="128">
        <f t="shared" si="0"/>
        <v>131.5391358153058</v>
      </c>
      <c r="G26" s="18"/>
    </row>
    <row r="27" spans="2:7" s="1" customFormat="1" ht="15.5" x14ac:dyDescent="0.35">
      <c r="B27" s="16"/>
      <c r="C27" s="17"/>
      <c r="D27" s="17"/>
      <c r="E27" s="17"/>
      <c r="F27" s="17"/>
      <c r="G27" s="18"/>
    </row>
    <row r="28" spans="2:7" s="1" customFormat="1" ht="15.5" x14ac:dyDescent="0.35">
      <c r="B28" s="16"/>
      <c r="C28" s="17" t="s">
        <v>17</v>
      </c>
      <c r="D28" s="104">
        <f>SUM(F22:F26)</f>
        <v>139.36219857825103</v>
      </c>
      <c r="E28" s="41"/>
      <c r="F28" s="41"/>
      <c r="G28" s="24"/>
    </row>
    <row r="29" spans="2:7" s="1" customFormat="1" ht="15" customHeight="1" thickBot="1" x14ac:dyDescent="0.4">
      <c r="B29" s="20"/>
      <c r="C29" s="21"/>
      <c r="D29" s="21"/>
      <c r="E29" s="21"/>
      <c r="F29" s="21"/>
      <c r="G29" s="22"/>
    </row>
    <row r="30" spans="2:7" s="1" customFormat="1" ht="15.5" x14ac:dyDescent="0.35"/>
  </sheetData>
  <pageMargins left="0.75" right="0.75" top="1" bottom="1" header="0.5" footer="0.5"/>
  <pageSetup orientation="portrait" horizont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65"/>
  <sheetViews>
    <sheetView workbookViewId="0">
      <selection activeCell="C2" sqref="C2"/>
    </sheetView>
  </sheetViews>
  <sheetFormatPr defaultRowHeight="12.5" x14ac:dyDescent="0.25"/>
  <cols>
    <col min="2" max="2" width="3.1796875" customWidth="1"/>
    <col min="3" max="3" width="31.26953125" customWidth="1"/>
    <col min="4" max="4" width="18.1796875" customWidth="1"/>
    <col min="5" max="5" width="3.1796875" customWidth="1"/>
  </cols>
  <sheetData>
    <row r="1" spans="1:10" ht="18" x14ac:dyDescent="0.4">
      <c r="A1" s="1"/>
      <c r="B1" s="1"/>
      <c r="C1" s="58" t="s">
        <v>4</v>
      </c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/>
      <c r="C2" s="1" t="s">
        <v>115</v>
      </c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1"/>
      <c r="B4" s="1"/>
      <c r="C4" s="2" t="s">
        <v>94</v>
      </c>
      <c r="D4" s="1"/>
      <c r="E4" s="1"/>
      <c r="F4" s="1"/>
      <c r="G4" s="1"/>
      <c r="H4" s="1"/>
      <c r="I4" s="1"/>
      <c r="J4" s="1"/>
    </row>
    <row r="5" spans="1:10" ht="16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1"/>
      <c r="B6" s="3"/>
      <c r="C6" s="5"/>
      <c r="D6" s="5"/>
      <c r="E6" s="6"/>
      <c r="F6" s="1"/>
      <c r="G6" s="1"/>
      <c r="H6" s="1"/>
      <c r="I6" s="1"/>
      <c r="J6" s="1"/>
    </row>
    <row r="7" spans="1:10" ht="15.5" x14ac:dyDescent="0.35">
      <c r="A7" s="1"/>
      <c r="B7" s="7"/>
      <c r="C7" s="8" t="s">
        <v>160</v>
      </c>
      <c r="D7" s="145">
        <v>8400000</v>
      </c>
      <c r="E7" s="9"/>
      <c r="F7" s="1"/>
      <c r="G7" s="1"/>
      <c r="H7" s="1"/>
      <c r="I7" s="1"/>
      <c r="J7" s="1"/>
    </row>
    <row r="8" spans="1:10" ht="15.5" x14ac:dyDescent="0.35">
      <c r="A8" s="1"/>
      <c r="B8" s="7"/>
      <c r="C8" s="8" t="s">
        <v>161</v>
      </c>
      <c r="D8" s="145">
        <v>832000</v>
      </c>
      <c r="E8" s="9"/>
      <c r="F8" s="1"/>
      <c r="G8" s="1"/>
      <c r="H8" s="1"/>
      <c r="I8" s="1"/>
      <c r="J8" s="1"/>
    </row>
    <row r="9" spans="1:10" ht="15.5" x14ac:dyDescent="0.35">
      <c r="A9" s="1"/>
      <c r="B9" s="7"/>
      <c r="C9" s="8" t="s">
        <v>162</v>
      </c>
      <c r="D9" s="145">
        <v>285000</v>
      </c>
      <c r="E9" s="9"/>
      <c r="F9" s="1"/>
      <c r="G9" s="1"/>
      <c r="H9" s="1"/>
      <c r="I9" s="1"/>
      <c r="J9" s="1"/>
    </row>
    <row r="10" spans="1:10" ht="15.5" x14ac:dyDescent="0.35">
      <c r="A10" s="1"/>
      <c r="B10" s="7"/>
      <c r="C10" s="8" t="s">
        <v>123</v>
      </c>
      <c r="D10" s="144">
        <v>215000</v>
      </c>
      <c r="E10" s="9"/>
      <c r="F10" s="1"/>
      <c r="G10" s="1"/>
      <c r="H10" s="1"/>
      <c r="I10" s="1"/>
      <c r="J10" s="1"/>
    </row>
    <row r="11" spans="1:10" ht="15.5" x14ac:dyDescent="0.35">
      <c r="A11" s="1"/>
      <c r="B11" s="7"/>
      <c r="C11" s="8" t="s">
        <v>121</v>
      </c>
      <c r="D11" s="144">
        <v>16</v>
      </c>
      <c r="E11" s="9"/>
      <c r="F11" s="1"/>
      <c r="G11" s="1"/>
      <c r="H11" s="1"/>
      <c r="I11" s="1"/>
      <c r="J11" s="1"/>
    </row>
    <row r="12" spans="1:10" ht="16" thickBot="1" x14ac:dyDescent="0.4">
      <c r="A12" s="1"/>
      <c r="B12" s="10"/>
      <c r="C12" s="11"/>
      <c r="D12" s="11"/>
      <c r="E12" s="12"/>
      <c r="F12" s="1"/>
      <c r="G12" s="1"/>
      <c r="H12" s="1"/>
      <c r="I12" s="1"/>
      <c r="J12" s="1"/>
    </row>
    <row r="13" spans="1:10" ht="15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5" x14ac:dyDescent="0.35">
      <c r="A14" s="1"/>
      <c r="B14" s="1"/>
      <c r="C14" s="2" t="s">
        <v>97</v>
      </c>
      <c r="D14" s="1"/>
      <c r="E14" s="1"/>
      <c r="F14" s="1"/>
      <c r="G14" s="1"/>
      <c r="H14" s="1"/>
      <c r="I14" s="1"/>
      <c r="J14" s="1"/>
    </row>
    <row r="15" spans="1:10" ht="16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.5" x14ac:dyDescent="0.35">
      <c r="A16" s="1"/>
      <c r="B16" s="13"/>
      <c r="C16" s="14"/>
      <c r="D16" s="14"/>
      <c r="E16" s="15"/>
      <c r="F16" s="1"/>
      <c r="G16" s="1"/>
      <c r="H16" s="1"/>
      <c r="I16" s="1"/>
      <c r="J16" s="1"/>
    </row>
    <row r="17" spans="1:10" ht="15.5" x14ac:dyDescent="0.35">
      <c r="A17" s="1"/>
      <c r="B17" s="16"/>
      <c r="C17" s="17" t="s">
        <v>163</v>
      </c>
      <c r="D17" s="146">
        <f>D8/D7</f>
        <v>9.9047619047619051E-2</v>
      </c>
      <c r="E17" s="18"/>
      <c r="F17" s="1"/>
      <c r="G17" s="1"/>
      <c r="H17" s="1"/>
      <c r="I17" s="1"/>
      <c r="J17" s="1"/>
    </row>
    <row r="18" spans="1:10" ht="15.5" x14ac:dyDescent="0.35">
      <c r="A18" s="1"/>
      <c r="B18" s="16"/>
      <c r="C18" s="17" t="s">
        <v>193</v>
      </c>
      <c r="D18" s="146">
        <f>1-(D9/D8)</f>
        <v>0.65745192307692313</v>
      </c>
      <c r="E18" s="18"/>
      <c r="F18" s="1"/>
      <c r="G18" s="1"/>
      <c r="H18" s="1"/>
      <c r="I18" s="1"/>
      <c r="J18" s="1"/>
    </row>
    <row r="19" spans="1:10" ht="15.5" x14ac:dyDescent="0.35">
      <c r="A19" s="1"/>
      <c r="B19" s="16"/>
      <c r="C19" s="17" t="s">
        <v>164</v>
      </c>
      <c r="D19" s="146">
        <f>(D17*D18)/(1-(D17*D18))</f>
        <v>6.9654908951992889E-2</v>
      </c>
      <c r="E19" s="18"/>
      <c r="F19" s="1"/>
      <c r="G19" s="1"/>
      <c r="H19" s="1"/>
      <c r="I19" s="1"/>
      <c r="J19" s="1"/>
    </row>
    <row r="20" spans="1:10" ht="15.5" x14ac:dyDescent="0.35">
      <c r="A20" s="1"/>
      <c r="B20" s="16"/>
      <c r="C20" s="17" t="s">
        <v>165</v>
      </c>
      <c r="D20" s="112">
        <f>D8/D10</f>
        <v>3.8697674418604651</v>
      </c>
      <c r="E20" s="18"/>
      <c r="F20" s="1"/>
      <c r="G20" s="1"/>
      <c r="H20" s="1"/>
      <c r="I20" s="1"/>
      <c r="J20" s="1"/>
    </row>
    <row r="21" spans="1:10" ht="15.5" x14ac:dyDescent="0.35">
      <c r="A21" s="1"/>
      <c r="B21" s="16"/>
      <c r="C21" s="17" t="s">
        <v>166</v>
      </c>
      <c r="D21" s="112">
        <f>D20*(1+D19)</f>
        <v>4.1393157406886418</v>
      </c>
      <c r="E21" s="18"/>
      <c r="F21" s="1"/>
      <c r="G21" s="1"/>
      <c r="H21" s="1"/>
      <c r="I21" s="1"/>
      <c r="J21" s="1"/>
    </row>
    <row r="22" spans="1:10" ht="15.5" x14ac:dyDescent="0.35">
      <c r="A22" s="1"/>
      <c r="B22" s="16"/>
      <c r="C22" s="17"/>
      <c r="D22" s="17"/>
      <c r="E22" s="18"/>
      <c r="F22" s="1"/>
      <c r="G22" s="1"/>
      <c r="H22" s="1"/>
      <c r="I22" s="1"/>
      <c r="J22" s="1"/>
    </row>
    <row r="23" spans="1:10" ht="15.5" x14ac:dyDescent="0.35">
      <c r="A23" s="1"/>
      <c r="B23" s="67"/>
      <c r="C23" s="17" t="s">
        <v>167</v>
      </c>
      <c r="D23" s="134">
        <f>D21*D11</f>
        <v>66.229051851018269</v>
      </c>
      <c r="E23" s="18"/>
      <c r="F23" s="1"/>
      <c r="G23" s="1"/>
      <c r="H23" s="1"/>
      <c r="I23" s="1"/>
      <c r="J23" s="1"/>
    </row>
    <row r="24" spans="1:10" ht="16" thickBot="1" x14ac:dyDescent="0.4">
      <c r="A24" s="1"/>
      <c r="B24" s="20"/>
      <c r="C24" s="21"/>
      <c r="D24" s="21"/>
      <c r="E24" s="22"/>
      <c r="F24" s="1"/>
      <c r="G24" s="1"/>
      <c r="H24" s="1"/>
      <c r="I24" s="1"/>
      <c r="J24" s="1"/>
    </row>
    <row r="25" spans="1:10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ageMargins left="0.75" right="0.75" top="1" bottom="1" header="0.5" footer="0.5"/>
  <pageSetup orientation="portrait" horizontalDpi="360" verticalDpi="360" copies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121111311"/>
  <dimension ref="B1:I46"/>
  <sheetViews>
    <sheetView topLeftCell="A8" workbookViewId="0">
      <selection activeCell="I35" sqref="I35"/>
    </sheetView>
  </sheetViews>
  <sheetFormatPr defaultRowHeight="12.5" x14ac:dyDescent="0.25"/>
  <cols>
    <col min="2" max="2" width="3.1796875" customWidth="1"/>
    <col min="3" max="3" width="29.7265625" bestFit="1" customWidth="1"/>
    <col min="4" max="4" width="13.1796875" customWidth="1"/>
    <col min="5" max="5" width="3.1796875" customWidth="1"/>
    <col min="7" max="7" width="9.1796875" customWidth="1"/>
    <col min="8" max="8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151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7</v>
      </c>
      <c r="D7" s="101">
        <v>0.12</v>
      </c>
      <c r="E7" s="31"/>
    </row>
    <row r="8" spans="2:5" s="1" customFormat="1" ht="15.5" x14ac:dyDescent="0.35">
      <c r="B8" s="7"/>
      <c r="C8" s="8" t="s">
        <v>44</v>
      </c>
      <c r="D8" s="115">
        <v>4.25</v>
      </c>
      <c r="E8" s="32"/>
    </row>
    <row r="9" spans="2:5" s="1" customFormat="1" ht="15.5" x14ac:dyDescent="0.35">
      <c r="B9" s="7"/>
      <c r="C9" s="8"/>
      <c r="D9" s="102"/>
      <c r="E9" s="33"/>
    </row>
    <row r="10" spans="2:5" s="1" customFormat="1" ht="15.5" x14ac:dyDescent="0.35">
      <c r="B10" s="7"/>
      <c r="C10" s="8" t="s">
        <v>46</v>
      </c>
      <c r="D10" s="101">
        <v>0.1</v>
      </c>
      <c r="E10" s="32"/>
    </row>
    <row r="11" spans="2:5" s="1" customFormat="1" ht="15.5" x14ac:dyDescent="0.35">
      <c r="B11" s="7"/>
      <c r="C11" s="8" t="s">
        <v>45</v>
      </c>
      <c r="D11" s="101">
        <v>0</v>
      </c>
      <c r="E11" s="32"/>
    </row>
    <row r="12" spans="2:5" s="1" customFormat="1" ht="15.5" x14ac:dyDescent="0.35">
      <c r="B12" s="7"/>
      <c r="C12" s="8" t="s">
        <v>47</v>
      </c>
      <c r="D12" s="101">
        <v>-0.05</v>
      </c>
      <c r="E12" s="32"/>
    </row>
    <row r="13" spans="2:5" s="1" customFormat="1" ht="15.5" x14ac:dyDescent="0.35">
      <c r="B13" s="7"/>
      <c r="C13" s="8"/>
      <c r="D13" s="103"/>
      <c r="E13" s="34"/>
    </row>
    <row r="14" spans="2:5" s="1" customFormat="1" ht="15.5" x14ac:dyDescent="0.35">
      <c r="B14" s="7"/>
      <c r="C14" s="36" t="s">
        <v>48</v>
      </c>
      <c r="D14" s="103"/>
      <c r="E14" s="34"/>
    </row>
    <row r="15" spans="2:5" s="1" customFormat="1" ht="15.5" x14ac:dyDescent="0.35">
      <c r="B15" s="7"/>
      <c r="C15" s="8" t="s">
        <v>49</v>
      </c>
      <c r="D15" s="101">
        <v>0.2</v>
      </c>
      <c r="E15" s="34"/>
    </row>
    <row r="16" spans="2:5" s="1" customFormat="1" ht="15.5" x14ac:dyDescent="0.35">
      <c r="B16" s="7"/>
      <c r="C16" s="8" t="s">
        <v>213</v>
      </c>
      <c r="D16" s="103">
        <v>2</v>
      </c>
      <c r="E16" s="34"/>
    </row>
    <row r="17" spans="2:9" s="1" customFormat="1" ht="15.5" x14ac:dyDescent="0.35">
      <c r="B17" s="7"/>
      <c r="C17" s="8" t="s">
        <v>36</v>
      </c>
      <c r="D17" s="101">
        <v>0.05</v>
      </c>
      <c r="E17" s="34"/>
    </row>
    <row r="18" spans="2:9" s="1" customFormat="1" ht="15" customHeight="1" thickBot="1" x14ac:dyDescent="0.4">
      <c r="B18" s="10"/>
      <c r="C18" s="11"/>
      <c r="D18" s="11"/>
      <c r="E18" s="12"/>
    </row>
    <row r="19" spans="2:9" s="1" customFormat="1" ht="15.5" x14ac:dyDescent="0.35"/>
    <row r="20" spans="2:9" s="1" customFormat="1" ht="15.5" x14ac:dyDescent="0.35">
      <c r="C20" s="2" t="s">
        <v>2</v>
      </c>
    </row>
    <row r="21" spans="2:9" s="1" customFormat="1" ht="16" thickBot="1" x14ac:dyDescent="0.4">
      <c r="C21" s="2"/>
    </row>
    <row r="22" spans="2:9" s="1" customFormat="1" ht="15.5" x14ac:dyDescent="0.35">
      <c r="B22" s="13"/>
      <c r="C22" s="14"/>
      <c r="D22" s="14"/>
      <c r="E22" s="15"/>
    </row>
    <row r="23" spans="2:9" s="1" customFormat="1" ht="15.5" x14ac:dyDescent="0.35">
      <c r="B23" s="16"/>
      <c r="C23" s="37" t="s">
        <v>50</v>
      </c>
      <c r="D23" s="27"/>
      <c r="E23" s="40"/>
    </row>
    <row r="24" spans="2:9" s="1" customFormat="1" ht="15.5" x14ac:dyDescent="0.35">
      <c r="B24" s="16"/>
      <c r="C24" s="17" t="s">
        <v>83</v>
      </c>
      <c r="D24" s="125">
        <f>D8*(1+D10)/(D7-D10)</f>
        <v>233.75000000000014</v>
      </c>
      <c r="E24" s="40"/>
    </row>
    <row r="25" spans="2:9" s="1" customFormat="1" ht="15.5" x14ac:dyDescent="0.35">
      <c r="B25" s="16"/>
      <c r="C25" s="17" t="s">
        <v>84</v>
      </c>
      <c r="D25" s="148">
        <f>D8*(1+D10)/D24</f>
        <v>1.999999999999999E-2</v>
      </c>
      <c r="E25" s="40"/>
      <c r="I25" s="1" t="str">
        <f ca="1">_xlfn.FORMULATEXT(D25)</f>
        <v>=D8*(1+D10)/D24</v>
      </c>
    </row>
    <row r="26" spans="2:9" s="1" customFormat="1" ht="15.5" x14ac:dyDescent="0.35">
      <c r="B26" s="16"/>
      <c r="C26" s="17" t="s">
        <v>85</v>
      </c>
      <c r="D26" s="148">
        <f>D7-D25</f>
        <v>0.1</v>
      </c>
      <c r="E26" s="40"/>
      <c r="I26" s="1" t="str">
        <f t="shared" ref="I26:I39" ca="1" si="0">_xlfn.FORMULATEXT(D26)</f>
        <v>=D7-D25</v>
      </c>
    </row>
    <row r="27" spans="2:9" s="1" customFormat="1" ht="15.5" x14ac:dyDescent="0.35">
      <c r="B27" s="16"/>
      <c r="C27" s="17"/>
      <c r="D27" s="38"/>
      <c r="E27" s="40"/>
    </row>
    <row r="28" spans="2:9" s="1" customFormat="1" ht="15.5" x14ac:dyDescent="0.35">
      <c r="B28" s="16"/>
      <c r="C28" s="17" t="s">
        <v>86</v>
      </c>
      <c r="D28" s="125">
        <f>D8/(D7-D11)</f>
        <v>35.416666666666671</v>
      </c>
      <c r="E28" s="35"/>
      <c r="I28" s="1" t="str">
        <f t="shared" ca="1" si="0"/>
        <v>=D8/(D7-D11)</v>
      </c>
    </row>
    <row r="29" spans="2:9" s="1" customFormat="1" ht="15.5" x14ac:dyDescent="0.35">
      <c r="B29" s="16"/>
      <c r="C29" s="17" t="s">
        <v>84</v>
      </c>
      <c r="D29" s="148">
        <f>D8*(1+D11)/D28</f>
        <v>0.11999999999999998</v>
      </c>
      <c r="E29" s="35"/>
      <c r="I29" s="1" t="str">
        <f t="shared" ca="1" si="0"/>
        <v>=D8*(1+D11)/D28</v>
      </c>
    </row>
    <row r="30" spans="2:9" s="1" customFormat="1" ht="15.5" x14ac:dyDescent="0.35">
      <c r="B30" s="16"/>
      <c r="C30" s="17" t="s">
        <v>85</v>
      </c>
      <c r="D30" s="149">
        <f>D7-D29</f>
        <v>0</v>
      </c>
      <c r="E30" s="35"/>
      <c r="I30" s="1" t="str">
        <f t="shared" ca="1" si="0"/>
        <v>=D7-D29</v>
      </c>
    </row>
    <row r="31" spans="2:9" s="1" customFormat="1" ht="15.5" x14ac:dyDescent="0.35">
      <c r="B31" s="16"/>
      <c r="C31" s="17"/>
      <c r="D31" s="39"/>
      <c r="E31" s="35"/>
    </row>
    <row r="32" spans="2:9" s="1" customFormat="1" ht="15.5" x14ac:dyDescent="0.35">
      <c r="B32" s="16"/>
      <c r="C32" s="17" t="s">
        <v>87</v>
      </c>
      <c r="D32" s="125">
        <f>D8*(1+D12)/(D7-D12)</f>
        <v>23.75</v>
      </c>
      <c r="E32" s="35"/>
      <c r="I32" s="1" t="str">
        <f t="shared" ca="1" si="0"/>
        <v>=D8*(1+D12)/(D7-D12)</v>
      </c>
    </row>
    <row r="33" spans="2:9" s="1" customFormat="1" ht="15.5" x14ac:dyDescent="0.35">
      <c r="B33" s="16"/>
      <c r="C33" s="17" t="s">
        <v>84</v>
      </c>
      <c r="D33" s="149">
        <f>D8*(1+D12)/D32</f>
        <v>0.16999999999999998</v>
      </c>
      <c r="E33" s="35"/>
      <c r="I33" s="1" t="str">
        <f t="shared" ca="1" si="0"/>
        <v>=D8*(1+D12)/D32</v>
      </c>
    </row>
    <row r="34" spans="2:9" s="1" customFormat="1" ht="15.5" x14ac:dyDescent="0.35">
      <c r="B34" s="16"/>
      <c r="C34" s="17" t="s">
        <v>85</v>
      </c>
      <c r="D34" s="149">
        <f>D7-D33</f>
        <v>-4.9999999999999989E-2</v>
      </c>
      <c r="E34" s="35"/>
      <c r="I34" s="1" t="str">
        <f t="shared" ca="1" si="0"/>
        <v>=D7-D33</v>
      </c>
    </row>
    <row r="35" spans="2:9" s="1" customFormat="1" ht="15.5" x14ac:dyDescent="0.35">
      <c r="B35" s="16"/>
      <c r="C35" s="17"/>
      <c r="D35" s="39"/>
      <c r="E35" s="35"/>
    </row>
    <row r="36" spans="2:9" s="1" customFormat="1" ht="15.5" x14ac:dyDescent="0.35">
      <c r="B36" s="16"/>
      <c r="C36" s="17" t="s">
        <v>88</v>
      </c>
      <c r="D36" s="125">
        <f>D8*(1+D15)^D16*(1+D17)/(D7-D17)</f>
        <v>91.800000000000011</v>
      </c>
      <c r="E36" s="35"/>
      <c r="I36" s="1" t="str">
        <f t="shared" ca="1" si="0"/>
        <v>=D8*(1+D15)^D16*(1+D17)/(D7-D17)</v>
      </c>
    </row>
    <row r="37" spans="2:9" s="1" customFormat="1" ht="15.5" x14ac:dyDescent="0.35">
      <c r="B37" s="16"/>
      <c r="C37" s="17" t="s">
        <v>89</v>
      </c>
      <c r="D37" s="147">
        <f>D8*(1+D15)/(1+D7)+D8*(1+D15)^D16/(1+D7)^D16+D36/(1+D7)^2</f>
        <v>82.614795918367349</v>
      </c>
      <c r="E37" s="35"/>
      <c r="I37" s="1" t="str">
        <f t="shared" ca="1" si="0"/>
        <v>=D8*(1+D15)/(1+D7)+D8*(1+D15)^D16/(1+D7)^D16+D36/(1+D7)^2</v>
      </c>
    </row>
    <row r="38" spans="2:9" s="1" customFormat="1" ht="15.5" x14ac:dyDescent="0.35">
      <c r="B38" s="16"/>
      <c r="C38" s="17" t="s">
        <v>84</v>
      </c>
      <c r="D38" s="150">
        <f>D8*(1+D15)/D37</f>
        <v>6.1732283464566926E-2</v>
      </c>
      <c r="E38" s="35"/>
      <c r="I38" s="1" t="str">
        <f t="shared" ca="1" si="0"/>
        <v>=D8*(1+D15)/D37</v>
      </c>
    </row>
    <row r="39" spans="2:9" s="1" customFormat="1" ht="15.5" x14ac:dyDescent="0.35">
      <c r="B39" s="16"/>
      <c r="C39" s="17" t="s">
        <v>85</v>
      </c>
      <c r="D39" s="150">
        <f>D7-D38</f>
        <v>5.826771653543307E-2</v>
      </c>
      <c r="E39" s="35"/>
      <c r="I39" s="1" t="str">
        <f t="shared" ca="1" si="0"/>
        <v>=D7-D38</v>
      </c>
    </row>
    <row r="40" spans="2:9" s="1" customFormat="1" ht="15" customHeight="1" thickBot="1" x14ac:dyDescent="0.4">
      <c r="B40" s="20"/>
      <c r="C40" s="21"/>
      <c r="D40" s="21"/>
      <c r="E40" s="22"/>
    </row>
    <row r="41" spans="2:9" s="1" customFormat="1" ht="16" thickBot="1" x14ac:dyDescent="0.4"/>
    <row r="42" spans="2:9" s="1" customFormat="1" ht="15.5" x14ac:dyDescent="0.35">
      <c r="B42" s="13"/>
      <c r="C42" s="14"/>
      <c r="D42" s="14"/>
      <c r="E42" s="14"/>
      <c r="F42" s="14"/>
      <c r="G42" s="14"/>
      <c r="H42" s="15"/>
    </row>
    <row r="43" spans="2:9" s="1" customFormat="1" ht="89.25" customHeight="1" x14ac:dyDescent="0.35">
      <c r="B43" s="16"/>
      <c r="C43" s="160" t="s">
        <v>209</v>
      </c>
      <c r="D43" s="160"/>
      <c r="E43" s="160"/>
      <c r="F43" s="160"/>
      <c r="G43" s="160"/>
      <c r="H43" s="18"/>
    </row>
    <row r="44" spans="2:9" s="1" customFormat="1" ht="16" thickBot="1" x14ac:dyDescent="0.4">
      <c r="B44" s="20"/>
      <c r="C44" s="21"/>
      <c r="D44" s="21"/>
      <c r="E44" s="21"/>
      <c r="F44" s="21"/>
      <c r="G44" s="21"/>
      <c r="H44" s="22"/>
    </row>
    <row r="45" spans="2:9" s="1" customFormat="1" ht="15.5" x14ac:dyDescent="0.35"/>
    <row r="46" spans="2:9" s="1" customFormat="1" ht="15.5" x14ac:dyDescent="0.35"/>
  </sheetData>
  <mergeCells count="1">
    <mergeCell ref="C43:G43"/>
  </mergeCells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1211115"/>
  <dimension ref="B1:I25"/>
  <sheetViews>
    <sheetView workbookViewId="0">
      <selection activeCell="G17" sqref="G17"/>
    </sheetView>
  </sheetViews>
  <sheetFormatPr defaultRowHeight="12.5" x14ac:dyDescent="0.25"/>
  <cols>
    <col min="2" max="2" width="3.1796875" customWidth="1"/>
    <col min="3" max="3" width="26.54296875" bestFit="1" customWidth="1"/>
    <col min="4" max="4" width="14.453125" customWidth="1"/>
    <col min="5" max="5" width="3.1796875" customWidth="1"/>
    <col min="7" max="7" width="24.7265625" customWidth="1"/>
    <col min="9" max="9" width="32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150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226</v>
      </c>
      <c r="D7" s="100">
        <v>3.8</v>
      </c>
      <c r="E7" s="9"/>
    </row>
    <row r="8" spans="2:5" s="1" customFormat="1" ht="15.5" x14ac:dyDescent="0.35">
      <c r="B8" s="7"/>
      <c r="C8" s="8" t="s">
        <v>227</v>
      </c>
      <c r="D8" s="102">
        <v>3.4000000000000002E-2</v>
      </c>
      <c r="E8" s="9"/>
    </row>
    <row r="9" spans="2:5" s="1" customFormat="1" ht="15.5" x14ac:dyDescent="0.35">
      <c r="B9" s="7"/>
      <c r="C9" s="8" t="s">
        <v>228</v>
      </c>
      <c r="D9" s="102">
        <v>0.105</v>
      </c>
      <c r="E9" s="9"/>
    </row>
    <row r="10" spans="2:5" s="1" customFormat="1" ht="15.5" x14ac:dyDescent="0.35">
      <c r="B10" s="7"/>
      <c r="C10" s="8"/>
      <c r="D10" s="103"/>
      <c r="E10" s="9"/>
    </row>
    <row r="11" spans="2:5" s="1" customFormat="1" ht="15.5" x14ac:dyDescent="0.35">
      <c r="B11" s="7"/>
      <c r="C11" s="8" t="s">
        <v>229</v>
      </c>
      <c r="D11" s="103">
        <v>4</v>
      </c>
      <c r="E11" s="9"/>
    </row>
    <row r="12" spans="2:5" s="1" customFormat="1" ht="15" customHeight="1" thickBot="1" x14ac:dyDescent="0.4">
      <c r="B12" s="10"/>
      <c r="C12" s="11"/>
      <c r="D12" s="11"/>
      <c r="E12" s="12"/>
    </row>
    <row r="13" spans="2:5" s="1" customFormat="1" ht="15.5" x14ac:dyDescent="0.35"/>
    <row r="14" spans="2:5" s="1" customFormat="1" ht="15.5" x14ac:dyDescent="0.35">
      <c r="C14" s="2" t="s">
        <v>2</v>
      </c>
    </row>
    <row r="15" spans="2:5" s="1" customFormat="1" ht="16" thickBot="1" x14ac:dyDescent="0.4">
      <c r="C15" s="2"/>
    </row>
    <row r="16" spans="2:5" s="1" customFormat="1" ht="15.5" x14ac:dyDescent="0.35">
      <c r="B16" s="13"/>
      <c r="C16" s="14"/>
      <c r="D16" s="14"/>
      <c r="E16" s="15"/>
    </row>
    <row r="17" spans="2:9" s="1" customFormat="1" ht="15.5" x14ac:dyDescent="0.35">
      <c r="B17" s="57" t="s">
        <v>60</v>
      </c>
      <c r="C17" s="17" t="s">
        <v>77</v>
      </c>
      <c r="D17" s="104">
        <f>(D7*(1+D8))/(D9-D8)</f>
        <v>55.340845070422539</v>
      </c>
      <c r="E17" s="24"/>
      <c r="G17" s="1" t="str">
        <f ca="1">_xlfn.FORMULATEXT(D17)</f>
        <v>=(D7*(1+D8))/(D9-D8)</v>
      </c>
      <c r="I17" s="63" t="s">
        <v>223</v>
      </c>
    </row>
    <row r="18" spans="2:9" s="1" customFormat="1" ht="15.5" x14ac:dyDescent="0.35">
      <c r="B18" s="57"/>
      <c r="C18" s="17"/>
      <c r="D18" s="41"/>
      <c r="E18" s="24"/>
    </row>
    <row r="19" spans="2:9" s="1" customFormat="1" ht="15.5" x14ac:dyDescent="0.35">
      <c r="B19" s="57" t="s">
        <v>61</v>
      </c>
      <c r="C19" s="17" t="s">
        <v>78</v>
      </c>
      <c r="D19" s="151">
        <f>D7*(1+D8)/D11</f>
        <v>0.98229999999999995</v>
      </c>
      <c r="E19" s="35"/>
      <c r="G19" s="1" t="str">
        <f t="shared" ref="G19:G23" ca="1" si="0">_xlfn.FORMULATEXT(D19)</f>
        <v>=D7*(1+D8)/D11</v>
      </c>
      <c r="I19" s="63" t="s">
        <v>224</v>
      </c>
    </row>
    <row r="20" spans="2:9" s="1" customFormat="1" ht="15.5" x14ac:dyDescent="0.35">
      <c r="B20" s="57"/>
      <c r="C20" s="17" t="s">
        <v>79</v>
      </c>
      <c r="D20" s="146">
        <f>(1+D9)^(1/D11)-1</f>
        <v>2.5275476192341051E-2</v>
      </c>
      <c r="E20" s="35"/>
      <c r="G20" s="1" t="str">
        <f t="shared" ca="1" si="0"/>
        <v>=(1+D9)^(1/D11)-1</v>
      </c>
      <c r="I20" s="63" t="s">
        <v>225</v>
      </c>
    </row>
    <row r="21" spans="2:9" s="1" customFormat="1" ht="15.5" x14ac:dyDescent="0.35">
      <c r="B21" s="16"/>
      <c r="C21" s="17" t="s">
        <v>80</v>
      </c>
      <c r="D21" s="125">
        <f>FV(D20,D11,-D19)</f>
        <v>4.080694631235211</v>
      </c>
      <c r="E21" s="35"/>
      <c r="G21" s="1" t="str">
        <f t="shared" ca="1" si="0"/>
        <v>=FV(D20,D11,-D19)</v>
      </c>
    </row>
    <row r="22" spans="2:9" s="1" customFormat="1" ht="15.5" x14ac:dyDescent="0.35">
      <c r="B22" s="16"/>
      <c r="C22" s="17"/>
      <c r="D22" s="19"/>
      <c r="E22" s="35"/>
    </row>
    <row r="23" spans="2:9" s="1" customFormat="1" ht="15.5" x14ac:dyDescent="0.35">
      <c r="B23" s="16"/>
      <c r="C23" s="17" t="s">
        <v>73</v>
      </c>
      <c r="D23" s="104">
        <f>D21/(D9-D8)</f>
        <v>57.474572270918472</v>
      </c>
      <c r="E23" s="35"/>
      <c r="G23" s="1" t="str">
        <f t="shared" ca="1" si="0"/>
        <v>=D21/(D9-D8)</v>
      </c>
    </row>
    <row r="24" spans="2:9" s="1" customFormat="1" ht="15" customHeight="1" thickBot="1" x14ac:dyDescent="0.4">
      <c r="B24" s="20"/>
      <c r="C24" s="21"/>
      <c r="D24" s="21"/>
      <c r="E24" s="22"/>
    </row>
    <row r="25" spans="2:9" s="1" customFormat="1" ht="15.5" x14ac:dyDescent="0.35"/>
  </sheetData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1211113111"/>
  <dimension ref="B1:G28"/>
  <sheetViews>
    <sheetView workbookViewId="0">
      <selection activeCell="R26" sqref="R26"/>
    </sheetView>
  </sheetViews>
  <sheetFormatPr defaultRowHeight="12.5" x14ac:dyDescent="0.25"/>
  <cols>
    <col min="2" max="2" width="3.1796875" customWidth="1"/>
    <col min="3" max="3" width="34" customWidth="1"/>
    <col min="4" max="4" width="13.1796875" customWidth="1"/>
    <col min="5" max="5" width="3.1796875" customWidth="1"/>
  </cols>
  <sheetData>
    <row r="1" spans="2:5" s="1" customFormat="1" ht="18" x14ac:dyDescent="0.4">
      <c r="C1" s="58" t="s">
        <v>4</v>
      </c>
    </row>
    <row r="2" spans="2:5" s="1" customFormat="1" ht="15.5" x14ac:dyDescent="0.35">
      <c r="C2" s="1" t="s">
        <v>149</v>
      </c>
    </row>
    <row r="3" spans="2:5" s="1" customFormat="1" ht="15.5" x14ac:dyDescent="0.35"/>
    <row r="4" spans="2:5" s="1" customFormat="1" ht="15.5" x14ac:dyDescent="0.35">
      <c r="C4" s="2" t="s">
        <v>1</v>
      </c>
    </row>
    <row r="5" spans="2:5" s="1" customFormat="1" ht="16" thickBot="1" x14ac:dyDescent="0.4">
      <c r="C5" s="2"/>
    </row>
    <row r="6" spans="2:5" s="1" customFormat="1" ht="15.5" x14ac:dyDescent="0.35">
      <c r="B6" s="3"/>
      <c r="C6" s="4"/>
      <c r="D6" s="5"/>
      <c r="E6" s="6"/>
    </row>
    <row r="7" spans="2:5" s="1" customFormat="1" ht="15.5" x14ac:dyDescent="0.35">
      <c r="B7" s="7"/>
      <c r="C7" s="8" t="s">
        <v>7</v>
      </c>
      <c r="D7" s="110">
        <v>0.11</v>
      </c>
      <c r="E7" s="31"/>
    </row>
    <row r="8" spans="2:5" s="1" customFormat="1" ht="15.5" x14ac:dyDescent="0.35">
      <c r="B8" s="7"/>
      <c r="C8" s="8" t="s">
        <v>44</v>
      </c>
      <c r="D8" s="100">
        <v>4.0999999999999996</v>
      </c>
      <c r="E8" s="32"/>
    </row>
    <row r="9" spans="2:5" s="1" customFormat="1" ht="15.5" x14ac:dyDescent="0.35">
      <c r="B9" s="7"/>
      <c r="C9" s="8"/>
      <c r="D9" s="102"/>
      <c r="E9" s="33"/>
    </row>
    <row r="10" spans="2:5" s="1" customFormat="1" ht="15.5" x14ac:dyDescent="0.35">
      <c r="B10" s="7"/>
      <c r="C10" s="8" t="s">
        <v>52</v>
      </c>
      <c r="D10" s="101">
        <v>0.2</v>
      </c>
      <c r="E10" s="32"/>
    </row>
    <row r="11" spans="2:5" s="1" customFormat="1" ht="15.5" x14ac:dyDescent="0.35">
      <c r="B11" s="7"/>
      <c r="C11" s="8" t="s">
        <v>53</v>
      </c>
      <c r="D11" s="101">
        <v>0.15</v>
      </c>
      <c r="E11" s="32"/>
    </row>
    <row r="12" spans="2:5" s="1" customFormat="1" ht="15.5" x14ac:dyDescent="0.35">
      <c r="B12" s="7"/>
      <c r="C12" s="8" t="s">
        <v>54</v>
      </c>
      <c r="D12" s="101">
        <v>0.1</v>
      </c>
      <c r="E12" s="32"/>
    </row>
    <row r="13" spans="2:5" s="1" customFormat="1" ht="15.5" x14ac:dyDescent="0.35">
      <c r="B13" s="7"/>
      <c r="C13" s="8" t="s">
        <v>62</v>
      </c>
      <c r="D13" s="101">
        <v>0.05</v>
      </c>
      <c r="E13" s="32"/>
    </row>
    <row r="14" spans="2:5" s="1" customFormat="1" ht="15" customHeight="1" thickBot="1" x14ac:dyDescent="0.4">
      <c r="B14" s="10"/>
      <c r="C14" s="11"/>
      <c r="D14" s="11"/>
      <c r="E14" s="12"/>
    </row>
    <row r="15" spans="2:5" s="1" customFormat="1" ht="15.5" x14ac:dyDescent="0.35"/>
    <row r="16" spans="2:5" s="1" customFormat="1" ht="15.5" x14ac:dyDescent="0.35">
      <c r="C16" s="2" t="s">
        <v>2</v>
      </c>
    </row>
    <row r="17" spans="2:7" s="1" customFormat="1" ht="16" thickBot="1" x14ac:dyDescent="0.4">
      <c r="C17" s="2"/>
    </row>
    <row r="18" spans="2:7" s="1" customFormat="1" ht="15.5" x14ac:dyDescent="0.35">
      <c r="B18" s="13"/>
      <c r="C18" s="14"/>
      <c r="D18" s="14"/>
      <c r="E18" s="15"/>
    </row>
    <row r="19" spans="2:7" s="1" customFormat="1" ht="15.5" x14ac:dyDescent="0.35">
      <c r="B19" s="16"/>
      <c r="C19" s="17" t="s">
        <v>210</v>
      </c>
      <c r="D19" s="112">
        <f>D8*(1+D10)*(1+D11)*(1+D12)*(1+D13)/((D7-D13))</f>
        <v>108.91649999999998</v>
      </c>
      <c r="E19" s="18"/>
      <c r="G19" s="1" t="str">
        <f ca="1">_xlfn.FORMULATEXT(D19)</f>
        <v>=D8*(1+D10)*(1+D11)*(1+D12)*(1+D13)/((D7-D13))</v>
      </c>
    </row>
    <row r="20" spans="2:7" s="1" customFormat="1" ht="15.5" x14ac:dyDescent="0.35">
      <c r="B20" s="16"/>
      <c r="C20" s="17"/>
      <c r="D20" s="17"/>
      <c r="E20" s="18"/>
    </row>
    <row r="21" spans="2:7" s="1" customFormat="1" ht="15.5" x14ac:dyDescent="0.35">
      <c r="B21" s="16"/>
      <c r="C21" s="17" t="s">
        <v>73</v>
      </c>
      <c r="D21" s="104">
        <f>D8*(1+D10)/(1+D7)+D8*(1+D10)*(1+D11)/(1+D7)^2+D8*(1+D10)*(1+D11)*(1+D12)/(1+D7)^3+(D19/(1+D7)^3)</f>
        <v>93.214187160133079</v>
      </c>
      <c r="E21" s="40"/>
      <c r="G21" s="1" t="str">
        <f ca="1">_xlfn.FORMULATEXT(D21)</f>
        <v>=D8*(1+D10)/(1+D7)+D8*(1+D10)*(1+D11)/(1+D7)^2+D8*(1+D10)*(1+D11)*(1+D12)/(1+D7)^3+(D19/(1+D7)^3)</v>
      </c>
    </row>
    <row r="22" spans="2:7" s="1" customFormat="1" ht="16" thickBot="1" x14ac:dyDescent="0.4">
      <c r="B22" s="20"/>
      <c r="C22" s="21"/>
      <c r="D22" s="42"/>
      <c r="E22" s="43"/>
    </row>
    <row r="23" spans="2:7" s="1" customFormat="1" ht="16" thickBot="1" x14ac:dyDescent="0.4"/>
    <row r="24" spans="2:7" s="1" customFormat="1" ht="15.5" x14ac:dyDescent="0.35">
      <c r="B24" s="13"/>
      <c r="C24" s="14"/>
      <c r="D24" s="14"/>
      <c r="E24" s="15"/>
    </row>
    <row r="25" spans="2:7" s="1" customFormat="1" ht="45.75" customHeight="1" x14ac:dyDescent="0.35">
      <c r="B25" s="16"/>
      <c r="C25" s="160" t="s">
        <v>211</v>
      </c>
      <c r="D25" s="160"/>
      <c r="E25" s="18"/>
    </row>
    <row r="26" spans="2:7" s="1" customFormat="1" ht="16" thickBot="1" x14ac:dyDescent="0.4">
      <c r="B26" s="20"/>
      <c r="C26" s="21"/>
      <c r="D26" s="21"/>
      <c r="E26" s="22"/>
    </row>
    <row r="27" spans="2:7" s="1" customFormat="1" ht="15.5" x14ac:dyDescent="0.35"/>
    <row r="28" spans="2:7" s="1" customFormat="1" ht="15.5" x14ac:dyDescent="0.35"/>
  </sheetData>
  <mergeCells count="1">
    <mergeCell ref="C25:D25"/>
  </mergeCells>
  <phoneticPr fontId="0" type="noConversion"/>
  <pageMargins left="0.75" right="0.75" top="1" bottom="1" header="0.5" footer="0.5"/>
  <pageSetup orientation="portrait" horizont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6"/>
  <sheetViews>
    <sheetView showGridLines="0" workbookViewId="0">
      <selection activeCell="O42" sqref="O42"/>
    </sheetView>
  </sheetViews>
  <sheetFormatPr defaultRowHeight="12.5" x14ac:dyDescent="0.25"/>
  <cols>
    <col min="1" max="1" width="2.26953125" customWidth="1"/>
    <col min="2" max="2" width="6.26953125" customWidth="1"/>
    <col min="3" max="3" width="13.7265625" bestFit="1" customWidth="1"/>
    <col min="4" max="4" width="14.26953125" bestFit="1" customWidth="1"/>
    <col min="5" max="5" width="12" bestFit="1" customWidth="1"/>
    <col min="6" max="6" width="7.453125" bestFit="1" customWidth="1"/>
    <col min="7" max="7" width="6" customWidth="1"/>
  </cols>
  <sheetData>
    <row r="1" spans="1:5" ht="13" x14ac:dyDescent="0.3">
      <c r="A1" s="95" t="s">
        <v>197</v>
      </c>
    </row>
    <row r="2" spans="1:5" ht="13" x14ac:dyDescent="0.3">
      <c r="A2" s="95" t="s">
        <v>214</v>
      </c>
    </row>
    <row r="3" spans="1:5" ht="13" x14ac:dyDescent="0.3">
      <c r="A3" s="95" t="s">
        <v>215</v>
      </c>
    </row>
    <row r="4" spans="1:5" ht="13" x14ac:dyDescent="0.3">
      <c r="A4" s="95" t="s">
        <v>169</v>
      </c>
    </row>
    <row r="5" spans="1:5" ht="13" x14ac:dyDescent="0.3">
      <c r="A5" s="95" t="s">
        <v>170</v>
      </c>
    </row>
    <row r="6" spans="1:5" ht="13" x14ac:dyDescent="0.3">
      <c r="A6" s="95"/>
      <c r="B6" t="s">
        <v>171</v>
      </c>
    </row>
    <row r="7" spans="1:5" ht="13" x14ac:dyDescent="0.3">
      <c r="A7" s="95"/>
      <c r="B7" t="s">
        <v>198</v>
      </c>
    </row>
    <row r="8" spans="1:5" ht="13" x14ac:dyDescent="0.3">
      <c r="A8" s="95"/>
      <c r="B8" t="s">
        <v>199</v>
      </c>
    </row>
    <row r="9" spans="1:5" ht="13" x14ac:dyDescent="0.3">
      <c r="A9" s="95" t="s">
        <v>172</v>
      </c>
    </row>
    <row r="10" spans="1:5" x14ac:dyDescent="0.25">
      <c r="B10" t="s">
        <v>173</v>
      </c>
    </row>
    <row r="11" spans="1:5" x14ac:dyDescent="0.25">
      <c r="B11" t="s">
        <v>174</v>
      </c>
    </row>
    <row r="12" spans="1:5" x14ac:dyDescent="0.25">
      <c r="B12" t="s">
        <v>175</v>
      </c>
    </row>
    <row r="14" spans="1:5" ht="13" thickBot="1" x14ac:dyDescent="0.3">
      <c r="A14" t="s">
        <v>176</v>
      </c>
    </row>
    <row r="15" spans="1:5" ht="13.5" thickBot="1" x14ac:dyDescent="0.35">
      <c r="B15" s="152" t="s">
        <v>177</v>
      </c>
      <c r="C15" s="152" t="s">
        <v>178</v>
      </c>
      <c r="D15" s="152" t="s">
        <v>179</v>
      </c>
      <c r="E15" s="152" t="s">
        <v>180</v>
      </c>
    </row>
    <row r="16" spans="1:5" ht="13" thickBot="1" x14ac:dyDescent="0.3">
      <c r="B16" s="96" t="s">
        <v>216</v>
      </c>
      <c r="C16" s="96" t="s">
        <v>73</v>
      </c>
      <c r="D16" s="97">
        <v>93.214200000000005</v>
      </c>
      <c r="E16" s="97">
        <v>84.25</v>
      </c>
    </row>
    <row r="19" spans="1:7" ht="13" thickBot="1" x14ac:dyDescent="0.3">
      <c r="A19" t="s">
        <v>181</v>
      </c>
    </row>
    <row r="20" spans="1:7" ht="13.5" thickBot="1" x14ac:dyDescent="0.35">
      <c r="B20" s="152" t="s">
        <v>177</v>
      </c>
      <c r="C20" s="152" t="s">
        <v>178</v>
      </c>
      <c r="D20" s="152" t="s">
        <v>179</v>
      </c>
      <c r="E20" s="152" t="s">
        <v>180</v>
      </c>
      <c r="F20" s="152" t="s">
        <v>182</v>
      </c>
    </row>
    <row r="21" spans="1:7" ht="13" thickBot="1" x14ac:dyDescent="0.3">
      <c r="B21" s="96" t="s">
        <v>188</v>
      </c>
      <c r="C21" s="96" t="s">
        <v>7</v>
      </c>
      <c r="D21" s="98">
        <v>0.11</v>
      </c>
      <c r="E21" s="98">
        <v>0.11632340253454634</v>
      </c>
      <c r="F21" s="96" t="s">
        <v>189</v>
      </c>
    </row>
    <row r="24" spans="1:7" ht="13" thickBot="1" x14ac:dyDescent="0.3">
      <c r="A24" t="s">
        <v>183</v>
      </c>
    </row>
    <row r="25" spans="1:7" ht="13.5" thickBot="1" x14ac:dyDescent="0.35">
      <c r="B25" s="152" t="s">
        <v>177</v>
      </c>
      <c r="C25" s="152" t="s">
        <v>178</v>
      </c>
      <c r="D25" s="152" t="s">
        <v>184</v>
      </c>
      <c r="E25" s="152" t="s">
        <v>185</v>
      </c>
      <c r="F25" s="152" t="s">
        <v>186</v>
      </c>
      <c r="G25" s="152" t="s">
        <v>187</v>
      </c>
    </row>
    <row r="26" spans="1:7" ht="13" thickBot="1" x14ac:dyDescent="0.3">
      <c r="B26" s="96" t="s">
        <v>216</v>
      </c>
      <c r="C26" s="96" t="s">
        <v>73</v>
      </c>
      <c r="D26" s="97">
        <v>84.25</v>
      </c>
      <c r="E26" s="96" t="s">
        <v>217</v>
      </c>
      <c r="F26" s="96" t="s">
        <v>190</v>
      </c>
      <c r="G26" s="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Chapter 8</vt:lpstr>
      <vt:lpstr>#1</vt:lpstr>
      <vt:lpstr>#2</vt:lpstr>
      <vt:lpstr>#3</vt:lpstr>
      <vt:lpstr>#4</vt:lpstr>
      <vt:lpstr>#5</vt:lpstr>
      <vt:lpstr>#6</vt:lpstr>
      <vt:lpstr>#7</vt:lpstr>
      <vt:lpstr>#8</vt:lpstr>
      <vt:lpstr>#9</vt:lpstr>
      <vt:lpstr>#10</vt:lpstr>
      <vt:lpstr>#11</vt:lpstr>
      <vt:lpstr>#12</vt:lpstr>
      <vt:lpstr>#13</vt:lpstr>
      <vt:lpstr>#14</vt:lpstr>
      <vt:lpstr>#15</vt:lpstr>
      <vt:lpstr>#16</vt:lpstr>
      <vt:lpstr>#17</vt:lpstr>
      <vt:lpstr>#18</vt:lpstr>
      <vt:lpstr>#19</vt:lpstr>
      <vt:lpstr>#20</vt:lpstr>
      <vt:lpstr>#21</vt:lpstr>
      <vt:lpstr>#22</vt:lpstr>
      <vt:lpstr>#23</vt:lpstr>
      <vt:lpstr>#24</vt:lpstr>
      <vt:lpstr>#25</vt:lpstr>
      <vt:lpstr>#26</vt:lpstr>
      <vt:lpstr>#27</vt:lpstr>
      <vt:lpstr>#28</vt:lpstr>
      <vt:lpstr>#29</vt:lpstr>
      <vt:lpstr>#30</vt:lpstr>
      <vt:lpstr>#31</vt:lpstr>
      <vt:lpstr>#32</vt:lpstr>
      <vt:lpstr>#33</vt:lpstr>
      <vt:lpstr>#34, 35</vt:lpstr>
      <vt:lpstr>#35 Answer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Smolira</dc:creator>
  <cp:lastModifiedBy>Bethany Evitts</cp:lastModifiedBy>
  <cp:lastPrinted>2011-03-08T22:29:04Z</cp:lastPrinted>
  <dcterms:created xsi:type="dcterms:W3CDTF">2002-04-24T16:34:19Z</dcterms:created>
  <dcterms:modified xsi:type="dcterms:W3CDTF">2025-11-04T23:16:51Z</dcterms:modified>
</cp:coreProperties>
</file>