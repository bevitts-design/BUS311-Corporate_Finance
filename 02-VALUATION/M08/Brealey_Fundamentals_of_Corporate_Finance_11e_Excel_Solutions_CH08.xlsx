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8 -Net Present Value/"/>
    </mc:Choice>
  </mc:AlternateContent>
  <xr:revisionPtr revIDLastSave="14" documentId="13_ncr:1_{11808F32-477F-4CB3-A009-B338913D80DC}" xr6:coauthVersionLast="47" xr6:coauthVersionMax="47" xr10:uidLastSave="{441EEF50-38A1-4FE3-919B-35E7F22B9590}"/>
  <bookViews>
    <workbookView xWindow="780" yWindow="0" windowWidth="27555" windowHeight="15600" tabRatio="773" firstSheet="16" activeTab="32" xr2:uid="{00000000-000D-0000-FFFF-FFFF00000000}"/>
  </bookViews>
  <sheets>
    <sheet name="Pr 8-1" sheetId="208" r:id="rId1"/>
    <sheet name="Pr 8-2" sheetId="213" r:id="rId2"/>
    <sheet name="Pr 8-3" sheetId="214" r:id="rId3"/>
    <sheet name="Pr 8-4" sheetId="225" r:id="rId4"/>
    <sheet name="Pr 8-5" sheetId="245" r:id="rId5"/>
    <sheet name="Pr 8-6" sheetId="227" r:id="rId6"/>
    <sheet name="Pr 8-7" sheetId="246" r:id="rId7"/>
    <sheet name="Pr 8-8" sheetId="215" r:id="rId8"/>
    <sheet name="Pr 8-9" sheetId="228" r:id="rId9"/>
    <sheet name="Pr 8-10" sheetId="229" r:id="rId10"/>
    <sheet name="Pr 8-11" sheetId="216" r:id="rId11"/>
    <sheet name="Pr 8-12" sheetId="217" r:id="rId12"/>
    <sheet name="Pr 8-13" sheetId="230" r:id="rId13"/>
    <sheet name="Pr 8-15" sheetId="224" r:id="rId14"/>
    <sheet name="Pr 8-16" sheetId="232" r:id="rId15"/>
    <sheet name="Pr 8-17" sheetId="244" r:id="rId16"/>
    <sheet name="Pr 8-18" sheetId="233" r:id="rId17"/>
    <sheet name="Pr 8-19" sheetId="218" r:id="rId18"/>
    <sheet name="Pr 8-20" sheetId="234" r:id="rId19"/>
    <sheet name="Pr 8-21" sheetId="235" r:id="rId20"/>
    <sheet name="Pr 8-22" sheetId="219" r:id="rId21"/>
    <sheet name="Pr 8-23" sheetId="236" r:id="rId22"/>
    <sheet name="Pr 8-25" sheetId="237" r:id="rId23"/>
    <sheet name="Pr 8-26" sheetId="220" r:id="rId24"/>
    <sheet name="Pr 8-27" sheetId="238" r:id="rId25"/>
    <sheet name="Pr 8-29" sheetId="239" r:id="rId26"/>
    <sheet name="Pr 8-31" sheetId="221" r:id="rId27"/>
    <sheet name="Pr 8-32" sheetId="222" r:id="rId28"/>
    <sheet name="Pr 8-33" sheetId="240" r:id="rId29"/>
    <sheet name="Pr 8-34" sheetId="241" r:id="rId30"/>
    <sheet name="Pr 8-35" sheetId="242" r:id="rId31"/>
    <sheet name="Pr 8-36" sheetId="243" r:id="rId32"/>
    <sheet name="Pr 8-38" sheetId="22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246" l="1"/>
  <c r="D35" i="246"/>
  <c r="C35" i="246" s="1"/>
  <c r="D26" i="246"/>
  <c r="D36" i="246" s="1"/>
  <c r="C36" i="246" s="1"/>
  <c r="C37" i="244"/>
  <c r="D37" i="244" s="1"/>
  <c r="C36" i="244"/>
  <c r="D36" i="244" s="1"/>
  <c r="C35" i="244"/>
  <c r="D35" i="244" s="1"/>
  <c r="C34" i="244"/>
  <c r="D34" i="244" s="1"/>
  <c r="B37" i="244"/>
  <c r="B36" i="244"/>
  <c r="B35" i="244"/>
  <c r="B34" i="244"/>
  <c r="H29" i="244"/>
  <c r="F29" i="244"/>
  <c r="C22" i="222"/>
  <c r="C21" i="222"/>
  <c r="C39" i="235"/>
  <c r="C38" i="235"/>
  <c r="C27" i="243"/>
  <c r="K22" i="217"/>
  <c r="C22" i="217"/>
  <c r="D22" i="217"/>
  <c r="E22" i="217"/>
  <c r="F22" i="217"/>
  <c r="G22" i="217"/>
  <c r="H22" i="217"/>
  <c r="I22" i="217"/>
  <c r="J22" i="217"/>
  <c r="C45" i="221"/>
  <c r="C42" i="237"/>
  <c r="C32" i="236"/>
  <c r="C33" i="236"/>
  <c r="C34" i="218"/>
  <c r="C33" i="218"/>
  <c r="D26" i="227"/>
  <c r="D27" i="245"/>
  <c r="D26" i="245"/>
  <c r="C28" i="245"/>
  <c r="C27" i="245"/>
  <c r="C26" i="245"/>
  <c r="C34" i="225"/>
  <c r="D27" i="213"/>
  <c r="D26" i="213"/>
  <c r="C27" i="213"/>
  <c r="C28" i="213"/>
  <c r="C26" i="213"/>
  <c r="C25" i="224"/>
  <c r="C26" i="224" s="1"/>
  <c r="C23" i="242"/>
  <c r="C24" i="242" s="1"/>
  <c r="C25" i="242" s="1"/>
  <c r="C26" i="242" s="1"/>
  <c r="C27" i="242" s="1"/>
  <c r="C28" i="242" s="1"/>
  <c r="C29" i="242" s="1"/>
  <c r="C30" i="242" s="1"/>
  <c r="C26" i="240"/>
  <c r="C35" i="237"/>
  <c r="C31" i="236"/>
  <c r="C30" i="236"/>
  <c r="C23" i="219"/>
  <c r="C24" i="219" s="1"/>
  <c r="C30" i="233"/>
  <c r="C28" i="233"/>
  <c r="C29" i="233" s="1"/>
  <c r="C33" i="232"/>
  <c r="C36" i="230"/>
  <c r="B39" i="245"/>
  <c r="B38" i="245"/>
  <c r="B37" i="245"/>
  <c r="B36" i="245"/>
  <c r="G29" i="244"/>
  <c r="C26" i="243"/>
  <c r="D24" i="242"/>
  <c r="E24" i="242" s="1"/>
  <c r="D25" i="242"/>
  <c r="E25" i="242" s="1"/>
  <c r="D26" i="242"/>
  <c r="E26" i="242" s="1"/>
  <c r="D27" i="242"/>
  <c r="E27" i="242" s="1"/>
  <c r="D28" i="242"/>
  <c r="E28" i="242" s="1"/>
  <c r="D29" i="242"/>
  <c r="E29" i="242" s="1"/>
  <c r="D30" i="242"/>
  <c r="E30" i="242" s="1"/>
  <c r="D23" i="242"/>
  <c r="E23" i="242" s="1"/>
  <c r="C40" i="241"/>
  <c r="C39" i="241"/>
  <c r="C38" i="241"/>
  <c r="C32" i="241"/>
  <c r="C31" i="241"/>
  <c r="C27" i="240"/>
  <c r="C29" i="240" s="1"/>
  <c r="C53" i="239"/>
  <c r="C54" i="239"/>
  <c r="C52" i="239"/>
  <c r="C43" i="239"/>
  <c r="C42" i="239"/>
  <c r="C41" i="239"/>
  <c r="C43" i="238"/>
  <c r="C46" i="238" s="1"/>
  <c r="C37" i="238"/>
  <c r="C40" i="238" s="1"/>
  <c r="C31" i="238"/>
  <c r="C34" i="238" s="1"/>
  <c r="C48" i="235"/>
  <c r="C45" i="235"/>
  <c r="C42" i="235"/>
  <c r="B48" i="235"/>
  <c r="B45" i="235"/>
  <c r="C28" i="234"/>
  <c r="C29" i="234" s="1"/>
  <c r="C32" i="232"/>
  <c r="C36" i="232" s="1"/>
  <c r="C32" i="230"/>
  <c r="C33" i="230"/>
  <c r="C31" i="230"/>
  <c r="B32" i="230"/>
  <c r="B33" i="230"/>
  <c r="B31" i="230"/>
  <c r="E28" i="229"/>
  <c r="G28" i="229"/>
  <c r="H28" i="229"/>
  <c r="I28" i="229"/>
  <c r="J28" i="229"/>
  <c r="K28" i="229"/>
  <c r="S18" i="229"/>
  <c r="T18" i="229"/>
  <c r="U18" i="229"/>
  <c r="V18" i="229"/>
  <c r="W18" i="229"/>
  <c r="X18" i="229"/>
  <c r="Y18" i="229"/>
  <c r="Z18" i="229"/>
  <c r="AA18" i="229"/>
  <c r="AB18" i="229"/>
  <c r="AC18" i="229"/>
  <c r="AD18" i="229"/>
  <c r="AE18" i="229"/>
  <c r="AF18" i="229"/>
  <c r="AG18" i="229"/>
  <c r="AH18" i="229"/>
  <c r="AI18" i="229"/>
  <c r="AJ18" i="229"/>
  <c r="AK18" i="229"/>
  <c r="AL18" i="229"/>
  <c r="AM18" i="229"/>
  <c r="AN18" i="229"/>
  <c r="AO18" i="229"/>
  <c r="AP18" i="229"/>
  <c r="AQ18" i="229"/>
  <c r="AR18" i="229"/>
  <c r="AS18" i="229"/>
  <c r="AT18" i="229"/>
  <c r="AU18" i="229"/>
  <c r="AV18" i="229"/>
  <c r="AW18" i="229"/>
  <c r="AX18" i="229"/>
  <c r="AY18" i="229"/>
  <c r="AZ18" i="229"/>
  <c r="BA18" i="229"/>
  <c r="BB18" i="229"/>
  <c r="BC18" i="229"/>
  <c r="BD18" i="229"/>
  <c r="BE18" i="229"/>
  <c r="BF18" i="229"/>
  <c r="BG18" i="229"/>
  <c r="BH18" i="229"/>
  <c r="BI18" i="229"/>
  <c r="BJ18" i="229"/>
  <c r="BK18" i="229"/>
  <c r="BL18" i="229"/>
  <c r="BM18" i="229"/>
  <c r="BN18" i="229"/>
  <c r="BO18" i="229"/>
  <c r="BP18" i="229"/>
  <c r="BQ18" i="229"/>
  <c r="BR18" i="229"/>
  <c r="BS18" i="229"/>
  <c r="BT18" i="229"/>
  <c r="BU18" i="229"/>
  <c r="BV18" i="229"/>
  <c r="BW18" i="229"/>
  <c r="BX18" i="229"/>
  <c r="BY18" i="229"/>
  <c r="BZ18" i="229"/>
  <c r="F28" i="229"/>
  <c r="C26" i="229"/>
  <c r="C36" i="228"/>
  <c r="C35" i="228"/>
  <c r="C32" i="215"/>
  <c r="D36" i="228"/>
  <c r="D35" i="228"/>
  <c r="C29" i="224"/>
  <c r="K16" i="224"/>
  <c r="J16" i="224"/>
  <c r="I16" i="224"/>
  <c r="H16" i="224"/>
  <c r="G16" i="224"/>
  <c r="F16" i="224"/>
  <c r="E16" i="224"/>
  <c r="C37" i="223"/>
  <c r="C40" i="223" s="1"/>
  <c r="C31" i="223"/>
  <c r="C34" i="223" s="1"/>
  <c r="C44" i="221"/>
  <c r="C38" i="221"/>
  <c r="C34" i="220"/>
  <c r="C31" i="220"/>
  <c r="C28" i="220"/>
  <c r="C27" i="220"/>
  <c r="B28" i="220"/>
  <c r="B27" i="220"/>
  <c r="K17" i="220"/>
  <c r="J17" i="220"/>
  <c r="I17" i="220"/>
  <c r="H17" i="220"/>
  <c r="G17" i="220"/>
  <c r="F17" i="220"/>
  <c r="E17" i="220"/>
  <c r="D17" i="220"/>
  <c r="C30" i="217"/>
  <c r="D30" i="217" s="1"/>
  <c r="C29" i="217"/>
  <c r="D29" i="217" s="1"/>
  <c r="B30" i="217"/>
  <c r="B29" i="217"/>
  <c r="B25" i="216"/>
  <c r="B24" i="216"/>
  <c r="C25" i="216"/>
  <c r="C24" i="216"/>
  <c r="C33" i="215"/>
  <c r="D39" i="245" l="1"/>
  <c r="C29" i="244"/>
  <c r="C38" i="228"/>
  <c r="D42" i="245"/>
  <c r="C30" i="244"/>
  <c r="C43" i="241"/>
  <c r="C47" i="221"/>
  <c r="C36" i="236"/>
  <c r="C28" i="229"/>
  <c r="C37" i="208"/>
  <c r="C28" i="243"/>
  <c r="F30" i="242"/>
  <c r="F26" i="242"/>
  <c r="C35" i="241"/>
  <c r="C57" i="239"/>
  <c r="C46" i="239"/>
  <c r="C36" i="227"/>
  <c r="D36" i="227" s="1"/>
  <c r="C35" i="227"/>
  <c r="D35" i="227" s="1"/>
  <c r="D36" i="245"/>
  <c r="C37" i="214"/>
  <c r="C37" i="213"/>
  <c r="C40" i="213" s="1"/>
  <c r="C36" i="213"/>
  <c r="C36" i="208"/>
  <c r="F23" i="242"/>
  <c r="F27" i="242"/>
  <c r="C32" i="242"/>
  <c r="F25" i="242"/>
  <c r="F28" i="242"/>
  <c r="F24" i="242"/>
  <c r="C39" i="221"/>
  <c r="C41" i="221" s="1"/>
  <c r="C49" i="239"/>
  <c r="C41" i="237"/>
  <c r="C51" i="237" s="1"/>
  <c r="C34" i="237"/>
  <c r="C38" i="237" s="1"/>
  <c r="C37" i="218"/>
  <c r="C33" i="217"/>
  <c r="D37" i="245"/>
  <c r="D41" i="245"/>
  <c r="D38" i="245"/>
  <c r="C33" i="225"/>
  <c r="C36" i="214"/>
  <c r="C40" i="214" l="1"/>
  <c r="C40" i="208"/>
  <c r="C40" i="218"/>
  <c r="C45" i="237"/>
  <c r="C48" i="237"/>
</calcChain>
</file>

<file path=xl/sharedStrings.xml><?xml version="1.0" encoding="utf-8"?>
<sst xmlns="http://schemas.openxmlformats.org/spreadsheetml/2006/main" count="936" uniqueCount="332">
  <si>
    <t xml:space="preserve"> </t>
  </si>
  <si>
    <t>All input values are shown in yellow. Only these values need changed to review algo versions.</t>
  </si>
  <si>
    <r>
      <t xml:space="preserve">Answers are displayed in red. </t>
    </r>
    <r>
      <rPr>
        <b/>
        <sz val="11"/>
        <rFont val="Calibri"/>
        <family val="2"/>
        <scheme val="minor"/>
      </rPr>
      <t/>
    </r>
  </si>
  <si>
    <t>Assumptions and other problem notes are displayed at the very bottom.</t>
  </si>
  <si>
    <t>Input variables:</t>
  </si>
  <si>
    <t>Solution and Explanation:</t>
  </si>
  <si>
    <t>  </t>
  </si>
  <si>
    <t>a.</t>
  </si>
  <si>
    <t>b.</t>
  </si>
  <si>
    <t>c.</t>
  </si>
  <si>
    <t xml:space="preserve">a. </t>
  </si>
  <si>
    <t>Discount rate</t>
  </si>
  <si>
    <t>Project B</t>
  </si>
  <si>
    <t>Year</t>
  </si>
  <si>
    <t>A</t>
  </si>
  <si>
    <t>B</t>
  </si>
  <si>
    <t>NPV</t>
  </si>
  <si>
    <t>Pursue</t>
  </si>
  <si>
    <t>EAC</t>
  </si>
  <si>
    <t>billion</t>
  </si>
  <si>
    <t>years</t>
  </si>
  <si>
    <t>Discount Rate</t>
  </si>
  <si>
    <t>IRR</t>
  </si>
  <si>
    <t>Discount rate 1</t>
  </si>
  <si>
    <t>Discount rate 2</t>
  </si>
  <si>
    <t>Project</t>
  </si>
  <si>
    <t>NPV @</t>
  </si>
  <si>
    <t>Payback Period</t>
  </si>
  <si>
    <t>a-1.</t>
  </si>
  <si>
    <t>a-2.</t>
  </si>
  <si>
    <t>b-1.</t>
  </si>
  <si>
    <t>b-2.</t>
  </si>
  <si>
    <t xml:space="preserve">a-1. </t>
  </si>
  <si>
    <t xml:space="preserve">b-1. </t>
  </si>
  <si>
    <t>Relace?</t>
  </si>
  <si>
    <t>Pay Back A</t>
  </si>
  <si>
    <t>Pay Back B</t>
  </si>
  <si>
    <t>Cost</t>
  </si>
  <si>
    <t>Cash Flow</t>
  </si>
  <si>
    <t>Accept?</t>
  </si>
  <si>
    <t xml:space="preserve">A </t>
  </si>
  <si>
    <t>c-1.</t>
  </si>
  <si>
    <t>b-3.</t>
  </si>
  <si>
    <t>Lease or buy</t>
  </si>
  <si>
    <t>Purchase price</t>
  </si>
  <si>
    <t>Annual decrease</t>
  </si>
  <si>
    <t>NPV today</t>
  </si>
  <si>
    <t>New machine cost</t>
  </si>
  <si>
    <t>Replace?</t>
  </si>
  <si>
    <t>Initial Cost</t>
  </si>
  <si>
    <t>Discount Rate 1</t>
  </si>
  <si>
    <t>Discount Rate 2</t>
  </si>
  <si>
    <t>Discount Rate 3</t>
  </si>
  <si>
    <t>Discount Rate 4</t>
  </si>
  <si>
    <t>IRR 1</t>
  </si>
  <si>
    <t>IRR 2</t>
  </si>
  <si>
    <t>Develop?</t>
  </si>
  <si>
    <t>Project A</t>
  </si>
  <si>
    <t>No</t>
  </si>
  <si>
    <t>a. Discount rate</t>
  </si>
  <si>
    <t>b. Discount rate</t>
  </si>
  <si>
    <t>Rate of return</t>
  </si>
  <si>
    <t>a. Shade above rate</t>
  </si>
  <si>
    <t>a. Shade below rate</t>
  </si>
  <si>
    <t>c. Discount rate</t>
  </si>
  <si>
    <t>Actual IRR</t>
  </si>
  <si>
    <t>NPV A</t>
  </si>
  <si>
    <t>NPV B</t>
  </si>
  <si>
    <t>PI A</t>
  </si>
  <si>
    <t>PI B</t>
  </si>
  <si>
    <t>Initial investment</t>
  </si>
  <si>
    <t>Yes</t>
  </si>
  <si>
    <t>b-1. Discount rate</t>
  </si>
  <si>
    <t>b-3. Discount rate</t>
  </si>
  <si>
    <t>Decision change</t>
  </si>
  <si>
    <t>d-1. Rate</t>
  </si>
  <si>
    <t>d-1.</t>
  </si>
  <si>
    <t>d-2.</t>
  </si>
  <si>
    <t>Choose</t>
  </si>
  <si>
    <t>Investment</t>
  </si>
  <si>
    <t>PV of costs</t>
  </si>
  <si>
    <t>Input as a positive value</t>
  </si>
  <si>
    <t>Lease annual cost</t>
  </si>
  <si>
    <t>Truck annual cost</t>
  </si>
  <si>
    <t>Truck sale ending sale price</t>
  </si>
  <si>
    <t>Cost to buy truck</t>
  </si>
  <si>
    <t>Real rate</t>
  </si>
  <si>
    <t>NPV at purchase date</t>
  </si>
  <si>
    <t>Wait until year</t>
  </si>
  <si>
    <t>Annual benefit</t>
  </si>
  <si>
    <t>PV</t>
  </si>
  <si>
    <t>e.</t>
  </si>
  <si>
    <t>million</t>
  </si>
  <si>
    <t>(Input as a positive value)</t>
  </si>
  <si>
    <t>(input as a negative)</t>
  </si>
  <si>
    <t>Connect static version: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</si>
  <si>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Which of these projects is worth pursuing?</t>
    </r>
  </si>
  <si>
    <t xml:space="preserve">The following are the cash flows of two projects:  </t>
  </si>
  <si>
    <t xml:space="preserve">
The following are the cash flows of two projects</t>
  </si>
  <si>
    <t>PayBack (in years)</t>
  </si>
  <si>
    <t xml:space="preserve">A project that costs $3,000 to install will provide annual cash flows of $800 for each of the next 6 years.
 </t>
  </si>
  <si>
    <t>A new computer system will require an initial outlay of $20,000, but it will increase the firm’s cash flows by $4,000 a year for each of the next 8 years.</t>
  </si>
  <si>
    <t>Here are the cash flows for a project under consideration: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</si>
  <si>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Calculate the project’s net present value for discount rates of 0, 50%, and 100%.  </t>
    </r>
  </si>
  <si>
    <r>
      <rPr>
        <b/>
        <sz val="11"/>
        <color theme="1"/>
        <rFont val="Calibri"/>
        <family val="2"/>
        <scheme val="minor"/>
      </rPr>
      <t>b .</t>
    </r>
    <r>
      <rPr>
        <sz val="11"/>
        <color theme="1"/>
        <rFont val="Calibri"/>
        <family val="2"/>
        <scheme val="minor"/>
      </rPr>
      <t xml:space="preserve">What is the IRR of the project?  </t>
    </r>
  </si>
  <si>
    <t xml:space="preserve">Consider this project with an internal rate of return of 13.1%. The following are the cash flows of the project.
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</si>
  <si>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Calculate IRRs for A and B.  </t>
    </r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</si>
  <si>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>Which project does the IRR rule suggest is best?</t>
    </r>
  </si>
  <si>
    <t xml:space="preserve">What is the profitability index of a project that costs $10,000 and provides cash flows of $3,000 in years 1 and 2 and $5,000 in years 3 and 4? The discount rate is 9%.  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</si>
  <si>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>Calculate the profitability index for A and B assuming a 22% opportunity cost of capital.</t>
    </r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</si>
  <si>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>According to the profitability index rule, which project(s) should you accept?</t>
    </r>
  </si>
  <si>
    <r>
      <rPr>
        <b/>
        <sz val="11"/>
        <color theme="1"/>
        <rFont val="Calibri"/>
        <family val="2"/>
        <scheme val="minor"/>
      </rPr>
      <t xml:space="preserve">c-1. </t>
    </r>
    <r>
      <rPr>
        <sz val="11"/>
        <color theme="1"/>
        <rFont val="Calibri"/>
        <family val="2"/>
        <scheme val="minor"/>
      </rPr>
      <t>Which project is most attractive to a firm that can raise an unlimited amount of funds to pay for its investment projects?</t>
    </r>
  </si>
  <si>
    <r>
      <rPr>
        <b/>
        <sz val="11"/>
        <color theme="1"/>
        <rFont val="Calibri"/>
        <family val="2"/>
        <scheme val="minor"/>
      </rPr>
      <t xml:space="preserve">c-2. </t>
    </r>
    <r>
      <rPr>
        <sz val="11"/>
        <color theme="1"/>
        <rFont val="Calibri"/>
        <family val="2"/>
        <scheme val="minor"/>
      </rPr>
      <t>Which project is most attractive to a firm that is limited in the funds it can raise?</t>
    </r>
  </si>
  <si>
    <r>
      <rPr>
        <b/>
        <sz val="11"/>
        <color theme="1"/>
        <rFont val="Calibri"/>
        <family val="2"/>
        <scheme val="minor"/>
      </rPr>
      <t>a-2.</t>
    </r>
    <r>
      <rPr>
        <sz val="11"/>
        <color theme="1"/>
        <rFont val="Calibri"/>
        <family val="2"/>
        <scheme val="minor"/>
      </rPr>
      <t xml:space="preserve"> Which project has the higher NPV?</t>
    </r>
  </si>
  <si>
    <t>If you insulate your office for $10,000, you will save $1,000 a year in heating expenses. These savings will last forever.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</si>
  <si>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What is the NPV of the investment when the cost of capital is 8%? 10%? </t>
    </r>
  </si>
  <si>
    <r>
      <rPr>
        <b/>
        <sz val="11"/>
        <color theme="1"/>
        <rFont val="Calibri"/>
        <family val="2"/>
        <scheme val="minor"/>
      </rPr>
      <t>b.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What is the IRR of the investment?</t>
    </r>
  </si>
  <si>
    <r>
      <rPr>
        <b/>
        <sz val="11"/>
        <color theme="1"/>
        <rFont val="Calibri"/>
        <family val="2"/>
        <scheme val="minor"/>
      </rPr>
      <t xml:space="preserve">c. </t>
    </r>
    <r>
      <rPr>
        <sz val="11"/>
        <color theme="1"/>
        <rFont val="Calibri"/>
        <family val="2"/>
        <scheme val="minor"/>
      </rPr>
      <t>What is the payback period on this investment?</t>
    </r>
  </si>
  <si>
    <t>A project that costs $2,500 to install will provide annual cash flows of $600 for the next 6 years. The firm accepts projects with payback periods of less than 5 years.</t>
  </si>
  <si>
    <r>
      <rPr>
        <b/>
        <sz val="11"/>
        <color theme="1"/>
        <rFont val="Calibri"/>
        <family val="2"/>
        <scheme val="minor"/>
      </rPr>
      <t xml:space="preserve">a-2. </t>
    </r>
    <r>
      <rPr>
        <sz val="11"/>
        <color theme="1"/>
        <rFont val="Calibri"/>
        <family val="2"/>
        <scheme val="minor"/>
      </rPr>
      <t>Will the project be accepted?</t>
    </r>
  </si>
  <si>
    <r>
      <rPr>
        <b/>
        <sz val="11"/>
        <color theme="1"/>
        <rFont val="Calibri"/>
        <family val="2"/>
        <scheme val="minor"/>
      </rPr>
      <t xml:space="preserve">b-2. </t>
    </r>
    <r>
      <rPr>
        <sz val="11"/>
        <color theme="1"/>
        <rFont val="Calibri"/>
        <family val="2"/>
        <scheme val="minor"/>
      </rPr>
      <t>Should this project be pursued?</t>
    </r>
  </si>
  <si>
    <r>
      <rPr>
        <b/>
        <sz val="11"/>
        <color theme="1"/>
        <rFont val="Calibri"/>
        <family val="2"/>
        <scheme val="minor"/>
      </rPr>
      <t>b-4.</t>
    </r>
    <r>
      <rPr>
        <sz val="11"/>
        <color theme="1"/>
        <rFont val="Calibri"/>
        <family val="2"/>
        <scheme val="minor"/>
      </rPr>
      <t xml:space="preserve"> Should this project be pursued?</t>
    </r>
  </si>
  <si>
    <r>
      <rPr>
        <b/>
        <sz val="11"/>
        <color theme="1"/>
        <rFont val="Calibri"/>
        <family val="2"/>
        <scheme val="minor"/>
      </rPr>
      <t xml:space="preserve">b-5. </t>
    </r>
    <r>
      <rPr>
        <sz val="11"/>
        <color theme="1"/>
        <rFont val="Calibri"/>
        <family val="2"/>
        <scheme val="minor"/>
      </rPr>
      <t>Will the firm’s decision change as the discount rate changes?</t>
    </r>
  </si>
  <si>
    <r>
      <rPr>
        <b/>
        <sz val="11"/>
        <color theme="1"/>
        <rFont val="Calibri"/>
        <family val="2"/>
        <scheme val="minor"/>
      </rPr>
      <t xml:space="preserve">b-1. </t>
    </r>
    <r>
      <rPr>
        <sz val="11"/>
        <color theme="1"/>
        <rFont val="Calibri"/>
        <family val="2"/>
        <scheme val="minor"/>
      </rPr>
      <t xml:space="preserve">What is project NPV if the discount rate is 2%? </t>
    </r>
  </si>
  <si>
    <t>Here are the expected cash flows for three projects: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</si>
  <si>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>What is the payback period on each of the projects?</t>
    </r>
  </si>
  <si>
    <t>Notes:</t>
  </si>
  <si>
    <t>The life of the truck must equal the life of the lease.</t>
  </si>
  <si>
    <t>Econo-Cool air conditioners cost $300 to purchase, result in electricity bills of $150 per year, and last for 5 years. Luxury Air models cost $500, result in electricity bills of $100 per year, and last for 8 years. The discount rate is 21%.</t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</si>
  <si>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>Which model is more cost-effective?</t>
    </r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</si>
  <si>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What are the equivalent annual costs of the Econo-Cool and Luxury Air models?  </t>
    </r>
  </si>
  <si>
    <r>
      <rPr>
        <b/>
        <sz val="11"/>
        <color theme="1"/>
        <rFont val="Calibri"/>
        <family val="2"/>
        <scheme val="minor"/>
      </rPr>
      <t xml:space="preserve">c-1. </t>
    </r>
    <r>
      <rPr>
        <sz val="11"/>
        <color theme="1"/>
        <rFont val="Calibri"/>
        <family val="2"/>
        <scheme val="minor"/>
      </rPr>
      <t xml:space="preserve">Now you remember that the inflation rate is expected to be 10% per year for the foreseeable future. What are the equivalent annual costs of the Econo-Cool and Luxury Air models?  </t>
    </r>
  </si>
  <si>
    <t>c-2.</t>
  </si>
  <si>
    <t>You can purchase an optical scanner today for $400. The scanner provides benefits worth $60 a year. The expected life of the scanner is 10 years. Scanners are expected to decrease in price by 20% per year. Suppose the discount rate is 10%. Should you purchase the scanner today or wait to purchase? When is the best purchase time?</t>
  </si>
  <si>
    <t>Solution and explanation:</t>
  </si>
  <si>
    <r>
      <rPr>
        <b/>
        <sz val="11"/>
        <color theme="1"/>
        <rFont val="Calibri"/>
        <family val="2"/>
        <scheme val="minor"/>
      </rPr>
      <t xml:space="preserve">b-2. </t>
    </r>
    <r>
      <rPr>
        <sz val="11"/>
        <color theme="1"/>
        <rFont val="Calibri"/>
        <family val="2"/>
        <scheme val="minor"/>
      </rPr>
      <t>Should you replace the forklift?</t>
    </r>
  </si>
  <si>
    <r>
      <rPr>
        <b/>
        <sz val="11"/>
        <color theme="1"/>
        <rFont val="Calibri"/>
        <family val="2"/>
        <scheme val="minor"/>
      </rPr>
      <t xml:space="preserve">a-2. </t>
    </r>
    <r>
      <rPr>
        <sz val="11"/>
        <color theme="1"/>
        <rFont val="Calibri"/>
        <family val="2"/>
        <scheme val="minor"/>
      </rPr>
      <t>Should you replace the forklift?</t>
    </r>
  </si>
  <si>
    <t>Strip Mining Inc. can develop a new mine at an initial cost of $5 million. The mine will provide a cash flow of $30 million in 1 year. The land then must be reclaimed at a cost of $28 million in the second year.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</si>
  <si>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What are the IRRs of this project? </t>
    </r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</si>
  <si>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 xml:space="preserve">Should the firm develop the mine if the discount rate is 10%? 20%? 350%? 400%? </t>
    </r>
  </si>
  <si>
    <t>NPV (in millions)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</si>
  <si>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>If the opportunity cost of capital is 11%, calculate the NPV for both projects.</t>
    </r>
  </si>
  <si>
    <t>Cost of capital</t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</si>
  <si>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>Suppose that you can choose only one of these projects. Which would you choose?</t>
    </r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</si>
  <si>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>Calculate the NPV for both projects if the discount rate is 11%.</t>
    </r>
  </si>
  <si>
    <t>Note:</t>
  </si>
  <si>
    <t>The following are the cash flows of two projects: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</si>
  <si>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Calculate the NPV for both projects if the opportunity cost of capital is 16%. 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</si>
  <si>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Suppose that you can choose only one of these projects. Which would you choose?</t>
    </r>
  </si>
  <si>
    <t xml:space="preserve">At least one project must have a positive NPV or the IF statement in cell C41 must be revised. </t>
  </si>
  <si>
    <t>At least one project must have a positive NPV or the IF statement in Cell C40 must be revised.</t>
  </si>
  <si>
    <t>What are the internal rates of return on projects A and B?</t>
  </si>
  <si>
    <r>
      <t>NPV</t>
    </r>
    <r>
      <rPr>
        <vertAlign val="subscript"/>
        <sz val="11"/>
        <color theme="1"/>
        <rFont val="Calibri"/>
        <family val="2"/>
        <scheme val="minor"/>
      </rPr>
      <t>A</t>
    </r>
  </si>
  <si>
    <r>
      <t>NPV</t>
    </r>
    <r>
      <rPr>
        <vertAlign val="subscript"/>
        <sz val="11"/>
        <color theme="1"/>
        <rFont val="Calibri"/>
        <family val="2"/>
        <scheme val="minor"/>
      </rPr>
      <t>B</t>
    </r>
  </si>
  <si>
    <r>
      <t>IRR</t>
    </r>
    <r>
      <rPr>
        <vertAlign val="subscript"/>
        <sz val="11"/>
        <color theme="1"/>
        <rFont val="Calibri"/>
        <family val="2"/>
        <scheme val="minor"/>
      </rPr>
      <t>A</t>
    </r>
  </si>
  <si>
    <t>If the opportunity cost of capital is 11%, what is the profitability index for each project?</t>
  </si>
  <si>
    <t>Is the project with the highest profitability index also the one with the highest NPV?</t>
  </si>
  <si>
    <t>Projects A and B must have equal cash outflows at Time 0.</t>
  </si>
  <si>
    <t>Profitability index</t>
  </si>
  <si>
    <t>High PI/high NPV?</t>
  </si>
  <si>
    <t>The project with the higher PI must also have the higher NPV.</t>
  </si>
  <si>
    <t>What is the payback period of each project?</t>
  </si>
  <si>
    <t>Year:</t>
  </si>
  <si>
    <t>Is the project with the shortest payback period also the one with the highest NPV?</t>
  </si>
  <si>
    <t>NPV high/PB short?</t>
  </si>
  <si>
    <t>Years</t>
  </si>
  <si>
    <t>Annual cash flow</t>
  </si>
  <si>
    <t>Duration of annual cash flows</t>
  </si>
  <si>
    <t>The duration of the annual cash flows must be held constant at 6 years. Otherwise, the project solution needs revamped.</t>
  </si>
  <si>
    <t xml:space="preserve">A proposed nuclear power plant will cost $2.2 billion to build and then will produce cash flows of $300 million a year for 15 years. After that period (in year 15), it must be decommissioned at a cost of $900 million. What is project NPV if the discount rate is 5%? What if it is 18%?  </t>
  </si>
  <si>
    <t>Decommission expense</t>
  </si>
  <si>
    <t>Annual cash flow years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</si>
  <si>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Calculate the NPV and decide if the system is worth installing if the required rate of return is 9%. What if it is 14%?  </t>
    </r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</si>
  <si>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 xml:space="preserve">How high can the discount rate be before you would reject the project?  </t>
    </r>
  </si>
  <si>
    <t>Worth installing?</t>
  </si>
  <si>
    <r>
      <t>C</t>
    </r>
    <r>
      <rPr>
        <i/>
        <vertAlign val="subscript"/>
        <sz val="11"/>
        <color theme="1"/>
        <rFont val="Calibri"/>
        <family val="2"/>
        <scheme val="minor"/>
      </rPr>
      <t>0</t>
    </r>
  </si>
  <si>
    <r>
      <t>C</t>
    </r>
    <r>
      <rPr>
        <i/>
        <vertAlign val="subscript"/>
        <sz val="11"/>
        <color theme="1"/>
        <rFont val="Calibri"/>
        <family val="2"/>
        <scheme val="minor"/>
      </rPr>
      <t>1</t>
    </r>
  </si>
  <si>
    <r>
      <t>C</t>
    </r>
    <r>
      <rPr>
        <i/>
        <vertAlign val="subscript"/>
        <sz val="11"/>
        <color theme="1"/>
        <rFont val="Calibri"/>
        <family val="2"/>
        <scheme val="minor"/>
      </rPr>
      <t>2</t>
    </r>
  </si>
  <si>
    <t>Discount rate 3</t>
  </si>
  <si>
    <t>What is project NPV if the discount rate is 12%?</t>
  </si>
  <si>
    <t>Should you accept the project?</t>
  </si>
  <si>
    <t xml:space="preserve">Marielle Machinery Works forecasts the following cash flows on a project under consideration. It uses the internal rate of return rule to accept or reject projects.
 </t>
  </si>
  <si>
    <t>Caculate the IRR.</t>
  </si>
  <si>
    <t>Should this project be accepted if the required return is 12%?</t>
  </si>
  <si>
    <r>
      <t>C</t>
    </r>
    <r>
      <rPr>
        <i/>
        <vertAlign val="subscript"/>
        <sz val="11"/>
        <color theme="1"/>
        <rFont val="Calibri"/>
        <family val="2"/>
        <scheme val="minor"/>
      </rPr>
      <t>3</t>
    </r>
  </si>
  <si>
    <r>
      <rPr>
        <b/>
        <sz val="11"/>
        <color theme="1"/>
        <rFont val="Calibri"/>
        <family val="2"/>
        <scheme val="minor"/>
      </rPr>
      <t xml:space="preserve">c. </t>
    </r>
    <r>
      <rPr>
        <sz val="11"/>
        <color theme="1"/>
        <rFont val="Calibri"/>
        <family val="2"/>
        <scheme val="minor"/>
      </rPr>
      <t>Which project is really best?</t>
    </r>
  </si>
  <si>
    <t>Consider projects A and B:</t>
  </si>
  <si>
    <t>Cash Flows (Dollars)</t>
  </si>
  <si>
    <t>NPV @ 10%</t>
  </si>
  <si>
    <t>IRR selection</t>
  </si>
  <si>
    <t>Best selection'</t>
  </si>
  <si>
    <t>The Connect explanation requires that answer b be "Project A".</t>
  </si>
  <si>
    <t>The connect explanation requires that answer c be "Project B".</t>
  </si>
  <si>
    <t>The internal rate of return is 13.6%.</t>
  </si>
  <si>
    <t xml:space="preserve">You are offered the chance to participate in a project that produces the following cash flows:
</t>
  </si>
  <si>
    <t xml:space="preserve">If the opportunity cost of capital is 12%, what is the net present value of the project?  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</si>
  <si>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</si>
  <si>
    <r>
      <t>C</t>
    </r>
    <r>
      <rPr>
        <vertAlign val="subscript"/>
        <sz val="11"/>
        <color theme="1"/>
        <rFont val="Calibri"/>
        <family val="2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</si>
  <si>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</si>
  <si>
    <t>Consider the following cash flows:</t>
  </si>
  <si>
    <r>
      <t>C</t>
    </r>
    <r>
      <rPr>
        <i/>
        <vertAlign val="subscript"/>
        <sz val="11"/>
        <color theme="1"/>
        <rFont val="Calibri"/>
        <family val="2"/>
        <scheme val="minor"/>
      </rPr>
      <t>4</t>
    </r>
  </si>
  <si>
    <t>Consider the following projects:</t>
  </si>
  <si>
    <t>a. Cost of capital</t>
  </si>
  <si>
    <t>Profitability  index A</t>
  </si>
  <si>
    <t>Profitability index B</t>
  </si>
  <si>
    <t>Which should you accept?</t>
  </si>
  <si>
    <r>
      <t xml:space="preserve">Answers are displayed in red. </t>
    </r>
    <r>
      <rPr>
        <sz val="11"/>
        <rFont val="Calibri"/>
        <family val="2"/>
        <scheme val="minor"/>
      </rPr>
      <t/>
    </r>
  </si>
  <si>
    <r>
      <rPr>
        <b/>
        <sz val="11"/>
        <color theme="1"/>
        <rFont val="Calibri"/>
        <family val="2"/>
        <scheme val="minor"/>
      </rPr>
      <t xml:space="preserve">a-1. </t>
    </r>
    <r>
      <rPr>
        <sz val="11"/>
        <color theme="1"/>
        <rFont val="Calibri"/>
        <family val="2"/>
        <scheme val="minor"/>
      </rPr>
      <t xml:space="preserve">What is the NPV of each project if the discount rate is 10%?  </t>
    </r>
  </si>
  <si>
    <r>
      <rPr>
        <b/>
        <sz val="11"/>
        <color theme="1"/>
        <rFont val="Calibri"/>
        <family val="2"/>
        <scheme val="minor"/>
      </rPr>
      <t>b-1</t>
    </r>
    <r>
      <rPr>
        <sz val="11"/>
        <color theme="1"/>
        <rFont val="Calibri"/>
        <family val="2"/>
        <scheme val="minor"/>
      </rPr>
      <t xml:space="preserve">. What is the profitability index of each project? </t>
    </r>
  </si>
  <si>
    <r>
      <rPr>
        <b/>
        <sz val="11"/>
        <color theme="1"/>
        <rFont val="Calibri"/>
        <family val="2"/>
        <scheme val="minor"/>
      </rPr>
      <t xml:space="preserve">b-2. </t>
    </r>
    <r>
      <rPr>
        <sz val="11"/>
        <color theme="1"/>
        <rFont val="Calibri"/>
        <family val="2"/>
        <scheme val="minor"/>
      </rPr>
      <t>Which project has the higher profitability index?</t>
    </r>
  </si>
  <si>
    <t>Higher NPV</t>
  </si>
  <si>
    <t>Higher PI</t>
  </si>
  <si>
    <t>Unlimited funds</t>
  </si>
  <si>
    <t>Consider projects A and B with the following cash flows:</t>
  </si>
  <si>
    <t>Perpetual cash flow</t>
  </si>
  <si>
    <r>
      <rPr>
        <b/>
        <sz val="11"/>
        <color theme="1"/>
        <rFont val="Calibri"/>
        <family val="2"/>
        <scheme val="minor"/>
      </rPr>
      <t xml:space="preserve">a-1. </t>
    </r>
    <r>
      <rPr>
        <sz val="11"/>
        <color theme="1"/>
        <rFont val="Calibri"/>
        <family val="2"/>
        <scheme val="minor"/>
      </rPr>
      <t xml:space="preserve">What is this project's payback period? </t>
    </r>
  </si>
  <si>
    <r>
      <rPr>
        <b/>
        <sz val="11"/>
        <color theme="1"/>
        <rFont val="Calibri"/>
        <family val="2"/>
        <scheme val="minor"/>
      </rPr>
      <t xml:space="preserve">b-3. </t>
    </r>
    <r>
      <rPr>
        <sz val="11"/>
        <color theme="1"/>
        <rFont val="Calibri"/>
        <family val="2"/>
        <scheme val="minor"/>
      </rPr>
      <t xml:space="preserve">What is project NPV if the discount rate is 12%? </t>
    </r>
  </si>
  <si>
    <t>Payback required years</t>
  </si>
  <si>
    <t>Payback period</t>
  </si>
  <si>
    <t>b-4.</t>
  </si>
  <si>
    <t>b-5.</t>
  </si>
  <si>
    <r>
      <t xml:space="preserve">d-1. </t>
    </r>
    <r>
      <rPr>
        <sz val="11"/>
        <color theme="1"/>
        <rFont val="Calibri"/>
        <family val="2"/>
        <scheme val="minor"/>
      </rPr>
      <t>If the opportunity cost of capital is 10%, calculate the NPV for projects A, B, and C.</t>
    </r>
  </si>
  <si>
    <r>
      <t xml:space="preserve">d-2. </t>
    </r>
    <r>
      <rPr>
        <sz val="11"/>
        <color theme="1"/>
        <rFont val="Calibri"/>
        <family val="2"/>
        <scheme val="minor"/>
      </rPr>
      <t>Which projects have positive NPVs?</t>
    </r>
  </si>
  <si>
    <r>
      <t xml:space="preserve">e. </t>
    </r>
    <r>
      <rPr>
        <sz val="11"/>
        <color theme="1"/>
        <rFont val="Calibri"/>
        <family val="2"/>
        <scheme val="minor"/>
      </rPr>
      <t>"Payback gives too much weight to cash flows that occur after the cutoff date." True or false?</t>
    </r>
  </si>
  <si>
    <t>C</t>
  </si>
  <si>
    <t>b. Cutoff years</t>
  </si>
  <si>
    <t>c. Cutoff years</t>
  </si>
  <si>
    <t>Accept projects</t>
  </si>
  <si>
    <t>Positive NPVs</t>
  </si>
  <si>
    <t>True/False</t>
  </si>
  <si>
    <t>False</t>
  </si>
  <si>
    <r>
      <t xml:space="preserve">Here are the cash-flow forecasts for two </t>
    </r>
    <r>
      <rPr>
        <i/>
        <sz val="11"/>
        <color theme="1"/>
        <rFont val="Calibri"/>
        <family val="2"/>
        <scheme val="minor"/>
      </rPr>
      <t>mutually exclusive</t>
    </r>
    <r>
      <rPr>
        <sz val="11"/>
        <color theme="1"/>
        <rFont val="Calibri"/>
        <family val="2"/>
        <scheme val="minor"/>
      </rPr>
      <t xml:space="preserve"> projects:</t>
    </r>
  </si>
  <si>
    <t>Cash Flows (dollars)</t>
  </si>
  <si>
    <t>a-1. Cost of capital</t>
  </si>
  <si>
    <t>b-1. Cost of capital</t>
  </si>
  <si>
    <t>A precision lathe costs $10,000 and will cost $20,000 a year to operate and maintain. If the discount rate is 10% and the lathe will last for 5 years, what is the equivalent annual cost of the tool?</t>
  </si>
  <si>
    <t>Annual cost</t>
  </si>
  <si>
    <t>Life of tool in years</t>
  </si>
  <si>
    <t xml:space="preserve">What is the equivalent annual cost of buying and maintaining the truck if the discount rate is 10%? </t>
  </si>
  <si>
    <t xml:space="preserve">A firm can lease a truck for 4 years at a cost of $30,000 annually. It can instead buy a truck at a cost of $80,000, with annual maintenance expenses of $10,000. The truck will be sold at the end of 4 years for $20,000.
</t>
  </si>
  <si>
    <t>Lease life in years</t>
  </si>
  <si>
    <t>Truck life in years</t>
  </si>
  <si>
    <t>Equivalent annual cost</t>
  </si>
  <si>
    <r>
      <rPr>
        <b/>
        <sz val="11"/>
        <color theme="1"/>
        <rFont val="Calibri"/>
        <family val="2"/>
        <scheme val="minor"/>
      </rPr>
      <t xml:space="preserve">c-2. </t>
    </r>
    <r>
      <rPr>
        <sz val="11"/>
        <color theme="1"/>
        <rFont val="Calibri"/>
        <family val="2"/>
        <scheme val="minor"/>
      </rPr>
      <t>Which model is more cost-effective?</t>
    </r>
  </si>
  <si>
    <t>Econo-Cool cost</t>
  </si>
  <si>
    <t>Econo-Cool life in years</t>
  </si>
  <si>
    <t>Econo-Cool  annual electricity</t>
  </si>
  <si>
    <t>Luxury Air cost</t>
  </si>
  <si>
    <t>Luxury Air annual electricity</t>
  </si>
  <si>
    <t>Luxury Air life in years</t>
  </si>
  <si>
    <t>c-1.  Inflation rate</t>
  </si>
  <si>
    <t>Econo-Cool</t>
  </si>
  <si>
    <t>Luxury Air</t>
  </si>
  <si>
    <t>Which model more cost effective?</t>
  </si>
  <si>
    <t>Scanner life in years</t>
  </si>
  <si>
    <t xml:space="preserve">You are operating an old machine that is expected to produce a cash inflow of $5,000 in each of the next 3 years before it fails. You can replace it now with a new machine that costs $20,000 but is much more efficient and will provide a cash flow of $10,000 a year for 4 years.
</t>
  </si>
  <si>
    <t>Calculate the equivalent annual cost of the new machine if the discount rate is 15%.</t>
  </si>
  <si>
    <t>Should you replace your equipment now?</t>
  </si>
  <si>
    <t>Annual cash inflow</t>
  </si>
  <si>
    <t>Life in years</t>
  </si>
  <si>
    <t>New machine annual cash inflow</t>
  </si>
  <si>
    <t>Life of new machine in years</t>
  </si>
  <si>
    <t>Incremental cash inflow</t>
  </si>
  <si>
    <t>Should you replace now?</t>
  </si>
  <si>
    <t xml:space="preserve">A forklift will last for only 2 more years. It costs $5,000 a year to maintain. For $20,000 you can buy a new lift that can last for 10 years and should require maintenance costs of only $2,000 a year. </t>
  </si>
  <si>
    <r>
      <rPr>
        <b/>
        <sz val="11"/>
        <color theme="1"/>
        <rFont val="Calibri"/>
        <family val="2"/>
        <scheme val="minor"/>
      </rPr>
      <t>a-1.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Calculate the equivalent cost of owning and operating the forklife  if the discount rate is 4% per year.  </t>
    </r>
  </si>
  <si>
    <r>
      <rPr>
        <b/>
        <sz val="11"/>
        <color theme="1"/>
        <rFont val="Calibri"/>
        <family val="2"/>
        <scheme val="minor"/>
      </rPr>
      <t>b-1.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Calculate the equivalent cost of owning and operating the forklife if the discount rate is 12% per year. </t>
    </r>
  </si>
  <si>
    <t>Annual maintenance old lift</t>
  </si>
  <si>
    <t>Cost new life</t>
  </si>
  <si>
    <t>Old lift life in years</t>
  </si>
  <si>
    <t>New lift life in years</t>
  </si>
  <si>
    <t>Annual maintenance new lift</t>
  </si>
  <si>
    <t>a-1. Discount rate</t>
  </si>
  <si>
    <t>Growth Enterprises believes its latest project, which will cost $80,000 to install, will generate a perpetual growing stream of cash flows. Cash flow at the end of the first year will be $5,000, and cash flows in future years are expected to grow indefinitely at an annual rate of 5%.</t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</si>
  <si>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 xml:space="preserve">If the discount rate for this project is 10%, what is the project NPV? </t>
    </r>
  </si>
  <si>
    <r>
      <rPr>
        <b/>
        <sz val="11"/>
        <color theme="1"/>
        <rFont val="Calibri"/>
        <family val="2"/>
        <scheme val="minor"/>
      </rPr>
      <t xml:space="preserve">b. </t>
    </r>
    <r>
      <rPr>
        <sz val="11"/>
        <color theme="1"/>
        <rFont val="Calibri"/>
        <family val="2"/>
        <scheme val="minor"/>
      </rPr>
      <t xml:space="preserve">What is the project IRR?  </t>
    </r>
  </si>
  <si>
    <t>Year 1 cash flow</t>
  </si>
  <si>
    <t>Cash flow growth rate</t>
  </si>
  <si>
    <t>Input as a negative</t>
  </si>
  <si>
    <t>Cash flow Year 1</t>
  </si>
  <si>
    <t>Cash flow Year 2</t>
  </si>
  <si>
    <t>(This may/may not provide the second IRR)</t>
  </si>
  <si>
    <t>Limited funds</t>
  </si>
  <si>
    <t>Cash flow:</t>
  </si>
  <si>
    <t>In light of your answers to Problems 2, 3, and 4, is the project with the higher IRR the better project?</t>
  </si>
  <si>
    <t>Project Better?</t>
  </si>
  <si>
    <t>a. What is NPV if the discount rate is 10%?</t>
  </si>
  <si>
    <t>b. How high can the discount rate be before you would reject the project?</t>
  </si>
  <si>
    <t>a. NPV</t>
  </si>
  <si>
    <t>Breakley 8e Pr 8-10</t>
  </si>
  <si>
    <t>b. What is project NPV if the discount rate is 5%?</t>
  </si>
  <si>
    <t>c. What if it is 20%?</t>
  </si>
  <si>
    <t>d. What if it is 40%?</t>
  </si>
  <si>
    <t>a. Which two of the following rates are the IRRs of this project: 2.5%, 7.2%. 14.3%, 33.7%, 40%?</t>
  </si>
  <si>
    <t xml:space="preserve">d. </t>
  </si>
  <si>
    <t>a. Which project would you choose if the opportunity cost of capital is 2%?</t>
  </si>
  <si>
    <t>b. Which would you choose if the opportunity cost of capital is 12%?</t>
  </si>
  <si>
    <t xml:space="preserve">b. 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</si>
  <si>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If you use the payback rule with a cutoff period of 2 years, which projects will you accept?</t>
    </r>
  </si>
  <si>
    <r>
      <t xml:space="preserve">c. </t>
    </r>
    <r>
      <rPr>
        <sz val="11"/>
        <color theme="1"/>
        <rFont val="Calibri"/>
        <family val="2"/>
        <scheme val="minor"/>
      </rPr>
      <t>If you use a cutoff period of 3 years, which projects will you accept?</t>
    </r>
  </si>
  <si>
    <t>Brealey 11e Pr 8-1</t>
  </si>
  <si>
    <t>Brealey 11e Pr 8-38</t>
  </si>
  <si>
    <t>Brealey 11e Pr 8-36</t>
  </si>
  <si>
    <t>Brealey 11e Pr 8-35</t>
  </si>
  <si>
    <t>Brealey 11e Pr 8-34</t>
  </si>
  <si>
    <t>Brealey 11e Pr 8-33</t>
  </si>
  <si>
    <t>Brealey 11e Pr 8-32</t>
  </si>
  <si>
    <t>Brealey 11e Pr 8-31</t>
  </si>
  <si>
    <t>Brealey 11e Pr 8-29</t>
  </si>
  <si>
    <t>Brealey 11e Pr 8-27</t>
  </si>
  <si>
    <t>Brealey 11e Pr 8-26</t>
  </si>
  <si>
    <t>Brealey 11e Pr 8-25</t>
  </si>
  <si>
    <t>Brealey 11e Pr 8-23</t>
  </si>
  <si>
    <t>Brealey 11e Pre 8-22</t>
  </si>
  <si>
    <t>Brealey 11e Pr 8-21</t>
  </si>
  <si>
    <t>Brealey 11e Pr 8-20</t>
  </si>
  <si>
    <t>Brealey 11e Pr 8-19</t>
  </si>
  <si>
    <t>Brealey 11e Pr 8-18</t>
  </si>
  <si>
    <t>Brealey 11e Pr 8-17</t>
  </si>
  <si>
    <t>Brealey 11e Pr 8-16</t>
  </si>
  <si>
    <t>Brealey 11e Pr 8-15</t>
  </si>
  <si>
    <t>Brealey 11e Pr  8-13</t>
  </si>
  <si>
    <t>Brealey 11e Pr 8-12</t>
  </si>
  <si>
    <t>Brealey 11e Pr 8-11</t>
  </si>
  <si>
    <t>Brealey 11e Pr 8-9</t>
  </si>
  <si>
    <t>Brealey 11e Pr 8-8</t>
  </si>
  <si>
    <t>Brealey 11e Pr 8-7</t>
  </si>
  <si>
    <t>Brealey 11e Pr 8-6</t>
  </si>
  <si>
    <t>Brealey 11e Pr 8-5</t>
  </si>
  <si>
    <t>Brealey 11e Pr 8-4</t>
  </si>
  <si>
    <t>Brealey 11e Pr 8-3</t>
  </si>
  <si>
    <t>Brealey 11e Pr 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</si>
</sst>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0.00000"/>
    <numFmt numFmtId="167" formatCode="#,##0.00000"/>
    <numFmt numFmtId="168" formatCode="0.0000"/>
    <numFmt numFmtId="169" formatCode="_(* #,##0_);_(* \(#,##0\);_(* &quot;-&quot;??_);_(@_)"/>
    <numFmt numFmtId="170" formatCode="0.0%"/>
    <numFmt numFmtId="171" formatCode="_(* #,##0.000_);_(* \(#,##0.000\);_(* &quot;-&quot;??_);_(@_)"/>
    <numFmt numFmtId="172" formatCode="&quot;$&quot;#,##0.00"/>
    <numFmt numFmtId="173" formatCode="&quot;$&quot;#,##0"/>
    <numFmt numFmtId="174" formatCode=".0000"/>
    <numFmt numFmtId="175" formatCode="&quot;$&quot;#,##0.0"/>
    <numFmt numFmtId="176" formatCode="&quot;$&quot;#,###.00"/>
    <numFmt numFmtId="177" formatCode="#,###.000"/>
    <numFmt numFmtId="178" formatCode=".00"/>
    <numFmt numFmtId="179" formatCode="&quot;$&quot;#,###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0000"/>
      <name val="Arial"/>
      <family val="2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0" fillId="2" borderId="0" xfId="0" applyFill="1"/>
    <xf numFmtId="9" fontId="0" fillId="3" borderId="0" xfId="3" applyFont="1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0" fillId="3" borderId="0" xfId="3" applyNumberFormat="1" applyFont="1" applyFill="1"/>
    <xf numFmtId="10" fontId="5" fillId="0" borderId="0" xfId="3" applyNumberFormat="1" applyFont="1"/>
    <xf numFmtId="2" fontId="5" fillId="0" borderId="0" xfId="3" applyNumberFormat="1" applyFont="1"/>
    <xf numFmtId="0" fontId="8" fillId="0" borderId="0" xfId="0" applyFont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2" fontId="5" fillId="0" borderId="0" xfId="3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0" fontId="5" fillId="0" borderId="0" xfId="3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5" fillId="0" borderId="0" xfId="1" applyNumberFormat="1" applyFont="1"/>
    <xf numFmtId="164" fontId="5" fillId="0" borderId="0" xfId="1" applyNumberFormat="1" applyFont="1"/>
    <xf numFmtId="164" fontId="9" fillId="0" borderId="0" xfId="0" applyNumberFormat="1" applyFont="1" applyAlignment="1">
      <alignment horizontal="center"/>
    </xf>
    <xf numFmtId="9" fontId="0" fillId="0" borderId="0" xfId="3" applyFont="1"/>
    <xf numFmtId="0" fontId="12" fillId="0" borderId="0" xfId="0" applyFont="1"/>
    <xf numFmtId="0" fontId="10" fillId="0" borderId="0" xfId="0" applyFont="1"/>
    <xf numFmtId="0" fontId="0" fillId="3" borderId="0" xfId="3" applyNumberFormat="1" applyFont="1" applyFill="1" applyAlignment="1">
      <alignment horizontal="center"/>
    </xf>
    <xf numFmtId="2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3" applyNumberFormat="1" applyFont="1" applyFill="1" applyAlignment="1">
      <alignment horizontal="center"/>
    </xf>
    <xf numFmtId="0" fontId="0" fillId="0" borderId="0" xfId="0" applyAlignment="1">
      <alignment horizontal="left"/>
    </xf>
    <xf numFmtId="8" fontId="6" fillId="0" borderId="0" xfId="0" applyNumberFormat="1" applyFont="1" applyAlignment="1">
      <alignment horizontal="center"/>
    </xf>
    <xf numFmtId="0" fontId="0" fillId="0" borderId="0" xfId="3" applyNumberFormat="1" applyFont="1" applyFill="1" applyAlignment="1">
      <alignment horizontal="center"/>
    </xf>
    <xf numFmtId="9" fontId="0" fillId="0" borderId="0" xfId="3" applyFont="1" applyFill="1"/>
    <xf numFmtId="8" fontId="0" fillId="0" borderId="0" xfId="0" applyNumberFormat="1"/>
    <xf numFmtId="0" fontId="11" fillId="0" borderId="0" xfId="0" applyFont="1"/>
    <xf numFmtId="0" fontId="0" fillId="0" borderId="1" xfId="0" applyBorder="1" applyAlignment="1">
      <alignment horizontal="right"/>
    </xf>
    <xf numFmtId="0" fontId="13" fillId="0" borderId="0" xfId="0" applyFont="1"/>
    <xf numFmtId="9" fontId="0" fillId="0" borderId="0" xfId="3" applyFont="1" applyAlignment="1">
      <alignment horizontal="left"/>
    </xf>
    <xf numFmtId="10" fontId="15" fillId="0" borderId="0" xfId="3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15" fillId="0" borderId="0" xfId="3" applyNumberFormat="1" applyFont="1" applyAlignment="1">
      <alignment horizontal="center"/>
    </xf>
    <xf numFmtId="167" fontId="15" fillId="0" borderId="0" xfId="1" applyNumberFormat="1" applyFont="1"/>
    <xf numFmtId="167" fontId="15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3" fontId="9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44" fontId="0" fillId="0" borderId="0" xfId="2" applyFont="1" applyFill="1" applyAlignment="1">
      <alignment horizontal="center"/>
    </xf>
    <xf numFmtId="10" fontId="0" fillId="0" borderId="0" xfId="3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3" applyNumberFormat="1" applyFont="1" applyFill="1" applyAlignment="1">
      <alignment horizontal="left"/>
    </xf>
    <xf numFmtId="8" fontId="15" fillId="0" borderId="0" xfId="1" applyNumberFormat="1" applyFont="1" applyAlignment="1">
      <alignment horizontal="center"/>
    </xf>
    <xf numFmtId="0" fontId="3" fillId="0" borderId="0" xfId="0" applyFont="1" applyAlignment="1">
      <alignment horizontal="right"/>
    </xf>
    <xf numFmtId="8" fontId="0" fillId="0" borderId="0" xfId="3" applyNumberFormat="1" applyFont="1" applyFill="1" applyAlignment="1">
      <alignment horizontal="left"/>
    </xf>
    <xf numFmtId="2" fontId="0" fillId="0" borderId="0" xfId="3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173" fontId="0" fillId="3" borderId="0" xfId="2" applyNumberFormat="1" applyFont="1" applyFill="1" applyAlignment="1">
      <alignment horizontal="right"/>
    </xf>
    <xf numFmtId="173" fontId="0" fillId="3" borderId="0" xfId="3" applyNumberFormat="1" applyFont="1" applyFill="1" applyAlignment="1">
      <alignment horizontal="right"/>
    </xf>
    <xf numFmtId="9" fontId="0" fillId="3" borderId="0" xfId="3" applyFont="1" applyFill="1" applyAlignment="1">
      <alignment horizontal="right"/>
    </xf>
    <xf numFmtId="0" fontId="6" fillId="0" borderId="0" xfId="0" applyFont="1" applyAlignment="1">
      <alignment horizontal="left"/>
    </xf>
    <xf numFmtId="9" fontId="0" fillId="0" borderId="0" xfId="3" applyFont="1" applyFill="1" applyAlignment="1">
      <alignment horizontal="center"/>
    </xf>
    <xf numFmtId="9" fontId="0" fillId="3" borderId="0" xfId="3" applyFont="1" applyFill="1" applyAlignment="1">
      <alignment horizontal="center"/>
    </xf>
    <xf numFmtId="167" fontId="5" fillId="0" borderId="0" xfId="1" applyNumberFormat="1" applyFont="1" applyAlignment="1">
      <alignment horizontal="right"/>
    </xf>
    <xf numFmtId="0" fontId="0" fillId="3" borderId="0" xfId="2" applyNumberFormat="1" applyFont="1" applyFill="1" applyAlignment="1">
      <alignment horizontal="right"/>
    </xf>
    <xf numFmtId="0" fontId="0" fillId="3" borderId="0" xfId="3" applyNumberFormat="1" applyFont="1" applyFill="1" applyAlignment="1">
      <alignment horizontal="right"/>
    </xf>
    <xf numFmtId="10" fontId="0" fillId="3" borderId="0" xfId="3" applyNumberFormat="1" applyFont="1" applyFill="1" applyAlignment="1">
      <alignment horizontal="right"/>
    </xf>
    <xf numFmtId="173" fontId="0" fillId="0" borderId="0" xfId="0" applyNumberFormat="1" applyAlignment="1">
      <alignment horizontal="center"/>
    </xf>
    <xf numFmtId="0" fontId="0" fillId="0" borderId="0" xfId="3" applyNumberFormat="1" applyFont="1" applyFill="1" applyAlignment="1">
      <alignment horizontal="right"/>
    </xf>
    <xf numFmtId="175" fontId="0" fillId="3" borderId="0" xfId="3" applyNumberFormat="1" applyFont="1" applyFill="1"/>
    <xf numFmtId="176" fontId="0" fillId="3" borderId="0" xfId="2" applyNumberFormat="1" applyFont="1" applyFill="1"/>
    <xf numFmtId="0" fontId="10" fillId="0" borderId="0" xfId="0" applyFont="1" applyAlignment="1">
      <alignment horizontal="left"/>
    </xf>
    <xf numFmtId="173" fontId="0" fillId="3" borderId="0" xfId="0" applyNumberFormat="1" applyFill="1"/>
    <xf numFmtId="172" fontId="2" fillId="0" borderId="0" xfId="3" applyNumberFormat="1" applyFont="1" applyAlignment="1">
      <alignment horizontal="right"/>
    </xf>
    <xf numFmtId="8" fontId="2" fillId="0" borderId="0" xfId="0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0" fontId="2" fillId="0" borderId="0" xfId="3" applyNumberFormat="1" applyFont="1" applyAlignment="1">
      <alignment horizontal="right"/>
    </xf>
    <xf numFmtId="173" fontId="6" fillId="3" borderId="0" xfId="0" applyNumberFormat="1" applyFont="1" applyFill="1" applyAlignment="1">
      <alignment horizontal="right"/>
    </xf>
    <xf numFmtId="170" fontId="0" fillId="3" borderId="0" xfId="3" applyNumberFormat="1" applyFont="1" applyFill="1" applyAlignment="1">
      <alignment horizontal="right"/>
    </xf>
    <xf numFmtId="9" fontId="6" fillId="0" borderId="0" xfId="3" applyFont="1" applyFill="1" applyAlignment="1">
      <alignment horizontal="right"/>
    </xf>
    <xf numFmtId="9" fontId="0" fillId="0" borderId="0" xfId="3" applyFont="1" applyFill="1" applyAlignment="1">
      <alignment horizontal="right"/>
    </xf>
    <xf numFmtId="173" fontId="6" fillId="3" borderId="0" xfId="2" applyNumberFormat="1" applyFont="1" applyFill="1" applyAlignment="1">
      <alignment horizontal="right"/>
    </xf>
    <xf numFmtId="173" fontId="1" fillId="3" borderId="0" xfId="2" applyNumberFormat="1" applyFont="1" applyFill="1" applyAlignment="1">
      <alignment horizontal="right"/>
    </xf>
    <xf numFmtId="172" fontId="2" fillId="0" borderId="0" xfId="1" applyNumberFormat="1" applyFont="1" applyAlignment="1">
      <alignment horizontal="right"/>
    </xf>
    <xf numFmtId="170" fontId="6" fillId="0" borderId="0" xfId="3" applyNumberFormat="1" applyFont="1" applyAlignment="1">
      <alignment horizontal="right"/>
    </xf>
    <xf numFmtId="2" fontId="2" fillId="0" borderId="0" xfId="3" applyNumberFormat="1" applyFont="1" applyAlignment="1">
      <alignment horizontal="right"/>
    </xf>
    <xf numFmtId="172" fontId="6" fillId="3" borderId="0" xfId="1" applyNumberFormat="1" applyFont="1" applyFill="1" applyAlignment="1">
      <alignment horizontal="right"/>
    </xf>
    <xf numFmtId="173" fontId="6" fillId="3" borderId="0" xfId="1" applyNumberFormat="1" applyFont="1" applyFill="1" applyAlignment="1">
      <alignment horizontal="right"/>
    </xf>
    <xf numFmtId="172" fontId="6" fillId="0" borderId="0" xfId="3" applyNumberFormat="1" applyFont="1" applyAlignment="1">
      <alignment horizontal="right"/>
    </xf>
    <xf numFmtId="3" fontId="6" fillId="3" borderId="0" xfId="2" applyNumberFormat="1" applyFont="1" applyFill="1" applyAlignment="1">
      <alignment horizontal="right"/>
    </xf>
    <xf numFmtId="3" fontId="0" fillId="3" borderId="0" xfId="2" applyNumberFormat="1" applyFont="1" applyFill="1" applyAlignment="1">
      <alignment horizontal="right"/>
    </xf>
    <xf numFmtId="3" fontId="1" fillId="3" borderId="0" xfId="2" applyNumberFormat="1" applyFont="1" applyFill="1" applyAlignment="1">
      <alignment horizontal="right"/>
    </xf>
    <xf numFmtId="2" fontId="6" fillId="0" borderId="0" xfId="3" applyNumberFormat="1" applyFont="1" applyAlignment="1">
      <alignment horizontal="left"/>
    </xf>
    <xf numFmtId="8" fontId="6" fillId="0" borderId="0" xfId="0" applyNumberFormat="1" applyFont="1" applyAlignment="1">
      <alignment horizontal="left"/>
    </xf>
    <xf numFmtId="177" fontId="2" fillId="0" borderId="0" xfId="1" applyNumberFormat="1" applyFont="1" applyAlignment="1">
      <alignment horizontal="right"/>
    </xf>
    <xf numFmtId="177" fontId="15" fillId="0" borderId="0" xfId="3" applyNumberFormat="1" applyFont="1" applyAlignment="1">
      <alignment horizontal="center"/>
    </xf>
    <xf numFmtId="172" fontId="6" fillId="0" borderId="0" xfId="0" applyNumberFormat="1" applyFont="1"/>
    <xf numFmtId="172" fontId="0" fillId="0" borderId="0" xfId="0" applyNumberFormat="1"/>
    <xf numFmtId="178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174" fontId="2" fillId="0" borderId="0" xfId="1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16" fillId="0" borderId="0" xfId="0" applyFont="1" applyAlignment="1">
      <alignment horizontal="right"/>
    </xf>
    <xf numFmtId="43" fontId="2" fillId="0" borderId="0" xfId="1" applyFont="1" applyAlignment="1">
      <alignment horizontal="right"/>
    </xf>
    <xf numFmtId="171" fontId="2" fillId="0" borderId="0" xfId="1" applyNumberFormat="1" applyFont="1" applyAlignment="1">
      <alignment horizontal="right"/>
    </xf>
    <xf numFmtId="1" fontId="0" fillId="3" borderId="0" xfId="1" applyNumberFormat="1" applyFont="1" applyFill="1" applyAlignment="1">
      <alignment horizontal="right"/>
    </xf>
    <xf numFmtId="173" fontId="0" fillId="3" borderId="0" xfId="0" applyNumberFormat="1" applyFill="1" applyAlignment="1">
      <alignment horizontal="right"/>
    </xf>
    <xf numFmtId="3" fontId="0" fillId="3" borderId="0" xfId="1" applyNumberFormat="1" applyFont="1" applyFill="1" applyAlignment="1">
      <alignment horizontal="right"/>
    </xf>
    <xf numFmtId="3" fontId="1" fillId="3" borderId="0" xfId="1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73" fontId="0" fillId="3" borderId="0" xfId="1" applyNumberFormat="1" applyFont="1" applyFill="1"/>
    <xf numFmtId="173" fontId="0" fillId="3" borderId="0" xfId="2" applyNumberFormat="1" applyFont="1" applyFill="1"/>
    <xf numFmtId="173" fontId="0" fillId="3" borderId="0" xfId="1" applyNumberFormat="1" applyFont="1" applyFill="1" applyAlignment="1">
      <alignment horizontal="right"/>
    </xf>
    <xf numFmtId="1" fontId="6" fillId="3" borderId="0" xfId="1" applyNumberFormat="1" applyFont="1" applyFill="1" applyAlignment="1">
      <alignment horizontal="right"/>
    </xf>
    <xf numFmtId="43" fontId="5" fillId="0" borderId="0" xfId="1" applyFont="1" applyAlignment="1">
      <alignment horizontal="center"/>
    </xf>
    <xf numFmtId="172" fontId="6" fillId="0" borderId="0" xfId="0" applyNumberFormat="1" applyFont="1" applyAlignment="1">
      <alignment horizontal="right"/>
    </xf>
    <xf numFmtId="8" fontId="2" fillId="0" borderId="0" xfId="1" applyNumberFormat="1" applyFont="1" applyAlignment="1">
      <alignment horizontal="right"/>
    </xf>
    <xf numFmtId="9" fontId="6" fillId="3" borderId="0" xfId="3" applyFont="1" applyFill="1" applyAlignment="1">
      <alignment horizontal="right"/>
    </xf>
    <xf numFmtId="172" fontId="0" fillId="0" borderId="0" xfId="3" applyNumberFormat="1" applyFont="1" applyFill="1" applyAlignment="1">
      <alignment horizontal="right"/>
    </xf>
    <xf numFmtId="2" fontId="0" fillId="0" borderId="0" xfId="0" applyNumberFormat="1" applyAlignment="1">
      <alignment wrapText="1"/>
    </xf>
    <xf numFmtId="2" fontId="0" fillId="0" borderId="0" xfId="3" applyNumberFormat="1" applyFont="1" applyFill="1" applyAlignment="1">
      <alignment horizontal="right"/>
    </xf>
    <xf numFmtId="173" fontId="6" fillId="3" borderId="0" xfId="3" applyNumberFormat="1" applyFont="1" applyFill="1" applyAlignment="1">
      <alignment horizontal="right"/>
    </xf>
    <xf numFmtId="1" fontId="0" fillId="3" borderId="0" xfId="3" applyNumberFormat="1" applyFont="1" applyFill="1" applyAlignment="1">
      <alignment horizontal="right"/>
    </xf>
    <xf numFmtId="167" fontId="2" fillId="0" borderId="0" xfId="1" applyNumberFormat="1" applyFont="1" applyAlignment="1">
      <alignment horizontal="right"/>
    </xf>
    <xf numFmtId="173" fontId="6" fillId="0" borderId="0" xfId="0" applyNumberFormat="1" applyFont="1" applyAlignment="1">
      <alignment horizontal="right"/>
    </xf>
    <xf numFmtId="2" fontId="0" fillId="0" borderId="0" xfId="1" applyNumberFormat="1" applyFont="1" applyFill="1" applyAlignment="1">
      <alignment horizontal="right"/>
    </xf>
    <xf numFmtId="179" fontId="2" fillId="0" borderId="0" xfId="0" applyNumberFormat="1" applyFont="1"/>
    <xf numFmtId="164" fontId="2" fillId="0" borderId="0" xfId="1" applyNumberFormat="1" applyFont="1"/>
    <xf numFmtId="173" fontId="0" fillId="0" borderId="0" xfId="3" applyNumberFormat="1" applyFont="1" applyFill="1" applyAlignment="1">
      <alignment horizontal="right"/>
    </xf>
    <xf numFmtId="168" fontId="2" fillId="0" borderId="0" xfId="3" applyNumberFormat="1" applyFont="1" applyBorder="1" applyAlignment="1">
      <alignment horizontal="right"/>
    </xf>
    <xf numFmtId="10" fontId="2" fillId="0" borderId="0" xfId="3" applyNumberFormat="1" applyFont="1" applyBorder="1" applyAlignment="1">
      <alignment horizontal="right"/>
    </xf>
    <xf numFmtId="172" fontId="2" fillId="0" borderId="0" xfId="3" applyNumberFormat="1" applyFont="1" applyBorder="1" applyAlignment="1">
      <alignment horizontal="right"/>
    </xf>
    <xf numFmtId="173" fontId="2" fillId="0" borderId="0" xfId="3" applyNumberFormat="1" applyFont="1" applyAlignment="1">
      <alignment horizontal="right"/>
    </xf>
    <xf numFmtId="10" fontId="17" fillId="0" borderId="0" xfId="3" applyNumberFormat="1" applyFont="1" applyAlignment="1">
      <alignment horizontal="center"/>
    </xf>
    <xf numFmtId="9" fontId="2" fillId="0" borderId="0" xfId="3" applyFont="1" applyAlignment="1">
      <alignment horizontal="right"/>
    </xf>
    <xf numFmtId="174" fontId="2" fillId="0" borderId="0" xfId="3" applyNumberFormat="1" applyFont="1"/>
    <xf numFmtId="0" fontId="2" fillId="0" borderId="0" xfId="3" applyNumberFormat="1" applyFont="1" applyAlignment="1">
      <alignment horizontal="right"/>
    </xf>
    <xf numFmtId="167" fontId="2" fillId="0" borderId="0" xfId="1" applyNumberFormat="1" applyFont="1"/>
    <xf numFmtId="0" fontId="18" fillId="0" borderId="0" xfId="0" applyFont="1"/>
    <xf numFmtId="0" fontId="0" fillId="0" borderId="0" xfId="0" applyAlignment="1">
      <alignment vertical="top" wrapText="1"/>
    </xf>
    <xf numFmtId="0" fontId="3" fillId="4" borderId="0" xfId="0" applyFont="1" applyFill="1"/>
    <xf numFmtId="0" fontId="0" fillId="4" borderId="0" xfId="0" applyFill="1" applyAlignment="1">
      <alignment horizontal="left"/>
    </xf>
    <xf numFmtId="9" fontId="0" fillId="4" borderId="0" xfId="3" applyFont="1" applyFill="1" applyAlignment="1">
      <alignment horizontal="right"/>
    </xf>
    <xf numFmtId="0" fontId="3" fillId="0" borderId="0" xfId="0" applyFont="1" applyAlignment="1">
      <alignment wrapText="1"/>
    </xf>
    <xf numFmtId="0" fontId="10" fillId="0" borderId="0" xfId="0" applyFont="1" applyAlignment="1">
      <alignment horizontal="right"/>
    </xf>
    <xf numFmtId="9" fontId="0" fillId="0" borderId="0" xfId="3" applyFont="1" applyFill="1" applyAlignment="1">
      <alignment horizontal="left"/>
    </xf>
    <xf numFmtId="174" fontId="2" fillId="0" borderId="0" xfId="3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168" fontId="6" fillId="0" borderId="0" xfId="3" applyNumberFormat="1" applyFont="1" applyAlignment="1">
      <alignment horizontal="right"/>
    </xf>
    <xf numFmtId="9" fontId="0" fillId="4" borderId="0" xfId="3" applyFont="1" applyFill="1"/>
    <xf numFmtId="0" fontId="0" fillId="0" borderId="0" xfId="0" applyAlignment="1">
      <alignment vertical="center" wrapText="1"/>
    </xf>
    <xf numFmtId="0" fontId="0" fillId="4" borderId="0" xfId="3" applyNumberFormat="1" applyFont="1" applyFill="1" applyAlignment="1">
      <alignment horizontal="left"/>
    </xf>
    <xf numFmtId="0" fontId="10" fillId="0" borderId="0" xfId="0" applyFont="1" applyAlignment="1">
      <alignment horizontal="right" wrapText="1"/>
    </xf>
    <xf numFmtId="0" fontId="10" fillId="0" borderId="0" xfId="3" applyNumberFormat="1" applyFont="1" applyFill="1" applyAlignment="1">
      <alignment horizontal="right" wrapText="1"/>
    </xf>
    <xf numFmtId="0" fontId="10" fillId="0" borderId="0" xfId="0" applyFont="1" applyAlignment="1">
      <alignment horizontal="left" wrapText="1"/>
    </xf>
    <xf numFmtId="0" fontId="6" fillId="4" borderId="0" xfId="0" applyFont="1" applyFill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3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3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0" fontId="1" fillId="0" borderId="0" xfId="3" applyNumberFormat="1" applyFont="1" applyAlignment="1">
      <alignment horizontal="right"/>
    </xf>
    <xf numFmtId="167" fontId="5" fillId="4" borderId="0" xfId="1" applyNumberFormat="1" applyFont="1" applyFill="1"/>
    <xf numFmtId="166" fontId="0" fillId="4" borderId="0" xfId="0" applyNumberFormat="1" applyFill="1" applyAlignment="1">
      <alignment horizontal="center"/>
    </xf>
    <xf numFmtId="1" fontId="6" fillId="3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1" fontId="1" fillId="3" borderId="0" xfId="3" applyNumberFormat="1" applyFont="1" applyFill="1" applyAlignment="1">
      <alignment horizontal="right"/>
    </xf>
    <xf numFmtId="167" fontId="15" fillId="4" borderId="0" xfId="1" applyNumberFormat="1" applyFont="1" applyFill="1"/>
    <xf numFmtId="10" fontId="9" fillId="0" borderId="0" xfId="3" applyNumberFormat="1" applyFont="1" applyAlignment="1">
      <alignment horizontal="right"/>
    </xf>
    <xf numFmtId="179" fontId="2" fillId="0" borderId="0" xfId="3" applyNumberFormat="1" applyFont="1" applyAlignment="1">
      <alignment horizontal="right"/>
    </xf>
    <xf numFmtId="173" fontId="0" fillId="0" borderId="0" xfId="0" applyNumberForma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173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" fontId="6" fillId="0" borderId="0" xfId="1" applyNumberFormat="1" applyFont="1" applyFill="1" applyAlignment="1">
      <alignment horizontal="left"/>
    </xf>
    <xf numFmtId="1" fontId="0" fillId="0" borderId="0" xfId="1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23" fillId="0" borderId="0" xfId="0" applyFont="1"/>
    <xf numFmtId="0" fontId="24" fillId="0" borderId="0" xfId="0" applyFont="1"/>
    <xf numFmtId="0" fontId="20" fillId="0" borderId="0" xfId="0" applyFont="1" applyAlignment="1">
      <alignment horizontal="right"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/>
    <xf numFmtId="3" fontId="0" fillId="0" borderId="0" xfId="0" applyNumberFormat="1"/>
    <xf numFmtId="1" fontId="0" fillId="0" borderId="0" xfId="0" applyNumberFormat="1" applyAlignment="1">
      <alignment horizontal="right" vertical="top" wrapText="1"/>
    </xf>
    <xf numFmtId="173" fontId="0" fillId="3" borderId="0" xfId="0" applyNumberFormat="1" applyFill="1" applyAlignment="1">
      <alignment horizontal="right" vertical="top" wrapText="1"/>
    </xf>
    <xf numFmtId="1" fontId="0" fillId="3" borderId="0" xfId="0" applyNumberFormat="1" applyFill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1" fontId="2" fillId="0" borderId="0" xfId="3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9" fillId="0" borderId="0" xfId="0" applyFont="1" applyAlignment="1">
      <alignment horizontal="right" wrapText="1"/>
    </xf>
    <xf numFmtId="172" fontId="6" fillId="0" borderId="0" xfId="1" applyNumberFormat="1" applyFont="1" applyAlignment="1">
      <alignment horizontal="right"/>
    </xf>
    <xf numFmtId="9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right"/>
    </xf>
    <xf numFmtId="0" fontId="14" fillId="0" borderId="0" xfId="0" applyFont="1" applyAlignment="1">
      <alignment vertical="top" wrapText="1"/>
    </xf>
    <xf numFmtId="169" fontId="6" fillId="3" borderId="0" xfId="1" applyNumberFormat="1" applyFont="1" applyFill="1" applyAlignment="1">
      <alignment horizontal="right"/>
    </xf>
    <xf numFmtId="173" fontId="6" fillId="3" borderId="2" xfId="1" applyNumberFormat="1" applyFont="1" applyFill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G43"/>
  <sheetViews>
    <sheetView topLeftCell="A7" workbookViewId="0">
      <selection activeCell="C40" sqref="C40"/>
    </sheetView>
  </sheetViews>
  <sheetFormatPr defaultColWidth="9.140625" defaultRowHeight="15" x14ac:dyDescent="0.25"/>
  <cols>
    <col min="1" max="1" width="16.5703125" customWidth="1"/>
    <col min="2" max="2" width="15.5703125" customWidth="1"/>
    <col min="3" max="5" width="17.5703125" customWidth="1"/>
  </cols>
  <sheetData>
    <row r="1" spans="1:7" x14ac:dyDescent="0.25">
      <c r="A1" s="2" t="s">
        <v>300</v>
      </c>
      <c r="B1" s="2"/>
    </row>
    <row r="2" spans="1:7" s="34" customFormat="1" x14ac:dyDescent="0.25">
      <c r="A2" s="151"/>
      <c r="B2" s="151"/>
    </row>
    <row r="3" spans="1:7" x14ac:dyDescent="0.25">
      <c r="A3" s="2"/>
      <c r="B3" s="2" t="s">
        <v>95</v>
      </c>
    </row>
    <row r="4" spans="1:7" ht="15" customHeight="1" x14ac:dyDescent="0.25">
      <c r="A4" s="1"/>
      <c r="B4" s="213" t="s">
        <v>97</v>
      </c>
      <c r="C4" s="213"/>
      <c r="D4" s="213"/>
      <c r="E4" s="213"/>
      <c r="F4" s="213"/>
      <c r="G4" s="213"/>
    </row>
    <row r="5" spans="1:7" ht="15" customHeight="1" x14ac:dyDescent="0.25">
      <c r="A5" s="1"/>
      <c r="B5" s="14"/>
      <c r="C5" s="14"/>
      <c r="D5" s="14"/>
      <c r="E5" s="14"/>
      <c r="F5" s="14"/>
      <c r="G5" s="14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B12" s="14"/>
      <c r="C12" s="14"/>
      <c r="D12" s="14"/>
      <c r="E12" s="14"/>
    </row>
    <row r="13" spans="1:7" ht="15" customHeight="1" x14ac:dyDescent="0.25">
      <c r="A13" s="1"/>
      <c r="B13" s="214" t="s">
        <v>141</v>
      </c>
      <c r="C13" s="214"/>
      <c r="D13" s="214"/>
      <c r="E13" s="214"/>
      <c r="F13" s="214"/>
      <c r="G13" s="214"/>
    </row>
    <row r="14" spans="1:7" ht="15" customHeight="1" x14ac:dyDescent="0.25">
      <c r="A14" s="1"/>
      <c r="B14" s="213" t="s">
        <v>96</v>
      </c>
      <c r="C14" s="213"/>
      <c r="D14" s="213"/>
      <c r="E14" s="213"/>
    </row>
    <row r="15" spans="1:7" ht="15" customHeight="1" x14ac:dyDescent="0.25">
      <c r="A15" s="1"/>
      <c r="B15" s="14"/>
      <c r="C15" s="14"/>
      <c r="D15" s="14"/>
      <c r="E15" s="14"/>
    </row>
    <row r="16" spans="1:7" s="11" customFormat="1" x14ac:dyDescent="0.25">
      <c r="A16" s="4"/>
      <c r="B16" s="5"/>
      <c r="C16" s="5"/>
      <c r="D16" s="5"/>
      <c r="E16" s="5"/>
    </row>
    <row r="17" spans="1:7" x14ac:dyDescent="0.25">
      <c r="A17" s="2"/>
      <c r="B17" s="3"/>
      <c r="C17" s="3"/>
      <c r="D17" s="3"/>
      <c r="E17" s="3"/>
    </row>
    <row r="18" spans="1:7" x14ac:dyDescent="0.25">
      <c r="A18" s="2"/>
      <c r="B18" s="6" t="s">
        <v>1</v>
      </c>
      <c r="C18" s="6"/>
      <c r="D18" s="6"/>
      <c r="E18" s="6"/>
      <c r="F18" s="13"/>
      <c r="G18" s="13"/>
    </row>
    <row r="19" spans="1:7" x14ac:dyDescent="0.25">
      <c r="A19" s="2"/>
      <c r="B19" s="7" t="s">
        <v>2</v>
      </c>
      <c r="C19" s="3"/>
      <c r="D19" s="3"/>
      <c r="E19" s="3"/>
    </row>
    <row r="20" spans="1:7" s="10" customFormat="1" x14ac:dyDescent="0.25">
      <c r="A20" s="149"/>
      <c r="B20" s="149" t="s">
        <v>3</v>
      </c>
      <c r="C20" s="149"/>
      <c r="D20" s="149"/>
      <c r="E20" s="149"/>
    </row>
    <row r="22" spans="1:7" x14ac:dyDescent="0.25">
      <c r="B22" s="19" t="s">
        <v>4</v>
      </c>
      <c r="C22" t="s">
        <v>0</v>
      </c>
    </row>
    <row r="23" spans="1:7" x14ac:dyDescent="0.25">
      <c r="B23" s="31" t="s">
        <v>13</v>
      </c>
      <c r="C23" s="155" t="s">
        <v>57</v>
      </c>
      <c r="D23" s="155" t="s">
        <v>12</v>
      </c>
    </row>
    <row r="24" spans="1:7" x14ac:dyDescent="0.25">
      <c r="A24" s="8"/>
      <c r="B24" s="22">
        <v>0</v>
      </c>
      <c r="C24" s="65">
        <v>-200</v>
      </c>
      <c r="D24" s="65">
        <v>-200</v>
      </c>
    </row>
    <row r="25" spans="1:7" x14ac:dyDescent="0.25">
      <c r="A25" s="8"/>
      <c r="B25" s="22">
        <v>1</v>
      </c>
      <c r="C25" s="133">
        <v>80</v>
      </c>
      <c r="D25" s="133">
        <v>100</v>
      </c>
    </row>
    <row r="26" spans="1:7" x14ac:dyDescent="0.25">
      <c r="A26" s="8"/>
      <c r="B26" s="22">
        <v>2</v>
      </c>
      <c r="C26" s="173">
        <v>80</v>
      </c>
      <c r="D26" s="173">
        <v>100</v>
      </c>
    </row>
    <row r="27" spans="1:7" x14ac:dyDescent="0.25">
      <c r="A27" s="8"/>
      <c r="B27" s="22">
        <v>3</v>
      </c>
      <c r="C27" s="173">
        <v>80</v>
      </c>
      <c r="D27" s="173">
        <v>100</v>
      </c>
    </row>
    <row r="28" spans="1:7" x14ac:dyDescent="0.25">
      <c r="A28" s="8"/>
      <c r="B28" s="22">
        <v>4</v>
      </c>
      <c r="C28" s="173">
        <v>80</v>
      </c>
      <c r="D28" s="173"/>
    </row>
    <row r="29" spans="1:7" x14ac:dyDescent="0.25">
      <c r="A29" s="8"/>
      <c r="B29" s="22"/>
      <c r="C29" s="173"/>
      <c r="D29" s="173"/>
    </row>
    <row r="30" spans="1:7" x14ac:dyDescent="0.25">
      <c r="A30" s="8"/>
      <c r="B30" s="37" t="s">
        <v>142</v>
      </c>
      <c r="C30" s="67">
        <v>0.11</v>
      </c>
    </row>
    <row r="31" spans="1:7" x14ac:dyDescent="0.25">
      <c r="A31" s="8" t="s">
        <v>0</v>
      </c>
      <c r="B31" s="37"/>
      <c r="C31" s="39"/>
      <c r="D31" s="90"/>
    </row>
    <row r="32" spans="1:7" s="34" customFormat="1" x14ac:dyDescent="0.25">
      <c r="A32" s="33"/>
      <c r="B32" s="152"/>
      <c r="C32" s="36"/>
      <c r="D32" s="153"/>
    </row>
    <row r="33" spans="1:5" x14ac:dyDescent="0.25">
      <c r="A33" s="8"/>
    </row>
    <row r="34" spans="1:5" x14ac:dyDescent="0.25">
      <c r="A34" s="8"/>
      <c r="B34" s="2" t="s">
        <v>5</v>
      </c>
    </row>
    <row r="35" spans="1:5" x14ac:dyDescent="0.25">
      <c r="A35" s="8"/>
      <c r="B35" s="2" t="s">
        <v>10</v>
      </c>
      <c r="C35" s="23"/>
      <c r="D35" s="23"/>
      <c r="E35" s="23"/>
    </row>
    <row r="36" spans="1:5" x14ac:dyDescent="0.25">
      <c r="A36" s="8"/>
      <c r="B36" t="s">
        <v>66</v>
      </c>
      <c r="C36" s="81">
        <f>C24+NPV(C30,C25,C26,C27,C28)</f>
        <v>48.195655167272434</v>
      </c>
      <c r="D36" s="23"/>
      <c r="E36" s="23"/>
    </row>
    <row r="37" spans="1:5" x14ac:dyDescent="0.25">
      <c r="A37" s="8"/>
      <c r="B37" s="18" t="s">
        <v>67</v>
      </c>
      <c r="C37" s="81">
        <f>D24+NPV(C30,D25,D26,D27,D28)</f>
        <v>44.371471544590605</v>
      </c>
      <c r="D37" s="21"/>
      <c r="E37" s="21"/>
    </row>
    <row r="38" spans="1:5" x14ac:dyDescent="0.25">
      <c r="A38" s="8"/>
      <c r="C38" s="138"/>
    </row>
    <row r="39" spans="1:5" x14ac:dyDescent="0.25">
      <c r="A39" s="8"/>
      <c r="B39" s="2" t="s">
        <v>8</v>
      </c>
      <c r="C39" s="28"/>
      <c r="D39" s="23"/>
      <c r="E39" s="23"/>
    </row>
    <row r="40" spans="1:5" x14ac:dyDescent="0.25">
      <c r="A40" s="8"/>
      <c r="B40" t="s">
        <v>17</v>
      </c>
      <c r="C40" s="95" t="str">
        <f>IF(AND(C36&gt;=0,C37&gt;=0),"Both",IF(C36&gt;=0,"Project A",IF(C37&gt;=0,"Project B","Neither")))</f>
        <v>Both</v>
      </c>
      <c r="D40" s="23"/>
      <c r="E40" s="23"/>
    </row>
    <row r="41" spans="1:5" x14ac:dyDescent="0.25">
      <c r="A41" s="8"/>
      <c r="C41" s="26"/>
      <c r="D41" s="22"/>
      <c r="E41" s="25"/>
    </row>
    <row r="42" spans="1:5" x14ac:dyDescent="0.25">
      <c r="B42" s="9"/>
      <c r="C42" s="9"/>
      <c r="D42" s="9"/>
      <c r="E42" s="9"/>
    </row>
    <row r="43" spans="1:5" x14ac:dyDescent="0.25">
      <c r="B43" s="9"/>
      <c r="C43" s="9"/>
      <c r="D43" s="9"/>
      <c r="E43" s="9"/>
    </row>
  </sheetData>
  <mergeCells count="3">
    <mergeCell ref="B14:E14"/>
    <mergeCell ref="B4:G4"/>
    <mergeCell ref="B13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G45"/>
  <sheetViews>
    <sheetView topLeftCell="A4"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5.5703125" customWidth="1"/>
    <col min="3" max="3" width="14.5703125" customWidth="1"/>
    <col min="4" max="4" width="15" customWidth="1"/>
    <col min="5" max="5" width="17.5703125" customWidth="1"/>
    <col min="7" max="7" width="11.5703125" customWidth="1"/>
  </cols>
  <sheetData>
    <row r="1" spans="1:7" x14ac:dyDescent="0.25">
      <c r="A1" s="2" t="s">
        <v>331</v>
      </c>
      <c r="B1" s="2"/>
    </row>
    <row r="2" spans="1:7" s="34" customFormat="1" x14ac:dyDescent="0.25">
      <c r="A2" s="151" t="s">
        <v>0</v>
      </c>
      <c r="B2" s="151"/>
    </row>
    <row r="3" spans="1:7" x14ac:dyDescent="0.25">
      <c r="A3" s="2"/>
      <c r="B3" s="2" t="s">
        <v>95</v>
      </c>
    </row>
    <row r="4" spans="1:7" ht="15" customHeight="1" x14ac:dyDescent="0.25">
      <c r="A4" s="1"/>
      <c r="B4" s="213" t="s">
        <v>97</v>
      </c>
      <c r="C4" s="213"/>
      <c r="D4" s="213"/>
      <c r="E4" s="213"/>
      <c r="F4" s="213"/>
      <c r="G4" s="213"/>
    </row>
    <row r="5" spans="1:7" ht="15" customHeight="1" x14ac:dyDescent="0.25">
      <c r="A5" s="1"/>
      <c r="B5" s="14"/>
      <c r="C5" s="14"/>
      <c r="D5" s="14"/>
      <c r="E5" s="14"/>
      <c r="F5" s="14"/>
      <c r="G5" s="14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C12" s="14"/>
      <c r="D12" s="14"/>
      <c r="E12" s="14"/>
    </row>
    <row r="13" spans="1:7" ht="15" customHeight="1" x14ac:dyDescent="0.25">
      <c r="A13" s="1"/>
      <c r="B13" s="214" t="s">
        <v>144</v>
      </c>
      <c r="C13" s="214"/>
      <c r="D13" s="214"/>
      <c r="E13" s="214"/>
    </row>
    <row r="14" spans="1:7" ht="15" customHeight="1" x14ac:dyDescent="0.25">
      <c r="A14" s="1"/>
      <c r="B14" s="213" t="s">
        <v>143</v>
      </c>
      <c r="C14" s="213"/>
      <c r="D14" s="213"/>
      <c r="E14" s="213"/>
      <c r="F14" s="213"/>
      <c r="G14" s="213"/>
    </row>
    <row r="15" spans="1:7" ht="15" customHeight="1" x14ac:dyDescent="0.25">
      <c r="A15" s="1"/>
      <c r="B15" s="14"/>
      <c r="C15" s="14"/>
      <c r="D15" s="14"/>
      <c r="E15" s="14"/>
    </row>
    <row r="16" spans="1:7" s="34" customFormat="1" x14ac:dyDescent="0.25">
      <c r="B16" s="167"/>
      <c r="C16" s="167"/>
      <c r="D16" s="167"/>
      <c r="E16" s="167"/>
    </row>
    <row r="17" spans="1:7" x14ac:dyDescent="0.25">
      <c r="A17" s="2"/>
      <c r="B17" s="3"/>
      <c r="C17" s="3"/>
      <c r="D17" s="3"/>
      <c r="E17" s="3"/>
    </row>
    <row r="18" spans="1:7" x14ac:dyDescent="0.25">
      <c r="A18" s="2"/>
      <c r="B18" s="6" t="s">
        <v>1</v>
      </c>
      <c r="C18" s="6"/>
      <c r="D18" s="6"/>
      <c r="E18" s="6"/>
      <c r="F18" s="13"/>
      <c r="G18" s="13"/>
    </row>
    <row r="19" spans="1:7" x14ac:dyDescent="0.25">
      <c r="A19" s="2"/>
      <c r="B19" s="7" t="s">
        <v>2</v>
      </c>
      <c r="C19" s="3"/>
      <c r="D19" s="3"/>
      <c r="E19" s="3"/>
    </row>
    <row r="20" spans="1:7" s="10" customFormat="1" x14ac:dyDescent="0.25">
      <c r="A20" s="149"/>
      <c r="B20" s="149" t="s">
        <v>3</v>
      </c>
      <c r="C20" s="149"/>
      <c r="D20" s="149"/>
      <c r="E20" s="149"/>
    </row>
    <row r="22" spans="1:7" x14ac:dyDescent="0.25">
      <c r="B22" s="19" t="s">
        <v>4</v>
      </c>
      <c r="C22" t="s">
        <v>0</v>
      </c>
    </row>
    <row r="23" spans="1:7" x14ac:dyDescent="0.25">
      <c r="B23" s="30" t="s">
        <v>13</v>
      </c>
      <c r="C23" s="155" t="s">
        <v>57</v>
      </c>
      <c r="D23" s="155" t="s">
        <v>12</v>
      </c>
    </row>
    <row r="24" spans="1:7" x14ac:dyDescent="0.25">
      <c r="A24" s="8"/>
      <c r="B24" s="37">
        <v>0</v>
      </c>
      <c r="C24" s="65">
        <v>-200</v>
      </c>
      <c r="D24" s="65">
        <v>-200</v>
      </c>
    </row>
    <row r="25" spans="1:7" x14ac:dyDescent="0.25">
      <c r="A25" s="8"/>
      <c r="B25" s="37">
        <v>1</v>
      </c>
      <c r="C25" s="66">
        <v>80</v>
      </c>
      <c r="D25" s="66">
        <v>100</v>
      </c>
    </row>
    <row r="26" spans="1:7" x14ac:dyDescent="0.25">
      <c r="A26" s="8"/>
      <c r="B26" s="37">
        <v>2</v>
      </c>
      <c r="C26" s="66">
        <f>C25</f>
        <v>80</v>
      </c>
      <c r="D26" s="66">
        <f>D25</f>
        <v>100</v>
      </c>
    </row>
    <row r="27" spans="1:7" x14ac:dyDescent="0.25">
      <c r="A27" s="8"/>
      <c r="B27" s="37">
        <v>3</v>
      </c>
      <c r="C27" s="66">
        <f>C25</f>
        <v>80</v>
      </c>
      <c r="D27" s="66">
        <f>D25</f>
        <v>100</v>
      </c>
    </row>
    <row r="28" spans="1:7" x14ac:dyDescent="0.25">
      <c r="A28" s="8"/>
      <c r="B28" s="37">
        <v>4</v>
      </c>
      <c r="C28" s="66">
        <f>C25</f>
        <v>80</v>
      </c>
      <c r="D28" s="139"/>
    </row>
    <row r="29" spans="1:7" x14ac:dyDescent="0.25">
      <c r="A29" s="8"/>
      <c r="B29" s="22"/>
      <c r="C29" s="39"/>
      <c r="D29" s="39"/>
    </row>
    <row r="30" spans="1:7" x14ac:dyDescent="0.25">
      <c r="A30" s="8"/>
      <c r="B30" s="37" t="s">
        <v>142</v>
      </c>
      <c r="C30" s="67">
        <v>0.11</v>
      </c>
    </row>
    <row r="31" spans="1:7" x14ac:dyDescent="0.25">
      <c r="A31" s="8"/>
      <c r="B31" s="37"/>
      <c r="C31" s="39"/>
      <c r="D31" s="90"/>
    </row>
    <row r="32" spans="1:7" s="34" customFormat="1" x14ac:dyDescent="0.25">
      <c r="A32" s="33"/>
      <c r="B32" s="152"/>
      <c r="C32" s="36"/>
      <c r="D32" s="153"/>
    </row>
    <row r="33" spans="1:5" x14ac:dyDescent="0.25">
      <c r="A33" s="8"/>
    </row>
    <row r="34" spans="1:5" x14ac:dyDescent="0.25">
      <c r="A34" s="8"/>
      <c r="B34" s="2" t="s">
        <v>5</v>
      </c>
    </row>
    <row r="35" spans="1:5" x14ac:dyDescent="0.25">
      <c r="A35" s="8"/>
      <c r="B35" t="s">
        <v>7</v>
      </c>
    </row>
    <row r="36" spans="1:5" x14ac:dyDescent="0.25">
      <c r="A36" s="8"/>
      <c r="B36" t="s">
        <v>66</v>
      </c>
      <c r="C36" s="81">
        <f>C24+NPV(C30,C25,C26,C27,C28)</f>
        <v>48.195655167272434</v>
      </c>
      <c r="D36" s="38" t="s">
        <v>0</v>
      </c>
      <c r="E36" s="23"/>
    </row>
    <row r="37" spans="1:5" x14ac:dyDescent="0.25">
      <c r="A37" s="8"/>
      <c r="B37" s="18" t="s">
        <v>67</v>
      </c>
      <c r="C37" s="81">
        <f>D24+NPV(C30,D25,D26,D27,D28)</f>
        <v>44.371471544590605</v>
      </c>
      <c r="D37" s="38" t="s">
        <v>0</v>
      </c>
      <c r="E37" s="21"/>
    </row>
    <row r="38" spans="1:5" x14ac:dyDescent="0.25">
      <c r="A38" s="8"/>
      <c r="C38" s="138"/>
    </row>
    <row r="39" spans="1:5" x14ac:dyDescent="0.25">
      <c r="A39" s="8"/>
      <c r="B39" s="2" t="s">
        <v>8</v>
      </c>
      <c r="C39" s="28"/>
      <c r="D39" s="23"/>
      <c r="E39" s="23"/>
    </row>
    <row r="40" spans="1:5" x14ac:dyDescent="0.25">
      <c r="A40" s="8"/>
      <c r="B40" t="s">
        <v>17</v>
      </c>
      <c r="C40" s="95" t="str">
        <f>IF(C36&gt;C37,"Project  A","Project B")</f>
        <v>Project  A</v>
      </c>
      <c r="D40" s="68"/>
      <c r="E40" s="23"/>
    </row>
    <row r="41" spans="1:5" x14ac:dyDescent="0.25">
      <c r="A41" s="8"/>
      <c r="C41" s="26"/>
      <c r="D41" s="22"/>
      <c r="E41" s="25"/>
    </row>
    <row r="42" spans="1:5" s="34" customFormat="1" x14ac:dyDescent="0.25">
      <c r="B42" s="167"/>
      <c r="C42" s="167"/>
      <c r="D42" s="167"/>
      <c r="E42" s="167"/>
    </row>
    <row r="43" spans="1:5" x14ac:dyDescent="0.25">
      <c r="B43" s="9"/>
      <c r="C43" s="9"/>
      <c r="D43" s="9"/>
      <c r="E43" s="9"/>
    </row>
    <row r="44" spans="1:5" x14ac:dyDescent="0.25">
      <c r="B44" s="10" t="s">
        <v>145</v>
      </c>
      <c r="C44" s="9"/>
      <c r="D44" s="9"/>
      <c r="E44" s="9"/>
    </row>
    <row r="45" spans="1:5" x14ac:dyDescent="0.25">
      <c r="B45" s="10" t="s">
        <v>149</v>
      </c>
    </row>
  </sheetData>
  <mergeCells count="3">
    <mergeCell ref="B13:E13"/>
    <mergeCell ref="B4:G4"/>
    <mergeCell ref="B14:G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G45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5.42578125" customWidth="1"/>
    <col min="3" max="5" width="17.5703125" customWidth="1"/>
  </cols>
  <sheetData>
    <row r="1" spans="1:7" x14ac:dyDescent="0.25">
      <c r="A1" s="2" t="s">
        <v>330</v>
      </c>
      <c r="B1" s="2"/>
      <c r="C1" s="2"/>
    </row>
    <row r="2" spans="1:7" s="34" customFormat="1" x14ac:dyDescent="0.25">
      <c r="A2" s="151"/>
      <c r="B2" s="151"/>
      <c r="C2" s="151"/>
    </row>
    <row r="3" spans="1:7" x14ac:dyDescent="0.25">
      <c r="A3" s="2" t="s">
        <v>0</v>
      </c>
      <c r="B3" s="2" t="s">
        <v>95</v>
      </c>
      <c r="C3" s="2"/>
    </row>
    <row r="4" spans="1:7" ht="15" customHeight="1" x14ac:dyDescent="0.25">
      <c r="A4" s="1"/>
      <c r="B4" s="213" t="s">
        <v>146</v>
      </c>
      <c r="C4" s="213"/>
      <c r="D4" s="213"/>
      <c r="E4" s="213"/>
      <c r="F4" s="213"/>
      <c r="G4" s="213"/>
    </row>
    <row r="5" spans="1:7" ht="15" customHeight="1" x14ac:dyDescent="0.25">
      <c r="A5" s="1"/>
      <c r="B5" s="14"/>
      <c r="C5" s="14"/>
      <c r="D5" s="14"/>
      <c r="E5" s="14"/>
      <c r="F5" s="14"/>
      <c r="G5" s="14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C12" s="14"/>
      <c r="D12" s="14"/>
      <c r="E12" s="14"/>
    </row>
    <row r="13" spans="1:7" ht="15" customHeight="1" x14ac:dyDescent="0.25">
      <c r="A13" s="1"/>
      <c r="B13" s="214" t="s">
        <v>147</v>
      </c>
      <c r="C13" s="214"/>
      <c r="D13" s="214"/>
      <c r="E13" s="214"/>
      <c r="F13" s="214"/>
      <c r="G13" s="214"/>
    </row>
    <row r="14" spans="1:7" ht="15" customHeight="1" x14ac:dyDescent="0.25">
      <c r="A14" s="1"/>
      <c r="B14" s="213" t="s">
        <v>148</v>
      </c>
      <c r="C14" s="213"/>
      <c r="D14" s="213"/>
      <c r="E14" s="213"/>
      <c r="F14" s="213"/>
      <c r="G14" s="213"/>
    </row>
    <row r="15" spans="1:7" ht="15" customHeight="1" x14ac:dyDescent="0.25">
      <c r="A15" s="1"/>
      <c r="B15" s="14"/>
      <c r="C15" s="14"/>
      <c r="D15" s="14"/>
      <c r="E15" s="14"/>
    </row>
    <row r="16" spans="1:7" s="11" customFormat="1" x14ac:dyDescent="0.25">
      <c r="A16" s="4"/>
      <c r="B16" s="5"/>
      <c r="C16" s="5"/>
      <c r="D16" s="5"/>
      <c r="E16" s="5"/>
    </row>
    <row r="17" spans="1:7" x14ac:dyDescent="0.25">
      <c r="A17" s="2"/>
      <c r="B17" s="3"/>
      <c r="C17" s="3"/>
      <c r="D17" s="3"/>
      <c r="E17" s="3"/>
    </row>
    <row r="18" spans="1:7" x14ac:dyDescent="0.25">
      <c r="A18" s="2"/>
      <c r="B18" s="6" t="s">
        <v>1</v>
      </c>
      <c r="C18" s="6"/>
      <c r="D18" s="6"/>
      <c r="E18" s="6"/>
      <c r="F18" s="13"/>
      <c r="G18" s="13"/>
    </row>
    <row r="19" spans="1:7" x14ac:dyDescent="0.25">
      <c r="A19" s="2"/>
      <c r="B19" s="7" t="s">
        <v>2</v>
      </c>
      <c r="C19" s="3"/>
      <c r="D19" s="3"/>
      <c r="E19" s="3"/>
    </row>
    <row r="20" spans="1:7" s="10" customFormat="1" x14ac:dyDescent="0.25">
      <c r="A20" s="149"/>
      <c r="B20" s="149" t="s">
        <v>3</v>
      </c>
      <c r="C20" s="149"/>
      <c r="D20" s="149"/>
      <c r="E20" s="149"/>
    </row>
    <row r="22" spans="1:7" x14ac:dyDescent="0.25">
      <c r="B22" s="19" t="s">
        <v>4</v>
      </c>
      <c r="C22" t="s">
        <v>0</v>
      </c>
    </row>
    <row r="23" spans="1:7" x14ac:dyDescent="0.25">
      <c r="B23" s="31" t="s">
        <v>13</v>
      </c>
      <c r="C23" s="155" t="s">
        <v>57</v>
      </c>
      <c r="D23" s="155" t="s">
        <v>12</v>
      </c>
    </row>
    <row r="24" spans="1:7" x14ac:dyDescent="0.25">
      <c r="A24" s="8"/>
      <c r="B24" s="37">
        <v>0</v>
      </c>
      <c r="C24" s="65">
        <v>-200</v>
      </c>
      <c r="D24" s="65">
        <v>-200</v>
      </c>
      <c r="E24" s="37"/>
    </row>
    <row r="25" spans="1:7" x14ac:dyDescent="0.25">
      <c r="A25" s="8"/>
      <c r="B25" s="37">
        <v>1</v>
      </c>
      <c r="C25" s="133">
        <v>80</v>
      </c>
      <c r="D25" s="133">
        <v>100</v>
      </c>
      <c r="E25" s="37"/>
    </row>
    <row r="26" spans="1:7" x14ac:dyDescent="0.25">
      <c r="A26" s="8"/>
      <c r="B26" s="37">
        <v>2</v>
      </c>
      <c r="C26" s="133">
        <v>80</v>
      </c>
      <c r="D26" s="133">
        <v>100</v>
      </c>
      <c r="E26" s="37"/>
    </row>
    <row r="27" spans="1:7" x14ac:dyDescent="0.25">
      <c r="A27" s="8"/>
      <c r="B27" s="37">
        <v>3</v>
      </c>
      <c r="C27" s="133">
        <v>80</v>
      </c>
      <c r="D27" s="133">
        <v>100</v>
      </c>
    </row>
    <row r="28" spans="1:7" x14ac:dyDescent="0.25">
      <c r="A28" s="8"/>
      <c r="B28" s="37">
        <v>4</v>
      </c>
      <c r="C28" s="133">
        <v>80</v>
      </c>
      <c r="D28" s="173"/>
    </row>
    <row r="29" spans="1:7" x14ac:dyDescent="0.25">
      <c r="A29" s="8"/>
      <c r="B29" s="22"/>
      <c r="C29" s="39"/>
      <c r="D29" s="39"/>
    </row>
    <row r="30" spans="1:7" x14ac:dyDescent="0.25">
      <c r="A30" s="8"/>
      <c r="B30" s="37" t="s">
        <v>142</v>
      </c>
      <c r="C30" s="67">
        <v>0.16</v>
      </c>
    </row>
    <row r="31" spans="1:7" x14ac:dyDescent="0.25">
      <c r="A31" s="8"/>
      <c r="B31" s="37"/>
      <c r="C31" s="39"/>
      <c r="D31" s="90"/>
    </row>
    <row r="32" spans="1:7" s="34" customFormat="1" x14ac:dyDescent="0.25">
      <c r="A32" s="33"/>
      <c r="B32" s="152"/>
      <c r="C32" s="36"/>
      <c r="D32" s="153"/>
    </row>
    <row r="33" spans="1:5" x14ac:dyDescent="0.25">
      <c r="A33" s="8"/>
    </row>
    <row r="34" spans="1:5" x14ac:dyDescent="0.25">
      <c r="A34" s="8"/>
      <c r="B34" s="2" t="s">
        <v>5</v>
      </c>
    </row>
    <row r="35" spans="1:5" x14ac:dyDescent="0.25">
      <c r="A35" s="8"/>
      <c r="B35" s="2" t="s">
        <v>10</v>
      </c>
      <c r="C35" s="23" t="s">
        <v>0</v>
      </c>
      <c r="D35" s="23" t="s">
        <v>0</v>
      </c>
      <c r="E35" s="23"/>
    </row>
    <row r="36" spans="1:5" x14ac:dyDescent="0.25">
      <c r="A36" s="8"/>
      <c r="B36" t="s">
        <v>66</v>
      </c>
      <c r="C36" s="81">
        <f>C24+NPV(C30,C25,C26,C27,C28)</f>
        <v>23.854451059762681</v>
      </c>
      <c r="D36" s="38" t="s">
        <v>0</v>
      </c>
      <c r="E36" s="23"/>
    </row>
    <row r="37" spans="1:5" x14ac:dyDescent="0.25">
      <c r="A37" s="8"/>
      <c r="B37" s="18" t="s">
        <v>67</v>
      </c>
      <c r="C37" s="81">
        <f>D24+NPV(C30,D25,D26,D27,D28)</f>
        <v>24.588954036655878</v>
      </c>
      <c r="D37" s="38" t="s">
        <v>0</v>
      </c>
      <c r="E37" s="21"/>
    </row>
    <row r="38" spans="1:5" x14ac:dyDescent="0.25">
      <c r="A38" s="8"/>
      <c r="C38" s="138"/>
    </row>
    <row r="39" spans="1:5" x14ac:dyDescent="0.25">
      <c r="A39" s="8"/>
      <c r="B39" s="2" t="s">
        <v>8</v>
      </c>
      <c r="C39" s="28"/>
      <c r="D39" s="23"/>
      <c r="E39" s="23"/>
    </row>
    <row r="40" spans="1:5" x14ac:dyDescent="0.25">
      <c r="A40" s="8"/>
      <c r="B40" t="s">
        <v>17</v>
      </c>
      <c r="C40" s="95" t="str">
        <f>IF(C36&gt;C37,"Project A", "Project B")</f>
        <v>Project B</v>
      </c>
      <c r="E40" s="23"/>
    </row>
    <row r="41" spans="1:5" x14ac:dyDescent="0.25">
      <c r="A41" s="8"/>
      <c r="C41" s="26"/>
      <c r="D41" s="22"/>
      <c r="E41" s="25"/>
    </row>
    <row r="42" spans="1:5" s="34" customFormat="1" x14ac:dyDescent="0.25">
      <c r="B42" s="167"/>
      <c r="C42" s="167"/>
      <c r="D42" s="167"/>
      <c r="E42" s="167"/>
    </row>
    <row r="43" spans="1:5" x14ac:dyDescent="0.25">
      <c r="B43" s="9"/>
      <c r="C43" s="9"/>
      <c r="D43" s="9"/>
      <c r="E43" s="9"/>
    </row>
    <row r="44" spans="1:5" x14ac:dyDescent="0.25">
      <c r="B44" s="10" t="s">
        <v>145</v>
      </c>
    </row>
    <row r="45" spans="1:5" x14ac:dyDescent="0.25">
      <c r="B45" s="174" t="s">
        <v>150</v>
      </c>
    </row>
  </sheetData>
  <mergeCells count="3">
    <mergeCell ref="B4:G4"/>
    <mergeCell ref="B13:G13"/>
    <mergeCell ref="B14:G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G36"/>
  <sheetViews>
    <sheetView workbookViewId="0">
      <selection activeCell="A2" sqref="A2"/>
    </sheetView>
  </sheetViews>
  <sheetFormatPr defaultColWidth="9.140625" defaultRowHeight="15" x14ac:dyDescent="0.25"/>
  <cols>
    <col min="1" max="1" width="17.85546875" customWidth="1"/>
    <col min="2" max="2" width="9.5703125" customWidth="1"/>
    <col min="3" max="5" width="17.5703125" customWidth="1"/>
    <col min="7" max="7" width="11.85546875" customWidth="1"/>
  </cols>
  <sheetData>
    <row r="1" spans="1:7" x14ac:dyDescent="0.25">
      <c r="A1" s="2" t="s">
        <v>329</v>
      </c>
      <c r="B1" s="2"/>
      <c r="C1" s="2"/>
      <c r="D1" s="2"/>
      <c r="E1" s="2"/>
    </row>
    <row r="2" spans="1:7" s="34" customFormat="1" x14ac:dyDescent="0.25">
      <c r="A2" s="151"/>
      <c r="B2" s="151"/>
      <c r="C2" s="151"/>
      <c r="D2" s="151"/>
      <c r="E2" s="151"/>
    </row>
    <row r="3" spans="1:7" x14ac:dyDescent="0.25">
      <c r="A3" s="2" t="s">
        <v>0</v>
      </c>
      <c r="B3" s="2" t="s">
        <v>95</v>
      </c>
      <c r="C3" s="2"/>
      <c r="D3" s="2"/>
      <c r="E3" s="2"/>
    </row>
    <row r="4" spans="1:7" ht="15" customHeight="1" x14ac:dyDescent="0.25">
      <c r="A4" s="154"/>
      <c r="B4" s="213" t="s">
        <v>146</v>
      </c>
      <c r="C4" s="213"/>
      <c r="D4" s="213"/>
      <c r="E4" s="213"/>
      <c r="F4" s="213"/>
      <c r="G4" s="213"/>
    </row>
    <row r="5" spans="1:7" ht="15" customHeight="1" x14ac:dyDescent="0.25">
      <c r="A5" s="1"/>
      <c r="C5" s="14"/>
      <c r="D5" s="14"/>
      <c r="E5" s="14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C12" s="14"/>
      <c r="D12" s="14"/>
      <c r="E12" s="14"/>
    </row>
    <row r="13" spans="1:7" ht="15" customHeight="1" x14ac:dyDescent="0.25">
      <c r="A13" s="1"/>
      <c r="B13" t="s">
        <v>151</v>
      </c>
      <c r="C13" s="14"/>
      <c r="D13" s="14"/>
      <c r="E13" s="14"/>
    </row>
    <row r="14" spans="1:7" ht="15" customHeight="1" x14ac:dyDescent="0.25">
      <c r="A14" s="1"/>
      <c r="B14" s="14"/>
      <c r="C14" s="14"/>
      <c r="D14" s="14"/>
      <c r="E14" s="14"/>
    </row>
    <row r="15" spans="1:7" s="11" customFormat="1" x14ac:dyDescent="0.25">
      <c r="A15" s="4"/>
      <c r="B15" s="5"/>
      <c r="C15" s="5"/>
      <c r="D15" s="5"/>
      <c r="E15" s="5"/>
    </row>
    <row r="16" spans="1:7" x14ac:dyDescent="0.25">
      <c r="A16" s="2"/>
      <c r="B16" s="3"/>
      <c r="C16" s="3"/>
      <c r="D16" s="3"/>
      <c r="E16" s="3"/>
    </row>
    <row r="17" spans="1:7" x14ac:dyDescent="0.25">
      <c r="A17" s="2"/>
      <c r="B17" s="6" t="s">
        <v>1</v>
      </c>
      <c r="C17" s="6"/>
      <c r="D17" s="6"/>
      <c r="E17" s="6"/>
      <c r="F17" s="13"/>
      <c r="G17" s="13"/>
    </row>
    <row r="18" spans="1:7" x14ac:dyDescent="0.25">
      <c r="A18" s="2"/>
      <c r="B18" s="7" t="s">
        <v>2</v>
      </c>
      <c r="C18" s="3"/>
      <c r="D18" s="3"/>
      <c r="E18" s="3"/>
    </row>
    <row r="19" spans="1:7" s="10" customFormat="1" x14ac:dyDescent="0.25">
      <c r="A19" s="149"/>
      <c r="B19" s="149" t="s">
        <v>3</v>
      </c>
      <c r="C19" s="149"/>
      <c r="D19" s="149"/>
      <c r="E19" s="149"/>
    </row>
    <row r="21" spans="1:7" x14ac:dyDescent="0.25">
      <c r="B21" s="19" t="s">
        <v>4</v>
      </c>
    </row>
    <row r="22" spans="1:7" x14ac:dyDescent="0.25">
      <c r="B22" s="31" t="s">
        <v>13</v>
      </c>
      <c r="C22" s="155" t="s">
        <v>57</v>
      </c>
      <c r="D22" s="155" t="s">
        <v>12</v>
      </c>
    </row>
    <row r="23" spans="1:7" x14ac:dyDescent="0.25">
      <c r="A23" s="8"/>
      <c r="B23" s="37">
        <v>0</v>
      </c>
      <c r="C23" s="65">
        <v>-200</v>
      </c>
      <c r="D23" s="65">
        <v>-200</v>
      </c>
    </row>
    <row r="24" spans="1:7" x14ac:dyDescent="0.25">
      <c r="A24" s="8"/>
      <c r="B24" s="37">
        <v>1</v>
      </c>
      <c r="C24" s="73">
        <v>80</v>
      </c>
      <c r="D24" s="73">
        <v>100</v>
      </c>
    </row>
    <row r="25" spans="1:7" x14ac:dyDescent="0.25">
      <c r="A25" s="8"/>
      <c r="B25" s="37">
        <v>2</v>
      </c>
      <c r="C25" s="73">
        <v>80</v>
      </c>
      <c r="D25" s="73">
        <v>100</v>
      </c>
    </row>
    <row r="26" spans="1:7" x14ac:dyDescent="0.25">
      <c r="A26" s="8"/>
      <c r="B26" s="37">
        <v>3</v>
      </c>
      <c r="C26" s="73">
        <v>80</v>
      </c>
      <c r="D26" s="73">
        <v>100</v>
      </c>
    </row>
    <row r="27" spans="1:7" x14ac:dyDescent="0.25">
      <c r="A27" s="8"/>
      <c r="B27" s="37">
        <v>4</v>
      </c>
      <c r="C27" s="73">
        <v>80</v>
      </c>
      <c r="D27" s="76"/>
    </row>
    <row r="28" spans="1:7" x14ac:dyDescent="0.25">
      <c r="A28" s="8"/>
      <c r="B28" s="22"/>
      <c r="C28" s="39"/>
      <c r="D28" s="39"/>
    </row>
    <row r="29" spans="1:7" s="34" customFormat="1" x14ac:dyDescent="0.25">
      <c r="A29" s="33"/>
      <c r="B29" s="35"/>
      <c r="C29" s="36"/>
      <c r="D29" s="36"/>
    </row>
    <row r="30" spans="1:7" x14ac:dyDescent="0.25">
      <c r="A30" s="8"/>
    </row>
    <row r="31" spans="1:7" x14ac:dyDescent="0.25">
      <c r="A31" s="8"/>
      <c r="B31" s="2" t="s">
        <v>5</v>
      </c>
    </row>
    <row r="32" spans="1:7" x14ac:dyDescent="0.25">
      <c r="A32" s="8"/>
      <c r="B32" s="31" t="s">
        <v>25</v>
      </c>
      <c r="C32" s="155" t="s">
        <v>22</v>
      </c>
    </row>
    <row r="33" spans="1:5" x14ac:dyDescent="0.25">
      <c r="A33" s="8"/>
      <c r="B33" t="s">
        <v>14</v>
      </c>
      <c r="C33" s="86">
        <f>IRR(C23:C27)</f>
        <v>0.21862269609829066</v>
      </c>
      <c r="D33" s="23"/>
      <c r="E33" s="23"/>
    </row>
    <row r="34" spans="1:5" x14ac:dyDescent="0.25">
      <c r="A34" s="8"/>
      <c r="B34" s="18" t="s">
        <v>15</v>
      </c>
      <c r="C34" s="86">
        <f>IRR(D23:D26)</f>
        <v>0.23375192852825655</v>
      </c>
      <c r="D34" s="21"/>
      <c r="E34" s="21"/>
    </row>
    <row r="35" spans="1:5" x14ac:dyDescent="0.25">
      <c r="A35" s="8"/>
      <c r="C35" s="27"/>
    </row>
    <row r="36" spans="1:5" x14ac:dyDescent="0.25">
      <c r="A36" s="8"/>
      <c r="C36" s="26"/>
      <c r="D36" s="22"/>
      <c r="E36" s="25"/>
    </row>
  </sheetData>
  <mergeCells count="1">
    <mergeCell ref="B4:G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7"/>
  <sheetViews>
    <sheetView topLeftCell="A13" workbookViewId="0">
      <selection activeCell="A2" sqref="A2"/>
    </sheetView>
  </sheetViews>
  <sheetFormatPr defaultRowHeight="15" x14ac:dyDescent="0.25"/>
  <cols>
    <col min="1" max="1" width="17" customWidth="1"/>
    <col min="2" max="2" width="26.140625" customWidth="1"/>
    <col min="3" max="3" width="11.140625" customWidth="1"/>
    <col min="4" max="4" width="11.85546875" customWidth="1"/>
    <col min="7" max="7" width="16.5703125" customWidth="1"/>
  </cols>
  <sheetData>
    <row r="1" spans="1:7" x14ac:dyDescent="0.25">
      <c r="A1" s="2" t="s">
        <v>328</v>
      </c>
    </row>
    <row r="2" spans="1:7" s="34" customFormat="1" x14ac:dyDescent="0.25"/>
    <row r="3" spans="1:7" x14ac:dyDescent="0.25">
      <c r="B3" s="2" t="s">
        <v>95</v>
      </c>
    </row>
    <row r="4" spans="1:7" ht="15" customHeight="1" x14ac:dyDescent="0.25">
      <c r="A4" s="154"/>
      <c r="B4" s="213" t="s">
        <v>146</v>
      </c>
      <c r="C4" s="213"/>
      <c r="D4" s="213"/>
      <c r="E4" s="213"/>
      <c r="F4" s="213"/>
      <c r="G4" s="213"/>
    </row>
    <row r="5" spans="1:7" ht="15" customHeight="1" x14ac:dyDescent="0.25">
      <c r="A5" s="1"/>
      <c r="C5" s="14"/>
      <c r="D5" s="14"/>
      <c r="E5" s="14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x14ac:dyDescent="0.25">
      <c r="B12" s="2"/>
    </row>
    <row r="13" spans="1:7" ht="31.5" customHeight="1" x14ac:dyDescent="0.25">
      <c r="B13" s="215" t="s">
        <v>284</v>
      </c>
      <c r="C13" s="215"/>
      <c r="D13" s="215"/>
      <c r="E13" s="215"/>
    </row>
    <row r="16" spans="1:7" s="11" customFormat="1" x14ac:dyDescent="0.25">
      <c r="A16" s="4"/>
      <c r="B16" s="5"/>
      <c r="C16" s="5"/>
      <c r="D16" s="5"/>
      <c r="E16" s="5"/>
      <c r="F16" s="5"/>
    </row>
    <row r="17" spans="1:7" x14ac:dyDescent="0.25">
      <c r="A17" s="2"/>
      <c r="B17" s="3"/>
      <c r="C17" s="3"/>
      <c r="D17" s="3"/>
      <c r="E17" s="3"/>
      <c r="F17" s="3"/>
    </row>
    <row r="18" spans="1:7" x14ac:dyDescent="0.25">
      <c r="A18" s="2"/>
      <c r="B18" s="6" t="s">
        <v>1</v>
      </c>
      <c r="C18" s="6"/>
      <c r="D18" s="6"/>
      <c r="E18" s="6"/>
      <c r="F18" s="6"/>
      <c r="G18" s="13"/>
    </row>
    <row r="19" spans="1:7" x14ac:dyDescent="0.25">
      <c r="A19" s="2"/>
      <c r="B19" s="7" t="s">
        <v>2</v>
      </c>
      <c r="C19" s="3"/>
      <c r="D19" s="3"/>
      <c r="E19" s="3"/>
      <c r="F19" s="3"/>
    </row>
    <row r="20" spans="1:7" s="10" customFormat="1" x14ac:dyDescent="0.25">
      <c r="A20" s="149"/>
      <c r="B20" s="149" t="s">
        <v>3</v>
      </c>
      <c r="C20" s="149"/>
      <c r="D20" s="149"/>
      <c r="E20" s="149"/>
      <c r="F20" s="149"/>
    </row>
    <row r="22" spans="1:7" x14ac:dyDescent="0.25">
      <c r="B22" s="19" t="s">
        <v>4</v>
      </c>
    </row>
    <row r="23" spans="1:7" x14ac:dyDescent="0.25">
      <c r="B23" s="30" t="s">
        <v>13</v>
      </c>
      <c r="C23" s="155" t="s">
        <v>57</v>
      </c>
      <c r="D23" s="155" t="s">
        <v>12</v>
      </c>
    </row>
    <row r="24" spans="1:7" x14ac:dyDescent="0.25">
      <c r="A24" s="8"/>
      <c r="B24" s="37">
        <v>0</v>
      </c>
      <c r="C24" s="65">
        <v>-200</v>
      </c>
      <c r="D24" s="65">
        <v>-200</v>
      </c>
    </row>
    <row r="25" spans="1:7" x14ac:dyDescent="0.25">
      <c r="A25" s="8"/>
      <c r="B25" s="37">
        <v>1</v>
      </c>
      <c r="C25" s="73">
        <v>80</v>
      </c>
      <c r="D25" s="73">
        <v>100</v>
      </c>
    </row>
    <row r="26" spans="1:7" x14ac:dyDescent="0.25">
      <c r="A26" s="8"/>
      <c r="B26" s="37">
        <v>2</v>
      </c>
      <c r="C26" s="73">
        <f>C25</f>
        <v>80</v>
      </c>
      <c r="D26" s="73">
        <f>D25</f>
        <v>100</v>
      </c>
    </row>
    <row r="27" spans="1:7" x14ac:dyDescent="0.25">
      <c r="A27" s="8"/>
      <c r="B27" s="37">
        <v>3</v>
      </c>
      <c r="C27" s="73">
        <f>C25</f>
        <v>80</v>
      </c>
      <c r="D27" s="73">
        <f>D25</f>
        <v>100</v>
      </c>
    </row>
    <row r="28" spans="1:7" x14ac:dyDescent="0.25">
      <c r="A28" s="8"/>
      <c r="B28" s="37">
        <v>4</v>
      </c>
      <c r="C28" s="73">
        <f>C25</f>
        <v>80</v>
      </c>
      <c r="D28" s="39"/>
    </row>
    <row r="29" spans="1:7" x14ac:dyDescent="0.25">
      <c r="A29" s="8"/>
      <c r="B29" s="37"/>
      <c r="C29" s="39"/>
      <c r="D29" s="39"/>
    </row>
    <row r="30" spans="1:7" x14ac:dyDescent="0.25">
      <c r="A30" s="8"/>
      <c r="B30" s="37" t="s">
        <v>11</v>
      </c>
      <c r="C30" s="70">
        <v>0.11</v>
      </c>
    </row>
    <row r="31" spans="1:7" x14ac:dyDescent="0.25">
      <c r="A31" s="8"/>
      <c r="B31" s="37" t="s">
        <v>11</v>
      </c>
      <c r="C31" s="70">
        <v>0.16</v>
      </c>
    </row>
    <row r="32" spans="1:7" x14ac:dyDescent="0.25">
      <c r="A32" s="8"/>
      <c r="B32" s="37"/>
      <c r="C32" s="69"/>
    </row>
    <row r="33" spans="1:6" s="34" customFormat="1" x14ac:dyDescent="0.25">
      <c r="A33" s="33"/>
      <c r="C33" s="35"/>
      <c r="D33" s="36"/>
      <c r="E33" s="36"/>
    </row>
    <row r="34" spans="1:6" x14ac:dyDescent="0.25">
      <c r="A34" s="8"/>
    </row>
    <row r="35" spans="1:6" x14ac:dyDescent="0.25">
      <c r="A35" s="8"/>
      <c r="B35" s="2" t="s">
        <v>5</v>
      </c>
    </row>
    <row r="36" spans="1:6" ht="18" x14ac:dyDescent="0.35">
      <c r="A36" s="8"/>
      <c r="B36" s="156">
        <f>C30</f>
        <v>0.11</v>
      </c>
      <c r="C36" t="s">
        <v>152</v>
      </c>
      <c r="D36" s="107">
        <f>NPV(C30,C25,C26,C27,C28)+C24</f>
        <v>48.195655167272434</v>
      </c>
    </row>
    <row r="37" spans="1:6" ht="18" x14ac:dyDescent="0.35">
      <c r="A37" s="8"/>
      <c r="B37" s="156">
        <f>C30</f>
        <v>0.11</v>
      </c>
      <c r="C37" t="s">
        <v>153</v>
      </c>
      <c r="D37" s="107">
        <f>NPV(C30,D25,D26,D27)+D24</f>
        <v>44.371471544590605</v>
      </c>
    </row>
    <row r="38" spans="1:6" ht="18" x14ac:dyDescent="0.35">
      <c r="A38" s="8"/>
      <c r="B38" s="156">
        <f>C31</f>
        <v>0.16</v>
      </c>
      <c r="C38" t="s">
        <v>152</v>
      </c>
      <c r="D38" s="107">
        <f>NPV(C31,C25,C26,C27,C28)+C24</f>
        <v>23.854451059762681</v>
      </c>
    </row>
    <row r="39" spans="1:6" ht="18" x14ac:dyDescent="0.35">
      <c r="A39" s="8"/>
      <c r="B39" s="156">
        <f>C31</f>
        <v>0.16</v>
      </c>
      <c r="C39" t="s">
        <v>153</v>
      </c>
      <c r="D39" s="107">
        <f>NPV(C31,D25,D26,D27)+D24</f>
        <v>24.588954036655878</v>
      </c>
    </row>
    <row r="40" spans="1:6" x14ac:dyDescent="0.25">
      <c r="A40" s="8"/>
      <c r="C40" s="2"/>
      <c r="D40" s="23"/>
      <c r="E40" s="23"/>
      <c r="F40" s="23"/>
    </row>
    <row r="41" spans="1:6" ht="18" x14ac:dyDescent="0.35">
      <c r="A41" s="8"/>
      <c r="B41" t="s">
        <v>0</v>
      </c>
      <c r="C41" t="s">
        <v>154</v>
      </c>
      <c r="D41" s="175">
        <f>IRR(C24:C28)</f>
        <v>0.21862269609829066</v>
      </c>
      <c r="E41" s="23"/>
      <c r="F41" s="23"/>
    </row>
    <row r="42" spans="1:6" ht="18" x14ac:dyDescent="0.35">
      <c r="A42" s="8"/>
      <c r="B42" t="s">
        <v>0</v>
      </c>
      <c r="C42" t="s">
        <v>154</v>
      </c>
      <c r="D42" s="175">
        <f>IRR(D24:D27)</f>
        <v>0.23375192852825655</v>
      </c>
      <c r="E42" s="21"/>
      <c r="F42" s="21"/>
    </row>
    <row r="43" spans="1:6" x14ac:dyDescent="0.25">
      <c r="A43" s="8"/>
      <c r="D43" s="27"/>
    </row>
    <row r="44" spans="1:6" x14ac:dyDescent="0.25">
      <c r="A44" s="8"/>
      <c r="B44" t="s">
        <v>285</v>
      </c>
      <c r="C44" s="134" t="s">
        <v>58</v>
      </c>
      <c r="E44" s="22"/>
      <c r="F44" s="25"/>
    </row>
    <row r="45" spans="1:6" x14ac:dyDescent="0.25">
      <c r="A45" s="8"/>
      <c r="D45" s="71"/>
      <c r="E45" s="22"/>
      <c r="F45" s="25"/>
    </row>
    <row r="46" spans="1:6" x14ac:dyDescent="0.25">
      <c r="A46" s="8"/>
      <c r="D46" s="71"/>
      <c r="E46" s="22"/>
      <c r="F46" s="25"/>
    </row>
    <row r="47" spans="1:6" x14ac:dyDescent="0.25">
      <c r="B47" s="9"/>
      <c r="C47" s="9"/>
      <c r="D47" s="9"/>
      <c r="E47" s="9"/>
      <c r="F47" s="9"/>
    </row>
  </sheetData>
  <mergeCells count="2">
    <mergeCell ref="B4:G4"/>
    <mergeCell ref="B13:E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topLeftCell="A13" workbookViewId="0">
      <selection activeCell="F16" sqref="F16"/>
    </sheetView>
  </sheetViews>
  <sheetFormatPr defaultColWidth="9.140625" defaultRowHeight="15" x14ac:dyDescent="0.25"/>
  <cols>
    <col min="1" max="1" width="16.5703125" customWidth="1"/>
    <col min="2" max="2" width="17.85546875" customWidth="1"/>
    <col min="3" max="3" width="16.5703125" customWidth="1"/>
    <col min="4" max="4" width="16.85546875" bestFit="1" customWidth="1"/>
    <col min="5" max="5" width="10.42578125" customWidth="1"/>
    <col min="6" max="6" width="17.5703125" customWidth="1"/>
  </cols>
  <sheetData>
    <row r="1" spans="1:7" x14ac:dyDescent="0.25">
      <c r="A1" s="2" t="s">
        <v>327</v>
      </c>
      <c r="B1" s="2"/>
      <c r="C1" s="2"/>
    </row>
    <row r="2" spans="1:7" s="34" customFormat="1" x14ac:dyDescent="0.25">
      <c r="A2" s="151"/>
      <c r="B2" s="151"/>
      <c r="C2" s="151"/>
    </row>
    <row r="3" spans="1:7" x14ac:dyDescent="0.25">
      <c r="A3" s="2" t="s">
        <v>0</v>
      </c>
      <c r="B3" s="2" t="s">
        <v>95</v>
      </c>
      <c r="C3" s="2"/>
    </row>
    <row r="4" spans="1:7" ht="15" customHeight="1" x14ac:dyDescent="0.25">
      <c r="A4" s="1"/>
      <c r="B4" s="216" t="s">
        <v>146</v>
      </c>
      <c r="C4" s="216"/>
      <c r="D4" s="216"/>
      <c r="E4" s="216"/>
      <c r="F4" s="216"/>
    </row>
    <row r="5" spans="1:7" ht="15" customHeight="1" x14ac:dyDescent="0.25">
      <c r="A5" s="1"/>
      <c r="B5" s="162"/>
      <c r="C5" s="162"/>
      <c r="D5" s="162"/>
      <c r="E5" s="162"/>
      <c r="F5" s="162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B12" s="162"/>
      <c r="C12" s="162"/>
      <c r="D12" s="162"/>
      <c r="E12" s="162"/>
      <c r="F12" s="162"/>
    </row>
    <row r="13" spans="1:7" ht="30.75" customHeight="1" x14ac:dyDescent="0.25">
      <c r="A13" s="1"/>
      <c r="B13" s="213" t="s">
        <v>155</v>
      </c>
      <c r="C13" s="213"/>
      <c r="D13" s="213"/>
      <c r="E13" s="213"/>
      <c r="F13" s="213"/>
    </row>
    <row r="14" spans="1:7" ht="15" customHeight="1" x14ac:dyDescent="0.25">
      <c r="A14" s="1"/>
      <c r="B14" t="s">
        <v>6</v>
      </c>
      <c r="D14" s="14"/>
      <c r="E14" s="14"/>
      <c r="F14" s="14"/>
    </row>
    <row r="15" spans="1:7" s="11" customFormat="1" x14ac:dyDescent="0.25">
      <c r="A15" s="4"/>
      <c r="B15" s="5"/>
      <c r="C15" s="5"/>
      <c r="D15" s="5"/>
      <c r="E15" s="5"/>
      <c r="F15" s="5"/>
    </row>
    <row r="16" spans="1:7" x14ac:dyDescent="0.25">
      <c r="A16" s="2"/>
      <c r="B16" s="3"/>
      <c r="C16" s="3"/>
      <c r="D16" s="3"/>
      <c r="E16" s="3"/>
      <c r="F16" s="3"/>
    </row>
    <row r="17" spans="1:7" x14ac:dyDescent="0.25">
      <c r="A17" s="2"/>
      <c r="B17" s="6" t="s">
        <v>1</v>
      </c>
      <c r="C17" s="6"/>
      <c r="D17" s="6"/>
      <c r="E17" s="6"/>
      <c r="F17" s="6"/>
      <c r="G17" s="13"/>
    </row>
    <row r="18" spans="1:7" x14ac:dyDescent="0.25">
      <c r="A18" s="2"/>
      <c r="B18" s="7" t="s">
        <v>2</v>
      </c>
      <c r="C18" s="3"/>
      <c r="D18" s="3"/>
      <c r="E18" s="3"/>
      <c r="F18" s="3"/>
    </row>
    <row r="19" spans="1:7" s="10" customFormat="1" x14ac:dyDescent="0.25">
      <c r="A19" s="149"/>
      <c r="B19" s="149" t="s">
        <v>3</v>
      </c>
      <c r="C19" s="149"/>
      <c r="D19" s="149"/>
      <c r="E19" s="149"/>
      <c r="F19" s="149"/>
    </row>
    <row r="21" spans="1:7" x14ac:dyDescent="0.25">
      <c r="B21" s="19" t="s">
        <v>4</v>
      </c>
    </row>
    <row r="22" spans="1:7" x14ac:dyDescent="0.25">
      <c r="B22" s="31" t="s">
        <v>13</v>
      </c>
      <c r="C22" s="155" t="s">
        <v>57</v>
      </c>
      <c r="D22" s="155" t="s">
        <v>12</v>
      </c>
    </row>
    <row r="23" spans="1:7" x14ac:dyDescent="0.25">
      <c r="A23" s="8"/>
      <c r="B23" s="37">
        <v>0</v>
      </c>
      <c r="C23" s="65">
        <v>-200</v>
      </c>
      <c r="D23" s="65">
        <v>-200</v>
      </c>
      <c r="E23" t="s">
        <v>0</v>
      </c>
    </row>
    <row r="24" spans="1:7" x14ac:dyDescent="0.25">
      <c r="A24" s="8"/>
      <c r="B24" s="37">
        <v>1</v>
      </c>
      <c r="C24" s="73">
        <v>80</v>
      </c>
      <c r="D24" s="73">
        <v>100</v>
      </c>
    </row>
    <row r="25" spans="1:7" x14ac:dyDescent="0.25">
      <c r="A25" s="8"/>
      <c r="B25" s="37">
        <v>2</v>
      </c>
      <c r="C25" s="73">
        <v>80</v>
      </c>
      <c r="D25" s="73">
        <v>100</v>
      </c>
    </row>
    <row r="26" spans="1:7" x14ac:dyDescent="0.25">
      <c r="A26" s="8"/>
      <c r="B26" s="37">
        <v>3</v>
      </c>
      <c r="C26" s="73">
        <v>80</v>
      </c>
      <c r="D26" s="73">
        <f>D24</f>
        <v>100</v>
      </c>
    </row>
    <row r="27" spans="1:7" x14ac:dyDescent="0.25">
      <c r="A27" s="8"/>
      <c r="B27" s="37">
        <v>4</v>
      </c>
      <c r="C27" s="73">
        <v>80</v>
      </c>
      <c r="D27" s="76"/>
    </row>
    <row r="28" spans="1:7" x14ac:dyDescent="0.25">
      <c r="A28" s="8"/>
      <c r="B28" s="37"/>
      <c r="C28" s="39"/>
      <c r="D28" s="39"/>
    </row>
    <row r="29" spans="1:7" x14ac:dyDescent="0.25">
      <c r="A29" s="8"/>
      <c r="B29" s="59" t="s">
        <v>142</v>
      </c>
      <c r="C29" s="70">
        <v>0.11</v>
      </c>
    </row>
    <row r="30" spans="1:7" x14ac:dyDescent="0.25">
      <c r="A30" s="8"/>
      <c r="B30" s="59"/>
      <c r="C30" s="69"/>
    </row>
    <row r="31" spans="1:7" s="34" customFormat="1" x14ac:dyDescent="0.25">
      <c r="A31" s="33"/>
      <c r="B31" s="152"/>
      <c r="C31" s="36"/>
      <c r="E31" s="36"/>
    </row>
    <row r="32" spans="1:7" x14ac:dyDescent="0.25">
      <c r="A32" s="8"/>
    </row>
    <row r="33" spans="1:5" x14ac:dyDescent="0.25">
      <c r="A33" s="8"/>
      <c r="B33" s="2" t="s">
        <v>5</v>
      </c>
      <c r="D33" s="58"/>
      <c r="E33" s="58"/>
    </row>
    <row r="34" spans="1:5" x14ac:dyDescent="0.25">
      <c r="A34" s="8"/>
      <c r="C34" s="85" t="s">
        <v>16</v>
      </c>
      <c r="D34" s="85" t="s">
        <v>158</v>
      </c>
    </row>
    <row r="35" spans="1:5" x14ac:dyDescent="0.25">
      <c r="A35" s="8"/>
      <c r="B35" t="s">
        <v>57</v>
      </c>
      <c r="C35" s="126">
        <f>$C$23+NPV($C$29,$C$24,$C$25,$C$26,$C$27)</f>
        <v>48.195655167272434</v>
      </c>
      <c r="D35" s="157">
        <f>C35/-C23</f>
        <v>0.24097827583636217</v>
      </c>
    </row>
    <row r="36" spans="1:5" x14ac:dyDescent="0.25">
      <c r="A36" s="8"/>
      <c r="B36" t="s">
        <v>12</v>
      </c>
      <c r="C36" s="126">
        <f>$D$23+NPV($C$29,$D$24,$D$25,$D$26,$D$27)</f>
        <v>44.371471544590605</v>
      </c>
      <c r="D36" s="157">
        <f>C36/-D23</f>
        <v>0.22185735772295304</v>
      </c>
    </row>
    <row r="37" spans="1:5" x14ac:dyDescent="0.25">
      <c r="A37" s="8"/>
      <c r="C37" s="138"/>
    </row>
    <row r="38" spans="1:5" x14ac:dyDescent="0.25">
      <c r="A38" s="8"/>
      <c r="C38" s="26"/>
      <c r="D38" s="22"/>
      <c r="E38" s="25"/>
    </row>
    <row r="39" spans="1:5" s="34" customFormat="1" x14ac:dyDescent="0.25">
      <c r="A39" s="33"/>
      <c r="C39" s="176"/>
      <c r="D39" s="35"/>
      <c r="E39" s="177"/>
    </row>
    <row r="41" spans="1:5" x14ac:dyDescent="0.25">
      <c r="B41" s="10" t="s">
        <v>126</v>
      </c>
    </row>
    <row r="42" spans="1:5" x14ac:dyDescent="0.25">
      <c r="B42" s="10" t="s">
        <v>157</v>
      </c>
    </row>
    <row r="43" spans="1:5" x14ac:dyDescent="0.25">
      <c r="B43" s="10" t="s">
        <v>160</v>
      </c>
    </row>
  </sheetData>
  <mergeCells count="2">
    <mergeCell ref="B4:F4"/>
    <mergeCell ref="B13:F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topLeftCell="A15"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7.85546875" customWidth="1"/>
    <col min="3" max="3" width="17.42578125" customWidth="1"/>
    <col min="4" max="4" width="13.85546875" customWidth="1"/>
    <col min="5" max="5" width="10.42578125" customWidth="1"/>
    <col min="6" max="6" width="17.5703125" customWidth="1"/>
  </cols>
  <sheetData>
    <row r="1" spans="1:7" x14ac:dyDescent="0.25">
      <c r="A1" s="2" t="s">
        <v>326</v>
      </c>
      <c r="B1" s="2"/>
      <c r="C1" s="2"/>
    </row>
    <row r="2" spans="1:7" s="34" customFormat="1" x14ac:dyDescent="0.25">
      <c r="A2" s="151"/>
      <c r="B2" s="151"/>
      <c r="C2" s="151"/>
    </row>
    <row r="3" spans="1:7" x14ac:dyDescent="0.25">
      <c r="A3" s="2" t="s">
        <v>0</v>
      </c>
      <c r="B3" s="2" t="s">
        <v>95</v>
      </c>
      <c r="C3" s="2"/>
    </row>
    <row r="4" spans="1:7" ht="15" customHeight="1" x14ac:dyDescent="0.25">
      <c r="A4" s="1"/>
      <c r="B4" s="216" t="s">
        <v>146</v>
      </c>
      <c r="C4" s="216"/>
      <c r="D4" s="216"/>
      <c r="E4" s="216"/>
      <c r="F4" s="216"/>
    </row>
    <row r="5" spans="1:7" ht="15" customHeight="1" x14ac:dyDescent="0.25">
      <c r="A5" s="1"/>
      <c r="B5" s="162"/>
      <c r="C5" s="162"/>
      <c r="D5" s="162"/>
      <c r="E5" s="162"/>
      <c r="F5" s="162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B12" s="162"/>
      <c r="C12" s="162"/>
      <c r="D12" s="162"/>
      <c r="E12" s="162"/>
      <c r="F12" s="162"/>
    </row>
    <row r="13" spans="1:7" ht="15" customHeight="1" x14ac:dyDescent="0.25">
      <c r="A13" s="1"/>
      <c r="B13" s="213" t="s">
        <v>156</v>
      </c>
      <c r="C13" s="213"/>
      <c r="D13" s="213"/>
      <c r="E13" s="213"/>
      <c r="F13" s="213"/>
    </row>
    <row r="14" spans="1:7" ht="15" customHeight="1" x14ac:dyDescent="0.25">
      <c r="A14" s="1"/>
      <c r="B14" t="s">
        <v>6</v>
      </c>
      <c r="D14" s="14"/>
      <c r="E14" s="14"/>
      <c r="F14" s="14"/>
    </row>
    <row r="15" spans="1:7" s="11" customFormat="1" x14ac:dyDescent="0.25">
      <c r="A15" s="4"/>
      <c r="B15" s="5"/>
      <c r="C15" s="5"/>
      <c r="D15" s="5"/>
      <c r="E15" s="5"/>
      <c r="F15" s="5"/>
    </row>
    <row r="16" spans="1:7" x14ac:dyDescent="0.25">
      <c r="A16" s="2"/>
      <c r="B16" s="3"/>
      <c r="C16" s="3"/>
      <c r="D16" s="3"/>
      <c r="E16" s="3"/>
      <c r="F16" s="3"/>
    </row>
    <row r="17" spans="1:7" x14ac:dyDescent="0.25">
      <c r="A17" s="2"/>
      <c r="B17" s="6" t="s">
        <v>1</v>
      </c>
      <c r="C17" s="6"/>
      <c r="D17" s="6"/>
      <c r="E17" s="6"/>
      <c r="F17" s="6"/>
      <c r="G17" s="13"/>
    </row>
    <row r="18" spans="1:7" x14ac:dyDescent="0.25">
      <c r="A18" s="2"/>
      <c r="B18" s="7" t="s">
        <v>2</v>
      </c>
      <c r="C18" s="3"/>
      <c r="D18" s="3"/>
      <c r="E18" s="3"/>
      <c r="F18" s="3"/>
    </row>
    <row r="19" spans="1:7" s="10" customFormat="1" x14ac:dyDescent="0.25">
      <c r="A19" s="149"/>
      <c r="B19" s="149" t="s">
        <v>3</v>
      </c>
      <c r="C19" s="149"/>
      <c r="D19" s="149"/>
      <c r="E19" s="149"/>
      <c r="F19" s="149"/>
    </row>
    <row r="21" spans="1:7" x14ac:dyDescent="0.25">
      <c r="B21" s="19" t="s">
        <v>4</v>
      </c>
    </row>
    <row r="22" spans="1:7" x14ac:dyDescent="0.25">
      <c r="B22" s="31" t="s">
        <v>13</v>
      </c>
      <c r="C22" s="155" t="s">
        <v>57</v>
      </c>
      <c r="D22" s="155" t="s">
        <v>12</v>
      </c>
    </row>
    <row r="23" spans="1:7" x14ac:dyDescent="0.25">
      <c r="A23" s="8"/>
      <c r="B23" s="37">
        <v>0</v>
      </c>
      <c r="C23" s="65">
        <v>-200</v>
      </c>
      <c r="D23" s="65">
        <v>-200</v>
      </c>
      <c r="E23" t="s">
        <v>0</v>
      </c>
    </row>
    <row r="24" spans="1:7" x14ac:dyDescent="0.25">
      <c r="A24" s="8"/>
      <c r="B24" s="37">
        <v>1</v>
      </c>
      <c r="C24" s="73">
        <v>80</v>
      </c>
      <c r="D24" s="73">
        <v>100</v>
      </c>
    </row>
    <row r="25" spans="1:7" x14ac:dyDescent="0.25">
      <c r="A25" s="8"/>
      <c r="B25" s="37">
        <v>2</v>
      </c>
      <c r="C25" s="73">
        <v>80</v>
      </c>
      <c r="D25" s="73">
        <v>100</v>
      </c>
    </row>
    <row r="26" spans="1:7" x14ac:dyDescent="0.25">
      <c r="A26" s="8"/>
      <c r="B26" s="37">
        <v>3</v>
      </c>
      <c r="C26" s="73">
        <v>80</v>
      </c>
      <c r="D26" s="73">
        <f>D24</f>
        <v>100</v>
      </c>
    </row>
    <row r="27" spans="1:7" x14ac:dyDescent="0.25">
      <c r="A27" s="8"/>
      <c r="B27" s="37">
        <v>4</v>
      </c>
      <c r="C27" s="73">
        <v>80</v>
      </c>
      <c r="D27" s="76"/>
    </row>
    <row r="28" spans="1:7" x14ac:dyDescent="0.25">
      <c r="A28" s="8"/>
      <c r="B28" s="37"/>
      <c r="C28" s="39"/>
      <c r="D28" s="39"/>
    </row>
    <row r="29" spans="1:7" x14ac:dyDescent="0.25">
      <c r="A29" s="8"/>
      <c r="B29" s="59" t="s">
        <v>142</v>
      </c>
      <c r="C29" s="70">
        <v>0.11</v>
      </c>
    </row>
    <row r="30" spans="1:7" x14ac:dyDescent="0.25">
      <c r="A30" s="8"/>
      <c r="B30" s="59"/>
      <c r="C30" s="69"/>
    </row>
    <row r="31" spans="1:7" s="34" customFormat="1" x14ac:dyDescent="0.25">
      <c r="A31" s="33"/>
      <c r="B31" s="152"/>
      <c r="C31" s="36"/>
      <c r="E31" s="36"/>
    </row>
    <row r="32" spans="1:7" x14ac:dyDescent="0.25">
      <c r="A32" s="8"/>
    </row>
    <row r="33" spans="1:5" x14ac:dyDescent="0.25">
      <c r="A33" s="8"/>
      <c r="B33" s="2" t="s">
        <v>5</v>
      </c>
      <c r="D33" s="58"/>
      <c r="E33" s="58"/>
    </row>
    <row r="34" spans="1:5" x14ac:dyDescent="0.25">
      <c r="A34" s="8"/>
      <c r="C34" s="85" t="s">
        <v>158</v>
      </c>
      <c r="D34" s="85" t="s">
        <v>16</v>
      </c>
    </row>
    <row r="35" spans="1:5" x14ac:dyDescent="0.25">
      <c r="A35" s="8"/>
      <c r="B35" t="s">
        <v>57</v>
      </c>
      <c r="C35" s="157">
        <f>D35/-C23</f>
        <v>0.24097827583636217</v>
      </c>
      <c r="D35" s="126">
        <f>$C$23+NPV($C$29,$C$24,$C$25,$C$26,$C$27)</f>
        <v>48.195655167272434</v>
      </c>
    </row>
    <row r="36" spans="1:5" x14ac:dyDescent="0.25">
      <c r="A36" s="8"/>
      <c r="B36" t="s">
        <v>12</v>
      </c>
      <c r="C36" s="157">
        <f>D36/-D23</f>
        <v>0.22185735772295304</v>
      </c>
      <c r="D36" s="126">
        <f>$D$23+NPV($C$29,$D$24,$D$25,$D$26,$D$27)</f>
        <v>44.371471544590605</v>
      </c>
    </row>
    <row r="37" spans="1:5" x14ac:dyDescent="0.25">
      <c r="A37" s="8"/>
      <c r="C37" s="138"/>
    </row>
    <row r="38" spans="1:5" x14ac:dyDescent="0.25">
      <c r="A38" s="8"/>
      <c r="B38" t="s">
        <v>159</v>
      </c>
      <c r="C38" s="134" t="str">
        <f>IF(E35=E36,"Yes","Error-change data set")</f>
        <v>Yes</v>
      </c>
      <c r="D38" s="22"/>
      <c r="E38" s="25"/>
    </row>
    <row r="39" spans="1:5" x14ac:dyDescent="0.25">
      <c r="A39" s="8"/>
      <c r="C39" s="26"/>
      <c r="D39" s="22"/>
      <c r="E39" s="25"/>
    </row>
    <row r="40" spans="1:5" s="34" customFormat="1" x14ac:dyDescent="0.25">
      <c r="A40" s="33"/>
      <c r="C40" s="176"/>
      <c r="D40" s="35"/>
      <c r="E40" s="177"/>
    </row>
    <row r="42" spans="1:5" x14ac:dyDescent="0.25">
      <c r="B42" s="10" t="s">
        <v>126</v>
      </c>
    </row>
    <row r="43" spans="1:5" x14ac:dyDescent="0.25">
      <c r="B43" s="10" t="s">
        <v>157</v>
      </c>
    </row>
    <row r="44" spans="1:5" x14ac:dyDescent="0.25">
      <c r="B44" s="10" t="s">
        <v>160</v>
      </c>
    </row>
  </sheetData>
  <mergeCells count="2">
    <mergeCell ref="B4:F4"/>
    <mergeCell ref="B13:F1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0.85546875" customWidth="1"/>
    <col min="3" max="3" width="13.85546875" customWidth="1"/>
    <col min="4" max="4" width="9.5703125" customWidth="1"/>
    <col min="5" max="8" width="7.5703125" customWidth="1"/>
    <col min="10" max="10" width="11.5703125" customWidth="1"/>
  </cols>
  <sheetData>
    <row r="1" spans="1:10" x14ac:dyDescent="0.25">
      <c r="A1" s="2" t="s">
        <v>325</v>
      </c>
      <c r="B1" s="2"/>
      <c r="C1" s="2"/>
    </row>
    <row r="2" spans="1:10" s="34" customFormat="1" x14ac:dyDescent="0.25">
      <c r="A2" s="151"/>
      <c r="B2" s="151"/>
      <c r="C2" s="151"/>
    </row>
    <row r="3" spans="1:10" x14ac:dyDescent="0.25">
      <c r="A3" s="2" t="s">
        <v>0</v>
      </c>
      <c r="B3" s="2" t="s">
        <v>95</v>
      </c>
      <c r="C3" s="2"/>
    </row>
    <row r="4" spans="1:10" ht="15" customHeight="1" x14ac:dyDescent="0.25">
      <c r="A4" s="1"/>
      <c r="B4" s="216" t="s">
        <v>146</v>
      </c>
      <c r="C4" s="216"/>
      <c r="D4" s="216"/>
      <c r="E4" s="216"/>
      <c r="F4" s="216"/>
    </row>
    <row r="5" spans="1:10" ht="15" customHeight="1" x14ac:dyDescent="0.25">
      <c r="A5" s="1"/>
      <c r="B5" s="162"/>
      <c r="C5" s="162"/>
      <c r="D5" s="162"/>
      <c r="E5" s="162"/>
      <c r="F5" s="162"/>
    </row>
    <row r="6" spans="1:10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10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10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10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10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10" ht="15" customHeight="1" x14ac:dyDescent="0.25">
      <c r="A11" s="1"/>
      <c r="B11" s="14">
        <v>4</v>
      </c>
      <c r="C11" s="172">
        <v>80</v>
      </c>
      <c r="D11" s="172"/>
      <c r="E11" s="14"/>
    </row>
    <row r="12" spans="1:10" ht="15" customHeight="1" x14ac:dyDescent="0.25">
      <c r="A12" s="1"/>
      <c r="B12" s="150" t="s">
        <v>98</v>
      </c>
      <c r="C12" s="150"/>
      <c r="D12" s="150"/>
      <c r="E12" s="150"/>
      <c r="F12" s="150"/>
      <c r="G12" s="150"/>
      <c r="H12" s="150"/>
      <c r="I12" s="150"/>
      <c r="J12" s="150"/>
    </row>
    <row r="13" spans="1:10" ht="15" customHeight="1" x14ac:dyDescent="0.25">
      <c r="A13" s="1"/>
      <c r="B13" s="214" t="s">
        <v>161</v>
      </c>
      <c r="C13" s="217"/>
      <c r="D13" s="217"/>
      <c r="E13" s="217"/>
      <c r="F13" s="217"/>
      <c r="G13" s="217"/>
      <c r="H13" s="217"/>
      <c r="I13" s="150"/>
      <c r="J13" s="150"/>
    </row>
    <row r="14" spans="1:10" ht="15" customHeight="1" x14ac:dyDescent="0.25">
      <c r="A14" s="1"/>
      <c r="B14" s="14"/>
      <c r="C14" s="14"/>
      <c r="D14" s="14"/>
      <c r="E14" s="14"/>
      <c r="F14" s="14"/>
    </row>
    <row r="15" spans="1:10" s="11" customFormat="1" x14ac:dyDescent="0.25">
      <c r="A15" s="4"/>
      <c r="B15" s="5"/>
      <c r="C15" s="5"/>
      <c r="D15" s="5"/>
      <c r="E15" s="5"/>
      <c r="F15" s="5"/>
    </row>
    <row r="16" spans="1:10" x14ac:dyDescent="0.25">
      <c r="A16" s="2"/>
      <c r="B16" s="3"/>
    </row>
    <row r="17" spans="1:10" x14ac:dyDescent="0.25">
      <c r="A17" s="2"/>
      <c r="B17" s="6" t="s">
        <v>1</v>
      </c>
      <c r="C17" s="6"/>
      <c r="D17" s="6"/>
      <c r="E17" s="6"/>
      <c r="F17" s="6"/>
      <c r="G17" s="13"/>
      <c r="H17" s="13"/>
      <c r="I17" s="13"/>
      <c r="J17" s="13"/>
    </row>
    <row r="18" spans="1:10" x14ac:dyDescent="0.25">
      <c r="A18" s="2"/>
      <c r="B18" s="7" t="s">
        <v>2</v>
      </c>
      <c r="C18" s="3"/>
      <c r="D18" s="3"/>
      <c r="E18" s="3"/>
      <c r="F18" s="3"/>
    </row>
    <row r="19" spans="1:10" s="10" customFormat="1" x14ac:dyDescent="0.25">
      <c r="A19" s="149"/>
      <c r="B19" s="149" t="s">
        <v>3</v>
      </c>
      <c r="C19" s="149"/>
      <c r="D19" s="149"/>
      <c r="E19" s="149"/>
      <c r="F19" s="149"/>
    </row>
    <row r="21" spans="1:10" x14ac:dyDescent="0.25">
      <c r="B21" s="2" t="s">
        <v>4</v>
      </c>
    </row>
    <row r="22" spans="1:10" x14ac:dyDescent="0.25">
      <c r="B22" s="155" t="s">
        <v>162</v>
      </c>
      <c r="C22" s="155">
        <v>0</v>
      </c>
      <c r="D22" s="155">
        <v>1</v>
      </c>
      <c r="E22" s="155">
        <v>2</v>
      </c>
      <c r="F22" s="155">
        <v>3</v>
      </c>
      <c r="G22" s="155">
        <v>4</v>
      </c>
    </row>
    <row r="23" spans="1:10" x14ac:dyDescent="0.25">
      <c r="A23" s="8"/>
      <c r="B23" t="s">
        <v>57</v>
      </c>
      <c r="C23" s="87">
        <v>-200</v>
      </c>
      <c r="D23" s="178">
        <v>80</v>
      </c>
      <c r="E23" s="178">
        <v>80</v>
      </c>
      <c r="F23" s="178">
        <v>80</v>
      </c>
      <c r="G23" s="209">
        <v>80</v>
      </c>
    </row>
    <row r="24" spans="1:10" x14ac:dyDescent="0.25">
      <c r="A24" s="8"/>
      <c r="B24" t="s">
        <v>12</v>
      </c>
      <c r="C24" s="66">
        <v>-200</v>
      </c>
      <c r="D24" s="180">
        <v>100</v>
      </c>
      <c r="E24" s="209">
        <v>100</v>
      </c>
      <c r="F24" s="209">
        <v>100</v>
      </c>
      <c r="G24" s="179"/>
    </row>
    <row r="25" spans="1:10" x14ac:dyDescent="0.25">
      <c r="A25" s="8"/>
      <c r="C25" s="22"/>
      <c r="D25" s="39"/>
      <c r="E25" s="39"/>
    </row>
    <row r="26" spans="1:10" x14ac:dyDescent="0.25">
      <c r="A26" s="8"/>
      <c r="C26" s="22"/>
      <c r="D26" s="39"/>
      <c r="E26" s="39"/>
    </row>
    <row r="27" spans="1:10" x14ac:dyDescent="0.25">
      <c r="A27" s="8"/>
      <c r="C27" s="22"/>
      <c r="D27" s="39"/>
      <c r="E27" s="39"/>
    </row>
    <row r="28" spans="1:10" s="34" customFormat="1" x14ac:dyDescent="0.25">
      <c r="A28" s="33"/>
      <c r="C28" s="35"/>
      <c r="D28" s="36"/>
      <c r="E28" s="36"/>
    </row>
    <row r="29" spans="1:10" x14ac:dyDescent="0.25">
      <c r="A29" s="8"/>
    </row>
    <row r="30" spans="1:10" x14ac:dyDescent="0.25">
      <c r="A30" s="8"/>
      <c r="B30" s="2" t="s">
        <v>5</v>
      </c>
    </row>
    <row r="31" spans="1:10" ht="30" x14ac:dyDescent="0.25">
      <c r="A31" s="8"/>
      <c r="C31" s="159" t="s">
        <v>27</v>
      </c>
      <c r="E31" s="23"/>
      <c r="F31" s="23"/>
    </row>
    <row r="32" spans="1:10" x14ac:dyDescent="0.25">
      <c r="A32" s="8"/>
      <c r="B32" t="s">
        <v>14</v>
      </c>
      <c r="C32" s="95">
        <f>IF(D23&gt;ABS(C23),(ABS(C23))/D23,IF(SUM(D23:E23)&gt;ABS(C23),1+(((ABS(C23)-(D23)))/E23),IF(SUM(D23:F23)&gt;ABS(C23),2+(((ABS(C23)-(SUM(D23:E23)))/F23)),IF(SUM(D23:G23)&gt;ABS(C23),3+(((ABS(C23)-(SUM(D23:F23)))/G23)),"greater than 4 year"))))</f>
        <v>2.5</v>
      </c>
      <c r="D32" t="s">
        <v>20</v>
      </c>
      <c r="E32" s="38"/>
      <c r="F32" s="23"/>
    </row>
    <row r="33" spans="1:6" x14ac:dyDescent="0.25">
      <c r="A33" s="8"/>
      <c r="B33" s="18" t="s">
        <v>15</v>
      </c>
      <c r="C33" s="95">
        <f>IF(D24&gt;ABS(C24),(ABS(C24))/D24,IF(SUM(D24:E24)&gt;ABS(C24),1+(((ABS(C24)-(D24)))/E24),IF(SUM(D24:F24)&gt;ABS(C24),2+(((ABS(C24)-(SUM(D24:E24)))/F24)),IF(SUM(D24:G24)&gt;ABS(C24),3+(((ABS(C24)-(SUM(D24:F24)))/G24)),"greater than 4 year"))))</f>
        <v>2</v>
      </c>
      <c r="D33" t="s">
        <v>20</v>
      </c>
      <c r="E33" s="38"/>
      <c r="F33" s="21"/>
    </row>
    <row r="34" spans="1:6" x14ac:dyDescent="0.25">
      <c r="A34" s="8"/>
      <c r="D34" s="27"/>
    </row>
  </sheetData>
  <mergeCells count="2">
    <mergeCell ref="B13:H13"/>
    <mergeCell ref="B4:F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0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20.85546875" customWidth="1"/>
    <col min="3" max="3" width="16" customWidth="1"/>
    <col min="4" max="4" width="17.42578125" customWidth="1"/>
    <col min="5" max="6" width="17.5703125" customWidth="1"/>
  </cols>
  <sheetData>
    <row r="1" spans="1:7" x14ac:dyDescent="0.25">
      <c r="A1" s="2" t="s">
        <v>324</v>
      </c>
      <c r="B1" s="2"/>
      <c r="C1" s="2"/>
    </row>
    <row r="2" spans="1:7" s="34" customFormat="1" x14ac:dyDescent="0.25">
      <c r="A2" s="151"/>
      <c r="B2" s="151"/>
      <c r="C2" s="151"/>
    </row>
    <row r="3" spans="1:7" x14ac:dyDescent="0.25">
      <c r="A3" s="2" t="s">
        <v>0</v>
      </c>
      <c r="B3" s="2" t="s">
        <v>95</v>
      </c>
      <c r="C3" s="2"/>
    </row>
    <row r="4" spans="1:7" ht="15" customHeight="1" x14ac:dyDescent="0.25">
      <c r="A4" s="1"/>
      <c r="B4" s="216" t="s">
        <v>146</v>
      </c>
      <c r="C4" s="216"/>
      <c r="D4" s="216"/>
      <c r="E4" s="216"/>
      <c r="F4" s="216"/>
    </row>
    <row r="5" spans="1:7" ht="15" customHeight="1" x14ac:dyDescent="0.25">
      <c r="A5" s="1"/>
      <c r="B5" s="162"/>
      <c r="C5" s="162"/>
      <c r="D5" s="162"/>
      <c r="E5" s="162"/>
      <c r="F5" s="162"/>
    </row>
    <row r="6" spans="1:7" ht="15" customHeight="1" x14ac:dyDescent="0.25">
      <c r="A6" s="1"/>
      <c r="B6" s="168" t="s">
        <v>13</v>
      </c>
      <c r="C6" s="169" t="s">
        <v>57</v>
      </c>
      <c r="D6" s="169" t="s">
        <v>12</v>
      </c>
      <c r="E6" s="14"/>
      <c r="F6" s="14"/>
      <c r="G6" s="14"/>
    </row>
    <row r="7" spans="1:7" ht="15" customHeight="1" x14ac:dyDescent="0.25">
      <c r="A7" s="1"/>
      <c r="B7" s="14">
        <v>0</v>
      </c>
      <c r="C7" s="171">
        <v>-200</v>
      </c>
      <c r="D7" s="171">
        <v>-200</v>
      </c>
      <c r="E7" s="14"/>
      <c r="F7" s="14"/>
      <c r="G7" s="14"/>
    </row>
    <row r="8" spans="1:7" ht="15" customHeight="1" x14ac:dyDescent="0.25">
      <c r="A8" s="1"/>
      <c r="B8" s="14">
        <v>1</v>
      </c>
      <c r="C8" s="172">
        <v>80</v>
      </c>
      <c r="D8" s="172">
        <v>100</v>
      </c>
      <c r="E8" s="14"/>
      <c r="F8" s="14"/>
      <c r="G8" s="14"/>
    </row>
    <row r="9" spans="1:7" ht="15" customHeight="1" x14ac:dyDescent="0.25">
      <c r="A9" s="1"/>
      <c r="B9" s="14">
        <v>2</v>
      </c>
      <c r="C9" s="172">
        <v>80</v>
      </c>
      <c r="D9" s="172">
        <v>100</v>
      </c>
      <c r="E9" s="14"/>
      <c r="F9" s="14"/>
      <c r="G9" s="14"/>
    </row>
    <row r="10" spans="1:7" ht="15" customHeight="1" x14ac:dyDescent="0.25">
      <c r="A10" s="1"/>
      <c r="B10" s="14">
        <v>3</v>
      </c>
      <c r="C10" s="172">
        <v>80</v>
      </c>
      <c r="D10" s="172">
        <v>100</v>
      </c>
      <c r="E10" s="14"/>
      <c r="F10" s="14"/>
      <c r="G10" s="14"/>
    </row>
    <row r="11" spans="1:7" ht="15" customHeight="1" x14ac:dyDescent="0.25">
      <c r="A11" s="1"/>
      <c r="B11" s="14">
        <v>4</v>
      </c>
      <c r="C11" s="172">
        <v>80</v>
      </c>
      <c r="D11" s="172"/>
      <c r="E11" s="14"/>
    </row>
    <row r="12" spans="1:7" ht="15" customHeight="1" x14ac:dyDescent="0.25">
      <c r="A12" s="1"/>
      <c r="B12" s="14"/>
      <c r="C12" s="172"/>
      <c r="D12" s="172"/>
      <c r="E12" s="14"/>
    </row>
    <row r="13" spans="1:7" ht="15" customHeight="1" x14ac:dyDescent="0.25">
      <c r="A13" s="1"/>
      <c r="B13" s="213" t="s">
        <v>163</v>
      </c>
      <c r="C13" s="213"/>
      <c r="D13" s="213"/>
      <c r="E13" s="213"/>
      <c r="F13" s="213"/>
    </row>
    <row r="14" spans="1:7" ht="15" customHeight="1" x14ac:dyDescent="0.25">
      <c r="A14" s="1"/>
      <c r="B14" s="14"/>
      <c r="C14" s="14"/>
      <c r="D14" s="14"/>
      <c r="E14" s="14"/>
      <c r="F14" s="14"/>
    </row>
    <row r="15" spans="1:7" s="11" customFormat="1" x14ac:dyDescent="0.25">
      <c r="A15" s="4"/>
      <c r="B15" s="5"/>
      <c r="C15" s="5"/>
      <c r="D15" s="5"/>
      <c r="E15" s="5"/>
      <c r="F15" s="5"/>
    </row>
    <row r="16" spans="1:7" x14ac:dyDescent="0.25">
      <c r="A16" s="2"/>
      <c r="B16" s="3"/>
      <c r="C16" s="3"/>
      <c r="D16" s="3"/>
      <c r="E16" s="3"/>
      <c r="F16" s="3"/>
    </row>
    <row r="17" spans="1:6" x14ac:dyDescent="0.25">
      <c r="A17" s="2"/>
      <c r="B17" s="6" t="s">
        <v>1</v>
      </c>
      <c r="C17" s="6"/>
      <c r="D17" s="6"/>
      <c r="E17" s="6"/>
      <c r="F17" s="6"/>
    </row>
    <row r="18" spans="1:6" x14ac:dyDescent="0.25">
      <c r="A18" s="2"/>
      <c r="B18" s="7" t="s">
        <v>2</v>
      </c>
      <c r="C18" s="3"/>
      <c r="D18" s="3"/>
      <c r="E18" s="3"/>
      <c r="F18" s="3"/>
    </row>
    <row r="19" spans="1:6" s="10" customFormat="1" x14ac:dyDescent="0.25">
      <c r="A19" s="149"/>
      <c r="B19" s="149" t="s">
        <v>3</v>
      </c>
      <c r="C19" s="149"/>
      <c r="D19" s="149"/>
      <c r="E19" s="149"/>
      <c r="F19" s="149"/>
    </row>
    <row r="21" spans="1:6" x14ac:dyDescent="0.25">
      <c r="B21" s="19" t="s">
        <v>4</v>
      </c>
    </row>
    <row r="22" spans="1:6" x14ac:dyDescent="0.25">
      <c r="B22" s="30" t="s">
        <v>13</v>
      </c>
      <c r="C22" s="155" t="s">
        <v>57</v>
      </c>
      <c r="D22" s="155" t="s">
        <v>12</v>
      </c>
    </row>
    <row r="23" spans="1:6" x14ac:dyDescent="0.25">
      <c r="A23" s="8"/>
      <c r="B23" s="37">
        <v>0</v>
      </c>
      <c r="C23" s="65">
        <v>-200</v>
      </c>
      <c r="D23" s="65">
        <v>-200</v>
      </c>
    </row>
    <row r="24" spans="1:6" x14ac:dyDescent="0.25">
      <c r="A24" s="8"/>
      <c r="B24" s="37">
        <v>1</v>
      </c>
      <c r="C24" s="73">
        <v>80</v>
      </c>
      <c r="D24" s="73">
        <v>100</v>
      </c>
    </row>
    <row r="25" spans="1:6" x14ac:dyDescent="0.25">
      <c r="A25" s="8"/>
      <c r="B25" s="37">
        <v>2</v>
      </c>
      <c r="C25" s="73">
        <v>80</v>
      </c>
      <c r="D25" s="73">
        <v>100</v>
      </c>
    </row>
    <row r="26" spans="1:6" x14ac:dyDescent="0.25">
      <c r="A26" s="8"/>
      <c r="B26" s="37">
        <v>3</v>
      </c>
      <c r="C26" s="73">
        <v>80</v>
      </c>
      <c r="D26" s="73">
        <v>100</v>
      </c>
    </row>
    <row r="27" spans="1:6" x14ac:dyDescent="0.25">
      <c r="A27" s="8"/>
      <c r="B27" s="37">
        <v>4</v>
      </c>
      <c r="C27" s="73">
        <v>80</v>
      </c>
      <c r="D27" s="32"/>
    </row>
    <row r="28" spans="1:6" x14ac:dyDescent="0.25">
      <c r="A28" s="8"/>
      <c r="B28" s="22"/>
      <c r="C28" s="39"/>
      <c r="D28" s="39"/>
    </row>
    <row r="29" spans="1:6" x14ac:dyDescent="0.25">
      <c r="A29" s="8"/>
      <c r="B29" s="59" t="s">
        <v>142</v>
      </c>
      <c r="C29" s="74">
        <v>0.11</v>
      </c>
    </row>
    <row r="30" spans="1:6" x14ac:dyDescent="0.25">
      <c r="A30" s="8"/>
      <c r="B30" s="39"/>
      <c r="C30" s="56"/>
    </row>
    <row r="31" spans="1:6" s="34" customFormat="1" x14ac:dyDescent="0.25">
      <c r="A31" s="33"/>
      <c r="C31" s="35"/>
      <c r="D31" s="36"/>
      <c r="E31" s="36"/>
    </row>
    <row r="32" spans="1:6" x14ac:dyDescent="0.25">
      <c r="A32" s="8"/>
    </row>
    <row r="33" spans="1:6" x14ac:dyDescent="0.25">
      <c r="A33" s="8"/>
      <c r="B33" s="2" t="s">
        <v>5</v>
      </c>
    </row>
    <row r="34" spans="1:6" x14ac:dyDescent="0.25">
      <c r="A34" s="8"/>
      <c r="C34" s="85" t="s">
        <v>99</v>
      </c>
      <c r="D34" s="85" t="s">
        <v>16</v>
      </c>
      <c r="F34" s="23"/>
    </row>
    <row r="35" spans="1:6" x14ac:dyDescent="0.25">
      <c r="A35" s="8"/>
      <c r="B35" t="s">
        <v>35</v>
      </c>
      <c r="C35" s="160">
        <f>IF(C24&gt;ABS(C23),(ABS(C23))/C24,IF(SUM(C24:C25)&gt;ABS(C23),1+(((ABS(C23)-(C24)))/C25),IF(SUM(C24:C26)&gt;ABS(C23),2+(((ABS(C23)-(SUM(C24:C25)))/C26)),IF(SUM(C24:C27)&gt;ABS(C23),3+(((ABS(C23)-(SUM(C24:C26)))/C27)),"greater than 4 year"))))</f>
        <v>2.5</v>
      </c>
      <c r="D35" s="126">
        <f>$C$23+NPV($C$29,$C$24,$C$25,$C$26,$C$27)</f>
        <v>48.195655167272434</v>
      </c>
      <c r="F35" s="23"/>
    </row>
    <row r="36" spans="1:6" x14ac:dyDescent="0.25">
      <c r="A36" s="8"/>
      <c r="B36" t="s">
        <v>36</v>
      </c>
      <c r="C36" s="160">
        <f>IF($D$24&gt;ABS($D$23),(ABS($D$23))/$D$24,IF(SUM($D$24:$D$25)&gt;ABS($D$23),1+(((ABS($D$23)-($D$24)))/$D$25),IF(SUM($D$24:$D$26)&gt;ABS($D$23),2+(((ABS($D$23)-(SUM($D$24:$D$25)))/$D$26)),IF(SUM($D$24:$D$27)&gt;ABS($D$23),3+(((ABS($D$23)-(SUM($D$24:$D$26)))/$D$27)),"greater than 4 year"))))</f>
        <v>2</v>
      </c>
      <c r="D36" s="126">
        <f>$D$23+NPV($C$29,$D$24,$D$25,$D$26,$D$27)</f>
        <v>44.371471544590605</v>
      </c>
      <c r="F36" s="21"/>
    </row>
    <row r="37" spans="1:6" x14ac:dyDescent="0.25">
      <c r="A37" s="8"/>
      <c r="C37" s="27"/>
    </row>
    <row r="38" spans="1:6" x14ac:dyDescent="0.25">
      <c r="A38" s="8"/>
      <c r="B38" t="s">
        <v>164</v>
      </c>
      <c r="C38" s="134" t="str">
        <f>IF(AND(C36&lt;C35,D36&gt;D35),"Yes","No")</f>
        <v>No</v>
      </c>
      <c r="D38" s="22"/>
      <c r="F38" s="25"/>
    </row>
    <row r="39" spans="1:6" x14ac:dyDescent="0.25">
      <c r="A39" s="8"/>
      <c r="D39" s="26"/>
      <c r="E39" s="22"/>
      <c r="F39" s="25"/>
    </row>
    <row r="40" spans="1:6" x14ac:dyDescent="0.25">
      <c r="A40" s="8"/>
      <c r="D40" s="26"/>
      <c r="E40" s="22"/>
      <c r="F40" s="25"/>
    </row>
  </sheetData>
  <mergeCells count="2">
    <mergeCell ref="B4:F4"/>
    <mergeCell ref="B13:F1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33"/>
  <sheetViews>
    <sheetView workbookViewId="0">
      <selection activeCell="A2" sqref="A2"/>
    </sheetView>
  </sheetViews>
  <sheetFormatPr defaultColWidth="9.140625" defaultRowHeight="15" x14ac:dyDescent="0.25"/>
  <cols>
    <col min="1" max="1" width="18.42578125" customWidth="1"/>
    <col min="2" max="2" width="29.5703125" customWidth="1"/>
    <col min="3" max="3" width="17.5703125" customWidth="1"/>
    <col min="4" max="4" width="10" customWidth="1"/>
    <col min="5" max="5" width="10.42578125" customWidth="1"/>
    <col min="7" max="7" width="8.5703125" customWidth="1"/>
  </cols>
  <sheetData>
    <row r="1" spans="1:7" x14ac:dyDescent="0.25">
      <c r="A1" s="2" t="s">
        <v>289</v>
      </c>
      <c r="B1" s="2"/>
    </row>
    <row r="2" spans="1:7" s="34" customFormat="1" x14ac:dyDescent="0.25">
      <c r="A2" s="151"/>
      <c r="B2" s="151"/>
    </row>
    <row r="3" spans="1:7" x14ac:dyDescent="0.25">
      <c r="A3" s="2" t="s">
        <v>0</v>
      </c>
      <c r="B3" s="2" t="s">
        <v>95</v>
      </c>
    </row>
    <row r="4" spans="1:7" ht="30.75" customHeight="1" x14ac:dyDescent="0.25">
      <c r="A4" s="1"/>
      <c r="B4" s="214" t="s">
        <v>100</v>
      </c>
      <c r="C4" s="214"/>
      <c r="D4" s="214"/>
      <c r="E4" s="214"/>
      <c r="F4" s="214"/>
      <c r="G4" s="214"/>
    </row>
    <row r="5" spans="1:7" ht="15" customHeight="1" x14ac:dyDescent="0.25">
      <c r="A5" s="1"/>
      <c r="C5" s="14"/>
      <c r="D5" s="14"/>
      <c r="E5" s="14"/>
    </row>
    <row r="6" spans="1:7" ht="15" customHeight="1" x14ac:dyDescent="0.25">
      <c r="A6" s="1"/>
      <c r="B6" t="s">
        <v>286</v>
      </c>
      <c r="C6" s="14"/>
      <c r="D6" s="14"/>
      <c r="E6" s="14"/>
    </row>
    <row r="7" spans="1:7" ht="15" customHeight="1" x14ac:dyDescent="0.25">
      <c r="A7" s="1"/>
      <c r="B7" t="s">
        <v>287</v>
      </c>
      <c r="C7" s="14"/>
      <c r="D7" s="14"/>
      <c r="E7" s="14"/>
    </row>
    <row r="8" spans="1:7" ht="15" customHeight="1" x14ac:dyDescent="0.25">
      <c r="A8" s="1"/>
      <c r="C8" s="14"/>
      <c r="D8" s="14"/>
      <c r="E8" s="14"/>
    </row>
    <row r="9" spans="1:7" ht="15" customHeight="1" x14ac:dyDescent="0.25">
      <c r="A9" s="1"/>
      <c r="B9" s="14"/>
      <c r="C9" s="14"/>
      <c r="D9" s="14"/>
      <c r="E9" s="14"/>
    </row>
    <row r="10" spans="1:7" s="11" customFormat="1" x14ac:dyDescent="0.25">
      <c r="A10" s="4"/>
      <c r="B10" s="5"/>
      <c r="C10" s="5"/>
      <c r="D10" s="5"/>
      <c r="E10" s="5"/>
    </row>
    <row r="11" spans="1:7" x14ac:dyDescent="0.25">
      <c r="A11" s="2"/>
      <c r="B11" s="3"/>
      <c r="C11" s="3"/>
      <c r="D11" s="3"/>
      <c r="E11" s="3"/>
    </row>
    <row r="12" spans="1:7" x14ac:dyDescent="0.25">
      <c r="A12" s="2"/>
      <c r="B12" s="6" t="s">
        <v>1</v>
      </c>
      <c r="C12" s="6"/>
      <c r="D12" s="6"/>
      <c r="E12" s="6"/>
      <c r="F12" s="13"/>
      <c r="G12" s="13"/>
    </row>
    <row r="13" spans="1:7" x14ac:dyDescent="0.25">
      <c r="A13" s="2"/>
      <c r="B13" s="7" t="s">
        <v>2</v>
      </c>
      <c r="C13" s="3"/>
      <c r="D13" s="3"/>
      <c r="E13" s="3"/>
    </row>
    <row r="14" spans="1:7" s="10" customFormat="1" x14ac:dyDescent="0.25">
      <c r="A14" s="149"/>
      <c r="B14" s="149" t="s">
        <v>3</v>
      </c>
      <c r="C14" s="149"/>
      <c r="D14" s="149"/>
      <c r="E14" s="149"/>
    </row>
    <row r="16" spans="1:7" x14ac:dyDescent="0.25">
      <c r="B16" s="19" t="s">
        <v>4</v>
      </c>
    </row>
    <row r="17" spans="1:78" s="22" customFormat="1" x14ac:dyDescent="0.25">
      <c r="A17" s="51"/>
      <c r="B17" s="37" t="s">
        <v>37</v>
      </c>
      <c r="C17" s="65">
        <v>3000</v>
      </c>
      <c r="L17"/>
      <c r="M17"/>
      <c r="N17"/>
      <c r="O17"/>
      <c r="P17"/>
      <c r="Q17"/>
      <c r="R17"/>
      <c r="S17" s="22">
        <v>14</v>
      </c>
      <c r="T17" s="22">
        <v>15</v>
      </c>
      <c r="U17" s="22">
        <v>16</v>
      </c>
      <c r="V17" s="22">
        <v>17</v>
      </c>
      <c r="W17" s="22">
        <v>18</v>
      </c>
      <c r="X17" s="22">
        <v>19</v>
      </c>
      <c r="Y17" s="22">
        <v>20</v>
      </c>
      <c r="Z17" s="22">
        <v>21</v>
      </c>
      <c r="AA17" s="22">
        <v>22</v>
      </c>
      <c r="AB17" s="22">
        <v>23</v>
      </c>
      <c r="AC17" s="22">
        <v>24</v>
      </c>
      <c r="AD17" s="22">
        <v>25</v>
      </c>
      <c r="AE17" s="22">
        <v>26</v>
      </c>
      <c r="AF17" s="22">
        <v>27</v>
      </c>
      <c r="AG17" s="22">
        <v>28</v>
      </c>
      <c r="AH17" s="22">
        <v>29</v>
      </c>
      <c r="AI17" s="22">
        <v>30</v>
      </c>
      <c r="AJ17" s="22">
        <v>31</v>
      </c>
      <c r="AK17" s="22">
        <v>32</v>
      </c>
      <c r="AL17" s="22">
        <v>33</v>
      </c>
      <c r="AM17" s="22">
        <v>34</v>
      </c>
      <c r="AN17" s="22">
        <v>35</v>
      </c>
      <c r="AO17" s="22">
        <v>36</v>
      </c>
      <c r="AP17" s="22">
        <v>37</v>
      </c>
      <c r="AQ17" s="22">
        <v>38</v>
      </c>
      <c r="AR17" s="22">
        <v>39</v>
      </c>
      <c r="AS17" s="22">
        <v>40</v>
      </c>
      <c r="AT17" s="22">
        <v>41</v>
      </c>
      <c r="AU17" s="22">
        <v>42</v>
      </c>
      <c r="AV17" s="22">
        <v>43</v>
      </c>
      <c r="AW17" s="22">
        <v>44</v>
      </c>
      <c r="AX17" s="22">
        <v>45</v>
      </c>
      <c r="AY17" s="22">
        <v>46</v>
      </c>
      <c r="AZ17" s="22">
        <v>47</v>
      </c>
      <c r="BA17" s="22">
        <v>48</v>
      </c>
      <c r="BB17" s="22">
        <v>49</v>
      </c>
      <c r="BC17" s="22">
        <v>50</v>
      </c>
      <c r="BD17" s="22">
        <v>51</v>
      </c>
      <c r="BE17" s="22">
        <v>52</v>
      </c>
      <c r="BF17" s="22">
        <v>53</v>
      </c>
      <c r="BG17" s="22">
        <v>54</v>
      </c>
      <c r="BH17" s="22">
        <v>55</v>
      </c>
      <c r="BI17" s="22">
        <v>56</v>
      </c>
      <c r="BJ17" s="22">
        <v>57</v>
      </c>
      <c r="BK17" s="22">
        <v>58</v>
      </c>
      <c r="BL17" s="22">
        <v>59</v>
      </c>
      <c r="BM17" s="22">
        <v>60</v>
      </c>
      <c r="BN17" s="22">
        <v>61</v>
      </c>
      <c r="BO17" s="22">
        <v>62</v>
      </c>
      <c r="BP17" s="22">
        <v>63</v>
      </c>
      <c r="BQ17" s="22">
        <v>64</v>
      </c>
      <c r="BR17" s="22">
        <v>65</v>
      </c>
      <c r="BS17" s="22">
        <v>66</v>
      </c>
      <c r="BT17" s="22">
        <v>67</v>
      </c>
      <c r="BU17" s="22">
        <v>68</v>
      </c>
      <c r="BV17" s="22">
        <v>69</v>
      </c>
      <c r="BW17" s="22">
        <v>70</v>
      </c>
      <c r="BX17" s="22">
        <v>71</v>
      </c>
      <c r="BY17" s="22">
        <v>72</v>
      </c>
      <c r="BZ17" s="22">
        <v>73</v>
      </c>
    </row>
    <row r="18" spans="1:78" x14ac:dyDescent="0.25">
      <c r="A18" s="8"/>
      <c r="B18" s="37" t="s">
        <v>166</v>
      </c>
      <c r="C18" s="66">
        <v>800</v>
      </c>
      <c r="S18" s="22">
        <f t="shared" ref="S18:BR18" si="0">IF(S17&lt;=$C$19,$C$18,0)</f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  <c r="Z18" s="22">
        <f t="shared" si="0"/>
        <v>0</v>
      </c>
      <c r="AA18" s="22">
        <f t="shared" si="0"/>
        <v>0</v>
      </c>
      <c r="AB18" s="22">
        <f t="shared" si="0"/>
        <v>0</v>
      </c>
      <c r="AC18" s="22">
        <f t="shared" si="0"/>
        <v>0</v>
      </c>
      <c r="AD18" s="22">
        <f t="shared" si="0"/>
        <v>0</v>
      </c>
      <c r="AE18" s="22">
        <f t="shared" si="0"/>
        <v>0</v>
      </c>
      <c r="AF18" s="22">
        <f t="shared" si="0"/>
        <v>0</v>
      </c>
      <c r="AG18" s="22">
        <f t="shared" si="0"/>
        <v>0</v>
      </c>
      <c r="AH18" s="22">
        <f t="shared" si="0"/>
        <v>0</v>
      </c>
      <c r="AI18" s="22">
        <f t="shared" si="0"/>
        <v>0</v>
      </c>
      <c r="AJ18" s="22">
        <f t="shared" si="0"/>
        <v>0</v>
      </c>
      <c r="AK18" s="22">
        <f t="shared" si="0"/>
        <v>0</v>
      </c>
      <c r="AL18" s="22">
        <f t="shared" si="0"/>
        <v>0</v>
      </c>
      <c r="AM18" s="22">
        <f t="shared" si="0"/>
        <v>0</v>
      </c>
      <c r="AN18" s="22">
        <f t="shared" si="0"/>
        <v>0</v>
      </c>
      <c r="AO18" s="22">
        <f t="shared" si="0"/>
        <v>0</v>
      </c>
      <c r="AP18" s="22">
        <f t="shared" si="0"/>
        <v>0</v>
      </c>
      <c r="AQ18" s="22">
        <f t="shared" si="0"/>
        <v>0</v>
      </c>
      <c r="AR18" s="22">
        <f t="shared" si="0"/>
        <v>0</v>
      </c>
      <c r="AS18" s="22">
        <f t="shared" si="0"/>
        <v>0</v>
      </c>
      <c r="AT18" s="22">
        <f t="shared" si="0"/>
        <v>0</v>
      </c>
      <c r="AU18" s="22">
        <f t="shared" si="0"/>
        <v>0</v>
      </c>
      <c r="AV18" s="22">
        <f t="shared" si="0"/>
        <v>0</v>
      </c>
      <c r="AW18" s="22">
        <f t="shared" si="0"/>
        <v>0</v>
      </c>
      <c r="AX18" s="22">
        <f t="shared" si="0"/>
        <v>0</v>
      </c>
      <c r="AY18" s="22">
        <f t="shared" si="0"/>
        <v>0</v>
      </c>
      <c r="AZ18" s="22">
        <f t="shared" si="0"/>
        <v>0</v>
      </c>
      <c r="BA18" s="22">
        <f t="shared" si="0"/>
        <v>0</v>
      </c>
      <c r="BB18" s="22">
        <f t="shared" si="0"/>
        <v>0</v>
      </c>
      <c r="BC18" s="22">
        <f t="shared" si="0"/>
        <v>0</v>
      </c>
      <c r="BD18" s="22">
        <f t="shared" si="0"/>
        <v>0</v>
      </c>
      <c r="BE18" s="22">
        <f t="shared" si="0"/>
        <v>0</v>
      </c>
      <c r="BF18" s="22">
        <f t="shared" si="0"/>
        <v>0</v>
      </c>
      <c r="BG18" s="22">
        <f t="shared" si="0"/>
        <v>0</v>
      </c>
      <c r="BH18" s="22">
        <f t="shared" si="0"/>
        <v>0</v>
      </c>
      <c r="BI18" s="22">
        <f t="shared" si="0"/>
        <v>0</v>
      </c>
      <c r="BJ18" s="22">
        <f t="shared" si="0"/>
        <v>0</v>
      </c>
      <c r="BK18" s="22">
        <f t="shared" si="0"/>
        <v>0</v>
      </c>
      <c r="BL18" s="22">
        <f t="shared" si="0"/>
        <v>0</v>
      </c>
      <c r="BM18" s="22">
        <f t="shared" si="0"/>
        <v>0</v>
      </c>
      <c r="BN18" s="22">
        <f t="shared" si="0"/>
        <v>0</v>
      </c>
      <c r="BO18" s="22">
        <f t="shared" si="0"/>
        <v>0</v>
      </c>
      <c r="BP18" s="22">
        <f t="shared" si="0"/>
        <v>0</v>
      </c>
      <c r="BQ18" s="22">
        <f t="shared" si="0"/>
        <v>0</v>
      </c>
      <c r="BR18" s="22">
        <f t="shared" si="0"/>
        <v>0</v>
      </c>
      <c r="BS18" s="22">
        <f t="shared" ref="BS18:BZ18" si="1">IF(BS17&lt;=$C$19,$C$18,0)</f>
        <v>0</v>
      </c>
      <c r="BT18" s="22">
        <f t="shared" si="1"/>
        <v>0</v>
      </c>
      <c r="BU18" s="22">
        <f t="shared" si="1"/>
        <v>0</v>
      </c>
      <c r="BV18" s="22">
        <f t="shared" si="1"/>
        <v>0</v>
      </c>
      <c r="BW18" s="22">
        <f t="shared" si="1"/>
        <v>0</v>
      </c>
      <c r="BX18" s="22">
        <f t="shared" si="1"/>
        <v>0</v>
      </c>
      <c r="BY18" s="22">
        <f t="shared" si="1"/>
        <v>0</v>
      </c>
      <c r="BZ18" s="22">
        <f t="shared" si="1"/>
        <v>0</v>
      </c>
    </row>
    <row r="19" spans="1:78" x14ac:dyDescent="0.25">
      <c r="A19" s="8"/>
      <c r="B19" s="37" t="s">
        <v>167</v>
      </c>
      <c r="C19" s="76">
        <v>6</v>
      </c>
      <c r="D19" t="s">
        <v>20</v>
      </c>
    </row>
    <row r="20" spans="1:78" x14ac:dyDescent="0.25">
      <c r="A20" s="8"/>
      <c r="B20" s="37" t="s">
        <v>11</v>
      </c>
      <c r="C20" s="74">
        <v>0.1</v>
      </c>
    </row>
    <row r="21" spans="1:78" x14ac:dyDescent="0.25">
      <c r="A21" s="8"/>
      <c r="B21" s="22"/>
      <c r="C21" s="39"/>
    </row>
    <row r="22" spans="1:78" x14ac:dyDescent="0.25">
      <c r="A22" s="8"/>
      <c r="B22" s="22"/>
      <c r="C22" s="39" t="s">
        <v>0</v>
      </c>
    </row>
    <row r="23" spans="1:78" s="34" customFormat="1" x14ac:dyDescent="0.25">
      <c r="A23" s="33"/>
      <c r="B23" s="35"/>
      <c r="C23" s="36"/>
      <c r="D23" s="36"/>
    </row>
    <row r="24" spans="1:78" x14ac:dyDescent="0.25">
      <c r="A24" s="8"/>
    </row>
    <row r="25" spans="1:78" x14ac:dyDescent="0.25">
      <c r="A25" s="8"/>
      <c r="B25" s="2" t="s">
        <v>5</v>
      </c>
    </row>
    <row r="26" spans="1:78" x14ac:dyDescent="0.25">
      <c r="A26" s="8"/>
      <c r="B26" t="s">
        <v>288</v>
      </c>
      <c r="C26" s="142">
        <f>-C17+PV(C20,C19,-C18,0)</f>
        <v>484.20855956978266</v>
      </c>
      <c r="D26" s="47"/>
      <c r="E26" s="218" t="s">
        <v>165</v>
      </c>
      <c r="F26" s="218"/>
      <c r="G26" s="218"/>
      <c r="H26" s="218"/>
      <c r="I26" s="218"/>
      <c r="J26" s="218"/>
      <c r="K26" s="218"/>
    </row>
    <row r="27" spans="1:78" x14ac:dyDescent="0.25">
      <c r="A27" s="8"/>
      <c r="C27" s="140"/>
      <c r="D27" s="47"/>
      <c r="E27" s="22">
        <v>0</v>
      </c>
      <c r="F27" s="22">
        <v>1</v>
      </c>
      <c r="G27" s="22">
        <v>2</v>
      </c>
      <c r="H27" s="22">
        <v>3</v>
      </c>
      <c r="I27" s="22">
        <v>4</v>
      </c>
      <c r="J27" s="22">
        <v>5</v>
      </c>
      <c r="K27" s="22">
        <v>6</v>
      </c>
    </row>
    <row r="28" spans="1:78" x14ac:dyDescent="0.25">
      <c r="A28" s="8"/>
      <c r="B28" t="s">
        <v>60</v>
      </c>
      <c r="C28" s="141">
        <f>IRR(E28:K28)</f>
        <v>0.15340829730399896</v>
      </c>
      <c r="E28" s="75">
        <f>-C17</f>
        <v>-3000</v>
      </c>
      <c r="F28" s="75">
        <f t="shared" ref="F28:K28" si="2">IF(F27&lt;=$C$19,$C$18,0)</f>
        <v>800</v>
      </c>
      <c r="G28" s="75">
        <f t="shared" si="2"/>
        <v>800</v>
      </c>
      <c r="H28" s="75">
        <f t="shared" si="2"/>
        <v>800</v>
      </c>
      <c r="I28" s="75">
        <f t="shared" si="2"/>
        <v>800</v>
      </c>
      <c r="J28" s="75">
        <f t="shared" si="2"/>
        <v>800</v>
      </c>
      <c r="K28" s="75">
        <f t="shared" si="2"/>
        <v>800</v>
      </c>
    </row>
    <row r="29" spans="1:78" x14ac:dyDescent="0.25">
      <c r="A29" s="8"/>
      <c r="B29" s="2"/>
      <c r="C29" s="50"/>
      <c r="D29" s="22"/>
      <c r="E29" s="25"/>
    </row>
    <row r="30" spans="1:78" s="34" customFormat="1" x14ac:dyDescent="0.25">
      <c r="A30" s="33"/>
      <c r="C30" s="181"/>
      <c r="D30" s="35"/>
      <c r="E30" s="177"/>
    </row>
    <row r="31" spans="1:78" x14ac:dyDescent="0.25">
      <c r="A31" s="8"/>
      <c r="C31" s="49"/>
      <c r="D31" s="22"/>
      <c r="E31" s="25"/>
    </row>
    <row r="32" spans="1:78" x14ac:dyDescent="0.25">
      <c r="B32" s="10" t="s">
        <v>145</v>
      </c>
    </row>
    <row r="33" spans="2:2" x14ac:dyDescent="0.25">
      <c r="B33" s="10" t="s">
        <v>168</v>
      </c>
    </row>
  </sheetData>
  <mergeCells count="2">
    <mergeCell ref="B4:G4"/>
    <mergeCell ref="E26:K2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24.85546875" customWidth="1"/>
    <col min="3" max="3" width="14.42578125" customWidth="1"/>
    <col min="4" max="4" width="11.5703125" customWidth="1"/>
    <col min="5" max="5" width="17.5703125" customWidth="1"/>
    <col min="6" max="6" width="15.42578125" customWidth="1"/>
  </cols>
  <sheetData>
    <row r="1" spans="1:6" x14ac:dyDescent="0.25">
      <c r="A1" s="2" t="s">
        <v>323</v>
      </c>
      <c r="B1" s="2"/>
    </row>
    <row r="2" spans="1:6" s="34" customFormat="1" x14ac:dyDescent="0.25">
      <c r="A2" s="151"/>
      <c r="B2" s="151"/>
    </row>
    <row r="3" spans="1:6" x14ac:dyDescent="0.25">
      <c r="A3" s="2" t="s">
        <v>0</v>
      </c>
      <c r="B3" s="2" t="s">
        <v>95</v>
      </c>
    </row>
    <row r="4" spans="1:6" ht="50.25" customHeight="1" x14ac:dyDescent="0.25">
      <c r="A4" s="1"/>
      <c r="B4" s="214" t="s">
        <v>169</v>
      </c>
      <c r="C4" s="214"/>
      <c r="D4" s="214"/>
      <c r="E4" s="214"/>
      <c r="F4" s="214"/>
    </row>
    <row r="5" spans="1:6" ht="15" customHeight="1" x14ac:dyDescent="0.25">
      <c r="A5" s="1"/>
      <c r="C5" s="14"/>
      <c r="D5" s="14"/>
      <c r="E5" s="14"/>
    </row>
    <row r="6" spans="1:6" s="34" customFormat="1" x14ac:dyDescent="0.25">
      <c r="B6" s="167"/>
      <c r="C6" s="167"/>
      <c r="D6" s="167"/>
      <c r="E6" s="167"/>
    </row>
    <row r="7" spans="1:6" x14ac:dyDescent="0.25">
      <c r="A7" s="2"/>
      <c r="B7" s="3"/>
      <c r="C7" s="3"/>
      <c r="D7" s="3"/>
      <c r="E7" s="3"/>
    </row>
    <row r="8" spans="1:6" x14ac:dyDescent="0.25">
      <c r="A8" s="2"/>
      <c r="B8" s="6" t="s">
        <v>1</v>
      </c>
      <c r="C8" s="6"/>
      <c r="D8" s="6"/>
      <c r="E8" s="6"/>
      <c r="F8" s="13"/>
    </row>
    <row r="9" spans="1:6" x14ac:dyDescent="0.25">
      <c r="A9" s="2"/>
      <c r="B9" s="7" t="s">
        <v>2</v>
      </c>
      <c r="C9" s="3"/>
      <c r="D9" s="3"/>
      <c r="E9" s="3"/>
    </row>
    <row r="10" spans="1:6" s="10" customFormat="1" x14ac:dyDescent="0.25">
      <c r="A10" s="149"/>
      <c r="B10" s="149" t="s">
        <v>3</v>
      </c>
      <c r="C10" s="149"/>
      <c r="D10" s="149"/>
      <c r="E10" s="149"/>
    </row>
    <row r="12" spans="1:6" x14ac:dyDescent="0.25">
      <c r="B12" s="19" t="s">
        <v>4</v>
      </c>
      <c r="C12" t="s">
        <v>0</v>
      </c>
    </row>
    <row r="13" spans="1:6" x14ac:dyDescent="0.25">
      <c r="A13" s="8"/>
      <c r="B13" t="s">
        <v>79</v>
      </c>
      <c r="C13" s="77">
        <v>2.2000000000000002</v>
      </c>
      <c r="D13" t="s">
        <v>19</v>
      </c>
      <c r="E13" t="s">
        <v>93</v>
      </c>
    </row>
    <row r="14" spans="1:6" x14ac:dyDescent="0.25">
      <c r="A14" s="8"/>
      <c r="B14" t="s">
        <v>166</v>
      </c>
      <c r="C14" s="78">
        <v>0.3</v>
      </c>
      <c r="D14" t="s">
        <v>19</v>
      </c>
    </row>
    <row r="15" spans="1:6" x14ac:dyDescent="0.25">
      <c r="A15" s="8"/>
      <c r="B15" t="s">
        <v>171</v>
      </c>
      <c r="C15" s="15">
        <v>15</v>
      </c>
      <c r="D15" t="s">
        <v>0</v>
      </c>
    </row>
    <row r="16" spans="1:6" x14ac:dyDescent="0.25">
      <c r="A16" s="8"/>
      <c r="B16" t="s">
        <v>170</v>
      </c>
      <c r="C16" s="78">
        <v>0.9</v>
      </c>
      <c r="D16" t="s">
        <v>19</v>
      </c>
      <c r="E16" t="s">
        <v>93</v>
      </c>
    </row>
    <row r="17" spans="1:5" x14ac:dyDescent="0.25">
      <c r="A17" s="8"/>
      <c r="B17" t="s">
        <v>59</v>
      </c>
      <c r="C17" s="12">
        <v>0.05</v>
      </c>
    </row>
    <row r="18" spans="1:5" x14ac:dyDescent="0.25">
      <c r="A18" s="8"/>
      <c r="B18" t="s">
        <v>60</v>
      </c>
      <c r="C18" s="12">
        <v>0.18</v>
      </c>
    </row>
    <row r="19" spans="1:5" x14ac:dyDescent="0.25">
      <c r="A19" s="8"/>
      <c r="C19" s="40"/>
    </row>
    <row r="20" spans="1:5" s="34" customFormat="1" x14ac:dyDescent="0.25">
      <c r="A20" s="33"/>
      <c r="C20" s="161"/>
    </row>
    <row r="21" spans="1:5" x14ac:dyDescent="0.25">
      <c r="A21" s="8"/>
      <c r="C21" s="40"/>
    </row>
    <row r="22" spans="1:5" x14ac:dyDescent="0.25">
      <c r="A22" s="8"/>
      <c r="B22" s="2" t="s">
        <v>5</v>
      </c>
    </row>
    <row r="23" spans="1:5" x14ac:dyDescent="0.25">
      <c r="A23" s="8" t="s">
        <v>0</v>
      </c>
      <c r="B23" s="79" t="s">
        <v>11</v>
      </c>
      <c r="C23" s="182" t="s">
        <v>16</v>
      </c>
    </row>
    <row r="24" spans="1:5" x14ac:dyDescent="0.25">
      <c r="A24" s="8"/>
      <c r="B24" s="45">
        <f>C17</f>
        <v>0.05</v>
      </c>
      <c r="C24" s="183">
        <f>-$C$13+PV(C17,$C$15,-$C$14,$C$16)</f>
        <v>0.48098202317230543</v>
      </c>
      <c r="D24" s="41" t="s">
        <v>19</v>
      </c>
    </row>
    <row r="25" spans="1:5" x14ac:dyDescent="0.25">
      <c r="A25" s="8"/>
      <c r="B25" s="45">
        <f>C18</f>
        <v>0.18</v>
      </c>
      <c r="C25" s="183">
        <f>-$C$13+PV(C18,$C$15,-$C$14,$C$16)</f>
        <v>-0.74769116774738142</v>
      </c>
      <c r="D25" t="s">
        <v>19</v>
      </c>
    </row>
    <row r="26" spans="1:5" x14ac:dyDescent="0.25">
      <c r="A26" s="8"/>
      <c r="C26" s="16"/>
    </row>
    <row r="27" spans="1:5" x14ac:dyDescent="0.25">
      <c r="A27" s="8"/>
      <c r="C27" s="16"/>
    </row>
    <row r="28" spans="1:5" x14ac:dyDescent="0.25">
      <c r="A28" s="8"/>
      <c r="C28" s="16"/>
    </row>
    <row r="29" spans="1:5" x14ac:dyDescent="0.25">
      <c r="B29" s="9"/>
      <c r="C29" s="9"/>
      <c r="D29" s="9"/>
      <c r="E29" s="9"/>
    </row>
  </sheetData>
  <mergeCells count="1">
    <mergeCell ref="B4:F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6"/>
  <sheetViews>
    <sheetView topLeftCell="A4"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21.42578125" customWidth="1"/>
    <col min="3" max="3" width="17.5703125" customWidth="1"/>
    <col min="4" max="4" width="16.42578125" customWidth="1"/>
    <col min="5" max="5" width="10.140625" customWidth="1"/>
    <col min="6" max="6" width="12.140625" customWidth="1"/>
    <col min="7" max="7" width="9.5703125" customWidth="1"/>
  </cols>
  <sheetData>
    <row r="1" spans="1:8" x14ac:dyDescent="0.25">
      <c r="A1" s="2" t="s">
        <v>322</v>
      </c>
      <c r="B1" s="2"/>
    </row>
    <row r="2" spans="1:8" s="34" customFormat="1" x14ac:dyDescent="0.25">
      <c r="A2" s="151"/>
      <c r="B2" s="151"/>
    </row>
    <row r="3" spans="1:8" x14ac:dyDescent="0.25">
      <c r="A3" s="2" t="s">
        <v>0</v>
      </c>
      <c r="B3" s="2" t="s">
        <v>95</v>
      </c>
    </row>
    <row r="4" spans="1:8" ht="33.75" customHeight="1" x14ac:dyDescent="0.25">
      <c r="A4" s="1"/>
      <c r="B4" s="213" t="s">
        <v>101</v>
      </c>
      <c r="C4" s="213"/>
      <c r="D4" s="213"/>
      <c r="E4" s="213"/>
      <c r="F4" s="213"/>
      <c r="G4" s="213"/>
      <c r="H4" s="162"/>
    </row>
    <row r="5" spans="1:8" ht="15" customHeight="1" x14ac:dyDescent="0.25">
      <c r="A5" s="1"/>
      <c r="C5" s="14"/>
      <c r="D5" s="14"/>
      <c r="E5" s="14"/>
      <c r="F5" s="14"/>
    </row>
    <row r="6" spans="1:8" ht="33.75" customHeight="1" x14ac:dyDescent="0.25">
      <c r="A6" s="1"/>
      <c r="B6" s="214" t="s">
        <v>172</v>
      </c>
      <c r="C6" s="214"/>
      <c r="D6" s="214"/>
      <c r="E6" s="214"/>
      <c r="F6" s="214"/>
      <c r="G6" s="214"/>
      <c r="H6" s="150"/>
    </row>
    <row r="7" spans="1:8" ht="15" customHeight="1" x14ac:dyDescent="0.25">
      <c r="A7" s="1"/>
      <c r="B7" s="213" t="s">
        <v>173</v>
      </c>
      <c r="C7" s="213"/>
      <c r="D7" s="213"/>
      <c r="E7" s="213"/>
      <c r="F7" s="213"/>
      <c r="G7" s="213"/>
      <c r="H7" s="213"/>
    </row>
    <row r="8" spans="1:8" ht="15" customHeight="1" x14ac:dyDescent="0.25">
      <c r="A8" s="1"/>
      <c r="B8" s="14"/>
      <c r="C8" s="14"/>
      <c r="D8" s="14"/>
      <c r="E8" s="14"/>
      <c r="F8" s="14"/>
    </row>
    <row r="9" spans="1:8" s="34" customFormat="1" x14ac:dyDescent="0.25">
      <c r="B9" s="167"/>
      <c r="C9" s="167"/>
      <c r="D9" s="167"/>
      <c r="E9" s="167"/>
      <c r="F9" s="167"/>
    </row>
    <row r="10" spans="1:8" x14ac:dyDescent="0.25">
      <c r="A10" s="2"/>
      <c r="B10" s="3"/>
      <c r="C10" s="3"/>
      <c r="D10" s="3"/>
      <c r="E10" s="3"/>
      <c r="F10" s="3"/>
    </row>
    <row r="11" spans="1:8" x14ac:dyDescent="0.25">
      <c r="A11" s="2"/>
      <c r="B11" s="6" t="s">
        <v>1</v>
      </c>
      <c r="C11" s="6"/>
      <c r="D11" s="6"/>
      <c r="E11" s="6"/>
      <c r="F11" s="6"/>
      <c r="G11" s="13"/>
    </row>
    <row r="12" spans="1:8" x14ac:dyDescent="0.25">
      <c r="A12" s="2"/>
      <c r="B12" s="7" t="s">
        <v>2</v>
      </c>
      <c r="C12" s="3"/>
      <c r="D12" s="3"/>
      <c r="E12" s="3"/>
      <c r="F12" s="3"/>
    </row>
    <row r="13" spans="1:8" s="10" customFormat="1" x14ac:dyDescent="0.25">
      <c r="A13" s="149"/>
      <c r="B13" s="149" t="s">
        <v>3</v>
      </c>
      <c r="C13" s="149"/>
      <c r="D13" s="149"/>
      <c r="E13" s="149"/>
      <c r="F13" s="149"/>
    </row>
    <row r="15" spans="1:8" x14ac:dyDescent="0.25">
      <c r="B15" s="19" t="s">
        <v>4</v>
      </c>
      <c r="C15" t="s">
        <v>0</v>
      </c>
    </row>
    <row r="16" spans="1:8" x14ac:dyDescent="0.25">
      <c r="A16" s="8"/>
      <c r="B16" t="s">
        <v>70</v>
      </c>
      <c r="C16" s="80">
        <v>-20000</v>
      </c>
      <c r="D16" s="9" t="s">
        <v>94</v>
      </c>
    </row>
    <row r="17" spans="1:11" x14ac:dyDescent="0.25">
      <c r="A17" s="8"/>
      <c r="B17" t="s">
        <v>166</v>
      </c>
      <c r="C17" s="80">
        <v>4000</v>
      </c>
    </row>
    <row r="18" spans="1:11" x14ac:dyDescent="0.25">
      <c r="A18" s="8"/>
      <c r="B18" t="s">
        <v>171</v>
      </c>
      <c r="C18" s="13">
        <v>8</v>
      </c>
      <c r="D18" t="s">
        <v>0</v>
      </c>
    </row>
    <row r="19" spans="1:11" x14ac:dyDescent="0.25">
      <c r="A19" s="8"/>
      <c r="B19" t="s">
        <v>23</v>
      </c>
      <c r="C19" s="12">
        <v>0.09</v>
      </c>
    </row>
    <row r="20" spans="1:11" x14ac:dyDescent="0.25">
      <c r="A20" s="8"/>
      <c r="B20" t="s">
        <v>24</v>
      </c>
      <c r="C20" s="12">
        <v>0.14000000000000001</v>
      </c>
    </row>
    <row r="21" spans="1:11" x14ac:dyDescent="0.25">
      <c r="A21" s="8"/>
      <c r="B21" s="158" t="s">
        <v>162</v>
      </c>
      <c r="C21">
        <v>0</v>
      </c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  <c r="J21">
        <v>7</v>
      </c>
      <c r="K21">
        <v>8</v>
      </c>
    </row>
    <row r="22" spans="1:11" x14ac:dyDescent="0.25">
      <c r="A22" s="8"/>
      <c r="B22" s="58" t="s">
        <v>283</v>
      </c>
      <c r="C22" s="80">
        <f>C16</f>
        <v>-20000</v>
      </c>
      <c r="D22" s="80">
        <f t="shared" ref="D22:K22" si="0">$C17</f>
        <v>4000</v>
      </c>
      <c r="E22" s="80">
        <f t="shared" si="0"/>
        <v>4000</v>
      </c>
      <c r="F22" s="80">
        <f t="shared" si="0"/>
        <v>4000</v>
      </c>
      <c r="G22" s="80">
        <f t="shared" si="0"/>
        <v>4000</v>
      </c>
      <c r="H22" s="80">
        <f t="shared" si="0"/>
        <v>4000</v>
      </c>
      <c r="I22" s="80">
        <f t="shared" si="0"/>
        <v>4000</v>
      </c>
      <c r="J22" s="80">
        <f t="shared" si="0"/>
        <v>4000</v>
      </c>
      <c r="K22" s="80">
        <f t="shared" si="0"/>
        <v>4000</v>
      </c>
    </row>
    <row r="23" spans="1:11" x14ac:dyDescent="0.25">
      <c r="A23" s="8"/>
    </row>
    <row r="24" spans="1:11" s="34" customFormat="1" x14ac:dyDescent="0.25">
      <c r="A24" s="33"/>
    </row>
    <row r="25" spans="1:11" x14ac:dyDescent="0.25">
      <c r="A25" s="8"/>
    </row>
    <row r="26" spans="1:11" x14ac:dyDescent="0.25">
      <c r="A26" s="8"/>
      <c r="B26" s="2" t="s">
        <v>5</v>
      </c>
    </row>
    <row r="27" spans="1:11" x14ac:dyDescent="0.25">
      <c r="A27" s="8"/>
      <c r="B27" s="2" t="s">
        <v>7</v>
      </c>
    </row>
    <row r="28" spans="1:11" x14ac:dyDescent="0.25">
      <c r="A28" s="8"/>
      <c r="B28" s="31" t="s">
        <v>21</v>
      </c>
      <c r="C28" s="85" t="s">
        <v>16</v>
      </c>
      <c r="D28" s="85" t="s">
        <v>174</v>
      </c>
      <c r="E28" s="85"/>
      <c r="F28" s="23"/>
    </row>
    <row r="29" spans="1:11" x14ac:dyDescent="0.25">
      <c r="A29" s="8"/>
      <c r="B29" s="45">
        <f>C19</f>
        <v>0.09</v>
      </c>
      <c r="C29" s="81">
        <f>$C$16+PV(C19,$C$18,-$C$17,0)</f>
        <v>2139.2764589880862</v>
      </c>
      <c r="D29" s="82" t="str">
        <f>IF(C29&gt;=0,"Yes","No")</f>
        <v>Yes</v>
      </c>
      <c r="E29" s="82"/>
      <c r="F29" s="23"/>
    </row>
    <row r="30" spans="1:11" x14ac:dyDescent="0.25">
      <c r="A30" s="8"/>
      <c r="B30" s="45">
        <f>C20</f>
        <v>0.14000000000000001</v>
      </c>
      <c r="C30" s="81">
        <f>$C$16+PV(C20,$C$18,-$C$17,0)</f>
        <v>-1444.5444243074417</v>
      </c>
      <c r="D30" s="82" t="str">
        <f>IF(C30&gt;=0,"Yes","No")</f>
        <v>No</v>
      </c>
      <c r="E30" s="82"/>
      <c r="F30" s="21"/>
    </row>
    <row r="31" spans="1:11" x14ac:dyDescent="0.25">
      <c r="A31" s="8"/>
      <c r="C31" s="83"/>
      <c r="D31" s="58"/>
      <c r="E31" s="58"/>
    </row>
    <row r="32" spans="1:11" x14ac:dyDescent="0.25">
      <c r="A32" s="8"/>
      <c r="B32" s="2" t="s">
        <v>8</v>
      </c>
      <c r="C32" s="84"/>
      <c r="D32" s="85"/>
      <c r="E32" s="85"/>
      <c r="F32" s="23"/>
    </row>
    <row r="33" spans="1:6" x14ac:dyDescent="0.25">
      <c r="A33" s="8"/>
      <c r="B33" t="s">
        <v>22</v>
      </c>
      <c r="C33" s="86">
        <f>IRR(C22:K22)</f>
        <v>0.11814510280868684</v>
      </c>
      <c r="D33" s="85"/>
      <c r="E33" s="85"/>
      <c r="F33" s="23"/>
    </row>
    <row r="34" spans="1:6" x14ac:dyDescent="0.25">
      <c r="A34" s="8"/>
      <c r="C34" s="26"/>
      <c r="D34" s="22"/>
      <c r="E34" s="22"/>
      <c r="F34" s="25"/>
    </row>
    <row r="35" spans="1:6" x14ac:dyDescent="0.25">
      <c r="B35" s="9"/>
      <c r="C35" s="9"/>
      <c r="D35" s="9"/>
      <c r="E35" s="9"/>
      <c r="F35" s="9"/>
    </row>
    <row r="36" spans="1:6" x14ac:dyDescent="0.25">
      <c r="B36" s="9"/>
      <c r="C36" s="9"/>
      <c r="D36" s="9"/>
      <c r="E36" s="9"/>
      <c r="F36" s="9"/>
    </row>
  </sheetData>
  <mergeCells count="3">
    <mergeCell ref="B4:G4"/>
    <mergeCell ref="B7:H7"/>
    <mergeCell ref="B6:G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7"/>
  <sheetViews>
    <sheetView workbookViewId="0">
      <selection activeCell="C31" sqref="C31"/>
    </sheetView>
  </sheetViews>
  <sheetFormatPr defaultColWidth="9.140625" defaultRowHeight="15" x14ac:dyDescent="0.25"/>
  <cols>
    <col min="1" max="1" width="18" customWidth="1"/>
    <col min="2" max="2" width="17.5703125" customWidth="1"/>
    <col min="3" max="3" width="13.42578125" customWidth="1"/>
    <col min="4" max="4" width="12.140625" customWidth="1"/>
    <col min="5" max="5" width="7.5703125" customWidth="1"/>
    <col min="6" max="6" width="9.5703125" customWidth="1"/>
    <col min="7" max="7" width="5.140625" customWidth="1"/>
  </cols>
  <sheetData>
    <row r="1" spans="1:12" x14ac:dyDescent="0.25">
      <c r="A1" s="2" t="s">
        <v>321</v>
      </c>
      <c r="B1" s="2"/>
    </row>
    <row r="2" spans="1:12" s="34" customFormat="1" x14ac:dyDescent="0.25">
      <c r="A2" s="151"/>
      <c r="B2" s="151"/>
    </row>
    <row r="3" spans="1:12" x14ac:dyDescent="0.25">
      <c r="A3" s="2" t="s">
        <v>0</v>
      </c>
      <c r="B3" s="2" t="s">
        <v>95</v>
      </c>
    </row>
    <row r="4" spans="1:12" ht="15" customHeight="1" x14ac:dyDescent="0.25">
      <c r="A4" s="1"/>
      <c r="B4" s="214" t="s">
        <v>102</v>
      </c>
      <c r="C4" s="214"/>
      <c r="D4" s="214"/>
      <c r="E4" s="214"/>
      <c r="F4" s="214"/>
      <c r="G4" s="214"/>
      <c r="H4" s="214"/>
      <c r="I4" s="214"/>
    </row>
    <row r="5" spans="1:12" ht="15" customHeight="1" x14ac:dyDescent="0.25">
      <c r="A5" s="1"/>
      <c r="B5" s="54"/>
      <c r="C5" s="54"/>
      <c r="D5" s="54"/>
      <c r="E5" s="54"/>
      <c r="F5" s="54"/>
      <c r="G5" s="54"/>
      <c r="H5" s="54"/>
      <c r="I5" s="54"/>
    </row>
    <row r="6" spans="1:12" ht="15" customHeight="1" x14ac:dyDescent="0.35">
      <c r="A6" s="2"/>
      <c r="B6" s="185" t="s">
        <v>175</v>
      </c>
      <c r="C6" s="185" t="s">
        <v>176</v>
      </c>
      <c r="D6" s="185" t="s">
        <v>177</v>
      </c>
    </row>
    <row r="7" spans="1:12" ht="15" customHeight="1" x14ac:dyDescent="0.25">
      <c r="A7" s="2"/>
      <c r="B7" s="184">
        <v>-6750</v>
      </c>
      <c r="C7" s="184">
        <v>4500</v>
      </c>
      <c r="D7" s="184">
        <v>18000</v>
      </c>
    </row>
    <row r="8" spans="1:12" ht="15" customHeight="1" x14ac:dyDescent="0.25">
      <c r="A8" s="2"/>
    </row>
    <row r="9" spans="1:12" ht="15" customHeight="1" x14ac:dyDescent="0.25">
      <c r="A9" s="1"/>
      <c r="B9" s="214" t="s">
        <v>103</v>
      </c>
      <c r="C9" s="214"/>
      <c r="D9" s="214"/>
      <c r="E9" s="214"/>
      <c r="F9" s="214"/>
      <c r="G9" s="214"/>
      <c r="H9" s="214"/>
      <c r="I9" s="214"/>
      <c r="J9" s="214"/>
      <c r="K9" s="214"/>
      <c r="L9" s="214"/>
    </row>
    <row r="10" spans="1:12" ht="15" customHeight="1" x14ac:dyDescent="0.25">
      <c r="A10" s="1"/>
      <c r="B10" s="214" t="s">
        <v>104</v>
      </c>
      <c r="C10" s="214"/>
      <c r="D10" s="214"/>
      <c r="E10" s="214"/>
      <c r="F10" s="214"/>
      <c r="G10" s="214"/>
      <c r="H10" s="214"/>
      <c r="I10" s="214"/>
    </row>
    <row r="11" spans="1:12" ht="15" customHeight="1" x14ac:dyDescent="0.25">
      <c r="A11" s="1"/>
      <c r="B11" s="14"/>
      <c r="C11" s="14"/>
      <c r="D11" s="14"/>
      <c r="E11" s="14"/>
    </row>
    <row r="12" spans="1:12" s="11" customFormat="1" x14ac:dyDescent="0.25">
      <c r="A12" s="4"/>
      <c r="B12" s="5"/>
      <c r="C12" s="5"/>
      <c r="D12" s="5"/>
      <c r="E12" s="5"/>
    </row>
    <row r="13" spans="1:12" x14ac:dyDescent="0.25">
      <c r="A13" s="2"/>
    </row>
    <row r="14" spans="1:12" x14ac:dyDescent="0.25">
      <c r="A14" s="2"/>
      <c r="B14" s="6" t="s">
        <v>1</v>
      </c>
      <c r="C14" s="6"/>
      <c r="D14" s="6"/>
      <c r="E14" s="6"/>
      <c r="F14" s="13"/>
      <c r="G14" s="13"/>
      <c r="H14" s="13"/>
      <c r="I14" s="13"/>
    </row>
    <row r="15" spans="1:12" x14ac:dyDescent="0.25">
      <c r="A15" s="2"/>
      <c r="B15" s="7" t="s">
        <v>2</v>
      </c>
      <c r="C15" s="3"/>
      <c r="D15" s="3"/>
      <c r="E15" s="3"/>
    </row>
    <row r="16" spans="1:12" s="10" customFormat="1" x14ac:dyDescent="0.25">
      <c r="A16" s="149"/>
      <c r="B16" s="149" t="s">
        <v>3</v>
      </c>
      <c r="C16" s="149"/>
      <c r="D16" s="149"/>
      <c r="E16" s="149"/>
    </row>
    <row r="18" spans="1:5" x14ac:dyDescent="0.25">
      <c r="B18" s="2" t="s">
        <v>4</v>
      </c>
    </row>
    <row r="19" spans="1:5" ht="18" x14ac:dyDescent="0.35">
      <c r="A19" s="8"/>
      <c r="B19" s="186" t="s">
        <v>175</v>
      </c>
      <c r="C19" s="87">
        <v>-6750</v>
      </c>
    </row>
    <row r="20" spans="1:5" ht="18" x14ac:dyDescent="0.35">
      <c r="A20" s="8"/>
      <c r="B20" s="186" t="s">
        <v>176</v>
      </c>
      <c r="C20" s="87">
        <v>4500</v>
      </c>
    </row>
    <row r="21" spans="1:5" ht="18" x14ac:dyDescent="0.35">
      <c r="A21" s="8"/>
      <c r="B21" s="186" t="s">
        <v>177</v>
      </c>
      <c r="C21" s="87">
        <v>18000</v>
      </c>
      <c r="D21" s="52"/>
      <c r="E21" s="52"/>
    </row>
    <row r="22" spans="1:5" x14ac:dyDescent="0.25">
      <c r="A22" s="8"/>
      <c r="B22" t="s">
        <v>23</v>
      </c>
      <c r="C22" s="89">
        <v>0</v>
      </c>
      <c r="D22" s="52"/>
      <c r="E22" s="52"/>
    </row>
    <row r="23" spans="1:5" x14ac:dyDescent="0.25">
      <c r="A23" s="8"/>
      <c r="B23" t="s">
        <v>24</v>
      </c>
      <c r="C23" s="89">
        <v>0.5</v>
      </c>
      <c r="D23" s="52"/>
      <c r="E23" s="52"/>
    </row>
    <row r="24" spans="1:5" x14ac:dyDescent="0.25">
      <c r="A24" s="8"/>
      <c r="B24" t="s">
        <v>178</v>
      </c>
      <c r="C24" s="90">
        <v>1</v>
      </c>
      <c r="D24" s="39"/>
    </row>
    <row r="25" spans="1:5" x14ac:dyDescent="0.25">
      <c r="A25" s="8"/>
      <c r="B25" s="22"/>
      <c r="C25" s="39"/>
      <c r="D25" s="39"/>
    </row>
    <row r="26" spans="1:5" s="34" customFormat="1" x14ac:dyDescent="0.25">
      <c r="A26" s="33"/>
      <c r="B26" s="35"/>
      <c r="C26" s="36"/>
      <c r="D26" s="36"/>
    </row>
    <row r="27" spans="1:5" x14ac:dyDescent="0.25">
      <c r="A27" s="8"/>
    </row>
    <row r="28" spans="1:5" x14ac:dyDescent="0.25">
      <c r="A28" s="8"/>
      <c r="B28" s="2" t="s">
        <v>5</v>
      </c>
    </row>
    <row r="29" spans="1:5" x14ac:dyDescent="0.25">
      <c r="A29" s="8"/>
      <c r="B29" s="2" t="s">
        <v>10</v>
      </c>
      <c r="D29" s="23"/>
      <c r="E29" s="23"/>
    </row>
    <row r="30" spans="1:5" x14ac:dyDescent="0.25">
      <c r="A30" s="8"/>
      <c r="B30" s="2"/>
      <c r="C30" s="155" t="s">
        <v>16</v>
      </c>
      <c r="D30" s="23"/>
      <c r="E30" s="23"/>
    </row>
    <row r="31" spans="1:5" x14ac:dyDescent="0.25">
      <c r="A31" s="8"/>
      <c r="B31" t="str">
        <f>"Discount rate "&amp;C22*100&amp;"%"</f>
        <v>Discount rate 0%</v>
      </c>
      <c r="C31" s="143">
        <f>$C$19+NPV(C22,$C$20,$C$21)</f>
        <v>15750</v>
      </c>
      <c r="D31" s="38"/>
      <c r="E31" s="23"/>
    </row>
    <row r="32" spans="1:5" x14ac:dyDescent="0.25">
      <c r="A32" s="8"/>
      <c r="B32" t="str">
        <f t="shared" ref="B32:B33" si="0">"Discount rate "&amp;C23*100&amp;"%"</f>
        <v>Discount rate 50%</v>
      </c>
      <c r="C32" s="143">
        <f>$C$19+NPV(C23,$C$20,$C$21)</f>
        <v>4250</v>
      </c>
      <c r="D32" s="38"/>
      <c r="E32" s="21"/>
    </row>
    <row r="33" spans="1:5" x14ac:dyDescent="0.25">
      <c r="A33" s="8"/>
      <c r="B33" t="str">
        <f t="shared" si="0"/>
        <v>Discount rate 100%</v>
      </c>
      <c r="C33" s="143">
        <f>$C$19+NPV(C24,$C$20,$C$21)</f>
        <v>0</v>
      </c>
      <c r="D33" s="38"/>
      <c r="E33" s="21"/>
    </row>
    <row r="34" spans="1:5" x14ac:dyDescent="0.25">
      <c r="A34" s="8"/>
      <c r="C34" s="144"/>
      <c r="D34" s="38"/>
      <c r="E34" s="21"/>
    </row>
    <row r="35" spans="1:5" x14ac:dyDescent="0.25">
      <c r="A35" s="8"/>
      <c r="B35" s="44" t="s">
        <v>8</v>
      </c>
      <c r="C35" s="144"/>
      <c r="D35" s="38"/>
      <c r="E35" s="21"/>
    </row>
    <row r="36" spans="1:5" x14ac:dyDescent="0.25">
      <c r="A36" s="8"/>
      <c r="B36" s="18" t="s">
        <v>22</v>
      </c>
      <c r="C36" s="145">
        <f>IRR(C19:C21)</f>
        <v>0.99999999999912825</v>
      </c>
      <c r="D36" s="38"/>
      <c r="E36" s="21"/>
    </row>
    <row r="37" spans="1:5" x14ac:dyDescent="0.25">
      <c r="A37" s="8"/>
      <c r="B37" s="18"/>
      <c r="C37" s="46"/>
      <c r="D37" s="38"/>
      <c r="E37" s="21"/>
    </row>
  </sheetData>
  <mergeCells count="3">
    <mergeCell ref="B10:I10"/>
    <mergeCell ref="B9:L9"/>
    <mergeCell ref="B4:I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24.140625" customWidth="1"/>
    <col min="3" max="5" width="17.5703125" customWidth="1"/>
    <col min="6" max="6" width="8.5703125" customWidth="1"/>
  </cols>
  <sheetData>
    <row r="1" spans="1:11" x14ac:dyDescent="0.25">
      <c r="A1" s="2" t="s">
        <v>320</v>
      </c>
      <c r="B1" s="2"/>
    </row>
    <row r="2" spans="1:11" s="34" customFormat="1" x14ac:dyDescent="0.25">
      <c r="A2" s="151"/>
      <c r="B2" s="151"/>
    </row>
    <row r="3" spans="1:11" x14ac:dyDescent="0.25">
      <c r="A3" s="2" t="s">
        <v>0</v>
      </c>
      <c r="B3" s="2" t="s">
        <v>95</v>
      </c>
    </row>
    <row r="4" spans="1:11" ht="57" customHeight="1" x14ac:dyDescent="0.25">
      <c r="A4" s="1"/>
      <c r="B4" s="213" t="s">
        <v>273</v>
      </c>
      <c r="C4" s="213"/>
      <c r="D4" s="213"/>
      <c r="E4" s="213"/>
      <c r="F4" s="213"/>
      <c r="G4" s="162"/>
    </row>
    <row r="5" spans="1:11" ht="12" customHeight="1" x14ac:dyDescent="0.25">
      <c r="A5" s="1"/>
      <c r="C5" s="14"/>
      <c r="D5" s="14"/>
      <c r="E5" s="14"/>
    </row>
    <row r="6" spans="1:11" ht="15" customHeight="1" x14ac:dyDescent="0.25">
      <c r="A6" s="1"/>
      <c r="B6" s="214" t="s">
        <v>274</v>
      </c>
      <c r="C6" s="214"/>
      <c r="D6" s="214"/>
      <c r="E6" s="214"/>
    </row>
    <row r="7" spans="1:11" ht="15" customHeight="1" x14ac:dyDescent="0.25">
      <c r="A7" s="1"/>
      <c r="B7" s="213" t="s">
        <v>275</v>
      </c>
      <c r="C7" s="213"/>
      <c r="D7" s="213"/>
      <c r="E7" s="213"/>
    </row>
    <row r="8" spans="1:11" ht="15" customHeight="1" x14ac:dyDescent="0.25">
      <c r="A8" s="1"/>
      <c r="B8" s="14"/>
      <c r="C8" s="14"/>
      <c r="D8" s="14"/>
      <c r="E8" s="14"/>
    </row>
    <row r="9" spans="1:11" s="34" customFormat="1" x14ac:dyDescent="0.25">
      <c r="B9" s="167"/>
      <c r="C9" s="167"/>
      <c r="D9" s="167"/>
      <c r="E9" s="167"/>
    </row>
    <row r="10" spans="1:11" x14ac:dyDescent="0.25">
      <c r="A10" s="2"/>
      <c r="B10" s="3"/>
      <c r="C10" s="3"/>
      <c r="D10" s="3"/>
      <c r="E10" s="3"/>
    </row>
    <row r="11" spans="1:11" x14ac:dyDescent="0.25">
      <c r="A11" s="2"/>
      <c r="B11" s="6" t="s">
        <v>1</v>
      </c>
      <c r="C11" s="6"/>
      <c r="D11" s="6"/>
      <c r="E11" s="6"/>
      <c r="F11" s="13"/>
    </row>
    <row r="12" spans="1:11" x14ac:dyDescent="0.25">
      <c r="A12" s="2"/>
      <c r="B12" s="7" t="s">
        <v>2</v>
      </c>
      <c r="C12" s="3"/>
      <c r="D12" s="3"/>
      <c r="E12" s="3"/>
    </row>
    <row r="13" spans="1:11" s="10" customFormat="1" x14ac:dyDescent="0.25">
      <c r="A13" s="149"/>
      <c r="B13" s="149" t="s">
        <v>3</v>
      </c>
      <c r="C13" s="149"/>
      <c r="D13" s="149"/>
      <c r="E13" s="149"/>
    </row>
    <row r="15" spans="1:11" x14ac:dyDescent="0.25">
      <c r="B15" s="19" t="s">
        <v>4</v>
      </c>
      <c r="C15" t="s">
        <v>0</v>
      </c>
    </row>
    <row r="16" spans="1:11" x14ac:dyDescent="0.25">
      <c r="A16" s="8"/>
      <c r="B16" t="s">
        <v>70</v>
      </c>
      <c r="C16" s="80">
        <v>-80000</v>
      </c>
      <c r="D16" t="s">
        <v>278</v>
      </c>
      <c r="E16" s="42">
        <f t="shared" ref="E16:K16" si="0">$C$17</f>
        <v>5000</v>
      </c>
      <c r="F16" s="42">
        <f t="shared" si="0"/>
        <v>5000</v>
      </c>
      <c r="G16" s="42">
        <f t="shared" si="0"/>
        <v>5000</v>
      </c>
      <c r="H16" s="42">
        <f t="shared" si="0"/>
        <v>5000</v>
      </c>
      <c r="I16" s="42">
        <f t="shared" si="0"/>
        <v>5000</v>
      </c>
      <c r="J16" s="42">
        <f t="shared" si="0"/>
        <v>5000</v>
      </c>
      <c r="K16" s="42">
        <f t="shared" si="0"/>
        <v>5000</v>
      </c>
    </row>
    <row r="17" spans="1:5" x14ac:dyDescent="0.25">
      <c r="A17" s="8"/>
      <c r="B17" t="s">
        <v>276</v>
      </c>
      <c r="C17" s="80">
        <v>5000</v>
      </c>
    </row>
    <row r="18" spans="1:5" x14ac:dyDescent="0.25">
      <c r="A18" s="8"/>
      <c r="B18" t="s">
        <v>277</v>
      </c>
      <c r="C18" s="12">
        <v>0.05</v>
      </c>
    </row>
    <row r="19" spans="1:5" x14ac:dyDescent="0.25">
      <c r="A19" s="8"/>
      <c r="B19" t="s">
        <v>59</v>
      </c>
      <c r="C19" s="12">
        <v>0.1</v>
      </c>
    </row>
    <row r="20" spans="1:5" ht="15" customHeight="1" x14ac:dyDescent="0.25">
      <c r="A20" s="8"/>
    </row>
    <row r="21" spans="1:5" s="34" customFormat="1" x14ac:dyDescent="0.25">
      <c r="A21" s="33"/>
    </row>
    <row r="22" spans="1:5" x14ac:dyDescent="0.25">
      <c r="A22" s="8"/>
    </row>
    <row r="23" spans="1:5" x14ac:dyDescent="0.25">
      <c r="A23" s="8"/>
      <c r="B23" s="2" t="s">
        <v>5</v>
      </c>
    </row>
    <row r="24" spans="1:5" x14ac:dyDescent="0.25">
      <c r="A24" s="8"/>
      <c r="B24" s="2" t="s">
        <v>7</v>
      </c>
    </row>
    <row r="25" spans="1:5" x14ac:dyDescent="0.25">
      <c r="A25" s="8"/>
      <c r="B25" t="s">
        <v>90</v>
      </c>
      <c r="C25" s="135">
        <f>C17/(C19-C18)</f>
        <v>100000</v>
      </c>
      <c r="D25" s="23"/>
    </row>
    <row r="26" spans="1:5" x14ac:dyDescent="0.25">
      <c r="A26" s="8"/>
      <c r="B26" s="45" t="s">
        <v>16</v>
      </c>
      <c r="C26" s="143">
        <f>C25+C16</f>
        <v>20000</v>
      </c>
      <c r="D26" s="23"/>
    </row>
    <row r="27" spans="1:5" x14ac:dyDescent="0.25">
      <c r="A27" s="8"/>
      <c r="B27" s="45"/>
      <c r="C27" s="143"/>
      <c r="D27" s="23"/>
    </row>
    <row r="28" spans="1:5" x14ac:dyDescent="0.25">
      <c r="A28" s="8"/>
      <c r="B28" s="2" t="s">
        <v>8</v>
      </c>
      <c r="C28" s="84"/>
      <c r="D28" s="23"/>
      <c r="E28" s="23"/>
    </row>
    <row r="29" spans="1:5" x14ac:dyDescent="0.25">
      <c r="A29" s="8"/>
      <c r="B29" t="s">
        <v>22</v>
      </c>
      <c r="C29" s="86">
        <f>C17/-C16+C18</f>
        <v>0.1125</v>
      </c>
      <c r="D29" s="23"/>
      <c r="E29" s="23"/>
    </row>
    <row r="30" spans="1:5" x14ac:dyDescent="0.25">
      <c r="B30" s="9"/>
      <c r="C30" s="9"/>
      <c r="D30" s="9"/>
      <c r="E30" s="9"/>
    </row>
    <row r="31" spans="1:5" x14ac:dyDescent="0.25">
      <c r="B31" s="9"/>
      <c r="C31" s="9"/>
      <c r="D31" s="9"/>
      <c r="E31" s="9"/>
    </row>
    <row r="32" spans="1:5" x14ac:dyDescent="0.25">
      <c r="B32" s="9"/>
      <c r="C32" s="9"/>
      <c r="D32" s="9"/>
      <c r="E32" s="9"/>
    </row>
  </sheetData>
  <mergeCells count="3">
    <mergeCell ref="B6:E6"/>
    <mergeCell ref="B7:E7"/>
    <mergeCell ref="B4:F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9"/>
  <sheetViews>
    <sheetView topLeftCell="A7"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7.5703125" customWidth="1"/>
    <col min="3" max="3" width="12.85546875" customWidth="1"/>
    <col min="4" max="4" width="10" customWidth="1"/>
    <col min="5" max="5" width="10.5703125" customWidth="1"/>
    <col min="6" max="7" width="8.5703125" customWidth="1"/>
    <col min="8" max="8" width="7.5703125" customWidth="1"/>
  </cols>
  <sheetData>
    <row r="1" spans="1:10" x14ac:dyDescent="0.25">
      <c r="A1" s="2" t="s">
        <v>319</v>
      </c>
      <c r="B1" s="2"/>
      <c r="C1" s="2"/>
    </row>
    <row r="2" spans="1:10" s="34" customFormat="1" x14ac:dyDescent="0.25">
      <c r="A2" s="151"/>
      <c r="B2" s="151"/>
      <c r="C2" s="151"/>
    </row>
    <row r="3" spans="1:10" x14ac:dyDescent="0.25">
      <c r="A3" s="2" t="s">
        <v>0</v>
      </c>
      <c r="B3" s="2" t="s">
        <v>95</v>
      </c>
      <c r="C3" s="2"/>
    </row>
    <row r="4" spans="1:10" ht="35.25" customHeight="1" x14ac:dyDescent="0.25">
      <c r="A4" s="1"/>
      <c r="B4" s="214" t="s">
        <v>105</v>
      </c>
      <c r="C4" s="214"/>
      <c r="D4" s="214"/>
      <c r="E4" s="214"/>
      <c r="F4" s="214"/>
      <c r="G4" s="214"/>
      <c r="H4" s="214"/>
      <c r="I4" s="214"/>
      <c r="J4" s="150"/>
    </row>
    <row r="5" spans="1:10" ht="15" customHeight="1" x14ac:dyDescent="0.25">
      <c r="A5" s="1"/>
      <c r="B5" s="54"/>
      <c r="C5" s="54"/>
      <c r="D5" s="54"/>
      <c r="E5" s="54"/>
      <c r="F5" s="54"/>
      <c r="G5" s="54"/>
      <c r="H5" s="54"/>
      <c r="I5" s="54"/>
      <c r="J5" s="54"/>
    </row>
    <row r="6" spans="1:10" ht="15" customHeight="1" x14ac:dyDescent="0.25">
      <c r="A6" s="1"/>
      <c r="B6" s="187" t="s">
        <v>13</v>
      </c>
      <c r="C6" s="188" t="s">
        <v>38</v>
      </c>
      <c r="D6" s="54"/>
      <c r="E6" s="54"/>
      <c r="F6" s="54"/>
      <c r="G6" s="54"/>
      <c r="H6" s="54"/>
      <c r="I6" s="54"/>
      <c r="J6" s="54"/>
    </row>
    <row r="7" spans="1:10" ht="15" customHeight="1" x14ac:dyDescent="0.25">
      <c r="A7" s="1"/>
      <c r="B7" s="54">
        <v>0</v>
      </c>
      <c r="C7" s="189">
        <v>100</v>
      </c>
      <c r="D7" s="54"/>
      <c r="E7" s="54"/>
      <c r="F7" s="54"/>
      <c r="G7" s="54"/>
      <c r="H7" s="54"/>
      <c r="I7" s="54"/>
      <c r="J7" s="54"/>
    </row>
    <row r="8" spans="1:10" ht="15" customHeight="1" x14ac:dyDescent="0.25">
      <c r="A8" s="1"/>
      <c r="B8" s="54">
        <v>1</v>
      </c>
      <c r="C8" s="190">
        <v>-60</v>
      </c>
      <c r="D8" s="54"/>
      <c r="E8" s="54"/>
      <c r="F8" s="54"/>
      <c r="G8" s="54"/>
      <c r="H8" s="54"/>
      <c r="I8" s="54"/>
      <c r="J8" s="54"/>
    </row>
    <row r="9" spans="1:10" ht="15" customHeight="1" x14ac:dyDescent="0.25">
      <c r="A9" s="1"/>
      <c r="B9" s="54">
        <v>2</v>
      </c>
      <c r="C9" s="190">
        <v>-60</v>
      </c>
      <c r="D9" s="54"/>
      <c r="E9" s="54"/>
      <c r="F9" s="54"/>
      <c r="G9" s="54"/>
      <c r="H9" s="54"/>
      <c r="I9" s="54"/>
      <c r="J9" s="54"/>
    </row>
    <row r="10" spans="1:10" ht="15" customHeight="1" x14ac:dyDescent="0.25">
      <c r="A10" s="1"/>
      <c r="B10" s="54"/>
      <c r="D10" s="54"/>
      <c r="E10" s="54"/>
      <c r="F10" s="54"/>
      <c r="G10" s="54"/>
      <c r="H10" s="54"/>
      <c r="I10" s="54"/>
      <c r="J10" s="54"/>
    </row>
    <row r="11" spans="1:10" ht="15" customHeight="1" x14ac:dyDescent="0.25">
      <c r="A11" s="1"/>
      <c r="B11" s="214" t="s">
        <v>179</v>
      </c>
      <c r="C11" s="214"/>
      <c r="D11" s="214"/>
      <c r="E11" s="214"/>
      <c r="F11" s="214"/>
      <c r="G11" s="54"/>
      <c r="H11" s="54"/>
      <c r="I11" s="54"/>
      <c r="J11" s="54"/>
    </row>
    <row r="12" spans="1:10" ht="15" customHeight="1" x14ac:dyDescent="0.25">
      <c r="A12" s="1"/>
      <c r="B12" s="214" t="s">
        <v>180</v>
      </c>
      <c r="C12" s="214"/>
      <c r="D12" s="214"/>
      <c r="E12" s="54"/>
      <c r="F12" s="54"/>
      <c r="G12" s="54"/>
      <c r="H12" s="54"/>
      <c r="I12" s="54"/>
      <c r="J12" s="54"/>
    </row>
    <row r="13" spans="1:10" ht="15" customHeight="1" x14ac:dyDescent="0.25">
      <c r="A13" s="1"/>
      <c r="D13" s="14"/>
      <c r="E13" s="14"/>
      <c r="F13" s="14"/>
    </row>
    <row r="14" spans="1:10" s="11" customFormat="1" x14ac:dyDescent="0.25">
      <c r="A14" s="4"/>
      <c r="B14" s="5"/>
      <c r="C14" s="5"/>
      <c r="D14" s="5"/>
      <c r="E14" s="5"/>
      <c r="F14" s="5"/>
    </row>
    <row r="15" spans="1:10" x14ac:dyDescent="0.25">
      <c r="A15" s="2"/>
      <c r="B15" s="3"/>
    </row>
    <row r="16" spans="1:10" x14ac:dyDescent="0.25">
      <c r="A16" s="2"/>
      <c r="B16" s="6" t="s">
        <v>1</v>
      </c>
      <c r="C16" s="6"/>
      <c r="D16" s="6"/>
      <c r="E16" s="6"/>
      <c r="F16" s="6"/>
      <c r="G16" s="13"/>
      <c r="H16" s="13"/>
      <c r="I16" s="13"/>
    </row>
    <row r="17" spans="1:6" x14ac:dyDescent="0.25">
      <c r="A17" s="2"/>
      <c r="B17" s="7" t="s">
        <v>2</v>
      </c>
      <c r="C17" s="3"/>
      <c r="D17" s="3"/>
      <c r="E17" s="3"/>
      <c r="F17" s="3"/>
    </row>
    <row r="18" spans="1:6" x14ac:dyDescent="0.25">
      <c r="A18" s="2"/>
      <c r="B18" s="3" t="s">
        <v>3</v>
      </c>
      <c r="C18" s="3"/>
      <c r="D18" s="3"/>
      <c r="E18" s="3"/>
      <c r="F18" s="3"/>
    </row>
    <row r="20" spans="1:6" x14ac:dyDescent="0.25">
      <c r="B20" s="2" t="s">
        <v>4</v>
      </c>
    </row>
    <row r="21" spans="1:6" x14ac:dyDescent="0.25">
      <c r="B21" s="79" t="s">
        <v>13</v>
      </c>
      <c r="C21" s="155" t="s">
        <v>38</v>
      </c>
    </row>
    <row r="22" spans="1:6" x14ac:dyDescent="0.25">
      <c r="A22" s="8"/>
      <c r="B22" s="191">
        <v>0</v>
      </c>
      <c r="C22" s="91">
        <v>100</v>
      </c>
    </row>
    <row r="23" spans="1:6" x14ac:dyDescent="0.25">
      <c r="A23" s="8"/>
      <c r="B23" s="192">
        <v>1</v>
      </c>
      <c r="C23" s="92">
        <v>-60</v>
      </c>
    </row>
    <row r="24" spans="1:6" x14ac:dyDescent="0.25">
      <c r="A24" s="8"/>
      <c r="B24" s="193">
        <v>2</v>
      </c>
      <c r="C24" s="65">
        <v>-60</v>
      </c>
      <c r="E24" s="39"/>
    </row>
    <row r="25" spans="1:6" x14ac:dyDescent="0.25">
      <c r="A25" s="8"/>
      <c r="B25" s="22"/>
      <c r="C25" s="39"/>
      <c r="E25" s="39"/>
    </row>
    <row r="26" spans="1:6" x14ac:dyDescent="0.25">
      <c r="A26" s="8"/>
      <c r="B26" s="37" t="s">
        <v>11</v>
      </c>
      <c r="C26" s="67">
        <v>0.12</v>
      </c>
      <c r="E26" s="39"/>
    </row>
    <row r="27" spans="1:6" x14ac:dyDescent="0.25">
      <c r="A27" s="8"/>
      <c r="B27" s="22"/>
      <c r="C27" s="90"/>
      <c r="E27" s="39"/>
    </row>
    <row r="28" spans="1:6" s="34" customFormat="1" x14ac:dyDescent="0.25">
      <c r="A28" s="33"/>
      <c r="C28" s="35"/>
      <c r="D28" s="36"/>
      <c r="E28" s="36"/>
    </row>
    <row r="29" spans="1:6" x14ac:dyDescent="0.25">
      <c r="A29" s="8"/>
    </row>
    <row r="30" spans="1:6" x14ac:dyDescent="0.25">
      <c r="A30" s="8"/>
      <c r="B30" s="2" t="s">
        <v>5</v>
      </c>
    </row>
    <row r="31" spans="1:6" x14ac:dyDescent="0.25">
      <c r="A31" s="8"/>
      <c r="B31" s="2" t="s">
        <v>10</v>
      </c>
      <c r="C31" s="23"/>
      <c r="E31" s="53"/>
      <c r="F31" s="23"/>
    </row>
    <row r="32" spans="1:6" x14ac:dyDescent="0.25">
      <c r="A32" s="8"/>
      <c r="B32" t="s">
        <v>16</v>
      </c>
      <c r="C32" s="93">
        <f>C22+NPV(C26,C23,C24)</f>
        <v>-1.4030612244897895</v>
      </c>
      <c r="E32" s="38"/>
      <c r="F32" s="23"/>
    </row>
    <row r="33" spans="1:6" x14ac:dyDescent="0.25">
      <c r="A33" s="8"/>
      <c r="B33" t="s">
        <v>22</v>
      </c>
      <c r="C33" s="94">
        <f>IRR(C22:C24)</f>
        <v>0.13066238629180749</v>
      </c>
      <c r="E33" s="38"/>
      <c r="F33" s="23"/>
    </row>
    <row r="34" spans="1:6" x14ac:dyDescent="0.25">
      <c r="A34" s="8"/>
      <c r="C34" s="94"/>
      <c r="E34" s="38"/>
      <c r="F34" s="23"/>
    </row>
    <row r="35" spans="1:6" x14ac:dyDescent="0.25">
      <c r="A35" s="8"/>
      <c r="B35" s="194" t="s">
        <v>8</v>
      </c>
      <c r="C35" s="95"/>
      <c r="E35" s="38"/>
      <c r="F35" s="21"/>
    </row>
    <row r="36" spans="1:6" x14ac:dyDescent="0.25">
      <c r="A36" s="8"/>
      <c r="B36" s="9" t="s">
        <v>39</v>
      </c>
      <c r="C36" s="86" t="str">
        <f>IF(C32&gt;=0,"Yes","No")</f>
        <v>No</v>
      </c>
      <c r="E36" s="38"/>
      <c r="F36" s="21"/>
    </row>
    <row r="37" spans="1:6" x14ac:dyDescent="0.25">
      <c r="A37" s="8"/>
      <c r="C37" s="195"/>
      <c r="D37" s="48"/>
      <c r="E37" s="38"/>
      <c r="F37" s="21"/>
    </row>
    <row r="38" spans="1:6" x14ac:dyDescent="0.25">
      <c r="A38" s="8"/>
      <c r="C38" s="18"/>
      <c r="D38" s="48"/>
      <c r="E38" s="38"/>
      <c r="F38" s="21"/>
    </row>
    <row r="39" spans="1:6" x14ac:dyDescent="0.25">
      <c r="A39" s="8"/>
      <c r="D39" s="27"/>
    </row>
  </sheetData>
  <mergeCells count="3">
    <mergeCell ref="B4:I4"/>
    <mergeCell ref="B11:F11"/>
    <mergeCell ref="B12:D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3"/>
  <sheetViews>
    <sheetView topLeftCell="A4" workbookViewId="0">
      <selection activeCell="A2" sqref="A2"/>
    </sheetView>
  </sheetViews>
  <sheetFormatPr defaultColWidth="9.140625" defaultRowHeight="15" x14ac:dyDescent="0.25"/>
  <cols>
    <col min="1" max="1" width="18.140625" customWidth="1"/>
    <col min="2" max="2" width="19.42578125" customWidth="1"/>
    <col min="3" max="4" width="16.42578125" customWidth="1"/>
    <col min="5" max="5" width="17.5703125" customWidth="1"/>
    <col min="6" max="6" width="7.5703125" customWidth="1"/>
  </cols>
  <sheetData>
    <row r="1" spans="1:9" x14ac:dyDescent="0.25">
      <c r="A1" s="2" t="s">
        <v>318</v>
      </c>
      <c r="B1" s="2"/>
    </row>
    <row r="2" spans="1:9" s="34" customFormat="1" x14ac:dyDescent="0.25">
      <c r="A2" s="151"/>
      <c r="B2" s="151"/>
    </row>
    <row r="3" spans="1:9" x14ac:dyDescent="0.25">
      <c r="A3" s="2" t="s">
        <v>0</v>
      </c>
      <c r="B3" s="2" t="s">
        <v>95</v>
      </c>
    </row>
    <row r="4" spans="1:9" ht="49.5" customHeight="1" x14ac:dyDescent="0.25">
      <c r="A4" s="1"/>
      <c r="B4" s="214" t="s">
        <v>137</v>
      </c>
      <c r="C4" s="214"/>
      <c r="D4" s="214"/>
      <c r="E4" s="214"/>
      <c r="F4" s="214"/>
      <c r="G4" s="214"/>
      <c r="H4" s="150"/>
      <c r="I4" s="54"/>
    </row>
    <row r="5" spans="1:9" ht="15" customHeight="1" x14ac:dyDescent="0.25">
      <c r="A5" s="1"/>
      <c r="B5" s="54"/>
      <c r="C5" s="54"/>
      <c r="D5" s="54"/>
      <c r="E5" s="54"/>
      <c r="F5" s="54"/>
      <c r="G5" s="54"/>
      <c r="H5" s="150"/>
      <c r="I5" s="54"/>
    </row>
    <row r="6" spans="1:9" ht="15" customHeight="1" x14ac:dyDescent="0.25">
      <c r="A6" s="1"/>
      <c r="B6" s="214" t="s">
        <v>138</v>
      </c>
      <c r="C6" s="214"/>
      <c r="D6" s="214"/>
      <c r="E6" s="214"/>
      <c r="F6" s="214"/>
      <c r="G6" s="214"/>
      <c r="H6" s="214"/>
      <c r="I6" s="214"/>
    </row>
    <row r="7" spans="1:9" ht="15" customHeight="1" x14ac:dyDescent="0.25">
      <c r="A7" s="1"/>
      <c r="B7" s="214" t="s">
        <v>139</v>
      </c>
      <c r="C7" s="214"/>
      <c r="D7" s="214"/>
      <c r="E7" s="214"/>
      <c r="F7" s="214"/>
      <c r="G7" s="214"/>
      <c r="H7" s="214"/>
      <c r="I7" s="214"/>
    </row>
    <row r="8" spans="1:9" ht="15" customHeight="1" x14ac:dyDescent="0.25">
      <c r="A8" s="1"/>
      <c r="B8" s="54"/>
      <c r="C8" s="54"/>
      <c r="D8" s="54"/>
      <c r="E8" s="54"/>
      <c r="F8" s="54"/>
      <c r="G8" s="54"/>
      <c r="H8" s="54"/>
      <c r="I8" s="54"/>
    </row>
    <row r="9" spans="1:9" s="11" customFormat="1" x14ac:dyDescent="0.25">
      <c r="A9" s="4"/>
      <c r="B9" s="5"/>
      <c r="C9" s="5"/>
      <c r="D9" s="5"/>
      <c r="E9" s="5"/>
    </row>
    <row r="10" spans="1:9" x14ac:dyDescent="0.25">
      <c r="A10" s="2"/>
    </row>
    <row r="11" spans="1:9" x14ac:dyDescent="0.25">
      <c r="A11" s="2"/>
      <c r="B11" s="6" t="s">
        <v>1</v>
      </c>
      <c r="C11" s="6"/>
      <c r="D11" s="6"/>
      <c r="E11" s="6"/>
      <c r="F11" s="13"/>
      <c r="G11" s="13"/>
    </row>
    <row r="12" spans="1:9" x14ac:dyDescent="0.25">
      <c r="A12" s="2"/>
      <c r="B12" s="7" t="s">
        <v>2</v>
      </c>
      <c r="C12" s="3"/>
      <c r="D12" s="3"/>
      <c r="E12" s="3"/>
    </row>
    <row r="13" spans="1:9" s="10" customFormat="1" x14ac:dyDescent="0.25">
      <c r="A13" s="149"/>
      <c r="B13" s="149" t="s">
        <v>3</v>
      </c>
      <c r="C13" s="149"/>
      <c r="D13" s="149"/>
      <c r="E13" s="149"/>
    </row>
    <row r="15" spans="1:9" x14ac:dyDescent="0.25">
      <c r="B15" s="2" t="s">
        <v>4</v>
      </c>
    </row>
    <row r="16" spans="1:9" x14ac:dyDescent="0.25">
      <c r="A16" s="8"/>
      <c r="B16" s="37" t="s">
        <v>49</v>
      </c>
      <c r="C16" s="97">
        <v>-5</v>
      </c>
      <c r="D16" t="s">
        <v>92</v>
      </c>
      <c r="E16" t="s">
        <v>278</v>
      </c>
    </row>
    <row r="17" spans="1:8" x14ac:dyDescent="0.25">
      <c r="A17" s="8"/>
      <c r="B17" s="37" t="s">
        <v>279</v>
      </c>
      <c r="C17" s="66">
        <v>30</v>
      </c>
      <c r="D17" s="37" t="s">
        <v>92</v>
      </c>
    </row>
    <row r="18" spans="1:8" x14ac:dyDescent="0.25">
      <c r="A18" s="8"/>
      <c r="B18" s="37" t="s">
        <v>280</v>
      </c>
      <c r="C18" s="123">
        <v>-28</v>
      </c>
      <c r="D18" s="59" t="s">
        <v>92</v>
      </c>
      <c r="E18" t="s">
        <v>278</v>
      </c>
    </row>
    <row r="19" spans="1:8" x14ac:dyDescent="0.25">
      <c r="A19" s="8"/>
      <c r="B19" s="37"/>
      <c r="C19" s="136"/>
      <c r="D19" s="59"/>
    </row>
    <row r="20" spans="1:8" x14ac:dyDescent="0.25">
      <c r="A20" s="8"/>
      <c r="B20" s="37" t="s">
        <v>50</v>
      </c>
      <c r="C20" s="67">
        <v>0.1</v>
      </c>
    </row>
    <row r="21" spans="1:8" x14ac:dyDescent="0.25">
      <c r="A21" s="8"/>
      <c r="B21" s="37" t="s">
        <v>51</v>
      </c>
      <c r="C21" s="67">
        <v>0.2</v>
      </c>
      <c r="D21" s="59"/>
    </row>
    <row r="22" spans="1:8" x14ac:dyDescent="0.25">
      <c r="A22" s="8"/>
      <c r="B22" s="37" t="s">
        <v>52</v>
      </c>
      <c r="C22" s="67">
        <v>3.5</v>
      </c>
      <c r="D22" s="59"/>
    </row>
    <row r="23" spans="1:8" x14ac:dyDescent="0.25">
      <c r="A23" s="8"/>
      <c r="B23" s="37" t="s">
        <v>53</v>
      </c>
      <c r="C23" s="67">
        <v>4</v>
      </c>
      <c r="D23" s="59"/>
    </row>
    <row r="24" spans="1:8" x14ac:dyDescent="0.25">
      <c r="A24" s="8"/>
      <c r="B24" s="22"/>
      <c r="C24" s="63"/>
      <c r="D24" s="59"/>
    </row>
    <row r="25" spans="1:8" s="34" customFormat="1" x14ac:dyDescent="0.25">
      <c r="A25" s="33"/>
      <c r="B25" s="35"/>
      <c r="C25" s="36"/>
      <c r="D25" s="36"/>
    </row>
    <row r="26" spans="1:8" x14ac:dyDescent="0.25">
      <c r="A26" s="8"/>
    </row>
    <row r="27" spans="1:8" x14ac:dyDescent="0.25">
      <c r="A27" s="8"/>
      <c r="B27" s="2" t="s">
        <v>5</v>
      </c>
    </row>
    <row r="28" spans="1:8" x14ac:dyDescent="0.25">
      <c r="A28" s="8"/>
      <c r="B28" s="19" t="s">
        <v>7</v>
      </c>
      <c r="C28" s="23"/>
      <c r="D28" s="53"/>
      <c r="E28" s="23"/>
      <c r="F28" s="20">
        <v>0</v>
      </c>
      <c r="G28" s="20">
        <v>1</v>
      </c>
      <c r="H28" s="20">
        <v>2</v>
      </c>
    </row>
    <row r="29" spans="1:8" x14ac:dyDescent="0.25">
      <c r="A29" s="8"/>
      <c r="B29" s="37" t="s">
        <v>54</v>
      </c>
      <c r="C29" s="86">
        <f>IRR($F$29:$H$29,20)</f>
        <v>3.8439088914585966</v>
      </c>
      <c r="D29" s="38"/>
      <c r="E29" s="23"/>
      <c r="F29" s="51">
        <f>C16</f>
        <v>-5</v>
      </c>
      <c r="G29" s="22">
        <f>C17</f>
        <v>30</v>
      </c>
      <c r="H29" s="51">
        <f>C18</f>
        <v>-28</v>
      </c>
    </row>
    <row r="30" spans="1:8" x14ac:dyDescent="0.25">
      <c r="A30" s="8"/>
      <c r="B30" s="37" t="s">
        <v>55</v>
      </c>
      <c r="C30" s="86">
        <f>IRR($F29:$H$29,1000000)</f>
        <v>3.8439088914599671</v>
      </c>
      <c r="D30" s="103" t="s">
        <v>281</v>
      </c>
      <c r="E30" s="23"/>
    </row>
    <row r="31" spans="1:8" x14ac:dyDescent="0.25">
      <c r="B31" s="37"/>
      <c r="C31" s="64"/>
    </row>
    <row r="32" spans="1:8" x14ac:dyDescent="0.25">
      <c r="B32" s="19" t="s">
        <v>8</v>
      </c>
      <c r="C32" s="64"/>
    </row>
    <row r="33" spans="2:4" x14ac:dyDescent="0.25">
      <c r="B33" s="37" t="s">
        <v>11</v>
      </c>
      <c r="C33" s="20" t="s">
        <v>140</v>
      </c>
      <c r="D33" s="155" t="s">
        <v>56</v>
      </c>
    </row>
    <row r="34" spans="2:4" x14ac:dyDescent="0.25">
      <c r="B34" s="208">
        <f>C20</f>
        <v>0.1</v>
      </c>
      <c r="C34" s="137">
        <f>$C$16+NPV(C20,$C$17,$C$18)</f>
        <v>-0.86776859504132187</v>
      </c>
      <c r="D34" s="120" t="str">
        <f>IF(C34&gt;=0,"Yes","No")</f>
        <v>No</v>
      </c>
    </row>
    <row r="35" spans="2:4" x14ac:dyDescent="0.25">
      <c r="B35" s="208">
        <f>C21</f>
        <v>0.2</v>
      </c>
      <c r="C35" s="137">
        <f>$C$16+NPV(C21,$C$17,$C$18)</f>
        <v>0.55555555555555358</v>
      </c>
      <c r="D35" s="120" t="str">
        <f t="shared" ref="D35:D37" si="0">IF(C35&gt;=0,"Yes","No")</f>
        <v>Yes</v>
      </c>
    </row>
    <row r="36" spans="2:4" x14ac:dyDescent="0.25">
      <c r="B36" s="208">
        <f>C22</f>
        <v>3.5</v>
      </c>
      <c r="C36" s="137">
        <f>$C$16+NPV(C22,$C$17,$C$18)</f>
        <v>0.28395061728395099</v>
      </c>
      <c r="D36" s="120" t="str">
        <f t="shared" si="0"/>
        <v>Yes</v>
      </c>
    </row>
    <row r="37" spans="2:4" x14ac:dyDescent="0.25">
      <c r="B37" s="208">
        <f>C23</f>
        <v>4</v>
      </c>
      <c r="C37" s="137">
        <f>$C$16+NPV(C23,$C$17,$C$18)</f>
        <v>-0.12000000000000011</v>
      </c>
      <c r="D37" s="120" t="str">
        <f t="shared" si="0"/>
        <v>No</v>
      </c>
    </row>
    <row r="38" spans="2:4" x14ac:dyDescent="0.25">
      <c r="B38" s="61"/>
    </row>
    <row r="39" spans="2:4" x14ac:dyDescent="0.25">
      <c r="B39" s="58"/>
    </row>
    <row r="40" spans="2:4" x14ac:dyDescent="0.25">
      <c r="B40" s="58"/>
    </row>
    <row r="41" spans="2:4" x14ac:dyDescent="0.25">
      <c r="B41" s="58"/>
    </row>
    <row r="42" spans="2:4" x14ac:dyDescent="0.25">
      <c r="B42" s="58"/>
    </row>
    <row r="43" spans="2:4" x14ac:dyDescent="0.25">
      <c r="B43" s="58"/>
    </row>
  </sheetData>
  <mergeCells count="3">
    <mergeCell ref="B6:I6"/>
    <mergeCell ref="B7:I7"/>
    <mergeCell ref="B4:G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2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3.85546875" customWidth="1"/>
    <col min="3" max="3" width="11" customWidth="1"/>
    <col min="4" max="4" width="10.5703125" customWidth="1"/>
    <col min="5" max="6" width="8.5703125" customWidth="1"/>
    <col min="7" max="7" width="7.5703125" customWidth="1"/>
    <col min="9" max="9" width="15.5703125" customWidth="1"/>
  </cols>
  <sheetData>
    <row r="1" spans="1:9" x14ac:dyDescent="0.25">
      <c r="A1" s="2" t="s">
        <v>317</v>
      </c>
      <c r="B1" s="2"/>
    </row>
    <row r="2" spans="1:9" s="34" customFormat="1" x14ac:dyDescent="0.25">
      <c r="A2" s="151"/>
      <c r="B2" s="151"/>
    </row>
    <row r="3" spans="1:9" x14ac:dyDescent="0.25">
      <c r="A3" s="2"/>
      <c r="B3" s="2" t="s">
        <v>95</v>
      </c>
    </row>
    <row r="4" spans="1:9" ht="36" customHeight="1" x14ac:dyDescent="0.25">
      <c r="A4" s="1"/>
      <c r="B4" s="214" t="s">
        <v>181</v>
      </c>
      <c r="C4" s="214"/>
      <c r="D4" s="214"/>
      <c r="E4" s="214"/>
      <c r="F4" s="214"/>
      <c r="G4" s="214"/>
      <c r="H4" s="214"/>
      <c r="I4" s="214"/>
    </row>
    <row r="5" spans="1:9" ht="15" customHeight="1" x14ac:dyDescent="0.25">
      <c r="A5" s="1"/>
      <c r="B5" s="54"/>
      <c r="C5" s="54"/>
      <c r="D5" s="54"/>
      <c r="E5" s="54"/>
      <c r="F5" s="54"/>
      <c r="G5" s="54"/>
      <c r="H5" s="54"/>
      <c r="I5" s="54"/>
    </row>
    <row r="6" spans="1:9" ht="18.75" customHeight="1" x14ac:dyDescent="0.25">
      <c r="A6" s="1"/>
      <c r="B6" s="196" t="s">
        <v>175</v>
      </c>
      <c r="C6" s="196" t="s">
        <v>176</v>
      </c>
      <c r="D6" s="196" t="s">
        <v>177</v>
      </c>
      <c r="E6" s="196" t="s">
        <v>184</v>
      </c>
      <c r="F6" s="54"/>
      <c r="G6" s="54"/>
      <c r="H6" s="54"/>
      <c r="I6" s="54"/>
    </row>
    <row r="7" spans="1:9" ht="15" customHeight="1" x14ac:dyDescent="0.25">
      <c r="A7" s="1"/>
      <c r="B7" s="189">
        <v>-10000</v>
      </c>
      <c r="C7" s="189">
        <v>0</v>
      </c>
      <c r="D7" s="189">
        <v>7500</v>
      </c>
      <c r="E7" s="189">
        <v>8500</v>
      </c>
      <c r="F7" s="54"/>
      <c r="G7" s="54"/>
      <c r="H7" s="54"/>
      <c r="I7" s="54"/>
    </row>
    <row r="8" spans="1:9" ht="15" customHeight="1" x14ac:dyDescent="0.25">
      <c r="A8" s="1"/>
      <c r="B8" s="54"/>
      <c r="C8" s="54"/>
      <c r="D8" s="54"/>
      <c r="E8" s="54"/>
      <c r="F8" s="54"/>
      <c r="G8" s="54"/>
      <c r="H8" s="54"/>
      <c r="I8" s="54"/>
    </row>
    <row r="9" spans="1:9" ht="15" customHeight="1" x14ac:dyDescent="0.25">
      <c r="A9" s="1"/>
      <c r="B9" s="214" t="s">
        <v>182</v>
      </c>
      <c r="C9" s="214"/>
      <c r="D9" s="214"/>
      <c r="E9" s="214"/>
      <c r="F9" s="214"/>
      <c r="G9" s="214"/>
      <c r="H9" s="214"/>
      <c r="I9" s="214"/>
    </row>
    <row r="10" spans="1:9" ht="15" customHeight="1" x14ac:dyDescent="0.25">
      <c r="A10" s="1"/>
      <c r="B10" s="214" t="s">
        <v>183</v>
      </c>
      <c r="C10" s="214"/>
      <c r="D10" s="214"/>
      <c r="E10" s="214"/>
      <c r="F10" s="214"/>
      <c r="G10" s="214"/>
      <c r="H10" s="214"/>
      <c r="I10" s="54"/>
    </row>
    <row r="11" spans="1:9" ht="15" customHeight="1" x14ac:dyDescent="0.25">
      <c r="A11" s="1"/>
      <c r="B11" s="14"/>
      <c r="C11" s="14"/>
      <c r="D11" s="14"/>
      <c r="E11" s="14"/>
    </row>
    <row r="12" spans="1:9" s="11" customFormat="1" x14ac:dyDescent="0.25">
      <c r="A12" s="4"/>
      <c r="B12" s="5"/>
      <c r="C12" s="5"/>
      <c r="D12" s="5"/>
      <c r="E12" s="5"/>
    </row>
    <row r="13" spans="1:9" x14ac:dyDescent="0.25">
      <c r="A13" s="2"/>
    </row>
    <row r="14" spans="1:9" x14ac:dyDescent="0.25">
      <c r="A14" s="2"/>
      <c r="B14" s="6" t="s">
        <v>1</v>
      </c>
      <c r="C14" s="6"/>
      <c r="D14" s="6"/>
      <c r="E14" s="6"/>
      <c r="F14" s="13"/>
      <c r="G14" s="13"/>
      <c r="H14" s="13"/>
      <c r="I14" s="13"/>
    </row>
    <row r="15" spans="1:9" x14ac:dyDescent="0.25">
      <c r="A15" s="2"/>
      <c r="B15" s="7" t="s">
        <v>2</v>
      </c>
      <c r="C15" s="3"/>
      <c r="D15" s="3"/>
      <c r="E15" s="3"/>
    </row>
    <row r="16" spans="1:9" s="10" customFormat="1" x14ac:dyDescent="0.25">
      <c r="A16" s="149"/>
      <c r="B16" s="149" t="s">
        <v>3</v>
      </c>
      <c r="C16" s="149"/>
      <c r="D16" s="149"/>
      <c r="E16" s="149"/>
    </row>
    <row r="18" spans="1:6" x14ac:dyDescent="0.25">
      <c r="B18" s="2" t="s">
        <v>4</v>
      </c>
    </row>
    <row r="19" spans="1:6" ht="18" x14ac:dyDescent="0.25">
      <c r="A19" s="8"/>
      <c r="B19" s="197" t="s">
        <v>175</v>
      </c>
      <c r="C19" s="97">
        <v>-10000</v>
      </c>
      <c r="F19" s="22"/>
    </row>
    <row r="20" spans="1:6" ht="18" x14ac:dyDescent="0.25">
      <c r="A20" s="8"/>
      <c r="B20" s="197" t="s">
        <v>176</v>
      </c>
      <c r="C20" s="97">
        <v>0</v>
      </c>
      <c r="F20" s="22"/>
    </row>
    <row r="21" spans="1:6" ht="18" x14ac:dyDescent="0.25">
      <c r="A21" s="8"/>
      <c r="B21" s="197" t="s">
        <v>177</v>
      </c>
      <c r="C21" s="97">
        <v>7500</v>
      </c>
      <c r="F21" s="22"/>
    </row>
    <row r="22" spans="1:6" ht="18" x14ac:dyDescent="0.25">
      <c r="A22" s="8"/>
      <c r="B22" s="197" t="s">
        <v>184</v>
      </c>
      <c r="C22" s="97">
        <v>8500</v>
      </c>
      <c r="D22" s="39"/>
    </row>
    <row r="23" spans="1:6" x14ac:dyDescent="0.25">
      <c r="A23" s="8"/>
      <c r="B23" s="37" t="s">
        <v>61</v>
      </c>
      <c r="C23" s="67">
        <v>0.12</v>
      </c>
      <c r="D23" s="39"/>
    </row>
    <row r="24" spans="1:6" x14ac:dyDescent="0.25">
      <c r="A24" s="8"/>
      <c r="B24" s="22"/>
      <c r="C24" s="39"/>
      <c r="D24" s="39"/>
    </row>
    <row r="25" spans="1:6" s="34" customFormat="1" x14ac:dyDescent="0.25">
      <c r="A25" s="33"/>
      <c r="B25" s="35"/>
      <c r="C25" s="36"/>
      <c r="D25" s="36"/>
    </row>
    <row r="26" spans="1:6" x14ac:dyDescent="0.25">
      <c r="A26" s="8"/>
    </row>
    <row r="27" spans="1:6" x14ac:dyDescent="0.25">
      <c r="A27" s="8"/>
      <c r="B27" s="2" t="s">
        <v>5</v>
      </c>
    </row>
    <row r="28" spans="1:6" x14ac:dyDescent="0.25">
      <c r="A28" s="8"/>
      <c r="B28" t="s">
        <v>22</v>
      </c>
      <c r="C28" s="86">
        <f>IRR(C19:C22)</f>
        <v>0.20612457500178905</v>
      </c>
      <c r="D28" s="38"/>
      <c r="E28" s="23"/>
    </row>
    <row r="29" spans="1:6" x14ac:dyDescent="0.25">
      <c r="A29" s="8"/>
      <c r="B29" s="18" t="s">
        <v>39</v>
      </c>
      <c r="C29" s="86" t="str">
        <f>IF(C28&gt;=C23,"Yes","No")</f>
        <v>Yes</v>
      </c>
      <c r="D29" s="38"/>
      <c r="E29" s="21"/>
    </row>
    <row r="30" spans="1:6" x14ac:dyDescent="0.25">
      <c r="A30" s="8"/>
      <c r="B30" s="18" t="s">
        <v>16</v>
      </c>
      <c r="C30" s="98">
        <f>NPV(C23,C20:C22)+C19</f>
        <v>2029.0861880466437</v>
      </c>
      <c r="D30" s="38"/>
      <c r="E30" s="21"/>
    </row>
    <row r="31" spans="1:6" x14ac:dyDescent="0.25">
      <c r="A31" s="8"/>
      <c r="B31" s="18"/>
      <c r="C31" s="48"/>
      <c r="D31" s="38"/>
      <c r="E31" s="21"/>
    </row>
    <row r="32" spans="1:6" x14ac:dyDescent="0.25">
      <c r="A32" s="8"/>
      <c r="C32" s="27"/>
    </row>
  </sheetData>
  <mergeCells count="3">
    <mergeCell ref="B9:I9"/>
    <mergeCell ref="B4:I4"/>
    <mergeCell ref="B10:H10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"/>
  <sheetViews>
    <sheetView topLeftCell="A4" workbookViewId="0">
      <selection activeCell="H28" sqref="H28"/>
    </sheetView>
  </sheetViews>
  <sheetFormatPr defaultColWidth="9.140625" defaultRowHeight="15" x14ac:dyDescent="0.25"/>
  <cols>
    <col min="1" max="1" width="16.5703125" customWidth="1"/>
    <col min="2" max="2" width="14.42578125" customWidth="1"/>
    <col min="3" max="3" width="11.5703125" customWidth="1"/>
    <col min="4" max="4" width="9.5703125" customWidth="1"/>
    <col min="5" max="5" width="10.42578125" customWidth="1"/>
    <col min="6" max="6" width="10.85546875" bestFit="1" customWidth="1"/>
    <col min="8" max="8" width="11.42578125" customWidth="1"/>
  </cols>
  <sheetData>
    <row r="1" spans="1:8" x14ac:dyDescent="0.25">
      <c r="A1" s="2" t="s">
        <v>316</v>
      </c>
      <c r="B1" s="2"/>
    </row>
    <row r="2" spans="1:8" s="34" customFormat="1" x14ac:dyDescent="0.25">
      <c r="A2" s="151"/>
      <c r="B2" s="151"/>
    </row>
    <row r="3" spans="1:8" x14ac:dyDescent="0.25">
      <c r="A3" s="2" t="s">
        <v>0</v>
      </c>
      <c r="B3" s="2" t="s">
        <v>95</v>
      </c>
    </row>
    <row r="4" spans="1:8" x14ac:dyDescent="0.25">
      <c r="A4" s="2"/>
      <c r="B4" t="s">
        <v>186</v>
      </c>
    </row>
    <row r="5" spans="1:8" x14ac:dyDescent="0.25">
      <c r="A5" s="2"/>
    </row>
    <row r="6" spans="1:8" x14ac:dyDescent="0.25">
      <c r="A6" s="2"/>
      <c r="C6" t="s">
        <v>187</v>
      </c>
    </row>
    <row r="7" spans="1:8" ht="18" x14ac:dyDescent="0.35">
      <c r="A7" s="2"/>
      <c r="B7" t="s">
        <v>25</v>
      </c>
      <c r="C7" s="185" t="s">
        <v>175</v>
      </c>
      <c r="D7" s="185" t="s">
        <v>176</v>
      </c>
      <c r="E7" s="185" t="s">
        <v>177</v>
      </c>
      <c r="F7" t="s">
        <v>188</v>
      </c>
    </row>
    <row r="8" spans="1:8" x14ac:dyDescent="0.25">
      <c r="A8" s="2"/>
      <c r="B8" t="s">
        <v>14</v>
      </c>
      <c r="C8" s="199">
        <v>-30000</v>
      </c>
      <c r="D8" s="199">
        <v>21000</v>
      </c>
      <c r="E8" s="199">
        <v>21000</v>
      </c>
      <c r="F8" s="184">
        <v>6446</v>
      </c>
    </row>
    <row r="9" spans="1:8" x14ac:dyDescent="0.25">
      <c r="A9" s="2"/>
      <c r="B9" t="s">
        <v>15</v>
      </c>
      <c r="C9" s="199">
        <v>-50000</v>
      </c>
      <c r="D9" s="199">
        <v>33000</v>
      </c>
      <c r="E9" s="199">
        <v>33000</v>
      </c>
      <c r="F9" s="199">
        <v>7273</v>
      </c>
    </row>
    <row r="10" spans="1:8" x14ac:dyDescent="0.25">
      <c r="A10" s="2"/>
    </row>
    <row r="11" spans="1:8" ht="15" customHeight="1" x14ac:dyDescent="0.25">
      <c r="A11" s="1"/>
      <c r="B11" s="214" t="s">
        <v>106</v>
      </c>
      <c r="C11" s="214"/>
      <c r="D11" s="214"/>
      <c r="E11" s="214"/>
      <c r="F11" s="214"/>
      <c r="G11" s="214"/>
      <c r="H11" s="214"/>
    </row>
    <row r="12" spans="1:8" ht="15" customHeight="1" x14ac:dyDescent="0.25">
      <c r="A12" s="1"/>
      <c r="B12" s="214" t="s">
        <v>107</v>
      </c>
      <c r="C12" s="214"/>
      <c r="D12" s="214"/>
      <c r="E12" s="214"/>
      <c r="F12" s="214"/>
      <c r="G12" s="214"/>
      <c r="H12" s="214"/>
    </row>
    <row r="13" spans="1:8" ht="15" customHeight="1" x14ac:dyDescent="0.25">
      <c r="A13" s="1"/>
      <c r="B13" s="214" t="s">
        <v>185</v>
      </c>
      <c r="C13" s="214"/>
      <c r="D13" s="214"/>
      <c r="E13" s="214"/>
      <c r="F13" s="214"/>
      <c r="G13" s="214"/>
      <c r="H13" s="214"/>
    </row>
    <row r="14" spans="1:8" ht="15" customHeight="1" x14ac:dyDescent="0.25">
      <c r="A14" s="1"/>
      <c r="B14" s="14"/>
      <c r="C14" s="14"/>
      <c r="D14" s="14"/>
      <c r="E14" s="14"/>
    </row>
    <row r="15" spans="1:8" s="11" customFormat="1" x14ac:dyDescent="0.25">
      <c r="A15" s="4"/>
      <c r="B15" s="5"/>
      <c r="C15" s="5"/>
      <c r="D15" s="5"/>
      <c r="E15" s="5"/>
    </row>
    <row r="16" spans="1:8" x14ac:dyDescent="0.25">
      <c r="A16" s="2"/>
    </row>
    <row r="17" spans="1:8" x14ac:dyDescent="0.25">
      <c r="A17" s="2"/>
      <c r="B17" s="6" t="s">
        <v>1</v>
      </c>
      <c r="C17" s="6"/>
      <c r="D17" s="6"/>
      <c r="E17" s="6"/>
      <c r="F17" s="13"/>
      <c r="G17" s="13"/>
      <c r="H17" s="13"/>
    </row>
    <row r="18" spans="1:8" x14ac:dyDescent="0.25">
      <c r="A18" s="2"/>
      <c r="B18" s="7" t="s">
        <v>2</v>
      </c>
      <c r="C18" s="3"/>
      <c r="D18" s="3"/>
      <c r="E18" s="3"/>
    </row>
    <row r="19" spans="1:8" x14ac:dyDescent="0.25">
      <c r="A19" s="2"/>
      <c r="B19" s="3" t="s">
        <v>3</v>
      </c>
      <c r="C19" s="3"/>
      <c r="D19" s="3"/>
      <c r="E19" s="3"/>
    </row>
    <row r="21" spans="1:8" x14ac:dyDescent="0.25">
      <c r="B21" s="2" t="s">
        <v>4</v>
      </c>
    </row>
    <row r="22" spans="1:8" x14ac:dyDescent="0.25">
      <c r="B22" s="30" t="s">
        <v>25</v>
      </c>
      <c r="C22" s="43">
        <v>0</v>
      </c>
      <c r="D22" s="43">
        <v>1</v>
      </c>
      <c r="E22" s="43">
        <v>2</v>
      </c>
      <c r="F22" s="43" t="s">
        <v>26</v>
      </c>
    </row>
    <row r="23" spans="1:8" x14ac:dyDescent="0.25">
      <c r="A23" s="8"/>
      <c r="B23" t="s">
        <v>57</v>
      </c>
      <c r="C23" s="99">
        <v>-30000</v>
      </c>
      <c r="D23" s="99">
        <v>21000</v>
      </c>
      <c r="E23" s="99">
        <v>21000</v>
      </c>
      <c r="F23" s="212">
        <v>6446</v>
      </c>
    </row>
    <row r="24" spans="1:8" x14ac:dyDescent="0.25">
      <c r="A24" s="8"/>
      <c r="B24" t="s">
        <v>12</v>
      </c>
      <c r="C24" s="100">
        <v>-50000</v>
      </c>
      <c r="D24" s="101">
        <v>33000</v>
      </c>
      <c r="E24" s="100">
        <v>33000</v>
      </c>
      <c r="F24" s="211">
        <v>7273</v>
      </c>
    </row>
    <row r="25" spans="1:8" x14ac:dyDescent="0.25">
      <c r="A25" s="8"/>
      <c r="B25" s="22"/>
      <c r="C25" s="39"/>
      <c r="D25" s="39"/>
    </row>
    <row r="26" spans="1:8" x14ac:dyDescent="0.25">
      <c r="A26" s="8"/>
      <c r="B26" s="22" t="s">
        <v>11</v>
      </c>
      <c r="C26" s="67">
        <v>0.1</v>
      </c>
      <c r="D26" s="39"/>
    </row>
    <row r="27" spans="1:8" x14ac:dyDescent="0.25">
      <c r="A27" s="8"/>
      <c r="B27" s="22"/>
      <c r="C27" s="39"/>
      <c r="D27" s="39"/>
    </row>
    <row r="28" spans="1:8" s="34" customFormat="1" x14ac:dyDescent="0.25">
      <c r="A28" s="33"/>
      <c r="B28" s="35"/>
      <c r="C28" s="36"/>
      <c r="D28" s="36"/>
    </row>
    <row r="29" spans="1:8" x14ac:dyDescent="0.25">
      <c r="A29" s="8"/>
    </row>
    <row r="30" spans="1:8" x14ac:dyDescent="0.25">
      <c r="A30" s="8"/>
      <c r="B30" s="2" t="s">
        <v>5</v>
      </c>
    </row>
    <row r="31" spans="1:8" x14ac:dyDescent="0.25">
      <c r="A31" s="8"/>
      <c r="B31" s="2" t="s">
        <v>10</v>
      </c>
    </row>
    <row r="32" spans="1:8" x14ac:dyDescent="0.25">
      <c r="A32" s="8"/>
      <c r="C32" s="155" t="s">
        <v>22</v>
      </c>
      <c r="D32" s="23"/>
      <c r="E32" s="23"/>
    </row>
    <row r="33" spans="1:5" x14ac:dyDescent="0.25">
      <c r="A33" s="8"/>
      <c r="B33" t="s">
        <v>14</v>
      </c>
      <c r="C33" s="86">
        <f>IRR(C23:E23)</f>
        <v>0.2569178573608526</v>
      </c>
      <c r="D33" s="38"/>
      <c r="E33" s="23"/>
    </row>
    <row r="34" spans="1:5" x14ac:dyDescent="0.25">
      <c r="A34" s="8"/>
      <c r="B34" s="18" t="s">
        <v>15</v>
      </c>
      <c r="C34" s="86">
        <f>IRR(C24:E24)</f>
        <v>0.20686943155751547</v>
      </c>
      <c r="D34" s="38"/>
      <c r="E34" s="21"/>
    </row>
    <row r="35" spans="1:5" x14ac:dyDescent="0.25">
      <c r="A35" s="8"/>
      <c r="B35" s="18"/>
      <c r="C35" s="86"/>
      <c r="D35" s="38"/>
      <c r="E35" s="21"/>
    </row>
    <row r="36" spans="1:5" x14ac:dyDescent="0.25">
      <c r="A36" s="8"/>
      <c r="B36" s="44" t="s">
        <v>8</v>
      </c>
      <c r="C36" s="86"/>
      <c r="D36" s="38"/>
      <c r="E36" s="21"/>
    </row>
    <row r="37" spans="1:5" x14ac:dyDescent="0.25">
      <c r="A37" s="8"/>
      <c r="B37" s="18" t="s">
        <v>189</v>
      </c>
      <c r="C37" s="86" t="str">
        <f>IF(C33&gt;C34,"Project A",IF(C34&gt;C33,"Project B","Indifferent"))</f>
        <v>Project A</v>
      </c>
      <c r="D37" s="102" t="s">
        <v>0</v>
      </c>
      <c r="E37" t="s">
        <v>0</v>
      </c>
    </row>
    <row r="38" spans="1:5" x14ac:dyDescent="0.25">
      <c r="A38" s="8"/>
      <c r="B38" s="18"/>
      <c r="C38" s="86"/>
      <c r="D38" s="38"/>
      <c r="E38" s="21"/>
    </row>
    <row r="39" spans="1:5" x14ac:dyDescent="0.25">
      <c r="A39" s="8"/>
      <c r="B39" s="44" t="s">
        <v>9</v>
      </c>
      <c r="C39" s="86"/>
      <c r="D39" s="38"/>
      <c r="E39" s="21"/>
    </row>
    <row r="40" spans="1:5" x14ac:dyDescent="0.25">
      <c r="A40" s="8"/>
      <c r="B40" s="18" t="s">
        <v>190</v>
      </c>
      <c r="C40" s="86" t="str">
        <f>IF(F23&gt;F24,"Project A",IF(F24&gt;F23,"Project B","Indifferent"))</f>
        <v>Project B</v>
      </c>
      <c r="D40" t="s">
        <v>0</v>
      </c>
    </row>
    <row r="41" spans="1:5" x14ac:dyDescent="0.25">
      <c r="A41" s="8"/>
      <c r="B41" s="18"/>
      <c r="C41" s="24"/>
    </row>
    <row r="42" spans="1:5" x14ac:dyDescent="0.25">
      <c r="B42" s="9"/>
      <c r="C42" s="9"/>
      <c r="D42" s="9"/>
      <c r="E42" s="9"/>
    </row>
    <row r="43" spans="1:5" s="34" customFormat="1" x14ac:dyDescent="0.25">
      <c r="B43" s="167"/>
      <c r="C43" s="167"/>
      <c r="D43" s="167"/>
      <c r="E43" s="167"/>
    </row>
    <row r="44" spans="1:5" x14ac:dyDescent="0.25">
      <c r="B44" s="9"/>
      <c r="C44" s="9"/>
      <c r="D44" s="9"/>
      <c r="E44" s="9"/>
    </row>
    <row r="45" spans="1:5" x14ac:dyDescent="0.25">
      <c r="B45" s="10" t="s">
        <v>126</v>
      </c>
      <c r="C45" s="9"/>
      <c r="D45" s="9"/>
      <c r="E45" s="9"/>
    </row>
    <row r="46" spans="1:5" x14ac:dyDescent="0.25">
      <c r="B46" s="10" t="s">
        <v>191</v>
      </c>
    </row>
    <row r="47" spans="1:5" x14ac:dyDescent="0.25">
      <c r="B47" s="10" t="s">
        <v>192</v>
      </c>
    </row>
  </sheetData>
  <mergeCells count="3">
    <mergeCell ref="B11:H11"/>
    <mergeCell ref="B12:H12"/>
    <mergeCell ref="B13:H1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2060"/>
  </sheetPr>
  <dimension ref="A1:J34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5.5703125" customWidth="1"/>
    <col min="3" max="3" width="10.42578125" customWidth="1"/>
    <col min="4" max="4" width="10.5703125" customWidth="1"/>
    <col min="5" max="5" width="11" customWidth="1"/>
    <col min="6" max="7" width="8.5703125" customWidth="1"/>
    <col min="8" max="8" width="7.5703125" customWidth="1"/>
    <col min="9" max="9" width="11.85546875" customWidth="1"/>
  </cols>
  <sheetData>
    <row r="1" spans="1:10" x14ac:dyDescent="0.25">
      <c r="A1" s="2" t="s">
        <v>315</v>
      </c>
      <c r="B1" s="2"/>
      <c r="C1" s="2"/>
    </row>
    <row r="2" spans="1:10" s="34" customFormat="1" x14ac:dyDescent="0.25">
      <c r="A2" s="151"/>
      <c r="B2" s="151"/>
      <c r="C2" s="151"/>
    </row>
    <row r="3" spans="1:10" x14ac:dyDescent="0.25">
      <c r="A3" s="2" t="s">
        <v>0</v>
      </c>
      <c r="B3" s="2" t="s">
        <v>95</v>
      </c>
      <c r="C3" s="2"/>
    </row>
    <row r="4" spans="1:10" ht="27" customHeight="1" x14ac:dyDescent="0.25">
      <c r="A4" s="1"/>
      <c r="B4" s="214" t="s">
        <v>194</v>
      </c>
      <c r="C4" s="214"/>
      <c r="D4" s="214"/>
      <c r="E4" s="214"/>
      <c r="F4" s="214"/>
      <c r="G4" s="214"/>
      <c r="H4" s="214"/>
      <c r="I4" s="214"/>
      <c r="J4" s="214"/>
    </row>
    <row r="5" spans="1:10" ht="18" customHeight="1" x14ac:dyDescent="0.25">
      <c r="A5" s="1"/>
      <c r="B5" s="190" t="s">
        <v>196</v>
      </c>
      <c r="C5" s="190" t="s">
        <v>197</v>
      </c>
      <c r="D5" s="190" t="s">
        <v>198</v>
      </c>
      <c r="E5" s="54"/>
      <c r="F5" s="54"/>
      <c r="G5" s="54"/>
      <c r="H5" s="54"/>
      <c r="I5" s="54"/>
      <c r="J5" s="54"/>
    </row>
    <row r="6" spans="1:10" ht="18" customHeight="1" x14ac:dyDescent="0.25">
      <c r="A6" s="1"/>
      <c r="B6" s="189">
        <v>5000</v>
      </c>
      <c r="C6" s="189">
        <v>4000</v>
      </c>
      <c r="D6" s="189">
        <v>-11000</v>
      </c>
      <c r="E6" s="54"/>
      <c r="F6" s="54"/>
      <c r="G6" s="54"/>
      <c r="H6" s="54"/>
      <c r="I6" s="54"/>
      <c r="J6" s="54"/>
    </row>
    <row r="7" spans="1:10" ht="18" customHeight="1" x14ac:dyDescent="0.25">
      <c r="A7" s="1"/>
      <c r="B7" s="54"/>
      <c r="C7" s="54"/>
      <c r="D7" s="54"/>
      <c r="E7" s="54"/>
      <c r="F7" s="54"/>
      <c r="G7" s="54"/>
      <c r="H7" s="54"/>
      <c r="I7" s="54"/>
      <c r="J7" s="54"/>
    </row>
    <row r="8" spans="1:10" ht="18" customHeight="1" x14ac:dyDescent="0.25">
      <c r="A8" s="1"/>
      <c r="B8" s="214" t="s">
        <v>193</v>
      </c>
      <c r="C8" s="214"/>
      <c r="D8" s="214"/>
      <c r="E8" s="214"/>
      <c r="F8" s="214"/>
      <c r="G8" s="54"/>
      <c r="H8" s="54"/>
      <c r="I8" s="54"/>
      <c r="J8" s="54"/>
    </row>
    <row r="9" spans="1:10" ht="18" customHeight="1" x14ac:dyDescent="0.25">
      <c r="A9" s="1"/>
      <c r="B9" s="54"/>
      <c r="C9" s="54"/>
      <c r="D9" s="54"/>
      <c r="E9" s="54"/>
      <c r="F9" s="54"/>
      <c r="G9" s="54"/>
      <c r="H9" s="54"/>
      <c r="I9" s="54"/>
      <c r="J9" s="54"/>
    </row>
    <row r="10" spans="1:10" ht="18" customHeight="1" x14ac:dyDescent="0.25">
      <c r="A10" s="1"/>
      <c r="B10" s="214" t="s">
        <v>195</v>
      </c>
      <c r="C10" s="214"/>
      <c r="D10" s="214"/>
      <c r="E10" s="214"/>
      <c r="F10" s="214"/>
      <c r="G10" s="214"/>
      <c r="H10" s="214"/>
      <c r="I10" s="214"/>
      <c r="J10" s="54"/>
    </row>
    <row r="11" spans="1:10" ht="15" customHeight="1" x14ac:dyDescent="0.25">
      <c r="A11" s="1"/>
      <c r="B11" s="14"/>
      <c r="C11" s="14"/>
      <c r="D11" s="14"/>
      <c r="E11" s="14"/>
      <c r="F11" s="14"/>
    </row>
    <row r="12" spans="1:10" s="11" customFormat="1" x14ac:dyDescent="0.25">
      <c r="A12" s="4"/>
      <c r="B12" s="5"/>
      <c r="C12" s="5"/>
      <c r="D12" s="5"/>
      <c r="E12" s="5"/>
      <c r="F12" s="5"/>
    </row>
    <row r="13" spans="1:10" x14ac:dyDescent="0.25">
      <c r="A13" s="2"/>
      <c r="B13" s="3"/>
    </row>
    <row r="14" spans="1:10" x14ac:dyDescent="0.25">
      <c r="A14" s="2"/>
      <c r="B14" s="6" t="s">
        <v>1</v>
      </c>
      <c r="C14" s="6"/>
      <c r="D14" s="6"/>
      <c r="E14" s="6"/>
      <c r="F14" s="6"/>
      <c r="G14" s="13"/>
      <c r="H14" s="13"/>
      <c r="I14" s="13"/>
    </row>
    <row r="15" spans="1:10" x14ac:dyDescent="0.25">
      <c r="A15" s="2"/>
      <c r="B15" s="7" t="s">
        <v>2</v>
      </c>
      <c r="C15" s="3"/>
      <c r="D15" s="3"/>
      <c r="E15" s="3"/>
      <c r="F15" s="3"/>
    </row>
    <row r="16" spans="1:10" s="10" customFormat="1" x14ac:dyDescent="0.25">
      <c r="A16" s="149"/>
      <c r="B16" s="149" t="s">
        <v>3</v>
      </c>
      <c r="C16" s="149"/>
      <c r="D16" s="149"/>
      <c r="E16" s="149"/>
      <c r="F16" s="149"/>
    </row>
    <row r="18" spans="1:6" x14ac:dyDescent="0.25">
      <c r="B18" s="2" t="s">
        <v>4</v>
      </c>
    </row>
    <row r="19" spans="1:6" ht="18" x14ac:dyDescent="0.25">
      <c r="A19" s="8"/>
      <c r="B19" s="54" t="s">
        <v>196</v>
      </c>
      <c r="C19" s="97">
        <v>5000</v>
      </c>
      <c r="F19" s="22"/>
    </row>
    <row r="20" spans="1:6" ht="18" x14ac:dyDescent="0.25">
      <c r="A20" s="8"/>
      <c r="B20" s="54" t="s">
        <v>197</v>
      </c>
      <c r="C20" s="97">
        <v>4000</v>
      </c>
      <c r="F20" s="22"/>
    </row>
    <row r="21" spans="1:6" ht="18" x14ac:dyDescent="0.25">
      <c r="A21" s="8"/>
      <c r="B21" s="54" t="s">
        <v>198</v>
      </c>
      <c r="C21" s="97">
        <v>-11000</v>
      </c>
      <c r="E21" s="39"/>
    </row>
    <row r="22" spans="1:6" x14ac:dyDescent="0.25">
      <c r="A22" s="8"/>
      <c r="B22" s="37" t="s">
        <v>22</v>
      </c>
      <c r="C22" s="88">
        <v>0.13600000000000001</v>
      </c>
      <c r="E22" s="55" t="s">
        <v>0</v>
      </c>
    </row>
    <row r="23" spans="1:6" x14ac:dyDescent="0.25">
      <c r="A23" s="8"/>
      <c r="B23" s="37" t="s">
        <v>142</v>
      </c>
      <c r="C23" s="88">
        <v>0.12</v>
      </c>
      <c r="E23" s="39"/>
    </row>
    <row r="25" spans="1:6" s="34" customFormat="1" x14ac:dyDescent="0.25">
      <c r="A25" s="33"/>
      <c r="C25" s="35"/>
      <c r="D25" s="36"/>
      <c r="E25" s="36"/>
    </row>
    <row r="26" spans="1:6" x14ac:dyDescent="0.25">
      <c r="A26" s="8"/>
    </row>
    <row r="27" spans="1:6" x14ac:dyDescent="0.25">
      <c r="A27" s="8"/>
      <c r="B27" s="2" t="s">
        <v>5</v>
      </c>
    </row>
    <row r="28" spans="1:6" x14ac:dyDescent="0.25">
      <c r="A28" s="8"/>
      <c r="B28" t="s">
        <v>16</v>
      </c>
      <c r="C28" s="81">
        <f>C19+NPV(C23,C20,C21)</f>
        <v>-197.70408163265165</v>
      </c>
      <c r="E28" s="38"/>
      <c r="F28" s="23"/>
    </row>
    <row r="29" spans="1:6" x14ac:dyDescent="0.25">
      <c r="A29" s="8"/>
      <c r="B29" s="18" t="s">
        <v>39</v>
      </c>
      <c r="C29" s="86" t="str">
        <f>IF(C28&gt;0,"Yes",IF(C28&lt;0,"No",IF(C28=0,"Indifferent")))</f>
        <v>No</v>
      </c>
      <c r="E29" s="38"/>
      <c r="F29" s="21"/>
    </row>
    <row r="30" spans="1:6" x14ac:dyDescent="0.25">
      <c r="A30" s="8"/>
      <c r="B30" s="18"/>
      <c r="C30" s="48"/>
      <c r="E30" s="38"/>
      <c r="F30" s="21"/>
    </row>
    <row r="31" spans="1:6" x14ac:dyDescent="0.25">
      <c r="A31" s="8"/>
      <c r="D31" s="27"/>
    </row>
    <row r="32" spans="1:6" x14ac:dyDescent="0.25">
      <c r="B32" s="3"/>
      <c r="C32" s="9"/>
      <c r="D32" s="9"/>
      <c r="E32" s="9"/>
      <c r="F32" s="9"/>
    </row>
    <row r="33" spans="2:6" x14ac:dyDescent="0.25">
      <c r="B33" s="9"/>
      <c r="C33" s="9"/>
      <c r="D33" s="9"/>
      <c r="E33" s="9"/>
      <c r="F33" s="9"/>
    </row>
    <row r="34" spans="2:6" x14ac:dyDescent="0.25">
      <c r="B34" s="9"/>
      <c r="C34" s="9"/>
      <c r="D34" s="9"/>
      <c r="E34" s="9"/>
      <c r="F34" s="9"/>
    </row>
  </sheetData>
  <mergeCells count="3">
    <mergeCell ref="B4:J4"/>
    <mergeCell ref="B8:F8"/>
    <mergeCell ref="B10:I1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060"/>
  </sheetPr>
  <dimension ref="A1:J48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26" customWidth="1"/>
    <col min="3" max="3" width="10.42578125" customWidth="1"/>
    <col min="4" max="4" width="10.5703125" customWidth="1"/>
    <col min="5" max="6" width="8.5703125" customWidth="1"/>
    <col min="7" max="7" width="7.5703125" customWidth="1"/>
    <col min="8" max="8" width="13.42578125" customWidth="1"/>
  </cols>
  <sheetData>
    <row r="1" spans="1:10" x14ac:dyDescent="0.25">
      <c r="A1" s="2" t="s">
        <v>314</v>
      </c>
      <c r="B1" s="2"/>
    </row>
    <row r="2" spans="1:10" s="34" customFormat="1" x14ac:dyDescent="0.25">
      <c r="A2" s="151"/>
      <c r="B2" s="151"/>
    </row>
    <row r="3" spans="1:10" x14ac:dyDescent="0.25">
      <c r="A3" s="2" t="s">
        <v>0</v>
      </c>
      <c r="B3" s="2" t="s">
        <v>95</v>
      </c>
    </row>
    <row r="4" spans="1:10" x14ac:dyDescent="0.25">
      <c r="A4" s="2"/>
      <c r="B4" t="s">
        <v>199</v>
      </c>
    </row>
    <row r="5" spans="1:10" x14ac:dyDescent="0.25">
      <c r="A5" s="2"/>
      <c r="B5" s="2"/>
    </row>
    <row r="6" spans="1:10" ht="18" x14ac:dyDescent="0.35">
      <c r="A6" s="2"/>
      <c r="B6" s="185" t="s">
        <v>175</v>
      </c>
      <c r="C6" s="185" t="s">
        <v>176</v>
      </c>
      <c r="D6" s="185" t="s">
        <v>177</v>
      </c>
      <c r="E6" s="185" t="s">
        <v>184</v>
      </c>
      <c r="F6" s="185" t="s">
        <v>200</v>
      </c>
    </row>
    <row r="7" spans="1:10" x14ac:dyDescent="0.25">
      <c r="A7" s="2"/>
      <c r="B7" s="184">
        <v>-22</v>
      </c>
      <c r="C7" s="184">
        <v>20</v>
      </c>
      <c r="D7" s="184">
        <v>20</v>
      </c>
      <c r="E7" s="184">
        <v>20</v>
      </c>
      <c r="F7" s="184">
        <v>-40</v>
      </c>
    </row>
    <row r="8" spans="1:10" ht="15" customHeight="1" x14ac:dyDescent="0.25">
      <c r="A8" s="1"/>
      <c r="B8" s="214" t="s">
        <v>0</v>
      </c>
      <c r="C8" s="214"/>
      <c r="D8" s="214"/>
      <c r="E8" s="214"/>
      <c r="F8" s="214"/>
      <c r="G8" s="214"/>
      <c r="H8" s="214"/>
      <c r="I8" s="214"/>
    </row>
    <row r="9" spans="1:10" ht="34.5" customHeight="1" x14ac:dyDescent="0.25">
      <c r="A9" s="1"/>
      <c r="B9" s="214" t="s">
        <v>293</v>
      </c>
      <c r="C9" s="214"/>
      <c r="D9" s="214"/>
      <c r="E9" s="214"/>
      <c r="F9" s="214"/>
      <c r="G9" s="214"/>
      <c r="H9" s="150"/>
      <c r="I9" s="150"/>
      <c r="J9" s="150"/>
    </row>
    <row r="10" spans="1:10" ht="15" customHeight="1" x14ac:dyDescent="0.25">
      <c r="A10" s="1"/>
      <c r="B10" s="214" t="s">
        <v>290</v>
      </c>
      <c r="C10" s="214"/>
      <c r="D10" s="214"/>
      <c r="E10" s="214"/>
      <c r="F10" s="214"/>
      <c r="G10" s="214"/>
      <c r="H10" s="150"/>
      <c r="I10" s="150"/>
      <c r="J10" s="150"/>
    </row>
    <row r="11" spans="1:10" ht="15" customHeight="1" x14ac:dyDescent="0.25">
      <c r="A11" s="1"/>
      <c r="B11" s="214" t="s">
        <v>291</v>
      </c>
      <c r="C11" s="214"/>
      <c r="D11" s="214"/>
      <c r="E11" s="214"/>
      <c r="F11" s="214"/>
      <c r="G11" s="214"/>
      <c r="H11" s="150"/>
      <c r="I11" s="150"/>
      <c r="J11" s="150"/>
    </row>
    <row r="12" spans="1:10" ht="15" customHeight="1" x14ac:dyDescent="0.25">
      <c r="A12" s="1"/>
      <c r="B12" s="214" t="s">
        <v>292</v>
      </c>
      <c r="C12" s="214"/>
      <c r="D12" s="214"/>
      <c r="E12" s="214"/>
      <c r="F12" s="214"/>
      <c r="G12" s="214"/>
      <c r="H12" s="150"/>
      <c r="I12" s="150"/>
      <c r="J12" s="150"/>
    </row>
    <row r="13" spans="1:10" ht="15" customHeight="1" x14ac:dyDescent="0.25">
      <c r="A13" s="1"/>
      <c r="B13" s="14"/>
      <c r="C13" s="14"/>
      <c r="D13" s="14"/>
      <c r="E13" s="14"/>
    </row>
    <row r="14" spans="1:10" s="11" customFormat="1" x14ac:dyDescent="0.25">
      <c r="A14" s="4"/>
      <c r="B14" s="5"/>
      <c r="C14" s="5"/>
      <c r="D14" s="5"/>
      <c r="E14" s="5"/>
    </row>
    <row r="15" spans="1:10" x14ac:dyDescent="0.25">
      <c r="A15" s="2"/>
    </row>
    <row r="16" spans="1:10" x14ac:dyDescent="0.25">
      <c r="A16" s="2"/>
      <c r="B16" s="6" t="s">
        <v>1</v>
      </c>
      <c r="C16" s="6"/>
      <c r="D16" s="6"/>
      <c r="E16" s="6"/>
      <c r="F16" s="13"/>
      <c r="G16" s="13"/>
      <c r="H16" s="13"/>
    </row>
    <row r="17" spans="1:7" x14ac:dyDescent="0.25">
      <c r="A17" s="2"/>
      <c r="B17" s="7" t="s">
        <v>2</v>
      </c>
      <c r="C17" s="3"/>
      <c r="D17" s="3"/>
      <c r="E17" s="3"/>
    </row>
    <row r="18" spans="1:7" s="10" customFormat="1" x14ac:dyDescent="0.25">
      <c r="A18" s="149"/>
      <c r="B18" s="149" t="s">
        <v>3</v>
      </c>
      <c r="C18" s="149"/>
      <c r="D18" s="149"/>
      <c r="E18" s="149"/>
    </row>
    <row r="20" spans="1:7" x14ac:dyDescent="0.25">
      <c r="B20" s="2" t="s">
        <v>4</v>
      </c>
    </row>
    <row r="21" spans="1:7" x14ac:dyDescent="0.25">
      <c r="C21" s="22" t="s">
        <v>0</v>
      </c>
      <c r="G21" s="20"/>
    </row>
    <row r="22" spans="1:7" ht="18" x14ac:dyDescent="0.35">
      <c r="A22" s="8"/>
      <c r="B22" s="186" t="s">
        <v>175</v>
      </c>
      <c r="C22" s="96">
        <v>-22</v>
      </c>
    </row>
    <row r="23" spans="1:7" ht="18" x14ac:dyDescent="0.35">
      <c r="A23" s="8"/>
      <c r="B23" s="186" t="s">
        <v>176</v>
      </c>
      <c r="C23" s="96">
        <v>20</v>
      </c>
    </row>
    <row r="24" spans="1:7" ht="18" x14ac:dyDescent="0.35">
      <c r="A24" s="8"/>
      <c r="B24" s="186" t="s">
        <v>177</v>
      </c>
      <c r="C24" s="96">
        <v>20</v>
      </c>
    </row>
    <row r="25" spans="1:7" ht="18" x14ac:dyDescent="0.35">
      <c r="A25" s="8"/>
      <c r="B25" s="186" t="s">
        <v>184</v>
      </c>
      <c r="C25" s="96">
        <v>20</v>
      </c>
    </row>
    <row r="26" spans="1:7" ht="18" x14ac:dyDescent="0.35">
      <c r="A26" s="8"/>
      <c r="B26" s="186" t="s">
        <v>200</v>
      </c>
      <c r="C26" s="96">
        <v>-40</v>
      </c>
    </row>
    <row r="27" spans="1:7" x14ac:dyDescent="0.25">
      <c r="A27" s="8"/>
      <c r="B27" s="22"/>
      <c r="C27" s="39" t="s">
        <v>0</v>
      </c>
      <c r="D27" s="39"/>
    </row>
    <row r="28" spans="1:7" x14ac:dyDescent="0.25">
      <c r="A28" s="8"/>
      <c r="B28" s="37" t="s">
        <v>62</v>
      </c>
      <c r="C28" s="67">
        <v>7.0000000000000007E-2</v>
      </c>
      <c r="D28" s="39"/>
    </row>
    <row r="29" spans="1:7" x14ac:dyDescent="0.25">
      <c r="A29" s="8"/>
      <c r="B29" s="37" t="s">
        <v>63</v>
      </c>
      <c r="C29" s="67">
        <v>0.34</v>
      </c>
      <c r="D29" s="39"/>
    </row>
    <row r="30" spans="1:7" x14ac:dyDescent="0.25">
      <c r="A30" s="8"/>
      <c r="B30" s="37" t="s">
        <v>60</v>
      </c>
      <c r="C30" s="67">
        <v>0.05</v>
      </c>
      <c r="D30" s="39"/>
    </row>
    <row r="31" spans="1:7" x14ac:dyDescent="0.25">
      <c r="A31" s="8"/>
      <c r="B31" s="37" t="s">
        <v>64</v>
      </c>
      <c r="C31" s="67">
        <v>0.2</v>
      </c>
      <c r="D31" s="39"/>
    </row>
    <row r="32" spans="1:7" x14ac:dyDescent="0.25">
      <c r="A32" s="8"/>
      <c r="B32" s="37" t="s">
        <v>64</v>
      </c>
      <c r="C32" s="67">
        <v>0.4</v>
      </c>
      <c r="D32" s="39"/>
    </row>
    <row r="33" spans="1:5" x14ac:dyDescent="0.25">
      <c r="A33" s="8"/>
      <c r="B33" s="22"/>
      <c r="C33" s="56"/>
      <c r="D33" s="39"/>
    </row>
    <row r="34" spans="1:5" s="34" customFormat="1" x14ac:dyDescent="0.25">
      <c r="A34" s="33"/>
      <c r="B34" s="35"/>
      <c r="C34" s="36"/>
      <c r="D34" s="36"/>
    </row>
    <row r="35" spans="1:5" x14ac:dyDescent="0.25">
      <c r="A35" s="8"/>
    </row>
    <row r="36" spans="1:5" x14ac:dyDescent="0.25">
      <c r="A36" s="8"/>
      <c r="B36" s="2" t="s">
        <v>5</v>
      </c>
    </row>
    <row r="37" spans="1:5" x14ac:dyDescent="0.25">
      <c r="A37" s="8"/>
      <c r="B37" s="2" t="s">
        <v>10</v>
      </c>
      <c r="C37" s="23"/>
      <c r="D37" s="53"/>
      <c r="E37" s="23"/>
    </row>
    <row r="38" spans="1:5" x14ac:dyDescent="0.25">
      <c r="A38" s="8"/>
      <c r="B38" t="s">
        <v>65</v>
      </c>
      <c r="C38" s="86">
        <f>IRR(C22:C26,C28)</f>
        <v>7.1639173390490196E-2</v>
      </c>
      <c r="D38" s="38"/>
      <c r="E38" s="23"/>
    </row>
    <row r="39" spans="1:5" x14ac:dyDescent="0.25">
      <c r="A39" s="8"/>
      <c r="B39" t="s">
        <v>65</v>
      </c>
      <c r="C39" s="86">
        <f>IRR(C22:C26,C29)</f>
        <v>0.33673299591035244</v>
      </c>
      <c r="D39" s="103" t="s">
        <v>0</v>
      </c>
      <c r="E39" s="23"/>
    </row>
    <row r="40" spans="1:5" x14ac:dyDescent="0.25">
      <c r="A40" s="8"/>
      <c r="C40" s="46"/>
      <c r="D40" s="103"/>
      <c r="E40" s="23"/>
    </row>
    <row r="41" spans="1:5" x14ac:dyDescent="0.25">
      <c r="A41" s="8"/>
      <c r="B41" s="44" t="s">
        <v>8</v>
      </c>
      <c r="C41" s="48"/>
      <c r="D41" s="38"/>
      <c r="E41" s="21"/>
    </row>
    <row r="42" spans="1:5" x14ac:dyDescent="0.25">
      <c r="A42" s="8"/>
      <c r="B42" s="18" t="s">
        <v>16</v>
      </c>
      <c r="C42" s="104">
        <f>C22+NPV(C30,C23,C24,C25,C26)</f>
        <v>-0.4431384042657065</v>
      </c>
      <c r="D42" s="38"/>
      <c r="E42" s="21"/>
    </row>
    <row r="43" spans="1:5" x14ac:dyDescent="0.25">
      <c r="A43" s="8"/>
      <c r="B43" s="18"/>
      <c r="C43" s="104"/>
      <c r="D43" s="38"/>
      <c r="E43" s="21"/>
    </row>
    <row r="44" spans="1:5" x14ac:dyDescent="0.25">
      <c r="A44" s="8"/>
      <c r="B44" s="44" t="s">
        <v>9</v>
      </c>
      <c r="C44" s="105"/>
      <c r="D44" s="38"/>
      <c r="E44" s="21"/>
    </row>
    <row r="45" spans="1:5" x14ac:dyDescent="0.25">
      <c r="A45" s="8"/>
      <c r="B45" s="18" t="str">
        <f>"with "&amp;ROUND(C31*100,2)&amp;" Discount"</f>
        <v>with 20 Discount</v>
      </c>
      <c r="C45" s="104">
        <f>C22+NPV(C31,C23,C24,C25,C26)</f>
        <v>0.83950617283950635</v>
      </c>
      <c r="D45" s="38"/>
      <c r="E45" s="21"/>
    </row>
    <row r="46" spans="1:5" x14ac:dyDescent="0.25">
      <c r="A46" s="8"/>
    </row>
    <row r="47" spans="1:5" x14ac:dyDescent="0.25">
      <c r="A47" s="8"/>
      <c r="B47" s="44" t="s">
        <v>294</v>
      </c>
      <c r="C47" s="27"/>
    </row>
    <row r="48" spans="1:5" x14ac:dyDescent="0.25">
      <c r="B48" s="18" t="str">
        <f>"with "&amp;ROUND(C32*100,2)&amp;" Discount"</f>
        <v>with 40 Discount</v>
      </c>
      <c r="C48" s="104">
        <f>C22+NPV(C32,C23,C24,C25,C26)</f>
        <v>-0.63390254060807649</v>
      </c>
      <c r="D48" s="9"/>
      <c r="E48" s="9"/>
    </row>
  </sheetData>
  <mergeCells count="5">
    <mergeCell ref="B12:G12"/>
    <mergeCell ref="B8:I8"/>
    <mergeCell ref="B9:G9"/>
    <mergeCell ref="B10:G10"/>
    <mergeCell ref="B11:G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19.140625" customWidth="1"/>
    <col min="3" max="5" width="17.5703125" customWidth="1"/>
    <col min="6" max="6" width="14.42578125" customWidth="1"/>
  </cols>
  <sheetData>
    <row r="1" spans="1:6" x14ac:dyDescent="0.25">
      <c r="A1" s="2" t="s">
        <v>313</v>
      </c>
      <c r="B1" s="2"/>
      <c r="C1" s="2"/>
    </row>
    <row r="2" spans="1:6" s="34" customFormat="1" x14ac:dyDescent="0.25">
      <c r="A2" s="151"/>
      <c r="B2" s="151"/>
      <c r="C2" s="151"/>
    </row>
    <row r="3" spans="1:6" x14ac:dyDescent="0.25">
      <c r="A3" s="2" t="s">
        <v>0</v>
      </c>
      <c r="B3" s="2" t="s">
        <v>95</v>
      </c>
      <c r="C3" s="2"/>
    </row>
    <row r="4" spans="1:6" ht="34.5" customHeight="1" x14ac:dyDescent="0.25">
      <c r="A4" s="1"/>
      <c r="B4" s="219" t="s">
        <v>108</v>
      </c>
      <c r="C4" s="219"/>
      <c r="D4" s="219"/>
      <c r="E4" s="219"/>
      <c r="F4" s="219"/>
    </row>
    <row r="5" spans="1:6" ht="13.5" customHeight="1" x14ac:dyDescent="0.25">
      <c r="A5" s="1"/>
      <c r="B5" t="s">
        <v>6</v>
      </c>
      <c r="D5" s="14"/>
      <c r="E5" s="14"/>
      <c r="F5" s="14"/>
    </row>
    <row r="6" spans="1:6" s="11" customFormat="1" x14ac:dyDescent="0.25">
      <c r="A6" s="4"/>
      <c r="B6" s="5"/>
      <c r="C6" s="5"/>
      <c r="D6" s="5"/>
      <c r="E6" s="5"/>
      <c r="F6" s="5"/>
    </row>
    <row r="7" spans="1:6" x14ac:dyDescent="0.25">
      <c r="A7" s="2"/>
      <c r="B7" s="3"/>
      <c r="C7" s="3"/>
      <c r="D7" s="3"/>
      <c r="E7" s="3"/>
      <c r="F7" s="3"/>
    </row>
    <row r="8" spans="1:6" x14ac:dyDescent="0.25">
      <c r="A8" s="2"/>
      <c r="B8" s="6" t="s">
        <v>1</v>
      </c>
      <c r="C8" s="6"/>
      <c r="D8" s="6"/>
      <c r="E8" s="6"/>
      <c r="F8" s="6"/>
    </row>
    <row r="9" spans="1:6" x14ac:dyDescent="0.25">
      <c r="A9" s="2"/>
      <c r="B9" s="7" t="s">
        <v>2</v>
      </c>
      <c r="C9" s="3"/>
      <c r="D9" s="3"/>
      <c r="E9" s="3"/>
      <c r="F9" s="3"/>
    </row>
    <row r="10" spans="1:6" x14ac:dyDescent="0.25">
      <c r="A10" s="2"/>
      <c r="B10" s="3" t="s">
        <v>3</v>
      </c>
      <c r="C10" s="3"/>
      <c r="D10" s="3"/>
      <c r="E10" s="3"/>
      <c r="F10" s="3"/>
    </row>
    <row r="12" spans="1:6" x14ac:dyDescent="0.25">
      <c r="B12" s="19" t="s">
        <v>4</v>
      </c>
      <c r="C12" t="s">
        <v>0</v>
      </c>
    </row>
    <row r="13" spans="1:6" ht="18" x14ac:dyDescent="0.35">
      <c r="A13" s="8"/>
      <c r="B13" s="198" t="s">
        <v>175</v>
      </c>
      <c r="C13" s="80">
        <v>-10000</v>
      </c>
    </row>
    <row r="14" spans="1:6" ht="18" x14ac:dyDescent="0.35">
      <c r="A14" s="8"/>
      <c r="B14" s="198" t="s">
        <v>176</v>
      </c>
      <c r="C14" s="80">
        <v>3000</v>
      </c>
    </row>
    <row r="15" spans="1:6" ht="18" x14ac:dyDescent="0.35">
      <c r="A15" s="8"/>
      <c r="B15" s="198" t="s">
        <v>177</v>
      </c>
      <c r="C15" s="80">
        <v>3000</v>
      </c>
    </row>
    <row r="16" spans="1:6" ht="18" x14ac:dyDescent="0.35">
      <c r="A16" s="8"/>
      <c r="B16" s="198" t="s">
        <v>184</v>
      </c>
      <c r="C16" s="80">
        <v>5000</v>
      </c>
    </row>
    <row r="17" spans="1:7" ht="18" x14ac:dyDescent="0.35">
      <c r="A17" s="8"/>
      <c r="B17" s="198" t="s">
        <v>200</v>
      </c>
      <c r="C17" s="80">
        <v>5000</v>
      </c>
    </row>
    <row r="18" spans="1:7" x14ac:dyDescent="0.25">
      <c r="A18" s="8"/>
      <c r="B18" t="s">
        <v>11</v>
      </c>
      <c r="C18" s="12">
        <v>0.09</v>
      </c>
    </row>
    <row r="19" spans="1:7" x14ac:dyDescent="0.25">
      <c r="A19" s="8"/>
    </row>
    <row r="20" spans="1:7" s="34" customFormat="1" x14ac:dyDescent="0.25">
      <c r="A20" s="33"/>
      <c r="C20" s="161"/>
    </row>
    <row r="21" spans="1:7" x14ac:dyDescent="0.25">
      <c r="A21" s="8"/>
    </row>
    <row r="22" spans="1:7" x14ac:dyDescent="0.25">
      <c r="A22" s="8"/>
      <c r="B22" s="2" t="s">
        <v>5</v>
      </c>
    </row>
    <row r="23" spans="1:7" x14ac:dyDescent="0.25">
      <c r="A23" s="8"/>
      <c r="B23" t="s">
        <v>16</v>
      </c>
      <c r="C23" s="106">
        <f>NPV(C18,C14,C15,C16,C17)+C13</f>
        <v>2680.3770134126335</v>
      </c>
      <c r="E23" s="41"/>
      <c r="G23" s="29"/>
    </row>
    <row r="24" spans="1:7" x14ac:dyDescent="0.25">
      <c r="A24" s="8" t="s">
        <v>0</v>
      </c>
      <c r="B24" t="s">
        <v>158</v>
      </c>
      <c r="C24" s="146">
        <f>C23/-C13</f>
        <v>0.26803770134126337</v>
      </c>
      <c r="E24" s="41"/>
    </row>
    <row r="25" spans="1:7" x14ac:dyDescent="0.25">
      <c r="A25" s="8"/>
      <c r="C25" s="17"/>
      <c r="E25" s="41"/>
    </row>
  </sheetData>
  <mergeCells count="1">
    <mergeCell ref="B4:F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7"/>
  <sheetViews>
    <sheetView workbookViewId="0">
      <selection activeCell="A2" sqref="A2"/>
    </sheetView>
  </sheetViews>
  <sheetFormatPr defaultColWidth="9.140625" defaultRowHeight="15" x14ac:dyDescent="0.25"/>
  <cols>
    <col min="1" max="1" width="17.85546875" customWidth="1"/>
    <col min="2" max="2" width="23.85546875" customWidth="1"/>
    <col min="3" max="3" width="10.42578125" customWidth="1"/>
    <col min="4" max="4" width="10.5703125" customWidth="1"/>
    <col min="5" max="5" width="10.42578125" customWidth="1"/>
    <col min="6" max="6" width="8.5703125" customWidth="1"/>
    <col min="7" max="7" width="7.5703125" customWidth="1"/>
  </cols>
  <sheetData>
    <row r="1" spans="1:10" x14ac:dyDescent="0.25">
      <c r="A1" s="2" t="s">
        <v>312</v>
      </c>
      <c r="B1" s="2"/>
    </row>
    <row r="2" spans="1:10" s="34" customFormat="1" x14ac:dyDescent="0.25">
      <c r="A2" s="151"/>
      <c r="B2" s="151"/>
    </row>
    <row r="3" spans="1:10" x14ac:dyDescent="0.25">
      <c r="A3" s="2" t="s">
        <v>0</v>
      </c>
      <c r="B3" s="2" t="s">
        <v>95</v>
      </c>
    </row>
    <row r="4" spans="1:10" x14ac:dyDescent="0.25">
      <c r="A4" s="2"/>
      <c r="B4" t="s">
        <v>201</v>
      </c>
    </row>
    <row r="5" spans="1:10" x14ac:dyDescent="0.25">
      <c r="A5" s="2"/>
      <c r="B5" s="2"/>
    </row>
    <row r="6" spans="1:10" ht="18" x14ac:dyDescent="0.35">
      <c r="A6" s="2"/>
      <c r="B6" t="s">
        <v>25</v>
      </c>
      <c r="C6" s="185" t="s">
        <v>196</v>
      </c>
      <c r="D6" s="185" t="s">
        <v>176</v>
      </c>
      <c r="E6" s="185" t="s">
        <v>177</v>
      </c>
    </row>
    <row r="7" spans="1:10" x14ac:dyDescent="0.25">
      <c r="A7" s="2"/>
      <c r="B7" t="s">
        <v>14</v>
      </c>
      <c r="C7" s="184">
        <v>-2100</v>
      </c>
      <c r="D7" s="184">
        <v>2000</v>
      </c>
      <c r="E7" s="184">
        <v>1200</v>
      </c>
    </row>
    <row r="8" spans="1:10" x14ac:dyDescent="0.25">
      <c r="A8" s="2"/>
      <c r="B8" t="s">
        <v>15</v>
      </c>
      <c r="C8" s="184">
        <v>-2100</v>
      </c>
      <c r="D8" s="184">
        <v>1440</v>
      </c>
      <c r="E8" s="184">
        <v>1728</v>
      </c>
    </row>
    <row r="9" spans="1:10" x14ac:dyDescent="0.25">
      <c r="A9" s="2"/>
      <c r="B9" s="2"/>
    </row>
    <row r="10" spans="1:10" ht="15" customHeight="1" x14ac:dyDescent="0.25">
      <c r="A10" s="1"/>
      <c r="B10" s="214" t="s">
        <v>109</v>
      </c>
      <c r="C10" s="214"/>
      <c r="D10" s="214"/>
      <c r="E10" s="214"/>
      <c r="F10" s="214"/>
      <c r="G10" s="214"/>
      <c r="H10" s="214"/>
      <c r="I10" s="214"/>
      <c r="J10" s="214"/>
    </row>
    <row r="11" spans="1:10" ht="15" customHeight="1" x14ac:dyDescent="0.25">
      <c r="A11" s="1"/>
      <c r="B11" s="214" t="s">
        <v>110</v>
      </c>
      <c r="C11" s="214"/>
      <c r="D11" s="214"/>
      <c r="E11" s="214"/>
      <c r="F11" s="214"/>
      <c r="G11" s="214"/>
      <c r="H11" s="214"/>
      <c r="I11" s="214"/>
      <c r="J11" s="214"/>
    </row>
    <row r="12" spans="1:10" ht="15" customHeight="1" x14ac:dyDescent="0.25">
      <c r="A12" s="1"/>
      <c r="B12" s="14"/>
      <c r="C12" s="14"/>
      <c r="D12" s="14"/>
      <c r="E12" s="14"/>
    </row>
    <row r="13" spans="1:10" s="11" customFormat="1" x14ac:dyDescent="0.25">
      <c r="A13" s="4"/>
      <c r="B13" s="5"/>
      <c r="C13" s="5"/>
      <c r="D13" s="5"/>
      <c r="E13" s="5"/>
    </row>
    <row r="14" spans="1:10" x14ac:dyDescent="0.25">
      <c r="A14" s="2"/>
    </row>
    <row r="15" spans="1:10" x14ac:dyDescent="0.25">
      <c r="A15" s="2"/>
      <c r="B15" s="6" t="s">
        <v>1</v>
      </c>
      <c r="C15" s="6"/>
      <c r="D15" s="6"/>
      <c r="E15" s="6"/>
      <c r="F15" s="13"/>
      <c r="G15" s="13"/>
      <c r="H15" s="13"/>
      <c r="I15" s="13"/>
    </row>
    <row r="16" spans="1:10" x14ac:dyDescent="0.25">
      <c r="A16" s="2"/>
      <c r="B16" s="7" t="s">
        <v>206</v>
      </c>
      <c r="C16" s="3"/>
      <c r="D16" s="3"/>
      <c r="E16" s="3"/>
    </row>
    <row r="17" spans="1:6" s="10" customFormat="1" x14ac:dyDescent="0.25">
      <c r="A17" s="149"/>
      <c r="B17" s="149" t="s">
        <v>3</v>
      </c>
      <c r="C17" s="149"/>
      <c r="D17" s="149"/>
      <c r="E17" s="149"/>
    </row>
    <row r="19" spans="1:6" x14ac:dyDescent="0.25">
      <c r="B19" s="2" t="s">
        <v>4</v>
      </c>
    </row>
    <row r="20" spans="1:6" ht="18" x14ac:dyDescent="0.35">
      <c r="B20" t="s">
        <v>25</v>
      </c>
      <c r="C20" s="185" t="s">
        <v>175</v>
      </c>
      <c r="D20" s="185" t="s">
        <v>176</v>
      </c>
      <c r="E20" s="185" t="s">
        <v>177</v>
      </c>
      <c r="F20" s="20"/>
    </row>
    <row r="21" spans="1:6" x14ac:dyDescent="0.25">
      <c r="A21" s="8"/>
      <c r="B21" t="s">
        <v>14</v>
      </c>
      <c r="C21" s="97">
        <v>-2100</v>
      </c>
      <c r="D21" s="97">
        <v>2000</v>
      </c>
      <c r="E21" s="97">
        <v>1200</v>
      </c>
    </row>
    <row r="22" spans="1:6" x14ac:dyDescent="0.25">
      <c r="A22" s="8"/>
      <c r="B22" t="s">
        <v>15</v>
      </c>
      <c r="C22" s="97">
        <v>-2100</v>
      </c>
      <c r="D22" s="97">
        <v>1440</v>
      </c>
      <c r="E22" s="97">
        <v>1728</v>
      </c>
    </row>
    <row r="23" spans="1:6" x14ac:dyDescent="0.25">
      <c r="A23" s="8"/>
      <c r="B23" s="22"/>
      <c r="C23" s="76"/>
      <c r="D23" s="76"/>
      <c r="E23" s="58"/>
    </row>
    <row r="24" spans="1:6" x14ac:dyDescent="0.25">
      <c r="A24" s="8"/>
      <c r="B24" s="37" t="s">
        <v>202</v>
      </c>
      <c r="C24" s="67">
        <v>0.22</v>
      </c>
      <c r="D24" s="76"/>
      <c r="E24" s="58"/>
    </row>
    <row r="25" spans="1:6" x14ac:dyDescent="0.25">
      <c r="A25" s="8"/>
      <c r="B25" s="22"/>
      <c r="C25" s="56"/>
      <c r="D25" s="39"/>
    </row>
    <row r="26" spans="1:6" s="34" customFormat="1" x14ac:dyDescent="0.25">
      <c r="A26" s="33"/>
      <c r="B26" s="35"/>
      <c r="C26" s="36"/>
      <c r="D26" s="36"/>
    </row>
    <row r="27" spans="1:6" x14ac:dyDescent="0.25">
      <c r="A27" s="8"/>
    </row>
    <row r="28" spans="1:6" x14ac:dyDescent="0.25">
      <c r="A28" s="8"/>
      <c r="B28" s="2" t="s">
        <v>5</v>
      </c>
    </row>
    <row r="29" spans="1:6" x14ac:dyDescent="0.25">
      <c r="A29" s="8"/>
      <c r="B29" s="2" t="s">
        <v>10</v>
      </c>
      <c r="C29" s="85"/>
      <c r="D29" s="53"/>
      <c r="E29" s="23"/>
    </row>
    <row r="30" spans="1:6" x14ac:dyDescent="0.25">
      <c r="A30" s="8"/>
      <c r="B30" t="s">
        <v>66</v>
      </c>
      <c r="C30" s="126">
        <f>NPV(C24,D21,E21)+C21</f>
        <v>345.57914539102421</v>
      </c>
      <c r="D30" s="53"/>
      <c r="E30" s="23"/>
    </row>
    <row r="31" spans="1:6" x14ac:dyDescent="0.25">
      <c r="A31" s="8"/>
      <c r="B31" t="s">
        <v>67</v>
      </c>
      <c r="C31" s="126">
        <f>NPV(C24,D22,E22)+C22</f>
        <v>241.30610051061558</v>
      </c>
      <c r="D31" s="53"/>
      <c r="E31" s="23"/>
    </row>
    <row r="32" spans="1:6" x14ac:dyDescent="0.25">
      <c r="A32" s="8"/>
      <c r="B32" s="37" t="s">
        <v>203</v>
      </c>
      <c r="C32" s="110">
        <f>(C21+NPV($C$24,D21,E21))/-C21</f>
        <v>0.16456149780524962</v>
      </c>
      <c r="D32" s="38"/>
      <c r="E32" s="23"/>
    </row>
    <row r="33" spans="1:5" x14ac:dyDescent="0.25">
      <c r="A33" s="8"/>
      <c r="B33" s="37" t="s">
        <v>204</v>
      </c>
      <c r="C33" s="110">
        <f>(C22+NPV($C$24,D22,E22))/-C22</f>
        <v>0.11490766690981694</v>
      </c>
      <c r="D33" s="38"/>
      <c r="E33" s="23"/>
    </row>
    <row r="34" spans="1:5" x14ac:dyDescent="0.25">
      <c r="A34" s="8"/>
      <c r="B34" s="58"/>
      <c r="C34" s="110"/>
      <c r="D34" s="38"/>
      <c r="E34" s="23"/>
    </row>
    <row r="35" spans="1:5" x14ac:dyDescent="0.25">
      <c r="A35" s="8"/>
      <c r="B35" s="194" t="s">
        <v>8</v>
      </c>
      <c r="C35" s="95"/>
      <c r="D35" s="38"/>
      <c r="E35" s="21"/>
    </row>
    <row r="36" spans="1:5" x14ac:dyDescent="0.25">
      <c r="A36" s="8"/>
      <c r="B36" s="195" t="s">
        <v>205</v>
      </c>
      <c r="C36" s="109" t="str">
        <f>IF(AND(C32&gt;0,C33&gt;0),"Both",IF(C32&gt;0,"Proj A",IF(C33&gt;0,"Proj B","Neither")))</f>
        <v>Both</v>
      </c>
      <c r="D36" s="38"/>
      <c r="E36" s="21"/>
    </row>
    <row r="37" spans="1:5" x14ac:dyDescent="0.25">
      <c r="A37" s="8"/>
      <c r="B37" s="195"/>
      <c r="C37" s="27"/>
    </row>
  </sheetData>
  <mergeCells count="2">
    <mergeCell ref="B10:J10"/>
    <mergeCell ref="B11:J1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A1:I54"/>
  <sheetViews>
    <sheetView workbookViewId="0">
      <selection activeCell="A2" sqref="A2"/>
    </sheetView>
  </sheetViews>
  <sheetFormatPr defaultColWidth="9.140625" defaultRowHeight="15" x14ac:dyDescent="0.25"/>
  <cols>
    <col min="1" max="1" width="17.85546875" customWidth="1"/>
    <col min="2" max="2" width="14" customWidth="1"/>
    <col min="3" max="3" width="14.5703125" customWidth="1"/>
    <col min="4" max="4" width="10.5703125" customWidth="1"/>
    <col min="5" max="6" width="8.5703125" customWidth="1"/>
    <col min="7" max="7" width="7.5703125" customWidth="1"/>
    <col min="9" max="9" width="12.42578125" customWidth="1"/>
  </cols>
  <sheetData>
    <row r="1" spans="1:9" x14ac:dyDescent="0.25">
      <c r="A1" s="2" t="s">
        <v>311</v>
      </c>
    </row>
    <row r="2" spans="1:9" s="34" customFormat="1" x14ac:dyDescent="0.25">
      <c r="A2" s="151"/>
    </row>
    <row r="3" spans="1:9" x14ac:dyDescent="0.25">
      <c r="A3" s="2" t="s">
        <v>0</v>
      </c>
      <c r="B3" s="2" t="s">
        <v>95</v>
      </c>
    </row>
    <row r="4" spans="1:9" ht="15" customHeight="1" x14ac:dyDescent="0.25">
      <c r="A4" s="1"/>
      <c r="B4" s="214" t="s">
        <v>213</v>
      </c>
      <c r="C4" s="214"/>
      <c r="D4" s="214"/>
      <c r="E4" s="214"/>
      <c r="F4" s="214"/>
      <c r="G4" s="214"/>
      <c r="H4" s="214"/>
      <c r="I4" s="214"/>
    </row>
    <row r="5" spans="1:9" ht="15" customHeight="1" x14ac:dyDescent="0.25">
      <c r="A5" s="1" t="s">
        <v>0</v>
      </c>
      <c r="B5" s="54"/>
      <c r="C5" s="54"/>
      <c r="D5" s="54"/>
      <c r="E5" s="54"/>
      <c r="F5" s="54"/>
      <c r="G5" s="54"/>
      <c r="H5" s="54"/>
      <c r="I5" s="54"/>
    </row>
    <row r="6" spans="1:9" ht="15" customHeight="1" x14ac:dyDescent="0.35">
      <c r="A6" s="1"/>
      <c r="B6" s="54" t="s">
        <v>25</v>
      </c>
      <c r="C6" s="185" t="s">
        <v>175</v>
      </c>
      <c r="D6" s="185" t="s">
        <v>176</v>
      </c>
      <c r="E6" s="185" t="s">
        <v>177</v>
      </c>
      <c r="F6" s="185" t="s">
        <v>184</v>
      </c>
      <c r="G6" s="185" t="s">
        <v>0</v>
      </c>
      <c r="H6" s="54"/>
      <c r="I6" s="54"/>
    </row>
    <row r="7" spans="1:9" ht="15" customHeight="1" x14ac:dyDescent="0.25">
      <c r="A7" s="1"/>
      <c r="B7" s="54" t="s">
        <v>14</v>
      </c>
      <c r="C7" s="189">
        <v>-36</v>
      </c>
      <c r="D7" s="189">
        <v>20</v>
      </c>
      <c r="E7" s="189">
        <v>20</v>
      </c>
      <c r="F7" s="189">
        <v>20</v>
      </c>
      <c r="G7" s="54"/>
      <c r="H7" s="54"/>
      <c r="I7" s="54"/>
    </row>
    <row r="8" spans="1:9" ht="15" customHeight="1" x14ac:dyDescent="0.25">
      <c r="A8" s="1"/>
      <c r="B8" s="54" t="s">
        <v>15</v>
      </c>
      <c r="C8" s="200">
        <v>-50</v>
      </c>
      <c r="D8" s="200">
        <v>25</v>
      </c>
      <c r="E8" s="200">
        <v>25</v>
      </c>
      <c r="F8" s="200">
        <v>25</v>
      </c>
      <c r="G8" s="54"/>
      <c r="H8" s="54"/>
      <c r="I8" s="54"/>
    </row>
    <row r="9" spans="1:9" ht="15" customHeight="1" x14ac:dyDescent="0.25">
      <c r="A9" s="1"/>
      <c r="C9" s="14"/>
      <c r="D9" s="14"/>
      <c r="E9" s="14"/>
    </row>
    <row r="10" spans="1:9" ht="15" customHeight="1" x14ac:dyDescent="0.25">
      <c r="A10" s="1"/>
      <c r="B10" s="214" t="s">
        <v>207</v>
      </c>
      <c r="C10" s="214"/>
      <c r="D10" s="214"/>
      <c r="E10" s="214"/>
      <c r="F10" s="214"/>
      <c r="G10" s="214"/>
      <c r="H10" s="214"/>
      <c r="I10" s="214"/>
    </row>
    <row r="11" spans="1:9" ht="15" customHeight="1" x14ac:dyDescent="0.25">
      <c r="A11" s="1"/>
      <c r="B11" s="214" t="s">
        <v>113</v>
      </c>
      <c r="C11" s="214"/>
      <c r="D11" s="214"/>
      <c r="E11" s="214"/>
      <c r="F11" s="214"/>
      <c r="G11" s="214"/>
      <c r="H11" s="214"/>
      <c r="I11" s="214"/>
    </row>
    <row r="12" spans="1:9" ht="15" customHeight="1" x14ac:dyDescent="0.25">
      <c r="A12" s="1"/>
      <c r="B12" s="214" t="s">
        <v>208</v>
      </c>
      <c r="C12" s="214"/>
      <c r="D12" s="214"/>
      <c r="E12" s="214"/>
      <c r="F12" s="214"/>
      <c r="G12" s="214"/>
      <c r="H12" s="214"/>
      <c r="I12" s="214"/>
    </row>
    <row r="13" spans="1:9" ht="15" customHeight="1" x14ac:dyDescent="0.25">
      <c r="A13" s="1"/>
      <c r="B13" s="214" t="s">
        <v>209</v>
      </c>
      <c r="C13" s="214"/>
      <c r="D13" s="214"/>
      <c r="E13" s="214"/>
      <c r="F13" s="214"/>
      <c r="G13" s="214"/>
      <c r="H13" s="214"/>
      <c r="I13" s="214"/>
    </row>
    <row r="14" spans="1:9" ht="31.5" customHeight="1" x14ac:dyDescent="0.25">
      <c r="A14" s="1"/>
      <c r="B14" s="214" t="s">
        <v>111</v>
      </c>
      <c r="C14" s="214"/>
      <c r="D14" s="214"/>
      <c r="E14" s="214"/>
      <c r="F14" s="214"/>
      <c r="G14" s="214"/>
      <c r="H14" s="214"/>
      <c r="I14" s="214"/>
    </row>
    <row r="15" spans="1:9" ht="15" customHeight="1" x14ac:dyDescent="0.25">
      <c r="A15" s="1"/>
      <c r="B15" s="214" t="s">
        <v>112</v>
      </c>
      <c r="C15" s="214"/>
      <c r="D15" s="214"/>
      <c r="E15" s="214"/>
      <c r="F15" s="214"/>
      <c r="G15" s="214"/>
      <c r="H15" s="214"/>
      <c r="I15" s="214"/>
    </row>
    <row r="16" spans="1:9" ht="15" customHeight="1" x14ac:dyDescent="0.25">
      <c r="A16" s="1"/>
      <c r="B16" s="14"/>
      <c r="C16" s="14"/>
      <c r="D16" s="14"/>
      <c r="E16" s="14"/>
    </row>
    <row r="17" spans="1:9" s="11" customFormat="1" x14ac:dyDescent="0.25">
      <c r="A17" s="4"/>
      <c r="B17" s="5"/>
      <c r="C17" s="5"/>
      <c r="D17" s="5"/>
      <c r="E17" s="5"/>
    </row>
    <row r="18" spans="1:9" x14ac:dyDescent="0.25">
      <c r="A18" s="2"/>
    </row>
    <row r="19" spans="1:9" x14ac:dyDescent="0.25">
      <c r="A19" s="2"/>
      <c r="B19" s="6" t="s">
        <v>1</v>
      </c>
      <c r="C19" s="6"/>
      <c r="D19" s="6"/>
      <c r="E19" s="6"/>
      <c r="F19" s="13"/>
      <c r="G19" s="13"/>
      <c r="H19" s="13"/>
      <c r="I19" s="13"/>
    </row>
    <row r="20" spans="1:9" x14ac:dyDescent="0.25">
      <c r="A20" s="2"/>
      <c r="B20" s="7" t="s">
        <v>2</v>
      </c>
      <c r="C20" s="3"/>
      <c r="D20" s="3"/>
      <c r="E20" s="3"/>
    </row>
    <row r="21" spans="1:9" s="10" customFormat="1" x14ac:dyDescent="0.25">
      <c r="A21" s="149"/>
      <c r="B21" s="149" t="s">
        <v>3</v>
      </c>
      <c r="C21" s="149"/>
      <c r="D21" s="149"/>
      <c r="E21" s="149"/>
    </row>
    <row r="23" spans="1:9" x14ac:dyDescent="0.25">
      <c r="B23" s="2" t="s">
        <v>4</v>
      </c>
    </row>
    <row r="24" spans="1:9" ht="18" x14ac:dyDescent="0.35">
      <c r="B24" s="54" t="s">
        <v>25</v>
      </c>
      <c r="C24" s="185" t="s">
        <v>175</v>
      </c>
      <c r="D24" s="185" t="s">
        <v>176</v>
      </c>
      <c r="E24" s="185" t="s">
        <v>177</v>
      </c>
      <c r="F24" s="185" t="s">
        <v>184</v>
      </c>
    </row>
    <row r="25" spans="1:9" x14ac:dyDescent="0.25">
      <c r="A25" s="8"/>
      <c r="B25" s="54" t="s">
        <v>14</v>
      </c>
      <c r="C25" s="201">
        <v>-36</v>
      </c>
      <c r="D25" s="201">
        <v>20</v>
      </c>
      <c r="E25" s="201">
        <v>20</v>
      </c>
      <c r="F25" s="201">
        <v>20</v>
      </c>
    </row>
    <row r="26" spans="1:9" x14ac:dyDescent="0.25">
      <c r="A26" s="8"/>
      <c r="B26" s="54" t="s">
        <v>15</v>
      </c>
      <c r="C26" s="202">
        <v>-50</v>
      </c>
      <c r="D26" s="202">
        <v>25</v>
      </c>
      <c r="E26" s="202">
        <v>25</v>
      </c>
      <c r="F26" s="202">
        <v>25</v>
      </c>
    </row>
    <row r="27" spans="1:9" x14ac:dyDescent="0.25">
      <c r="A27" s="8"/>
      <c r="B27" s="22"/>
      <c r="C27" s="76"/>
      <c r="D27" s="76"/>
      <c r="E27" s="58"/>
      <c r="F27" s="58"/>
    </row>
    <row r="28" spans="1:9" x14ac:dyDescent="0.25">
      <c r="A28" s="8"/>
      <c r="B28" s="37" t="s">
        <v>11</v>
      </c>
      <c r="C28" s="67">
        <v>0.1</v>
      </c>
      <c r="D28" s="76"/>
      <c r="E28" s="58"/>
      <c r="F28" s="58"/>
    </row>
    <row r="29" spans="1:9" x14ac:dyDescent="0.25">
      <c r="A29" s="8"/>
      <c r="B29" s="22"/>
      <c r="C29" s="56"/>
      <c r="D29" s="39"/>
    </row>
    <row r="30" spans="1:9" s="34" customFormat="1" x14ac:dyDescent="0.25">
      <c r="A30" s="33"/>
      <c r="B30" s="35"/>
      <c r="C30" s="36"/>
      <c r="D30" s="36"/>
    </row>
    <row r="31" spans="1:9" x14ac:dyDescent="0.25">
      <c r="A31" s="8"/>
    </row>
    <row r="32" spans="1:9" x14ac:dyDescent="0.25">
      <c r="A32" s="8"/>
      <c r="B32" s="2" t="s">
        <v>5</v>
      </c>
    </row>
    <row r="33" spans="1:5" x14ac:dyDescent="0.25">
      <c r="A33" s="8"/>
      <c r="B33" s="2" t="s">
        <v>28</v>
      </c>
      <c r="C33" s="23"/>
      <c r="D33" s="53"/>
      <c r="E33" s="23"/>
    </row>
    <row r="34" spans="1:5" x14ac:dyDescent="0.25">
      <c r="A34" s="8"/>
      <c r="B34" s="37" t="s">
        <v>66</v>
      </c>
      <c r="C34" s="93">
        <f>NPV(C28,D25:F25)+C25</f>
        <v>13.737039819684441</v>
      </c>
    </row>
    <row r="35" spans="1:5" x14ac:dyDescent="0.25">
      <c r="A35" s="8"/>
      <c r="B35" s="37" t="s">
        <v>67</v>
      </c>
      <c r="C35" s="93">
        <f>NPV(C28,D26:F26)+C26</f>
        <v>12.171299774605558</v>
      </c>
    </row>
    <row r="36" spans="1:5" x14ac:dyDescent="0.25">
      <c r="A36" s="8"/>
      <c r="B36" s="37"/>
      <c r="C36" s="93"/>
    </row>
    <row r="37" spans="1:5" x14ac:dyDescent="0.25">
      <c r="A37" s="8"/>
      <c r="B37" s="44" t="s">
        <v>29</v>
      </c>
      <c r="C37" s="48"/>
      <c r="D37" s="38"/>
      <c r="E37" s="21"/>
    </row>
    <row r="38" spans="1:5" x14ac:dyDescent="0.25">
      <c r="A38" s="8"/>
      <c r="B38" s="18" t="s">
        <v>210</v>
      </c>
      <c r="C38" s="109" t="str">
        <f>IF(C34&gt;C35,"Project A",IF(C35&gt;C34," Project B","Same"))</f>
        <v>Project A</v>
      </c>
      <c r="D38" s="38"/>
      <c r="E38" s="21"/>
    </row>
    <row r="39" spans="1:5" x14ac:dyDescent="0.25">
      <c r="A39" s="8"/>
      <c r="B39" s="18"/>
      <c r="C39" s="111"/>
    </row>
    <row r="40" spans="1:5" x14ac:dyDescent="0.25">
      <c r="A40" s="8"/>
      <c r="B40" s="2" t="s">
        <v>30</v>
      </c>
      <c r="C40" s="112"/>
      <c r="D40" s="53"/>
      <c r="E40" s="23"/>
    </row>
    <row r="41" spans="1:5" x14ac:dyDescent="0.25">
      <c r="A41" s="8"/>
      <c r="B41" s="37" t="s">
        <v>68</v>
      </c>
      <c r="C41" s="108">
        <f>(C25+NPV($C$28,D25,E25,F25))/-C25</f>
        <v>0.38158443943567888</v>
      </c>
      <c r="D41" s="38"/>
      <c r="E41" s="23"/>
    </row>
    <row r="42" spans="1:5" x14ac:dyDescent="0.25">
      <c r="A42" s="8"/>
      <c r="B42" s="37" t="s">
        <v>69</v>
      </c>
      <c r="C42" s="108">
        <f>(C26+NPV($C$28,D26,E26,F26))/-C26</f>
        <v>0.24342599549211116</v>
      </c>
      <c r="D42" s="38"/>
      <c r="E42" s="23"/>
    </row>
    <row r="43" spans="1:5" x14ac:dyDescent="0.25">
      <c r="A43" s="8"/>
      <c r="B43" s="37"/>
      <c r="C43" s="108"/>
      <c r="D43" s="38"/>
      <c r="E43" s="23"/>
    </row>
    <row r="44" spans="1:5" x14ac:dyDescent="0.25">
      <c r="A44" s="8"/>
      <c r="B44" s="44" t="s">
        <v>31</v>
      </c>
      <c r="C44" s="95"/>
      <c r="D44" s="38"/>
      <c r="E44" s="21"/>
    </row>
    <row r="45" spans="1:5" x14ac:dyDescent="0.25">
      <c r="A45" s="8"/>
      <c r="B45" s="18" t="s">
        <v>211</v>
      </c>
      <c r="C45" s="109" t="str">
        <f>IF(C41&gt;C42,"A",IF(C42&gt;C41,"B","Same"))</f>
        <v>A</v>
      </c>
      <c r="D45" s="38"/>
      <c r="E45" s="21"/>
    </row>
    <row r="46" spans="1:5" x14ac:dyDescent="0.25">
      <c r="A46" s="8"/>
      <c r="B46" s="18"/>
      <c r="C46" s="109"/>
      <c r="D46" s="38"/>
      <c r="E46" s="21"/>
    </row>
    <row r="47" spans="1:5" x14ac:dyDescent="0.25">
      <c r="A47" s="8"/>
      <c r="B47" s="44" t="s">
        <v>41</v>
      </c>
      <c r="C47" s="57"/>
      <c r="D47" s="38"/>
      <c r="E47" s="21"/>
    </row>
    <row r="48" spans="1:5" x14ac:dyDescent="0.25">
      <c r="A48" s="8"/>
      <c r="B48" s="18" t="s">
        <v>212</v>
      </c>
      <c r="C48" s="109" t="str">
        <f>IF(C34&gt;C35,"A",IF(C35&gt;C34,"B","Same"))</f>
        <v>A</v>
      </c>
      <c r="D48" s="38"/>
      <c r="E48" s="21"/>
    </row>
    <row r="49" spans="1:5" x14ac:dyDescent="0.25">
      <c r="A49" s="8"/>
      <c r="B49" s="18"/>
      <c r="C49" s="109"/>
      <c r="D49" s="38"/>
      <c r="E49" s="21"/>
    </row>
    <row r="50" spans="1:5" x14ac:dyDescent="0.25">
      <c r="A50" s="8"/>
      <c r="B50" s="44" t="s">
        <v>132</v>
      </c>
      <c r="C50" s="109"/>
      <c r="D50" s="38"/>
      <c r="E50" s="21"/>
    </row>
    <row r="51" spans="1:5" x14ac:dyDescent="0.25">
      <c r="A51" s="8"/>
      <c r="B51" s="18" t="s">
        <v>282</v>
      </c>
      <c r="C51" s="109" t="str">
        <f>IF(C41&gt;C42,"A",IF(C42&gt;C41,"B","Same"))</f>
        <v>A</v>
      </c>
      <c r="D51" s="38"/>
      <c r="E51" s="21"/>
    </row>
    <row r="52" spans="1:5" x14ac:dyDescent="0.25">
      <c r="A52" s="8"/>
      <c r="B52" s="18"/>
      <c r="C52" s="57"/>
      <c r="D52" s="38"/>
      <c r="E52" s="21"/>
    </row>
    <row r="53" spans="1:5" x14ac:dyDescent="0.25">
      <c r="A53" s="8"/>
      <c r="B53" s="18"/>
      <c r="C53" s="57"/>
      <c r="D53" s="38"/>
      <c r="E53" s="21"/>
    </row>
    <row r="54" spans="1:5" x14ac:dyDescent="0.25">
      <c r="A54" s="8"/>
      <c r="B54" s="18"/>
      <c r="C54" s="57"/>
      <c r="D54" s="38"/>
      <c r="E54" s="21"/>
    </row>
  </sheetData>
  <mergeCells count="7">
    <mergeCell ref="B4:I4"/>
    <mergeCell ref="B15:I15"/>
    <mergeCell ref="B10:I10"/>
    <mergeCell ref="B11:I11"/>
    <mergeCell ref="B12:I12"/>
    <mergeCell ref="B13:I13"/>
    <mergeCell ref="B14:I14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2060"/>
  </sheetPr>
  <dimension ref="A1:K36"/>
  <sheetViews>
    <sheetView workbookViewId="0">
      <selection activeCell="C34" sqref="C34"/>
    </sheetView>
  </sheetViews>
  <sheetFormatPr defaultColWidth="9.140625" defaultRowHeight="15" x14ac:dyDescent="0.25"/>
  <cols>
    <col min="1" max="1" width="16.5703125" customWidth="1"/>
    <col min="2" max="2" width="19.5703125" customWidth="1"/>
    <col min="3" max="3" width="15.140625" customWidth="1"/>
    <col min="4" max="5" width="17.5703125" customWidth="1"/>
    <col min="6" max="6" width="13.5703125" customWidth="1"/>
  </cols>
  <sheetData>
    <row r="1" spans="1:6" x14ac:dyDescent="0.25">
      <c r="A1" s="2" t="s">
        <v>310</v>
      </c>
      <c r="B1" s="2"/>
    </row>
    <row r="2" spans="1:6" s="34" customFormat="1" x14ac:dyDescent="0.25">
      <c r="A2" s="151"/>
      <c r="B2" s="151"/>
    </row>
    <row r="3" spans="1:6" x14ac:dyDescent="0.25">
      <c r="A3" s="2" t="s">
        <v>0</v>
      </c>
      <c r="B3" s="2" t="s">
        <v>95</v>
      </c>
    </row>
    <row r="4" spans="1:6" ht="36.75" customHeight="1" x14ac:dyDescent="0.25">
      <c r="A4" s="1"/>
      <c r="B4" s="213" t="s">
        <v>114</v>
      </c>
      <c r="C4" s="213"/>
      <c r="D4" s="213"/>
      <c r="E4" s="213"/>
      <c r="F4" s="213"/>
    </row>
    <row r="5" spans="1:6" ht="15" customHeight="1" x14ac:dyDescent="0.25">
      <c r="A5" s="1"/>
      <c r="B5" s="14"/>
      <c r="C5" s="14"/>
      <c r="D5" s="14"/>
      <c r="E5" s="14"/>
      <c r="F5" s="14"/>
    </row>
    <row r="6" spans="1:6" ht="15" customHeight="1" x14ac:dyDescent="0.25">
      <c r="A6" s="1"/>
      <c r="B6" s="214" t="s">
        <v>115</v>
      </c>
      <c r="C6" s="214"/>
      <c r="D6" s="214"/>
      <c r="E6" s="214"/>
    </row>
    <row r="7" spans="1:6" ht="15" customHeight="1" x14ac:dyDescent="0.25">
      <c r="A7" s="1"/>
      <c r="B7" s="213" t="s">
        <v>116</v>
      </c>
      <c r="C7" s="213"/>
      <c r="D7" s="213"/>
      <c r="E7" s="213"/>
    </row>
    <row r="8" spans="1:6" ht="15" customHeight="1" x14ac:dyDescent="0.25">
      <c r="A8" s="1"/>
      <c r="B8" s="213" t="s">
        <v>117</v>
      </c>
      <c r="C8" s="213"/>
      <c r="D8" s="213"/>
      <c r="E8" s="213"/>
    </row>
    <row r="9" spans="1:6" ht="15" customHeight="1" x14ac:dyDescent="0.25">
      <c r="A9" s="1"/>
      <c r="B9" s="14"/>
      <c r="C9" s="14"/>
      <c r="D9" s="14"/>
      <c r="E9" s="14"/>
    </row>
    <row r="10" spans="1:6" s="11" customFormat="1" x14ac:dyDescent="0.25">
      <c r="A10" s="4"/>
      <c r="B10" s="5"/>
      <c r="C10" s="5"/>
      <c r="D10" s="5"/>
      <c r="E10" s="5"/>
    </row>
    <row r="11" spans="1:6" x14ac:dyDescent="0.25">
      <c r="A11" s="2"/>
      <c r="B11" s="3"/>
      <c r="C11" s="3"/>
      <c r="D11" s="3"/>
      <c r="E11" s="3"/>
    </row>
    <row r="12" spans="1:6" x14ac:dyDescent="0.25">
      <c r="A12" s="2"/>
      <c r="B12" s="6" t="s">
        <v>1</v>
      </c>
      <c r="C12" s="6"/>
      <c r="D12" s="6"/>
      <c r="E12" s="6"/>
      <c r="F12" s="13"/>
    </row>
    <row r="13" spans="1:6" x14ac:dyDescent="0.25">
      <c r="A13" s="2"/>
      <c r="B13" s="7" t="s">
        <v>2</v>
      </c>
      <c r="C13" s="3"/>
      <c r="D13" s="3"/>
      <c r="E13" s="3"/>
    </row>
    <row r="14" spans="1:6" s="10" customFormat="1" x14ac:dyDescent="0.25">
      <c r="A14" s="149"/>
      <c r="B14" s="149" t="s">
        <v>3</v>
      </c>
      <c r="C14" s="149"/>
      <c r="D14" s="149"/>
      <c r="E14" s="149"/>
    </row>
    <row r="16" spans="1:6" x14ac:dyDescent="0.25">
      <c r="B16" s="19" t="s">
        <v>4</v>
      </c>
      <c r="C16" t="s">
        <v>0</v>
      </c>
    </row>
    <row r="17" spans="1:11" x14ac:dyDescent="0.25">
      <c r="A17" s="8"/>
      <c r="B17" t="s">
        <v>70</v>
      </c>
      <c r="C17" s="80">
        <v>-10000</v>
      </c>
      <c r="D17" s="42">
        <f>$C$18</f>
        <v>1000</v>
      </c>
      <c r="E17" s="42">
        <f t="shared" ref="E17:K17" si="0">$C$18</f>
        <v>1000</v>
      </c>
      <c r="F17" s="42">
        <f t="shared" si="0"/>
        <v>1000</v>
      </c>
      <c r="G17" s="42">
        <f t="shared" si="0"/>
        <v>1000</v>
      </c>
      <c r="H17" s="42">
        <f t="shared" si="0"/>
        <v>1000</v>
      </c>
      <c r="I17" s="42">
        <f t="shared" si="0"/>
        <v>1000</v>
      </c>
      <c r="J17" s="42">
        <f t="shared" si="0"/>
        <v>1000</v>
      </c>
      <c r="K17" s="42">
        <f t="shared" si="0"/>
        <v>1000</v>
      </c>
    </row>
    <row r="18" spans="1:11" x14ac:dyDescent="0.25">
      <c r="A18" s="8"/>
      <c r="B18" t="s">
        <v>214</v>
      </c>
      <c r="C18" s="80">
        <v>1000</v>
      </c>
    </row>
    <row r="19" spans="1:11" x14ac:dyDescent="0.25">
      <c r="A19" s="8"/>
      <c r="B19" t="s">
        <v>23</v>
      </c>
      <c r="C19" s="12">
        <v>0.08</v>
      </c>
    </row>
    <row r="20" spans="1:11" x14ac:dyDescent="0.25">
      <c r="A20" s="8"/>
      <c r="B20" t="s">
        <v>24</v>
      </c>
      <c r="C20" s="12">
        <v>0.1</v>
      </c>
    </row>
    <row r="21" spans="1:11" x14ac:dyDescent="0.25">
      <c r="A21" s="8"/>
    </row>
    <row r="22" spans="1:11" s="34" customFormat="1" x14ac:dyDescent="0.25">
      <c r="A22" s="33"/>
    </row>
    <row r="23" spans="1:11" x14ac:dyDescent="0.25">
      <c r="A23" s="8"/>
    </row>
    <row r="24" spans="1:11" x14ac:dyDescent="0.25">
      <c r="A24" s="8"/>
      <c r="B24" s="2" t="s">
        <v>5</v>
      </c>
    </row>
    <row r="25" spans="1:11" x14ac:dyDescent="0.25">
      <c r="A25" s="8"/>
      <c r="B25" s="2" t="s">
        <v>7</v>
      </c>
    </row>
    <row r="26" spans="1:11" x14ac:dyDescent="0.25">
      <c r="A26" s="8"/>
      <c r="B26" s="79" t="s">
        <v>142</v>
      </c>
      <c r="C26" s="85" t="s">
        <v>16</v>
      </c>
      <c r="D26" s="23"/>
    </row>
    <row r="27" spans="1:11" x14ac:dyDescent="0.25">
      <c r="A27" s="8"/>
      <c r="B27" s="45">
        <f>C19</f>
        <v>0.08</v>
      </c>
      <c r="C27" s="143">
        <f>C17+C18/C19</f>
        <v>2500</v>
      </c>
      <c r="D27" s="23"/>
    </row>
    <row r="28" spans="1:11" x14ac:dyDescent="0.25">
      <c r="A28" s="8"/>
      <c r="B28" s="45">
        <f>C20</f>
        <v>0.1</v>
      </c>
      <c r="C28" s="143">
        <f>C17+C18/C20</f>
        <v>0</v>
      </c>
      <c r="D28" s="21"/>
    </row>
    <row r="29" spans="1:11" x14ac:dyDescent="0.25">
      <c r="A29" s="8"/>
      <c r="C29" s="111"/>
    </row>
    <row r="30" spans="1:11" x14ac:dyDescent="0.25">
      <c r="A30" s="8"/>
      <c r="B30" s="2" t="s">
        <v>8</v>
      </c>
      <c r="C30" s="84"/>
      <c r="D30" s="23"/>
      <c r="E30" s="23"/>
    </row>
    <row r="31" spans="1:11" x14ac:dyDescent="0.25">
      <c r="A31" s="8"/>
      <c r="B31" t="s">
        <v>22</v>
      </c>
      <c r="C31" s="145">
        <f>C18/-C17</f>
        <v>0.1</v>
      </c>
      <c r="D31" s="23"/>
      <c r="E31" s="23"/>
    </row>
    <row r="32" spans="1:11" x14ac:dyDescent="0.25">
      <c r="A32" s="8"/>
      <c r="C32" s="86"/>
      <c r="D32" s="23"/>
      <c r="E32" s="23"/>
    </row>
    <row r="33" spans="1:5" x14ac:dyDescent="0.25">
      <c r="A33" s="8"/>
      <c r="B33" s="2" t="s">
        <v>9</v>
      </c>
      <c r="C33" s="86"/>
      <c r="D33" s="23"/>
      <c r="E33" s="23"/>
    </row>
    <row r="34" spans="1:5" x14ac:dyDescent="0.25">
      <c r="A34" s="8"/>
      <c r="B34" t="s">
        <v>27</v>
      </c>
      <c r="C34" s="147">
        <f>-C17/C18</f>
        <v>10</v>
      </c>
      <c r="D34" s="68" t="s">
        <v>20</v>
      </c>
      <c r="E34" s="23"/>
    </row>
    <row r="35" spans="1:5" ht="17.25" customHeight="1" x14ac:dyDescent="0.25">
      <c r="A35" s="8"/>
      <c r="C35" s="26"/>
      <c r="D35" s="22"/>
      <c r="E35" s="25"/>
    </row>
    <row r="36" spans="1:5" x14ac:dyDescent="0.25">
      <c r="B36" s="9"/>
      <c r="C36" s="9"/>
      <c r="D36" s="9"/>
      <c r="E36" s="9"/>
    </row>
  </sheetData>
  <mergeCells count="4">
    <mergeCell ref="B6:E6"/>
    <mergeCell ref="B7:E7"/>
    <mergeCell ref="B8:E8"/>
    <mergeCell ref="B4:F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0"/>
  <sheetViews>
    <sheetView workbookViewId="0">
      <selection activeCell="C31" sqref="C31"/>
    </sheetView>
  </sheetViews>
  <sheetFormatPr defaultColWidth="9.140625" defaultRowHeight="15" x14ac:dyDescent="0.25"/>
  <cols>
    <col min="1" max="1" width="16.5703125" customWidth="1"/>
    <col min="2" max="2" width="22.85546875" customWidth="1"/>
    <col min="3" max="3" width="10.42578125" customWidth="1"/>
    <col min="4" max="4" width="10.5703125" customWidth="1"/>
    <col min="5" max="6" width="8.5703125" customWidth="1"/>
    <col min="7" max="7" width="7.5703125" customWidth="1"/>
    <col min="8" max="8" width="16.42578125" customWidth="1"/>
  </cols>
  <sheetData>
    <row r="1" spans="1:9" x14ac:dyDescent="0.25">
      <c r="A1" s="2" t="s">
        <v>309</v>
      </c>
      <c r="B1" s="2"/>
    </row>
    <row r="2" spans="1:9" s="34" customFormat="1" x14ac:dyDescent="0.25">
      <c r="A2" s="151"/>
      <c r="B2" s="151"/>
    </row>
    <row r="3" spans="1:9" x14ac:dyDescent="0.25">
      <c r="A3" s="2" t="s">
        <v>0</v>
      </c>
      <c r="B3" s="2" t="s">
        <v>95</v>
      </c>
    </row>
    <row r="4" spans="1:9" ht="33.75" customHeight="1" x14ac:dyDescent="0.25">
      <c r="A4" s="1"/>
      <c r="B4" s="214" t="s">
        <v>118</v>
      </c>
      <c r="C4" s="214"/>
      <c r="D4" s="214"/>
      <c r="E4" s="214"/>
      <c r="F4" s="214"/>
      <c r="G4" s="214"/>
      <c r="H4" s="214"/>
      <c r="I4" s="150"/>
    </row>
    <row r="5" spans="1:9" ht="15" customHeight="1" x14ac:dyDescent="0.25">
      <c r="A5" s="1"/>
      <c r="C5" s="14"/>
      <c r="D5" s="14"/>
      <c r="E5" s="14"/>
    </row>
    <row r="6" spans="1:9" ht="15" customHeight="1" x14ac:dyDescent="0.25">
      <c r="A6" s="1"/>
      <c r="B6" s="214" t="s">
        <v>215</v>
      </c>
      <c r="C6" s="214"/>
      <c r="D6" s="214"/>
      <c r="E6" s="214"/>
      <c r="F6" s="214"/>
      <c r="G6" s="214"/>
      <c r="H6" s="214"/>
      <c r="I6" s="214"/>
    </row>
    <row r="7" spans="1:9" ht="15" customHeight="1" x14ac:dyDescent="0.25">
      <c r="A7" s="1"/>
      <c r="B7" s="214" t="s">
        <v>119</v>
      </c>
      <c r="C7" s="214"/>
      <c r="D7" s="214"/>
      <c r="E7" s="214"/>
      <c r="F7" s="214"/>
      <c r="G7" s="214"/>
      <c r="H7" s="214"/>
      <c r="I7" s="214"/>
    </row>
    <row r="8" spans="1:9" ht="15" customHeight="1" x14ac:dyDescent="0.25">
      <c r="A8" s="1"/>
      <c r="B8" s="214" t="s">
        <v>123</v>
      </c>
      <c r="C8" s="214"/>
      <c r="D8" s="214"/>
      <c r="E8" s="214"/>
      <c r="F8" s="214"/>
      <c r="G8" s="214"/>
      <c r="H8" s="214"/>
      <c r="I8" s="214"/>
    </row>
    <row r="9" spans="1:9" ht="15" customHeight="1" x14ac:dyDescent="0.25">
      <c r="A9" s="1"/>
      <c r="B9" s="214" t="s">
        <v>120</v>
      </c>
      <c r="C9" s="214"/>
      <c r="D9" s="214"/>
      <c r="E9" s="214"/>
      <c r="F9" s="214"/>
      <c r="G9" s="214"/>
      <c r="H9" s="214"/>
      <c r="I9" s="214"/>
    </row>
    <row r="10" spans="1:9" ht="15" customHeight="1" x14ac:dyDescent="0.25">
      <c r="A10" s="1"/>
      <c r="B10" s="214" t="s">
        <v>216</v>
      </c>
      <c r="C10" s="214"/>
      <c r="D10" s="214"/>
      <c r="E10" s="214"/>
      <c r="F10" s="214"/>
      <c r="G10" s="214"/>
      <c r="H10" s="214"/>
      <c r="I10" s="214"/>
    </row>
    <row r="11" spans="1:9" ht="15" customHeight="1" x14ac:dyDescent="0.25">
      <c r="A11" s="1"/>
      <c r="B11" s="214" t="s">
        <v>121</v>
      </c>
      <c r="C11" s="214"/>
      <c r="D11" s="214"/>
      <c r="E11" s="214"/>
      <c r="F11" s="214"/>
      <c r="G11" s="214"/>
      <c r="H11" s="214"/>
      <c r="I11" s="214"/>
    </row>
    <row r="12" spans="1:9" ht="15" customHeight="1" x14ac:dyDescent="0.25">
      <c r="A12" s="1"/>
      <c r="B12" s="214" t="s">
        <v>122</v>
      </c>
      <c r="C12" s="214"/>
      <c r="D12" s="214"/>
      <c r="E12" s="214"/>
      <c r="F12" s="214"/>
      <c r="G12" s="214"/>
      <c r="H12" s="214"/>
      <c r="I12" s="214"/>
    </row>
    <row r="13" spans="1:9" ht="15" customHeight="1" x14ac:dyDescent="0.25">
      <c r="A13" s="1"/>
      <c r="B13" s="14"/>
      <c r="C13" s="14"/>
      <c r="D13" s="14"/>
      <c r="E13" s="14"/>
    </row>
    <row r="14" spans="1:9" s="11" customFormat="1" x14ac:dyDescent="0.25">
      <c r="A14" s="4"/>
      <c r="B14" s="5"/>
      <c r="C14" s="5"/>
      <c r="D14" s="5"/>
      <c r="E14" s="5"/>
    </row>
    <row r="15" spans="1:9" x14ac:dyDescent="0.25">
      <c r="A15" s="2"/>
    </row>
    <row r="16" spans="1:9" x14ac:dyDescent="0.25">
      <c r="A16" s="2"/>
      <c r="B16" s="6" t="s">
        <v>1</v>
      </c>
      <c r="C16" s="6"/>
      <c r="D16" s="6"/>
      <c r="E16" s="6"/>
      <c r="F16" s="13"/>
      <c r="G16" s="13"/>
      <c r="H16" s="13"/>
    </row>
    <row r="17" spans="1:5" x14ac:dyDescent="0.25">
      <c r="A17" s="2"/>
      <c r="B17" s="7" t="s">
        <v>2</v>
      </c>
      <c r="C17" s="3"/>
      <c r="D17" s="3"/>
      <c r="E17" s="3"/>
    </row>
    <row r="18" spans="1:5" s="10" customFormat="1" x14ac:dyDescent="0.25">
      <c r="A18" s="149"/>
      <c r="B18" s="149" t="s">
        <v>3</v>
      </c>
      <c r="C18" s="149"/>
      <c r="D18" s="149"/>
      <c r="E18" s="149"/>
    </row>
    <row r="20" spans="1:5" x14ac:dyDescent="0.25">
      <c r="B20" s="2" t="s">
        <v>4</v>
      </c>
    </row>
    <row r="21" spans="1:5" x14ac:dyDescent="0.25">
      <c r="A21" s="8"/>
      <c r="B21" s="37" t="s">
        <v>37</v>
      </c>
      <c r="C21" s="97">
        <v>2500</v>
      </c>
    </row>
    <row r="22" spans="1:5" x14ac:dyDescent="0.25">
      <c r="A22" s="8"/>
      <c r="B22" s="37" t="s">
        <v>166</v>
      </c>
      <c r="C22" s="97">
        <v>600</v>
      </c>
    </row>
    <row r="23" spans="1:5" x14ac:dyDescent="0.25">
      <c r="A23" s="8"/>
      <c r="B23" s="37" t="s">
        <v>171</v>
      </c>
      <c r="C23" s="73">
        <v>6</v>
      </c>
      <c r="D23" t="s">
        <v>0</v>
      </c>
    </row>
    <row r="24" spans="1:5" x14ac:dyDescent="0.25">
      <c r="A24" s="8"/>
      <c r="B24" s="37" t="s">
        <v>217</v>
      </c>
      <c r="C24" s="115">
        <v>5</v>
      </c>
      <c r="D24" s="59" t="s">
        <v>0</v>
      </c>
    </row>
    <row r="25" spans="1:5" x14ac:dyDescent="0.25">
      <c r="A25" s="8"/>
      <c r="B25" s="37" t="s">
        <v>72</v>
      </c>
      <c r="C25" s="67">
        <v>0.02</v>
      </c>
      <c r="D25" s="39"/>
    </row>
    <row r="26" spans="1:5" x14ac:dyDescent="0.25">
      <c r="A26" s="8"/>
      <c r="B26" s="37" t="s">
        <v>73</v>
      </c>
      <c r="C26" s="67">
        <v>0.12</v>
      </c>
      <c r="D26" s="39"/>
    </row>
    <row r="27" spans="1:5" s="34" customFormat="1" x14ac:dyDescent="0.25">
      <c r="A27" s="33"/>
      <c r="B27" s="35"/>
      <c r="C27" s="36"/>
      <c r="D27" s="36"/>
    </row>
    <row r="28" spans="1:5" x14ac:dyDescent="0.25">
      <c r="A28" s="8"/>
    </row>
    <row r="29" spans="1:5" x14ac:dyDescent="0.25">
      <c r="A29" s="8"/>
      <c r="B29" s="2" t="s">
        <v>5</v>
      </c>
    </row>
    <row r="30" spans="1:5" x14ac:dyDescent="0.25">
      <c r="A30" s="8"/>
      <c r="B30" s="2" t="s">
        <v>28</v>
      </c>
      <c r="C30" s="23"/>
      <c r="D30" s="53"/>
      <c r="E30" s="23"/>
    </row>
    <row r="31" spans="1:5" x14ac:dyDescent="0.25">
      <c r="A31" s="8"/>
      <c r="B31" s="37" t="s">
        <v>218</v>
      </c>
      <c r="C31" s="114">
        <f>C21/C22</f>
        <v>4.166666666666667</v>
      </c>
      <c r="D31" s="103" t="s">
        <v>20</v>
      </c>
      <c r="E31" s="23"/>
    </row>
    <row r="32" spans="1:5" x14ac:dyDescent="0.25">
      <c r="A32" s="8"/>
      <c r="B32" s="58"/>
      <c r="C32" s="113"/>
      <c r="D32" s="38"/>
      <c r="E32" s="23"/>
    </row>
    <row r="33" spans="1:5" x14ac:dyDescent="0.25">
      <c r="A33" s="8"/>
      <c r="B33" s="44" t="s">
        <v>29</v>
      </c>
      <c r="C33" s="95"/>
      <c r="D33" s="38"/>
      <c r="E33" s="21"/>
    </row>
    <row r="34" spans="1:5" x14ac:dyDescent="0.25">
      <c r="A34" s="8"/>
      <c r="B34" s="18" t="s">
        <v>39</v>
      </c>
      <c r="C34" s="109" t="str">
        <f>IF(C31&lt;C24,"Yes","No")</f>
        <v>Yes</v>
      </c>
      <c r="D34" s="38"/>
      <c r="E34" s="21"/>
    </row>
    <row r="35" spans="1:5" x14ac:dyDescent="0.25">
      <c r="A35" s="8"/>
      <c r="B35" s="18"/>
      <c r="C35" s="111"/>
    </row>
    <row r="36" spans="1:5" x14ac:dyDescent="0.25">
      <c r="A36" s="8"/>
      <c r="B36" s="2" t="s">
        <v>30</v>
      </c>
      <c r="C36" s="112"/>
      <c r="D36" s="53"/>
      <c r="E36" s="23"/>
    </row>
    <row r="37" spans="1:5" x14ac:dyDescent="0.25">
      <c r="A37" s="8"/>
      <c r="B37" s="37" t="s">
        <v>16</v>
      </c>
      <c r="C37" s="93">
        <f>-C21+PV(C25,C23,-C22,0)</f>
        <v>860.85853441423978</v>
      </c>
      <c r="D37" s="38"/>
      <c r="E37" s="23"/>
    </row>
    <row r="38" spans="1:5" x14ac:dyDescent="0.25">
      <c r="A38" s="8"/>
      <c r="B38" s="58"/>
      <c r="C38" s="113"/>
      <c r="D38" s="38"/>
      <c r="E38" s="23"/>
    </row>
    <row r="39" spans="1:5" x14ac:dyDescent="0.25">
      <c r="A39" s="8"/>
      <c r="B39" s="44" t="s">
        <v>31</v>
      </c>
      <c r="C39" s="95"/>
      <c r="D39" s="38"/>
      <c r="E39" s="21"/>
    </row>
    <row r="40" spans="1:5" x14ac:dyDescent="0.25">
      <c r="A40" s="8"/>
      <c r="B40" s="18" t="s">
        <v>39</v>
      </c>
      <c r="C40" s="109" t="str">
        <f>IF(C37&gt;=0,"Yes","No")</f>
        <v>Yes</v>
      </c>
      <c r="D40" s="38"/>
      <c r="E40" s="21"/>
    </row>
    <row r="41" spans="1:5" x14ac:dyDescent="0.25">
      <c r="A41" s="8"/>
      <c r="B41" s="18"/>
      <c r="C41" s="109"/>
      <c r="D41" s="38"/>
      <c r="E41" s="21"/>
    </row>
    <row r="42" spans="1:5" x14ac:dyDescent="0.25">
      <c r="A42" s="8"/>
      <c r="B42" s="44" t="s">
        <v>42</v>
      </c>
      <c r="C42" s="109"/>
      <c r="D42" s="38"/>
      <c r="E42" s="21"/>
    </row>
    <row r="43" spans="1:5" x14ac:dyDescent="0.25">
      <c r="A43" s="8"/>
      <c r="B43" s="37" t="s">
        <v>16</v>
      </c>
      <c r="C43" s="93">
        <f>-C21+PV(C26,C23,-C22,0)</f>
        <v>-33.155605886603098</v>
      </c>
      <c r="D43" s="38"/>
      <c r="E43" s="21"/>
    </row>
    <row r="44" spans="1:5" x14ac:dyDescent="0.25">
      <c r="A44" s="8"/>
      <c r="B44" s="18"/>
      <c r="C44" s="109"/>
      <c r="D44" s="38"/>
      <c r="E44" s="21"/>
    </row>
    <row r="45" spans="1:5" x14ac:dyDescent="0.25">
      <c r="A45" s="8"/>
      <c r="B45" s="44" t="s">
        <v>219</v>
      </c>
      <c r="C45" s="109"/>
      <c r="D45" s="38"/>
      <c r="E45" s="21"/>
    </row>
    <row r="46" spans="1:5" x14ac:dyDescent="0.25">
      <c r="A46" s="8"/>
      <c r="B46" s="18" t="s">
        <v>39</v>
      </c>
      <c r="C46" s="109" t="str">
        <f>IF(C43&gt;=0,"Yes","No")</f>
        <v>No</v>
      </c>
      <c r="D46" s="38"/>
      <c r="E46" s="21"/>
    </row>
    <row r="47" spans="1:5" x14ac:dyDescent="0.25">
      <c r="A47" s="8"/>
      <c r="B47" s="18"/>
      <c r="C47" s="109"/>
      <c r="D47" s="38"/>
      <c r="E47" s="21"/>
    </row>
    <row r="48" spans="1:5" x14ac:dyDescent="0.25">
      <c r="A48" s="8"/>
      <c r="B48" s="44" t="s">
        <v>220</v>
      </c>
      <c r="C48" s="109"/>
      <c r="D48" s="38"/>
      <c r="E48" s="21"/>
    </row>
    <row r="49" spans="1:5" x14ac:dyDescent="0.25">
      <c r="A49" s="8"/>
      <c r="B49" s="18" t="s">
        <v>74</v>
      </c>
      <c r="C49" s="109" t="s">
        <v>71</v>
      </c>
      <c r="D49" s="38"/>
      <c r="E49" s="21"/>
    </row>
    <row r="50" spans="1:5" x14ac:dyDescent="0.25">
      <c r="A50" s="8"/>
      <c r="B50" s="18"/>
      <c r="C50" s="109"/>
      <c r="D50" s="38"/>
      <c r="E50" s="21"/>
    </row>
  </sheetData>
  <mergeCells count="8">
    <mergeCell ref="B4:H4"/>
    <mergeCell ref="B11:I11"/>
    <mergeCell ref="B12:I12"/>
    <mergeCell ref="B6:I6"/>
    <mergeCell ref="B7:I7"/>
    <mergeCell ref="B8:I8"/>
    <mergeCell ref="B9:I9"/>
    <mergeCell ref="B10:I1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:J61"/>
  <sheetViews>
    <sheetView workbookViewId="0">
      <selection activeCell="A2" sqref="A2"/>
    </sheetView>
  </sheetViews>
  <sheetFormatPr defaultColWidth="9.140625" defaultRowHeight="15" x14ac:dyDescent="0.25"/>
  <cols>
    <col min="1" max="1" width="17.5703125" customWidth="1"/>
    <col min="2" max="2" width="14.85546875" customWidth="1"/>
    <col min="3" max="3" width="12.140625" customWidth="1"/>
    <col min="4" max="7" width="7.5703125" customWidth="1"/>
    <col min="10" max="10" width="11.42578125" customWidth="1"/>
  </cols>
  <sheetData>
    <row r="1" spans="1:10" x14ac:dyDescent="0.25">
      <c r="A1" s="2" t="s">
        <v>308</v>
      </c>
      <c r="B1" s="2"/>
    </row>
    <row r="2" spans="1:10" s="34" customFormat="1" x14ac:dyDescent="0.25">
      <c r="A2" s="151"/>
      <c r="B2" s="151"/>
    </row>
    <row r="3" spans="1:10" x14ac:dyDescent="0.25">
      <c r="A3" s="2" t="s">
        <v>0</v>
      </c>
      <c r="B3" s="2" t="s">
        <v>95</v>
      </c>
    </row>
    <row r="4" spans="1:10" ht="15" customHeight="1" x14ac:dyDescent="0.25">
      <c r="A4" s="1"/>
      <c r="B4" s="214" t="s">
        <v>124</v>
      </c>
      <c r="C4" s="214"/>
      <c r="D4" s="214"/>
      <c r="E4" s="214"/>
      <c r="F4" s="214"/>
      <c r="G4" s="214"/>
      <c r="H4" s="214"/>
      <c r="I4" s="214"/>
      <c r="J4" s="54"/>
    </row>
    <row r="5" spans="1:10" ht="15" customHeight="1" x14ac:dyDescent="0.25">
      <c r="A5" s="1"/>
      <c r="B5" s="54"/>
      <c r="C5" s="54"/>
      <c r="D5" s="54"/>
      <c r="E5" s="54"/>
      <c r="F5" s="54"/>
      <c r="G5" s="54"/>
      <c r="H5" s="54"/>
      <c r="I5" s="54"/>
      <c r="J5" s="54"/>
    </row>
    <row r="6" spans="1:10" ht="15" customHeight="1" x14ac:dyDescent="0.25">
      <c r="A6" s="1"/>
      <c r="B6" s="54"/>
      <c r="C6" s="54"/>
      <c r="D6" s="221" t="s">
        <v>187</v>
      </c>
      <c r="E6" s="221"/>
      <c r="F6" s="221"/>
      <c r="G6" s="221"/>
      <c r="H6" s="221"/>
      <c r="I6" s="54"/>
      <c r="J6" s="54"/>
    </row>
    <row r="7" spans="1:10" ht="15" customHeight="1" x14ac:dyDescent="0.25">
      <c r="A7" s="1"/>
      <c r="B7" s="54" t="s">
        <v>25</v>
      </c>
      <c r="C7" s="54" t="s">
        <v>162</v>
      </c>
      <c r="D7" s="54">
        <v>0</v>
      </c>
      <c r="E7" s="54">
        <v>1</v>
      </c>
      <c r="F7" s="54">
        <v>2</v>
      </c>
      <c r="G7" s="54">
        <v>3</v>
      </c>
      <c r="H7" s="54">
        <v>4</v>
      </c>
      <c r="I7" s="54"/>
      <c r="J7" s="54"/>
    </row>
    <row r="8" spans="1:10" ht="15" customHeight="1" x14ac:dyDescent="0.25">
      <c r="A8" s="1"/>
      <c r="B8" s="54" t="s">
        <v>14</v>
      </c>
      <c r="C8" s="54"/>
      <c r="D8" s="203">
        <v>-5000</v>
      </c>
      <c r="E8" s="203">
        <v>1000</v>
      </c>
      <c r="F8" s="203">
        <v>1000</v>
      </c>
      <c r="G8" s="203">
        <v>3000</v>
      </c>
      <c r="H8" s="203">
        <v>0</v>
      </c>
      <c r="I8" s="54"/>
      <c r="J8" s="54"/>
    </row>
    <row r="9" spans="1:10" ht="15" customHeight="1" x14ac:dyDescent="0.25">
      <c r="A9" s="1"/>
      <c r="B9" s="54" t="s">
        <v>15</v>
      </c>
      <c r="C9" s="54"/>
      <c r="D9" s="203">
        <v>-1000</v>
      </c>
      <c r="E9" s="203">
        <v>0</v>
      </c>
      <c r="F9" s="203">
        <v>1000</v>
      </c>
      <c r="G9" s="203">
        <v>2000</v>
      </c>
      <c r="H9" s="203">
        <v>3000</v>
      </c>
      <c r="I9" s="54"/>
      <c r="J9" s="54"/>
    </row>
    <row r="10" spans="1:10" ht="15" customHeight="1" x14ac:dyDescent="0.25">
      <c r="A10" s="1"/>
      <c r="B10" s="54" t="s">
        <v>224</v>
      </c>
      <c r="C10" s="54"/>
      <c r="D10" s="203">
        <v>-5000</v>
      </c>
      <c r="E10" s="203">
        <v>1000</v>
      </c>
      <c r="F10" s="203">
        <v>1000</v>
      </c>
      <c r="G10" s="203">
        <v>3000</v>
      </c>
      <c r="H10" s="203">
        <v>5000</v>
      </c>
      <c r="I10" s="54"/>
      <c r="J10" s="54"/>
    </row>
    <row r="11" spans="1:10" ht="15" customHeight="1" x14ac:dyDescent="0.25">
      <c r="A11" s="1"/>
      <c r="B11" s="54"/>
      <c r="C11" s="54"/>
      <c r="D11" s="54"/>
      <c r="E11" s="54"/>
      <c r="F11" s="54"/>
      <c r="G11" s="54"/>
      <c r="H11" s="54"/>
      <c r="I11" s="54"/>
      <c r="J11" s="54"/>
    </row>
    <row r="12" spans="1:10" ht="15" customHeight="1" x14ac:dyDescent="0.25">
      <c r="A12" s="1"/>
      <c r="B12" s="214" t="s">
        <v>125</v>
      </c>
      <c r="C12" s="214"/>
      <c r="D12" s="214"/>
      <c r="E12" s="214"/>
      <c r="F12" s="214"/>
      <c r="G12" s="214"/>
      <c r="H12" s="214"/>
      <c r="I12" s="214"/>
    </row>
    <row r="13" spans="1:10" ht="15" customHeight="1" x14ac:dyDescent="0.25">
      <c r="A13" s="1"/>
      <c r="B13" s="214" t="s">
        <v>298</v>
      </c>
      <c r="C13" s="214"/>
      <c r="D13" s="214"/>
      <c r="E13" s="214"/>
      <c r="F13" s="214"/>
      <c r="G13" s="214"/>
      <c r="H13" s="214"/>
      <c r="I13" s="214"/>
      <c r="J13" s="214"/>
    </row>
    <row r="14" spans="1:10" ht="15" customHeight="1" x14ac:dyDescent="0.25">
      <c r="A14" s="1"/>
      <c r="B14" s="217" t="s">
        <v>299</v>
      </c>
      <c r="C14" s="214"/>
      <c r="D14" s="214"/>
      <c r="E14" s="214"/>
      <c r="F14" s="214"/>
      <c r="G14" s="214"/>
      <c r="H14" s="214"/>
      <c r="I14" s="214"/>
      <c r="J14" s="214"/>
    </row>
    <row r="15" spans="1:10" ht="15" customHeight="1" x14ac:dyDescent="0.25">
      <c r="A15" s="1"/>
      <c r="B15" s="217" t="s">
        <v>221</v>
      </c>
      <c r="C15" s="217"/>
      <c r="D15" s="217"/>
      <c r="E15" s="217"/>
      <c r="F15" s="217"/>
      <c r="G15" s="217"/>
      <c r="H15" s="217"/>
      <c r="I15" s="217"/>
      <c r="J15" s="217"/>
    </row>
    <row r="16" spans="1:10" ht="15" customHeight="1" x14ac:dyDescent="0.25">
      <c r="A16" s="1"/>
      <c r="B16" s="217" t="s">
        <v>222</v>
      </c>
      <c r="C16" s="217"/>
      <c r="D16" s="217"/>
      <c r="E16" s="217"/>
      <c r="F16" s="217"/>
      <c r="G16" s="217"/>
      <c r="H16" s="217"/>
      <c r="I16" s="217"/>
      <c r="J16" s="217"/>
    </row>
    <row r="17" spans="1:10" ht="15" customHeight="1" x14ac:dyDescent="0.25">
      <c r="A17" s="1"/>
      <c r="B17" s="220" t="s">
        <v>223</v>
      </c>
      <c r="C17" s="220"/>
      <c r="D17" s="220"/>
      <c r="E17" s="220"/>
      <c r="F17" s="220"/>
      <c r="G17" s="220"/>
      <c r="H17" s="220"/>
      <c r="I17" s="220"/>
      <c r="J17" s="220"/>
    </row>
    <row r="18" spans="1:10" ht="15" customHeight="1" x14ac:dyDescent="0.25">
      <c r="A18" s="1"/>
      <c r="B18" s="14"/>
      <c r="C18" s="14"/>
      <c r="D18" s="14"/>
      <c r="E18" s="14"/>
    </row>
    <row r="19" spans="1:10" s="11" customFormat="1" x14ac:dyDescent="0.25">
      <c r="A19" s="4"/>
      <c r="B19" s="5"/>
      <c r="C19" s="5"/>
      <c r="D19" s="5"/>
      <c r="E19" s="5"/>
    </row>
    <row r="20" spans="1:10" x14ac:dyDescent="0.25">
      <c r="A20" s="2"/>
    </row>
    <row r="21" spans="1:10" x14ac:dyDescent="0.25">
      <c r="A21" s="2"/>
      <c r="B21" s="6" t="s">
        <v>1</v>
      </c>
      <c r="C21" s="6"/>
      <c r="D21" s="6"/>
      <c r="E21" s="6"/>
      <c r="F21" s="13"/>
      <c r="G21" s="13"/>
      <c r="H21" s="13"/>
      <c r="I21" s="13"/>
      <c r="J21" s="13"/>
    </row>
    <row r="22" spans="1:10" x14ac:dyDescent="0.25">
      <c r="A22" s="2"/>
      <c r="B22" s="7" t="s">
        <v>2</v>
      </c>
      <c r="C22" s="3"/>
      <c r="D22" s="3"/>
      <c r="E22" s="3"/>
    </row>
    <row r="23" spans="1:10" s="10" customFormat="1" x14ac:dyDescent="0.25">
      <c r="A23" s="149"/>
      <c r="B23" s="149" t="s">
        <v>3</v>
      </c>
      <c r="C23" s="149"/>
      <c r="D23" s="149"/>
      <c r="E23" s="149"/>
    </row>
    <row r="25" spans="1:10" x14ac:dyDescent="0.25">
      <c r="B25" s="2" t="s">
        <v>4</v>
      </c>
    </row>
    <row r="26" spans="1:10" x14ac:dyDescent="0.25">
      <c r="B26" s="2"/>
      <c r="D26" s="221" t="s">
        <v>187</v>
      </c>
      <c r="E26" s="221"/>
      <c r="F26" s="221"/>
      <c r="G26" s="221"/>
      <c r="H26" s="221"/>
    </row>
    <row r="27" spans="1:10" x14ac:dyDescent="0.25">
      <c r="B27" s="31" t="s">
        <v>25</v>
      </c>
      <c r="C27" t="s">
        <v>162</v>
      </c>
      <c r="D27" s="20">
        <v>0</v>
      </c>
      <c r="E27" s="20">
        <v>1</v>
      </c>
      <c r="F27" s="20">
        <v>2</v>
      </c>
      <c r="G27" s="20">
        <v>3</v>
      </c>
      <c r="H27" s="20">
        <v>4</v>
      </c>
    </row>
    <row r="28" spans="1:10" x14ac:dyDescent="0.25">
      <c r="A28" s="8"/>
      <c r="B28" t="s">
        <v>14</v>
      </c>
      <c r="D28" s="87">
        <v>-5000</v>
      </c>
      <c r="E28" s="87">
        <v>1000</v>
      </c>
      <c r="F28" s="87">
        <v>1000</v>
      </c>
      <c r="G28" s="87">
        <v>3000</v>
      </c>
      <c r="H28" s="116">
        <v>0</v>
      </c>
    </row>
    <row r="29" spans="1:10" x14ac:dyDescent="0.25">
      <c r="A29" s="8"/>
      <c r="B29" t="s">
        <v>15</v>
      </c>
      <c r="D29" s="117">
        <v>-1000</v>
      </c>
      <c r="E29" s="118">
        <v>0</v>
      </c>
      <c r="F29" s="117">
        <v>1000</v>
      </c>
      <c r="G29" s="117">
        <v>2000</v>
      </c>
      <c r="H29" s="117">
        <v>3000</v>
      </c>
    </row>
    <row r="30" spans="1:10" x14ac:dyDescent="0.25">
      <c r="A30" s="8"/>
      <c r="B30" t="s">
        <v>224</v>
      </c>
      <c r="D30" s="117">
        <v>-5000</v>
      </c>
      <c r="E30" s="118">
        <v>1000</v>
      </c>
      <c r="F30" s="117">
        <v>1000</v>
      </c>
      <c r="G30" s="117">
        <v>3000</v>
      </c>
      <c r="H30" s="117">
        <v>5000</v>
      </c>
    </row>
    <row r="31" spans="1:10" x14ac:dyDescent="0.25">
      <c r="A31" s="8"/>
      <c r="B31" s="22"/>
      <c r="C31" s="39"/>
      <c r="D31" s="39"/>
    </row>
    <row r="32" spans="1:10" x14ac:dyDescent="0.25">
      <c r="A32" s="8"/>
      <c r="B32" s="37" t="s">
        <v>225</v>
      </c>
      <c r="C32" s="73">
        <v>2</v>
      </c>
      <c r="D32" s="39" t="s">
        <v>0</v>
      </c>
    </row>
    <row r="33" spans="1:9" x14ac:dyDescent="0.25">
      <c r="A33" s="8"/>
      <c r="B33" s="37" t="s">
        <v>226</v>
      </c>
      <c r="C33" s="73">
        <v>3</v>
      </c>
      <c r="D33" s="39" t="s">
        <v>0</v>
      </c>
      <c r="E33" t="s">
        <v>0</v>
      </c>
    </row>
    <row r="34" spans="1:9" x14ac:dyDescent="0.25">
      <c r="A34" s="8"/>
      <c r="B34" s="37" t="s">
        <v>75</v>
      </c>
      <c r="C34" s="67">
        <v>0.1</v>
      </c>
      <c r="D34" s="39"/>
    </row>
    <row r="35" spans="1:9" x14ac:dyDescent="0.25">
      <c r="A35" s="8"/>
      <c r="B35" s="22"/>
      <c r="C35" s="39"/>
      <c r="D35" s="39"/>
    </row>
    <row r="36" spans="1:9" s="34" customFormat="1" x14ac:dyDescent="0.25">
      <c r="A36" s="33"/>
      <c r="B36" s="35"/>
      <c r="C36" s="36"/>
      <c r="D36" s="36"/>
    </row>
    <row r="37" spans="1:9" x14ac:dyDescent="0.25">
      <c r="A37" s="8"/>
    </row>
    <row r="38" spans="1:9" x14ac:dyDescent="0.25">
      <c r="A38" s="8"/>
      <c r="B38" s="2" t="s">
        <v>5</v>
      </c>
    </row>
    <row r="39" spans="1:9" x14ac:dyDescent="0.25">
      <c r="A39" s="8"/>
      <c r="B39" s="2" t="s">
        <v>10</v>
      </c>
      <c r="C39" s="23"/>
      <c r="D39" s="23"/>
      <c r="E39" s="23"/>
    </row>
    <row r="40" spans="1:9" x14ac:dyDescent="0.25">
      <c r="A40" s="8"/>
      <c r="B40" s="2"/>
      <c r="C40" s="52" t="s">
        <v>218</v>
      </c>
      <c r="D40" s="23"/>
      <c r="E40" s="23"/>
    </row>
    <row r="41" spans="1:9" x14ac:dyDescent="0.25">
      <c r="A41" s="8"/>
      <c r="B41" t="s">
        <v>40</v>
      </c>
      <c r="C41" s="204">
        <f>IF(E28&gt;=ABS(D28),(ABS(D28))/E28,IF(SUM(E28:F28)&gt;=ABS(D28),1+(((ABS(D28)-(E28)))/F28),IF(SUM(E28:G28)&gt;=ABS(D28),2+(((ABS(D28)-(SUM(E28:F28)))/G28)),IF(SUM(E28:H28)&gt;=ABS(D28),3+(((ABS(D28)-(SUM(E28:G28)))/H28)),"greater than 4 year"))))</f>
        <v>3</v>
      </c>
      <c r="D41" s="38" t="s">
        <v>20</v>
      </c>
      <c r="E41" s="23"/>
    </row>
    <row r="42" spans="1:9" x14ac:dyDescent="0.25">
      <c r="A42" s="8"/>
      <c r="B42" s="18" t="s">
        <v>15</v>
      </c>
      <c r="C42" s="204">
        <f>IF(E29&gt;=ABS(D29),(ABS(D29))/E29,IF(SUM(E29:F29)&gt;=ABS(D29),1+(((ABS(D29)-(E29)))/F29),IF(SUM(E29:G29)&gt;=ABS(D29),2+(((ABS(D29)-(SUM(E29:F29)))/G29)),IF(SUM(E29:H29)&gt;=ABS(D29),3+(((ABS(D29)-(SUM(E29:G29)))/H29)),"greater than 4 year"))))</f>
        <v>2</v>
      </c>
      <c r="D42" s="38" t="s">
        <v>20</v>
      </c>
      <c r="E42" s="21"/>
      <c r="I42" s="2"/>
    </row>
    <row r="43" spans="1:9" x14ac:dyDescent="0.25">
      <c r="A43" s="8"/>
      <c r="B43" s="18" t="s">
        <v>224</v>
      </c>
      <c r="C43" s="204">
        <f>IF(E30&gt;=ABS(D30),(ABS(D30))/E30,IF(SUM(E30:F30)&gt;=ABS(D30),1+(((ABS(D30)-(E30)))/F30),IF(SUM(E30:G30)&gt;=ABS(D30),2+(((ABS(D30)-(SUM(E30:F30)))/G30)),IF(SUM(E30:H30)&gt;=ABS(D30),3+(((ABS(D30)-(SUM(E30:G30)))/H30)),"greater than 4 year"))))</f>
        <v>3</v>
      </c>
      <c r="D43" s="38" t="s">
        <v>20</v>
      </c>
      <c r="E43" s="21"/>
    </row>
    <row r="45" spans="1:9" x14ac:dyDescent="0.25">
      <c r="B45" s="2" t="s">
        <v>8</v>
      </c>
    </row>
    <row r="46" spans="1:9" x14ac:dyDescent="0.25">
      <c r="B46" t="s">
        <v>227</v>
      </c>
      <c r="C46" s="120" t="str">
        <f>IF($C$41&lt;=$C$32,"A","")&amp;"   "&amp;IF($C$42&lt;=$C$32,"B","")&amp;"   "&amp;IF($C$43&lt;=$C$32,"C","")</f>
        <v xml:space="preserve">   B   </v>
      </c>
    </row>
    <row r="48" spans="1:9" x14ac:dyDescent="0.25">
      <c r="B48" s="2" t="s">
        <v>9</v>
      </c>
    </row>
    <row r="49" spans="2:3" x14ac:dyDescent="0.25">
      <c r="B49" t="s">
        <v>227</v>
      </c>
      <c r="C49" s="120" t="str">
        <f>IF($C$41&lt;=$C$33,"A","")&amp;"   "&amp;IF($C$42&lt;=$C$33,"B","")&amp;"   "&amp;IF($C$43&lt;=$C$33,"C","")</f>
        <v>A   B   C</v>
      </c>
    </row>
    <row r="51" spans="2:3" x14ac:dyDescent="0.25">
      <c r="B51" s="2" t="s">
        <v>76</v>
      </c>
      <c r="C51" s="23"/>
    </row>
    <row r="52" spans="2:3" x14ac:dyDescent="0.25">
      <c r="B52" t="s">
        <v>14</v>
      </c>
      <c r="C52" s="81">
        <f>D28+NPV($C$34,E28,F28,G28,H28)</f>
        <v>-1010.5184072126231</v>
      </c>
    </row>
    <row r="53" spans="2:3" x14ac:dyDescent="0.25">
      <c r="B53" s="18" t="s">
        <v>15</v>
      </c>
      <c r="C53" s="81">
        <f>D29+NPV($C$34,E29,F29,G29,H29)</f>
        <v>3378.1162488901018</v>
      </c>
    </row>
    <row r="54" spans="2:3" x14ac:dyDescent="0.25">
      <c r="B54" s="18" t="s">
        <v>224</v>
      </c>
      <c r="C54" s="81">
        <f>D30+NPV($C$34,E30,F30,G30,H30)</f>
        <v>2404.5488696127286</v>
      </c>
    </row>
    <row r="56" spans="2:3" x14ac:dyDescent="0.25">
      <c r="B56" s="2" t="s">
        <v>77</v>
      </c>
    </row>
    <row r="57" spans="2:3" x14ac:dyDescent="0.25">
      <c r="B57" t="s">
        <v>228</v>
      </c>
      <c r="C57" s="120" t="str">
        <f>IF(C52&gt;=0,"A","")&amp;"   "&amp;IF(C53&gt;=0,"B","")&amp;"   "&amp;IF(C54&gt;=0,"C","")</f>
        <v xml:space="preserve">   B   C</v>
      </c>
    </row>
    <row r="58" spans="2:3" x14ac:dyDescent="0.25">
      <c r="C58" s="120"/>
    </row>
    <row r="59" spans="2:3" x14ac:dyDescent="0.25">
      <c r="B59" s="2" t="s">
        <v>91</v>
      </c>
      <c r="C59" s="120"/>
    </row>
    <row r="60" spans="2:3" x14ac:dyDescent="0.25">
      <c r="B60" t="s">
        <v>229</v>
      </c>
      <c r="C60" s="205" t="s">
        <v>230</v>
      </c>
    </row>
    <row r="61" spans="2:3" x14ac:dyDescent="0.25">
      <c r="C61" s="120"/>
    </row>
  </sheetData>
  <mergeCells count="9">
    <mergeCell ref="B17:J17"/>
    <mergeCell ref="D6:H6"/>
    <mergeCell ref="D26:H26"/>
    <mergeCell ref="B12:I12"/>
    <mergeCell ref="B4:I4"/>
    <mergeCell ref="B13:J13"/>
    <mergeCell ref="B14:J14"/>
    <mergeCell ref="B15:J15"/>
    <mergeCell ref="B16:J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2060"/>
  </sheetPr>
  <dimension ref="A1:G49"/>
  <sheetViews>
    <sheetView workbookViewId="0">
      <selection activeCell="A62" sqref="A61:A62"/>
    </sheetView>
  </sheetViews>
  <sheetFormatPr defaultColWidth="9.140625" defaultRowHeight="15" x14ac:dyDescent="0.25"/>
  <cols>
    <col min="1" max="1" width="16.5703125" customWidth="1"/>
    <col min="2" max="2" width="19" customWidth="1"/>
    <col min="3" max="5" width="17.5703125" customWidth="1"/>
    <col min="6" max="6" width="11.5703125" customWidth="1"/>
    <col min="7" max="7" width="10.5703125" customWidth="1"/>
  </cols>
  <sheetData>
    <row r="1" spans="1:7" x14ac:dyDescent="0.25">
      <c r="A1" s="2" t="s">
        <v>307</v>
      </c>
      <c r="B1" s="2"/>
      <c r="C1" s="2"/>
    </row>
    <row r="2" spans="1:7" s="34" customFormat="1" x14ac:dyDescent="0.25">
      <c r="A2" s="151"/>
      <c r="B2" s="151"/>
      <c r="C2" s="151"/>
    </row>
    <row r="3" spans="1:7" x14ac:dyDescent="0.25">
      <c r="A3" s="2" t="s">
        <v>0</v>
      </c>
      <c r="B3" s="2" t="s">
        <v>95</v>
      </c>
      <c r="C3" s="2"/>
    </row>
    <row r="4" spans="1:7" ht="15" customHeight="1" x14ac:dyDescent="0.25">
      <c r="A4" s="1"/>
      <c r="B4" s="213" t="s">
        <v>231</v>
      </c>
      <c r="C4" s="213"/>
      <c r="D4" s="213"/>
      <c r="E4" s="213"/>
      <c r="F4" s="213"/>
    </row>
    <row r="5" spans="1:7" ht="15" customHeight="1" x14ac:dyDescent="0.25">
      <c r="A5" s="1"/>
      <c r="B5" s="14"/>
      <c r="C5" s="14"/>
      <c r="D5" s="14"/>
      <c r="E5" s="14"/>
      <c r="F5" s="14"/>
    </row>
    <row r="6" spans="1:7" ht="15" customHeight="1" x14ac:dyDescent="0.25">
      <c r="A6" s="1"/>
      <c r="B6" s="14"/>
      <c r="C6" s="222" t="s">
        <v>232</v>
      </c>
      <c r="D6" s="222"/>
      <c r="E6" s="14"/>
      <c r="F6" s="14"/>
    </row>
    <row r="7" spans="1:7" ht="15" customHeight="1" x14ac:dyDescent="0.25">
      <c r="A7" s="1"/>
      <c r="B7" s="14" t="s">
        <v>13</v>
      </c>
      <c r="C7" s="170" t="s">
        <v>57</v>
      </c>
      <c r="D7" s="170" t="s">
        <v>12</v>
      </c>
      <c r="E7" s="14"/>
      <c r="F7" s="14"/>
    </row>
    <row r="8" spans="1:7" ht="15" customHeight="1" x14ac:dyDescent="0.25">
      <c r="A8" s="1"/>
      <c r="B8" s="14">
        <v>0</v>
      </c>
      <c r="C8" s="170">
        <v>-100</v>
      </c>
      <c r="D8" s="170">
        <v>-100</v>
      </c>
      <c r="E8" s="14"/>
      <c r="F8" s="14"/>
    </row>
    <row r="9" spans="1:7" ht="15" customHeight="1" x14ac:dyDescent="0.25">
      <c r="A9" s="1"/>
      <c r="B9" s="14">
        <v>1</v>
      </c>
      <c r="C9" s="170">
        <v>30</v>
      </c>
      <c r="D9" s="170">
        <v>49</v>
      </c>
      <c r="E9" s="14"/>
      <c r="F9" s="14"/>
    </row>
    <row r="10" spans="1:7" ht="15" customHeight="1" x14ac:dyDescent="0.25">
      <c r="A10" s="1"/>
      <c r="B10" s="14">
        <v>2</v>
      </c>
      <c r="C10" s="170">
        <v>50</v>
      </c>
      <c r="D10" s="170">
        <v>49</v>
      </c>
      <c r="E10" s="14"/>
      <c r="F10" s="14"/>
    </row>
    <row r="11" spans="1:7" ht="15" customHeight="1" x14ac:dyDescent="0.25">
      <c r="A11" s="1"/>
      <c r="B11" s="14">
        <v>3</v>
      </c>
      <c r="C11" s="170">
        <v>70</v>
      </c>
      <c r="D11" s="170">
        <v>49</v>
      </c>
      <c r="E11" s="14"/>
      <c r="F11" s="14"/>
    </row>
    <row r="12" spans="1:7" ht="15" customHeight="1" x14ac:dyDescent="0.25">
      <c r="A12" s="1"/>
      <c r="C12" s="14"/>
      <c r="D12" s="14"/>
      <c r="E12" s="14"/>
    </row>
    <row r="13" spans="1:7" ht="15" customHeight="1" x14ac:dyDescent="0.25">
      <c r="A13" s="1"/>
      <c r="B13" s="223" t="s">
        <v>295</v>
      </c>
      <c r="C13" s="223"/>
      <c r="D13" s="223"/>
      <c r="E13" s="223"/>
      <c r="F13" s="210"/>
      <c r="G13" s="210"/>
    </row>
    <row r="14" spans="1:7" ht="15" customHeight="1" x14ac:dyDescent="0.25">
      <c r="A14" s="1"/>
      <c r="B14" s="213" t="s">
        <v>296</v>
      </c>
      <c r="C14" s="213"/>
      <c r="D14" s="213"/>
      <c r="E14" s="213"/>
    </row>
    <row r="15" spans="1:7" ht="15" customHeight="1" x14ac:dyDescent="0.25">
      <c r="A15" s="1"/>
      <c r="B15" s="210"/>
      <c r="C15" s="210"/>
      <c r="D15" s="210"/>
      <c r="E15" s="210"/>
      <c r="F15" s="210"/>
      <c r="G15" s="210"/>
    </row>
    <row r="16" spans="1:7" ht="15" customHeight="1" x14ac:dyDescent="0.25">
      <c r="A16" s="1"/>
      <c r="B16" s="162"/>
      <c r="C16" s="162"/>
      <c r="D16" s="162"/>
      <c r="E16" s="162"/>
    </row>
    <row r="17" spans="1:6" ht="15" customHeight="1" x14ac:dyDescent="0.25">
      <c r="A17" s="1"/>
      <c r="B17" s="14"/>
      <c r="C17" s="14"/>
      <c r="D17" s="14"/>
      <c r="E17" s="14"/>
    </row>
    <row r="18" spans="1:6" s="11" customFormat="1" x14ac:dyDescent="0.25">
      <c r="A18" s="4"/>
      <c r="B18" s="5"/>
      <c r="C18" s="5"/>
      <c r="D18" s="5"/>
      <c r="E18" s="5"/>
    </row>
    <row r="19" spans="1:6" x14ac:dyDescent="0.25">
      <c r="A19" s="2"/>
      <c r="B19" s="3"/>
      <c r="C19" s="3"/>
      <c r="D19" s="3"/>
      <c r="E19" s="3"/>
    </row>
    <row r="20" spans="1:6" x14ac:dyDescent="0.25">
      <c r="A20" s="2"/>
      <c r="B20" s="6" t="s">
        <v>1</v>
      </c>
      <c r="C20" s="6"/>
      <c r="D20" s="6"/>
      <c r="E20" s="6"/>
      <c r="F20" s="13"/>
    </row>
    <row r="21" spans="1:6" x14ac:dyDescent="0.25">
      <c r="A21" s="2"/>
      <c r="B21" s="7" t="s">
        <v>2</v>
      </c>
      <c r="C21" s="3"/>
      <c r="D21" s="3"/>
      <c r="E21" s="3"/>
    </row>
    <row r="22" spans="1:6" x14ac:dyDescent="0.25">
      <c r="A22" s="2"/>
      <c r="B22" s="3" t="s">
        <v>3</v>
      </c>
      <c r="C22" s="3"/>
      <c r="D22" s="3"/>
      <c r="E22" s="3"/>
    </row>
    <row r="24" spans="1:6" x14ac:dyDescent="0.25">
      <c r="B24" s="19" t="s">
        <v>4</v>
      </c>
      <c r="C24" t="s">
        <v>0</v>
      </c>
    </row>
    <row r="25" spans="1:6" x14ac:dyDescent="0.25">
      <c r="B25" t="s">
        <v>13</v>
      </c>
      <c r="C25" s="155" t="s">
        <v>57</v>
      </c>
      <c r="D25" s="155" t="s">
        <v>12</v>
      </c>
    </row>
    <row r="26" spans="1:6" x14ac:dyDescent="0.25">
      <c r="A26" s="8"/>
      <c r="B26" s="37">
        <v>0</v>
      </c>
      <c r="C26" s="65">
        <v>-100</v>
      </c>
      <c r="D26" s="65">
        <v>-100</v>
      </c>
    </row>
    <row r="27" spans="1:6" x14ac:dyDescent="0.25">
      <c r="A27" s="8"/>
      <c r="B27" s="37">
        <v>1</v>
      </c>
      <c r="C27" s="73">
        <v>30</v>
      </c>
      <c r="D27" s="73">
        <v>49</v>
      </c>
    </row>
    <row r="28" spans="1:6" x14ac:dyDescent="0.25">
      <c r="A28" s="8"/>
      <c r="B28" s="37">
        <v>2</v>
      </c>
      <c r="C28" s="73">
        <v>50</v>
      </c>
      <c r="D28" s="76">
        <v>49</v>
      </c>
    </row>
    <row r="29" spans="1:6" x14ac:dyDescent="0.25">
      <c r="A29" s="8"/>
      <c r="B29" s="37">
        <v>3</v>
      </c>
      <c r="C29" s="73">
        <v>70</v>
      </c>
      <c r="D29" s="76">
        <v>49</v>
      </c>
    </row>
    <row r="30" spans="1:6" x14ac:dyDescent="0.25">
      <c r="A30" s="8"/>
      <c r="B30" s="22"/>
      <c r="C30" s="76"/>
      <c r="D30" s="76"/>
    </row>
    <row r="31" spans="1:6" x14ac:dyDescent="0.25">
      <c r="A31" s="8"/>
      <c r="B31" s="37" t="s">
        <v>233</v>
      </c>
      <c r="C31" s="67">
        <v>0.02</v>
      </c>
    </row>
    <row r="32" spans="1:6" x14ac:dyDescent="0.25">
      <c r="A32" s="8"/>
      <c r="B32" s="37" t="s">
        <v>234</v>
      </c>
      <c r="C32" s="67">
        <v>0.12</v>
      </c>
    </row>
    <row r="33" spans="1:5" x14ac:dyDescent="0.25">
      <c r="A33" s="8"/>
      <c r="B33" s="37"/>
      <c r="C33" s="90"/>
    </row>
    <row r="34" spans="1:5" s="34" customFormat="1" x14ac:dyDescent="0.25">
      <c r="A34" s="33"/>
      <c r="B34" s="35"/>
      <c r="C34" s="36"/>
      <c r="D34" s="36"/>
    </row>
    <row r="35" spans="1:5" s="34" customFormat="1" x14ac:dyDescent="0.25">
      <c r="A35" s="33"/>
      <c r="B35" s="35"/>
      <c r="C35" s="36"/>
      <c r="D35" s="36"/>
    </row>
    <row r="36" spans="1:5" x14ac:dyDescent="0.25">
      <c r="A36" s="8"/>
      <c r="B36" s="2" t="s">
        <v>5</v>
      </c>
    </row>
    <row r="37" spans="1:5" x14ac:dyDescent="0.25">
      <c r="A37" s="8"/>
      <c r="B37" s="2" t="s">
        <v>10</v>
      </c>
      <c r="D37" s="23"/>
    </row>
    <row r="38" spans="1:5" x14ac:dyDescent="0.25">
      <c r="A38" s="8"/>
      <c r="B38" t="s">
        <v>14</v>
      </c>
      <c r="C38" s="81">
        <f>$C$26+NPV($C$31,$C$27,$C$28,$C$29)</f>
        <v>43.432767186074756</v>
      </c>
      <c r="D38" s="23"/>
    </row>
    <row r="39" spans="1:5" x14ac:dyDescent="0.25">
      <c r="A39" s="8"/>
      <c r="B39" s="18" t="s">
        <v>15</v>
      </c>
      <c r="C39" s="81">
        <f>$D$26+NPV($C$31,$D$27,$D$28,$D$29)</f>
        <v>41.310280359740972</v>
      </c>
      <c r="D39" s="21"/>
    </row>
    <row r="40" spans="1:5" x14ac:dyDescent="0.25">
      <c r="A40" s="8"/>
      <c r="B40" s="2"/>
      <c r="C40" s="28"/>
      <c r="D40" s="23"/>
      <c r="E40" s="23"/>
    </row>
    <row r="41" spans="1:5" x14ac:dyDescent="0.25">
      <c r="A41" s="8"/>
      <c r="B41" t="s">
        <v>78</v>
      </c>
      <c r="C41" s="95" t="str">
        <f>IF(C38&gt;C39,"Project A","Project B")</f>
        <v>Project A</v>
      </c>
      <c r="D41" s="23"/>
      <c r="E41" s="23"/>
    </row>
    <row r="42" spans="1:5" x14ac:dyDescent="0.25">
      <c r="A42" s="8"/>
      <c r="C42" s="148"/>
      <c r="D42" s="22"/>
      <c r="E42" s="25"/>
    </row>
    <row r="43" spans="1:5" x14ac:dyDescent="0.25">
      <c r="A43" s="8"/>
      <c r="B43" s="2" t="s">
        <v>297</v>
      </c>
      <c r="D43" s="23"/>
    </row>
    <row r="44" spans="1:5" x14ac:dyDescent="0.25">
      <c r="A44" s="8"/>
      <c r="B44" t="s">
        <v>14</v>
      </c>
      <c r="C44" s="81">
        <f>$C$26+NPV($C$32,$C$27,$C$28,$C$29)</f>
        <v>16.470025510204053</v>
      </c>
      <c r="D44" s="23"/>
    </row>
    <row r="45" spans="1:5" x14ac:dyDescent="0.25">
      <c r="A45" s="8"/>
      <c r="B45" s="18" t="s">
        <v>15</v>
      </c>
      <c r="C45" s="81">
        <f>$D$26+NPV($C$32,$D$27,$D$28,$D$29)</f>
        <v>17.689732142857125</v>
      </c>
      <c r="D45" s="21"/>
    </row>
    <row r="46" spans="1:5" x14ac:dyDescent="0.25">
      <c r="A46" s="8"/>
      <c r="C46" s="138"/>
    </row>
    <row r="47" spans="1:5" x14ac:dyDescent="0.25">
      <c r="A47" s="8"/>
      <c r="B47" t="s">
        <v>78</v>
      </c>
      <c r="C47" s="95" t="str">
        <f>IF(C44&gt;C45,"Project A","Project B")</f>
        <v>Project B</v>
      </c>
      <c r="D47" s="23"/>
      <c r="E47" s="23"/>
    </row>
    <row r="48" spans="1:5" x14ac:dyDescent="0.25">
      <c r="A48" s="8"/>
      <c r="C48" s="26"/>
      <c r="D48" s="22"/>
      <c r="E48" s="25"/>
    </row>
    <row r="49" spans="1:5" x14ac:dyDescent="0.25">
      <c r="A49" s="8"/>
      <c r="C49" s="26"/>
      <c r="D49" s="22"/>
      <c r="E49" s="25"/>
    </row>
  </sheetData>
  <mergeCells count="4">
    <mergeCell ref="B14:E14"/>
    <mergeCell ref="B4:F4"/>
    <mergeCell ref="C6:D6"/>
    <mergeCell ref="B13:E1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2060"/>
  </sheetPr>
  <dimension ref="A1:F24"/>
  <sheetViews>
    <sheetView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21.42578125" customWidth="1"/>
    <col min="3" max="3" width="20.42578125" customWidth="1"/>
    <col min="4" max="4" width="17.5703125" customWidth="1"/>
    <col min="5" max="5" width="25.5703125" customWidth="1"/>
    <col min="6" max="6" width="17.5703125" customWidth="1"/>
  </cols>
  <sheetData>
    <row r="1" spans="1:6" x14ac:dyDescent="0.25">
      <c r="A1" s="2" t="s">
        <v>306</v>
      </c>
      <c r="B1" s="2"/>
      <c r="C1" s="2"/>
    </row>
    <row r="2" spans="1:6" s="34" customFormat="1" x14ac:dyDescent="0.25">
      <c r="A2" s="151"/>
      <c r="B2" s="151"/>
      <c r="C2" s="151"/>
    </row>
    <row r="3" spans="1:6" x14ac:dyDescent="0.25">
      <c r="A3" s="2" t="s">
        <v>0</v>
      </c>
      <c r="B3" s="2" t="s">
        <v>95</v>
      </c>
      <c r="C3" s="2"/>
    </row>
    <row r="4" spans="1:6" ht="45.75" customHeight="1" x14ac:dyDescent="0.25">
      <c r="A4" s="1"/>
      <c r="B4" s="214" t="s">
        <v>235</v>
      </c>
      <c r="C4" s="214"/>
      <c r="D4" s="214"/>
      <c r="E4" s="214"/>
      <c r="F4" s="150"/>
    </row>
    <row r="5" spans="1:6" ht="15" customHeight="1" x14ac:dyDescent="0.25">
      <c r="A5" s="1"/>
      <c r="B5" t="s">
        <v>6</v>
      </c>
      <c r="D5" s="14"/>
      <c r="E5" s="14"/>
      <c r="F5" s="14"/>
    </row>
    <row r="6" spans="1:6" s="11" customFormat="1" x14ac:dyDescent="0.25">
      <c r="A6" s="4"/>
      <c r="B6" s="5"/>
      <c r="C6" s="5"/>
      <c r="D6" s="5"/>
      <c r="E6" s="5"/>
      <c r="F6" s="5"/>
    </row>
    <row r="7" spans="1:6" x14ac:dyDescent="0.25">
      <c r="A7" s="2"/>
      <c r="B7" s="3"/>
      <c r="C7" s="3"/>
      <c r="D7" s="3"/>
      <c r="E7" s="3"/>
      <c r="F7" s="3"/>
    </row>
    <row r="8" spans="1:6" x14ac:dyDescent="0.25">
      <c r="A8" s="2"/>
      <c r="B8" s="6" t="s">
        <v>1</v>
      </c>
      <c r="C8" s="6"/>
      <c r="D8" s="6"/>
      <c r="E8" s="6"/>
      <c r="F8" s="3"/>
    </row>
    <row r="9" spans="1:6" x14ac:dyDescent="0.25">
      <c r="A9" s="2"/>
      <c r="B9" s="7" t="s">
        <v>2</v>
      </c>
      <c r="C9" s="3"/>
      <c r="D9" s="3"/>
      <c r="E9" s="3"/>
      <c r="F9" s="3"/>
    </row>
    <row r="10" spans="1:6" s="10" customFormat="1" x14ac:dyDescent="0.25">
      <c r="A10" s="149"/>
      <c r="B10" s="149" t="s">
        <v>3</v>
      </c>
      <c r="C10" s="149"/>
      <c r="D10" s="149"/>
      <c r="E10" s="149"/>
      <c r="F10" s="149"/>
    </row>
    <row r="12" spans="1:6" x14ac:dyDescent="0.25">
      <c r="B12" s="19" t="s">
        <v>4</v>
      </c>
      <c r="C12" t="s">
        <v>0</v>
      </c>
    </row>
    <row r="13" spans="1:6" x14ac:dyDescent="0.25">
      <c r="A13" s="8"/>
      <c r="B13" t="s">
        <v>79</v>
      </c>
      <c r="C13" s="121">
        <v>10000</v>
      </c>
      <c r="D13" t="s">
        <v>81</v>
      </c>
    </row>
    <row r="14" spans="1:6" x14ac:dyDescent="0.25">
      <c r="A14" s="8"/>
      <c r="B14" t="s">
        <v>236</v>
      </c>
      <c r="C14" s="122">
        <v>20000</v>
      </c>
      <c r="D14" t="s">
        <v>81</v>
      </c>
    </row>
    <row r="15" spans="1:6" x14ac:dyDescent="0.25">
      <c r="A15" s="8"/>
      <c r="B15" t="s">
        <v>11</v>
      </c>
      <c r="C15" s="12">
        <v>0.1</v>
      </c>
    </row>
    <row r="16" spans="1:6" x14ac:dyDescent="0.25">
      <c r="A16" s="8"/>
      <c r="B16" t="s">
        <v>237</v>
      </c>
      <c r="C16" s="15">
        <v>5</v>
      </c>
      <c r="D16" t="s">
        <v>0</v>
      </c>
    </row>
    <row r="18" spans="1:4" s="34" customFormat="1" x14ac:dyDescent="0.25"/>
    <row r="19" spans="1:4" x14ac:dyDescent="0.25">
      <c r="A19" s="8"/>
      <c r="D19" s="40"/>
    </row>
    <row r="20" spans="1:4" x14ac:dyDescent="0.25">
      <c r="A20" s="8"/>
      <c r="B20" s="2" t="s">
        <v>5</v>
      </c>
    </row>
    <row r="21" spans="1:4" x14ac:dyDescent="0.25">
      <c r="A21" s="8" t="s">
        <v>0</v>
      </c>
      <c r="B21" s="37" t="s">
        <v>80</v>
      </c>
      <c r="C21" s="41">
        <f>-PV(C15,C16,C14)+C13</f>
        <v>85815.735388169007</v>
      </c>
      <c r="D21" t="s">
        <v>0</v>
      </c>
    </row>
    <row r="22" spans="1:4" x14ac:dyDescent="0.25">
      <c r="A22" s="8"/>
      <c r="B22" s="45" t="s">
        <v>242</v>
      </c>
      <c r="C22" s="81">
        <f>-PMT(C15,C16,C13,0)+C14</f>
        <v>22637.974807947452</v>
      </c>
      <c r="D22" s="41" t="s">
        <v>0</v>
      </c>
    </row>
    <row r="23" spans="1:4" x14ac:dyDescent="0.25">
      <c r="A23" s="8"/>
      <c r="D23" s="16"/>
    </row>
    <row r="24" spans="1:4" x14ac:dyDescent="0.25">
      <c r="A24" s="8"/>
      <c r="D24" s="17"/>
    </row>
  </sheetData>
  <mergeCells count="1">
    <mergeCell ref="B4:E4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4"/>
  <sheetViews>
    <sheetView workbookViewId="0">
      <selection activeCell="C27" sqref="C27"/>
    </sheetView>
  </sheetViews>
  <sheetFormatPr defaultColWidth="9.140625" defaultRowHeight="15" x14ac:dyDescent="0.25"/>
  <cols>
    <col min="1" max="1" width="16.5703125" customWidth="1"/>
    <col min="2" max="2" width="29" customWidth="1"/>
    <col min="3" max="3" width="13.85546875" customWidth="1"/>
    <col min="4" max="4" width="17.5703125" customWidth="1"/>
    <col min="5" max="5" width="10.5703125" customWidth="1"/>
    <col min="6" max="6" width="17" customWidth="1"/>
    <col min="7" max="7" width="8.5703125" customWidth="1"/>
    <col min="8" max="8" width="8.140625" customWidth="1"/>
  </cols>
  <sheetData>
    <row r="1" spans="1:10" x14ac:dyDescent="0.25">
      <c r="A1" s="2" t="s">
        <v>305</v>
      </c>
      <c r="B1" s="2"/>
      <c r="C1" s="2"/>
    </row>
    <row r="2" spans="1:10" s="34" customFormat="1" x14ac:dyDescent="0.25">
      <c r="A2" s="151"/>
      <c r="B2" s="151"/>
      <c r="C2" s="151"/>
    </row>
    <row r="3" spans="1:10" x14ac:dyDescent="0.25">
      <c r="A3" s="2" t="s">
        <v>0</v>
      </c>
      <c r="B3" s="2" t="s">
        <v>95</v>
      </c>
      <c r="C3" s="2"/>
    </row>
    <row r="4" spans="1:10" ht="47.25" customHeight="1" x14ac:dyDescent="0.25">
      <c r="A4" s="1"/>
      <c r="B4" s="214" t="s">
        <v>239</v>
      </c>
      <c r="C4" s="214"/>
      <c r="D4" s="214"/>
      <c r="E4" s="214"/>
      <c r="F4" s="214"/>
      <c r="G4" s="150"/>
      <c r="H4" s="150"/>
      <c r="I4" s="150"/>
      <c r="J4" s="150"/>
    </row>
    <row r="5" spans="1:10" ht="15" customHeight="1" x14ac:dyDescent="0.25">
      <c r="A5" s="1"/>
      <c r="B5" s="54"/>
      <c r="C5" s="54"/>
      <c r="D5" s="54"/>
      <c r="E5" s="54"/>
      <c r="F5" s="54"/>
      <c r="G5" s="54"/>
      <c r="H5" s="54"/>
      <c r="I5" s="54"/>
      <c r="J5" s="54"/>
    </row>
    <row r="6" spans="1:10" ht="15" customHeight="1" x14ac:dyDescent="0.25">
      <c r="A6" s="1"/>
      <c r="B6" s="213" t="s">
        <v>238</v>
      </c>
      <c r="C6" s="213"/>
      <c r="D6" s="213"/>
      <c r="E6" s="213"/>
      <c r="F6" s="213"/>
      <c r="G6" s="213"/>
      <c r="H6" s="213"/>
    </row>
    <row r="7" spans="1:10" ht="15" customHeight="1" x14ac:dyDescent="0.25">
      <c r="A7" s="1"/>
      <c r="B7" s="14"/>
      <c r="C7" s="14"/>
      <c r="D7" s="14"/>
      <c r="E7" s="14"/>
      <c r="F7" s="14"/>
      <c r="G7" s="14"/>
      <c r="H7" s="14"/>
    </row>
    <row r="8" spans="1:10" s="34" customFormat="1" x14ac:dyDescent="0.25">
      <c r="B8" s="167"/>
      <c r="C8" s="167"/>
      <c r="D8" s="167"/>
      <c r="E8" s="167"/>
      <c r="F8" s="167"/>
    </row>
    <row r="9" spans="1:10" x14ac:dyDescent="0.25">
      <c r="A9" s="2"/>
      <c r="B9" s="3"/>
    </row>
    <row r="10" spans="1:10" x14ac:dyDescent="0.25">
      <c r="A10" s="2"/>
      <c r="B10" s="6" t="s">
        <v>1</v>
      </c>
      <c r="C10" s="6"/>
      <c r="D10" s="6"/>
      <c r="E10" s="6"/>
      <c r="F10" s="6"/>
    </row>
    <row r="11" spans="1:10" x14ac:dyDescent="0.25">
      <c r="A11" s="2"/>
      <c r="B11" s="7" t="s">
        <v>2</v>
      </c>
      <c r="C11" s="3"/>
      <c r="D11" s="3"/>
      <c r="E11" s="3"/>
      <c r="F11" s="3"/>
    </row>
    <row r="12" spans="1:10" x14ac:dyDescent="0.25">
      <c r="A12" s="2"/>
      <c r="B12" s="3" t="s">
        <v>3</v>
      </c>
      <c r="C12" s="3"/>
      <c r="D12" s="3"/>
      <c r="E12" s="3"/>
      <c r="F12" s="3"/>
    </row>
    <row r="14" spans="1:10" x14ac:dyDescent="0.25">
      <c r="B14" s="2" t="s">
        <v>4</v>
      </c>
    </row>
    <row r="15" spans="1:10" x14ac:dyDescent="0.25">
      <c r="B15" t="s">
        <v>240</v>
      </c>
      <c r="C15" s="13">
        <v>4</v>
      </c>
      <c r="D15" t="s">
        <v>0</v>
      </c>
    </row>
    <row r="16" spans="1:10" x14ac:dyDescent="0.25">
      <c r="A16" s="8"/>
      <c r="B16" s="37" t="s">
        <v>82</v>
      </c>
      <c r="C16" s="97">
        <v>30000</v>
      </c>
    </row>
    <row r="17" spans="1:6" x14ac:dyDescent="0.25">
      <c r="A17" s="8"/>
      <c r="B17" s="37" t="s">
        <v>85</v>
      </c>
      <c r="C17" s="66">
        <v>80000</v>
      </c>
    </row>
    <row r="18" spans="1:6" x14ac:dyDescent="0.25">
      <c r="A18" s="8"/>
      <c r="B18" s="37" t="s">
        <v>83</v>
      </c>
      <c r="C18" s="123">
        <v>10000</v>
      </c>
      <c r="D18" s="39"/>
    </row>
    <row r="19" spans="1:6" x14ac:dyDescent="0.25">
      <c r="A19" s="8"/>
      <c r="B19" s="37" t="s">
        <v>241</v>
      </c>
      <c r="C19" s="124">
        <v>4</v>
      </c>
      <c r="D19" t="s">
        <v>0</v>
      </c>
    </row>
    <row r="20" spans="1:6" x14ac:dyDescent="0.25">
      <c r="A20" s="8"/>
      <c r="B20" s="37" t="s">
        <v>84</v>
      </c>
      <c r="C20" s="66">
        <v>20000</v>
      </c>
      <c r="D20" s="39" t="s">
        <v>0</v>
      </c>
    </row>
    <row r="21" spans="1:6" x14ac:dyDescent="0.25">
      <c r="A21" s="8"/>
      <c r="B21" s="37" t="s">
        <v>11</v>
      </c>
      <c r="C21" s="67">
        <v>0.1</v>
      </c>
      <c r="D21" s="39"/>
    </row>
    <row r="22" spans="1:6" x14ac:dyDescent="0.25">
      <c r="A22" s="8"/>
      <c r="C22" s="22"/>
      <c r="D22" s="56"/>
      <c r="E22" s="39"/>
    </row>
    <row r="23" spans="1:6" s="34" customFormat="1" x14ac:dyDescent="0.25">
      <c r="A23" s="33"/>
      <c r="C23" s="35"/>
      <c r="D23" s="36"/>
      <c r="E23" s="36"/>
    </row>
    <row r="24" spans="1:6" x14ac:dyDescent="0.25">
      <c r="A24" s="8"/>
    </row>
    <row r="25" spans="1:6" x14ac:dyDescent="0.25">
      <c r="A25" s="8"/>
      <c r="B25" s="2" t="s">
        <v>5</v>
      </c>
    </row>
    <row r="26" spans="1:6" x14ac:dyDescent="0.25">
      <c r="A26" s="8"/>
      <c r="B26" s="37" t="s">
        <v>80</v>
      </c>
      <c r="C26" s="126">
        <f>PV(C21,C19,-C18,C20)+C17</f>
        <v>98038.385356191546</v>
      </c>
      <c r="E26" s="53"/>
      <c r="F26" s="23"/>
    </row>
    <row r="27" spans="1:6" x14ac:dyDescent="0.25">
      <c r="A27" s="8"/>
      <c r="B27" s="37" t="s">
        <v>242</v>
      </c>
      <c r="C27" s="93">
        <f>PMT(C21,C19,-C17,C20)+C18</f>
        <v>30928.248222365874</v>
      </c>
      <c r="E27" s="38"/>
      <c r="F27" s="23"/>
    </row>
    <row r="28" spans="1:6" x14ac:dyDescent="0.25">
      <c r="A28" s="8"/>
      <c r="B28" s="37"/>
      <c r="C28" s="125"/>
      <c r="E28" s="38"/>
      <c r="F28" s="23"/>
    </row>
    <row r="29" spans="1:6" x14ac:dyDescent="0.25">
      <c r="B29" s="68" t="s">
        <v>43</v>
      </c>
      <c r="C29" s="120" t="str">
        <f>IF(C27&gt;C16,"Lease",IF(C27&lt;C16,"Buy","Indifferent"))</f>
        <v>Lease</v>
      </c>
      <c r="E29" s="9"/>
      <c r="F29" s="9"/>
    </row>
    <row r="31" spans="1:6" s="34" customFormat="1" x14ac:dyDescent="0.25"/>
    <row r="33" spans="2:2" x14ac:dyDescent="0.25">
      <c r="B33" s="10" t="s">
        <v>126</v>
      </c>
    </row>
    <row r="34" spans="2:2" x14ac:dyDescent="0.25">
      <c r="B34" s="10" t="s">
        <v>127</v>
      </c>
    </row>
  </sheetData>
  <mergeCells count="2">
    <mergeCell ref="B6:H6"/>
    <mergeCell ref="B4:F4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7"/>
  <sheetViews>
    <sheetView topLeftCell="A19" workbookViewId="0">
      <selection activeCell="A2" sqref="A2"/>
    </sheetView>
  </sheetViews>
  <sheetFormatPr defaultColWidth="9.140625" defaultRowHeight="15" x14ac:dyDescent="0.25"/>
  <cols>
    <col min="1" max="1" width="16.5703125" customWidth="1"/>
    <col min="2" max="2" width="31.85546875" customWidth="1"/>
    <col min="3" max="3" width="17.5703125" customWidth="1"/>
    <col min="4" max="4" width="10.5703125" customWidth="1"/>
    <col min="5" max="6" width="8.5703125" customWidth="1"/>
    <col min="7" max="7" width="7.5703125" customWidth="1"/>
  </cols>
  <sheetData>
    <row r="1" spans="1:7" x14ac:dyDescent="0.25">
      <c r="A1" s="2" t="s">
        <v>304</v>
      </c>
      <c r="B1" s="2"/>
    </row>
    <row r="2" spans="1:7" s="34" customFormat="1" x14ac:dyDescent="0.25">
      <c r="A2" s="151"/>
      <c r="B2" s="151"/>
    </row>
    <row r="3" spans="1:7" x14ac:dyDescent="0.25">
      <c r="A3" s="2" t="s">
        <v>0</v>
      </c>
      <c r="B3" s="2" t="s">
        <v>95</v>
      </c>
    </row>
    <row r="4" spans="1:7" ht="53.25" customHeight="1" x14ac:dyDescent="0.25">
      <c r="A4" s="1"/>
      <c r="B4" s="214" t="s">
        <v>128</v>
      </c>
      <c r="C4" s="214"/>
      <c r="D4" s="214"/>
      <c r="E4" s="214"/>
      <c r="F4" s="214"/>
      <c r="G4" s="214"/>
    </row>
    <row r="5" spans="1:7" ht="16.5" customHeight="1" x14ac:dyDescent="0.25">
      <c r="A5" s="1"/>
      <c r="B5" s="214" t="s">
        <v>130</v>
      </c>
      <c r="C5" s="214"/>
      <c r="D5" s="214"/>
      <c r="E5" s="214"/>
      <c r="F5" s="214"/>
      <c r="G5" s="214"/>
    </row>
    <row r="6" spans="1:7" ht="20.25" customHeight="1" x14ac:dyDescent="0.25">
      <c r="A6" s="1"/>
      <c r="B6" s="214" t="s">
        <v>129</v>
      </c>
      <c r="C6" s="214"/>
      <c r="D6" s="214"/>
      <c r="E6" s="214"/>
      <c r="F6" s="214"/>
      <c r="G6" s="214"/>
    </row>
    <row r="7" spans="1:7" ht="52.5" customHeight="1" x14ac:dyDescent="0.25">
      <c r="A7" s="1"/>
      <c r="B7" s="214" t="s">
        <v>131</v>
      </c>
      <c r="C7" s="214"/>
      <c r="D7" s="214"/>
      <c r="E7" s="214"/>
      <c r="F7" s="214"/>
      <c r="G7" s="214"/>
    </row>
    <row r="8" spans="1:7" ht="20.25" customHeight="1" x14ac:dyDescent="0.25">
      <c r="A8" s="1"/>
      <c r="B8" s="214" t="s">
        <v>243</v>
      </c>
      <c r="C8" s="214"/>
      <c r="D8" s="214"/>
      <c r="E8" s="214"/>
      <c r="F8" s="214"/>
      <c r="G8" s="214"/>
    </row>
    <row r="9" spans="1:7" ht="15" customHeight="1" x14ac:dyDescent="0.25">
      <c r="A9" s="1"/>
      <c r="B9" s="14"/>
      <c r="C9" s="14"/>
      <c r="D9" s="14"/>
      <c r="E9" s="14"/>
    </row>
    <row r="10" spans="1:7" s="34" customFormat="1" x14ac:dyDescent="0.25">
      <c r="B10" s="167"/>
      <c r="C10" s="167"/>
      <c r="D10" s="167"/>
      <c r="E10" s="167"/>
    </row>
    <row r="11" spans="1:7" x14ac:dyDescent="0.25">
      <c r="A11" s="2"/>
    </row>
    <row r="12" spans="1:7" x14ac:dyDescent="0.25">
      <c r="A12" s="2"/>
      <c r="B12" s="6" t="s">
        <v>1</v>
      </c>
      <c r="C12" s="6"/>
      <c r="D12" s="6"/>
      <c r="E12" s="6"/>
      <c r="F12" s="13"/>
      <c r="G12" s="13"/>
    </row>
    <row r="13" spans="1:7" x14ac:dyDescent="0.25">
      <c r="A13" s="2"/>
      <c r="B13" s="7" t="s">
        <v>2</v>
      </c>
      <c r="C13" s="3"/>
      <c r="D13" s="3"/>
      <c r="E13" s="3"/>
    </row>
    <row r="14" spans="1:7" s="10" customFormat="1" x14ac:dyDescent="0.25">
      <c r="A14" s="149"/>
      <c r="B14" s="149" t="s">
        <v>3</v>
      </c>
      <c r="C14" s="149"/>
      <c r="D14" s="149"/>
      <c r="E14" s="149"/>
    </row>
    <row r="16" spans="1:7" x14ac:dyDescent="0.25">
      <c r="B16" s="2" t="s">
        <v>4</v>
      </c>
    </row>
    <row r="17" spans="1:5" x14ac:dyDescent="0.25">
      <c r="A17" s="8"/>
      <c r="B17" s="37" t="s">
        <v>244</v>
      </c>
      <c r="C17" s="97">
        <v>300</v>
      </c>
    </row>
    <row r="18" spans="1:5" x14ac:dyDescent="0.25">
      <c r="A18" s="8"/>
      <c r="B18" s="37" t="s">
        <v>246</v>
      </c>
      <c r="C18" s="66">
        <v>150</v>
      </c>
      <c r="D18" s="37" t="s">
        <v>0</v>
      </c>
    </row>
    <row r="19" spans="1:5" x14ac:dyDescent="0.25">
      <c r="A19" s="8"/>
      <c r="B19" s="37" t="s">
        <v>245</v>
      </c>
      <c r="C19" s="115">
        <v>5</v>
      </c>
      <c r="D19" s="59" t="s">
        <v>0</v>
      </c>
    </row>
    <row r="20" spans="1:5" x14ac:dyDescent="0.25">
      <c r="A20" s="8"/>
      <c r="B20" s="37" t="s">
        <v>247</v>
      </c>
      <c r="C20" s="97">
        <v>500</v>
      </c>
    </row>
    <row r="21" spans="1:5" x14ac:dyDescent="0.25">
      <c r="A21" s="8"/>
      <c r="B21" s="37" t="s">
        <v>248</v>
      </c>
      <c r="C21" s="66">
        <v>100</v>
      </c>
      <c r="D21" s="37" t="s">
        <v>0</v>
      </c>
    </row>
    <row r="22" spans="1:5" x14ac:dyDescent="0.25">
      <c r="A22" s="8"/>
      <c r="B22" s="37" t="s">
        <v>249</v>
      </c>
      <c r="C22" s="115">
        <v>8</v>
      </c>
      <c r="D22" s="59" t="s">
        <v>0</v>
      </c>
    </row>
    <row r="23" spans="1:5" x14ac:dyDescent="0.25">
      <c r="A23" s="8"/>
      <c r="B23" s="37" t="s">
        <v>11</v>
      </c>
      <c r="C23" s="67">
        <v>0.21</v>
      </c>
      <c r="D23" s="59"/>
    </row>
    <row r="24" spans="1:5" x14ac:dyDescent="0.25">
      <c r="A24" s="8"/>
      <c r="B24" s="37" t="s">
        <v>250</v>
      </c>
      <c r="C24" s="67">
        <v>0.1</v>
      </c>
      <c r="D24" s="59"/>
    </row>
    <row r="26" spans="1:5" x14ac:dyDescent="0.25">
      <c r="A26" s="8"/>
      <c r="B26" s="37"/>
      <c r="C26" s="90"/>
      <c r="D26" s="39"/>
    </row>
    <row r="27" spans="1:5" s="34" customFormat="1" x14ac:dyDescent="0.25">
      <c r="A27" s="33"/>
      <c r="B27" s="35"/>
      <c r="C27" s="36"/>
      <c r="D27" s="36"/>
    </row>
    <row r="28" spans="1:5" x14ac:dyDescent="0.25">
      <c r="A28" s="8"/>
    </row>
    <row r="29" spans="1:5" x14ac:dyDescent="0.25">
      <c r="A29" s="8"/>
      <c r="B29" s="2" t="s">
        <v>5</v>
      </c>
    </row>
    <row r="30" spans="1:5" x14ac:dyDescent="0.25">
      <c r="A30" s="8"/>
      <c r="B30" s="19" t="s">
        <v>7</v>
      </c>
      <c r="C30" s="52" t="s">
        <v>0</v>
      </c>
      <c r="D30" s="53"/>
      <c r="E30" s="23"/>
    </row>
    <row r="31" spans="1:5" x14ac:dyDescent="0.25">
      <c r="A31" s="8"/>
      <c r="B31" s="37" t="s">
        <v>251</v>
      </c>
      <c r="C31" s="127">
        <f>PMT($C$23,$C$19,-$C$17,0)+$C$18</f>
        <v>252.52959877598232</v>
      </c>
      <c r="D31" s="38"/>
      <c r="E31" s="23"/>
    </row>
    <row r="32" spans="1:5" x14ac:dyDescent="0.25">
      <c r="A32" s="8"/>
      <c r="B32" s="37" t="s">
        <v>252</v>
      </c>
      <c r="C32" s="127">
        <f>PMT($C$23,$C$22,-$C$20,0)+$C$21</f>
        <v>234.20745173843335</v>
      </c>
      <c r="D32" s="38"/>
      <c r="E32" s="23"/>
    </row>
    <row r="33" spans="1:5" x14ac:dyDescent="0.25">
      <c r="A33" s="8"/>
      <c r="B33" s="37"/>
      <c r="C33" s="127"/>
      <c r="D33" s="38"/>
      <c r="E33" s="23"/>
    </row>
    <row r="34" spans="1:5" x14ac:dyDescent="0.25">
      <c r="B34" s="19" t="s">
        <v>8</v>
      </c>
      <c r="C34" s="120"/>
    </row>
    <row r="35" spans="1:5" x14ac:dyDescent="0.25">
      <c r="B35" s="37" t="s">
        <v>253</v>
      </c>
      <c r="C35" s="120" t="str">
        <f>IF(C31&lt;C32,"Econo-Cool",IF(C32&lt;C31,"Luxury Air","Indifferent"))</f>
        <v>Luxury Air</v>
      </c>
    </row>
    <row r="36" spans="1:5" x14ac:dyDescent="0.25">
      <c r="B36" s="37"/>
      <c r="C36" s="120"/>
    </row>
    <row r="37" spans="1:5" x14ac:dyDescent="0.25">
      <c r="B37" s="19" t="s">
        <v>41</v>
      </c>
    </row>
    <row r="38" spans="1:5" x14ac:dyDescent="0.25">
      <c r="A38" s="8"/>
      <c r="B38" s="37" t="s">
        <v>86</v>
      </c>
      <c r="C38" s="90">
        <f>(1+C23)/(1+C24)-1</f>
        <v>9.9999999999999867E-2</v>
      </c>
      <c r="D38" s="39"/>
    </row>
    <row r="39" spans="1:5" x14ac:dyDescent="0.25">
      <c r="B39" s="37" t="s">
        <v>251</v>
      </c>
      <c r="C39" s="127">
        <f>PMT($C$24,$C$19,-$C$17,0)+$C$18</f>
        <v>229.13924423842363</v>
      </c>
    </row>
    <row r="40" spans="1:5" x14ac:dyDescent="0.25">
      <c r="B40" s="37" t="s">
        <v>252</v>
      </c>
      <c r="C40" s="127">
        <f>PMT($C$24,$C$22,-$C$20,0)+$C$21</f>
        <v>193.72200878740676</v>
      </c>
    </row>
    <row r="41" spans="1:5" x14ac:dyDescent="0.25">
      <c r="B41" s="37"/>
      <c r="C41" s="127"/>
    </row>
    <row r="42" spans="1:5" x14ac:dyDescent="0.25">
      <c r="B42" s="19" t="s">
        <v>132</v>
      </c>
      <c r="C42" s="120"/>
    </row>
    <row r="43" spans="1:5" x14ac:dyDescent="0.25">
      <c r="B43" s="37" t="s">
        <v>253</v>
      </c>
      <c r="C43" s="120" t="str">
        <f>IF(C39&lt;C40,"Econo-Cool",IF(C40&lt;C39,"Luxury Air","Indifferent"))</f>
        <v>Luxury Air</v>
      </c>
    </row>
    <row r="44" spans="1:5" x14ac:dyDescent="0.25">
      <c r="B44" s="58"/>
    </row>
    <row r="45" spans="1:5" x14ac:dyDescent="0.25">
      <c r="B45" s="58"/>
    </row>
    <row r="46" spans="1:5" x14ac:dyDescent="0.25">
      <c r="B46" s="58"/>
    </row>
    <row r="47" spans="1:5" x14ac:dyDescent="0.25">
      <c r="B47" s="58"/>
    </row>
  </sheetData>
  <mergeCells count="5">
    <mergeCell ref="B5:G5"/>
    <mergeCell ref="B6:G6"/>
    <mergeCell ref="B8:G8"/>
    <mergeCell ref="B4:G4"/>
    <mergeCell ref="B7:G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2060"/>
  </sheetPr>
  <dimension ref="A1:J43"/>
  <sheetViews>
    <sheetView topLeftCell="A4" workbookViewId="0">
      <selection activeCell="C32" sqref="C32"/>
    </sheetView>
  </sheetViews>
  <sheetFormatPr defaultColWidth="9.140625" defaultRowHeight="15" x14ac:dyDescent="0.25"/>
  <cols>
    <col min="1" max="1" width="16.5703125" customWidth="1"/>
    <col min="2" max="2" width="23.140625" customWidth="1"/>
    <col min="3" max="3" width="15.42578125" customWidth="1"/>
    <col min="4" max="4" width="13.5703125" customWidth="1"/>
    <col min="5" max="5" width="10.5703125" customWidth="1"/>
    <col min="6" max="6" width="11.5703125" customWidth="1"/>
    <col min="7" max="7" width="12.42578125" customWidth="1"/>
    <col min="8" max="8" width="7.5703125" customWidth="1"/>
  </cols>
  <sheetData>
    <row r="1" spans="1:10" x14ac:dyDescent="0.25">
      <c r="A1" s="2" t="s">
        <v>303</v>
      </c>
      <c r="B1" s="2"/>
      <c r="C1" s="2"/>
    </row>
    <row r="2" spans="1:10" s="34" customFormat="1" x14ac:dyDescent="0.25">
      <c r="A2" s="151"/>
      <c r="B2" s="151"/>
      <c r="C2" s="151"/>
    </row>
    <row r="3" spans="1:10" x14ac:dyDescent="0.25">
      <c r="A3" s="2" t="s">
        <v>0</v>
      </c>
      <c r="B3" s="2" t="s">
        <v>95</v>
      </c>
      <c r="C3" s="2"/>
    </row>
    <row r="4" spans="1:10" ht="67.5" customHeight="1" x14ac:dyDescent="0.25">
      <c r="A4" s="1"/>
      <c r="B4" s="214" t="s">
        <v>133</v>
      </c>
      <c r="C4" s="214"/>
      <c r="D4" s="214"/>
      <c r="E4" s="214"/>
      <c r="F4" s="214"/>
      <c r="G4" s="214"/>
      <c r="H4" s="150"/>
      <c r="I4" s="150"/>
      <c r="J4" s="150"/>
    </row>
    <row r="5" spans="1:10" ht="15" customHeight="1" x14ac:dyDescent="0.25">
      <c r="A5" s="1"/>
      <c r="B5" s="14"/>
      <c r="C5" s="14"/>
      <c r="D5" s="14"/>
      <c r="E5" s="14"/>
      <c r="F5" s="14"/>
    </row>
    <row r="6" spans="1:10" s="34" customFormat="1" x14ac:dyDescent="0.25">
      <c r="B6" s="167"/>
      <c r="C6" s="167"/>
      <c r="D6" s="167"/>
      <c r="E6" s="167"/>
      <c r="F6" s="167"/>
    </row>
    <row r="7" spans="1:10" x14ac:dyDescent="0.25">
      <c r="A7" s="2"/>
      <c r="B7" s="3"/>
    </row>
    <row r="8" spans="1:10" x14ac:dyDescent="0.25">
      <c r="A8" s="2"/>
      <c r="B8" s="6" t="s">
        <v>1</v>
      </c>
      <c r="C8" s="6"/>
      <c r="D8" s="6"/>
      <c r="E8" s="6"/>
      <c r="F8" s="6"/>
      <c r="G8" s="13"/>
    </row>
    <row r="9" spans="1:10" x14ac:dyDescent="0.25">
      <c r="A9" s="2"/>
      <c r="B9" s="7" t="s">
        <v>2</v>
      </c>
      <c r="C9" s="3"/>
      <c r="D9" s="3"/>
      <c r="E9" s="3"/>
      <c r="F9" s="3"/>
    </row>
    <row r="10" spans="1:10" s="10" customFormat="1" x14ac:dyDescent="0.25">
      <c r="A10" s="149"/>
      <c r="B10" s="149" t="s">
        <v>3</v>
      </c>
      <c r="C10" s="149"/>
      <c r="D10" s="149"/>
      <c r="E10" s="149"/>
      <c r="F10" s="149"/>
    </row>
    <row r="12" spans="1:10" x14ac:dyDescent="0.25">
      <c r="B12" s="2" t="s">
        <v>4</v>
      </c>
    </row>
    <row r="13" spans="1:10" x14ac:dyDescent="0.25">
      <c r="A13" s="8"/>
      <c r="B13" s="37" t="s">
        <v>44</v>
      </c>
      <c r="C13" s="97">
        <v>400</v>
      </c>
    </row>
    <row r="14" spans="1:10" x14ac:dyDescent="0.25">
      <c r="A14" s="8"/>
      <c r="B14" s="37" t="s">
        <v>89</v>
      </c>
      <c r="C14" s="66">
        <v>60</v>
      </c>
      <c r="D14" s="37" t="s">
        <v>0</v>
      </c>
    </row>
    <row r="15" spans="1:10" x14ac:dyDescent="0.25">
      <c r="A15" s="8"/>
      <c r="B15" s="37" t="s">
        <v>254</v>
      </c>
      <c r="C15" s="115">
        <v>10</v>
      </c>
      <c r="D15" s="59" t="s">
        <v>0</v>
      </c>
    </row>
    <row r="16" spans="1:10" x14ac:dyDescent="0.25">
      <c r="A16" s="8"/>
      <c r="B16" s="37" t="s">
        <v>45</v>
      </c>
      <c r="C16" s="128">
        <v>0.2</v>
      </c>
      <c r="D16" t="s">
        <v>0</v>
      </c>
    </row>
    <row r="17" spans="1:6" x14ac:dyDescent="0.25">
      <c r="A17" s="8"/>
      <c r="B17" s="37" t="s">
        <v>11</v>
      </c>
      <c r="C17" s="67">
        <v>0.1</v>
      </c>
      <c r="D17" s="59"/>
    </row>
    <row r="18" spans="1:6" x14ac:dyDescent="0.25">
      <c r="A18" s="8"/>
      <c r="B18" s="37"/>
      <c r="C18" s="90"/>
      <c r="D18" s="59"/>
    </row>
    <row r="19" spans="1:6" s="34" customFormat="1" x14ac:dyDescent="0.25">
      <c r="A19" s="33"/>
      <c r="B19" s="152"/>
      <c r="C19" s="153"/>
      <c r="D19" s="163"/>
    </row>
    <row r="20" spans="1:6" x14ac:dyDescent="0.25">
      <c r="A20" s="8"/>
      <c r="C20" s="37"/>
      <c r="E20" s="59"/>
    </row>
    <row r="21" spans="1:6" x14ac:dyDescent="0.25">
      <c r="A21" s="8"/>
      <c r="B21" s="19" t="s">
        <v>134</v>
      </c>
      <c r="E21" s="59"/>
    </row>
    <row r="22" spans="1:6" s="1" customFormat="1" ht="30" x14ac:dyDescent="0.25">
      <c r="A22" s="130"/>
      <c r="B22" s="166" t="s">
        <v>13</v>
      </c>
      <c r="C22" s="164" t="s">
        <v>37</v>
      </c>
      <c r="D22" s="165" t="s">
        <v>87</v>
      </c>
      <c r="E22" s="165" t="s">
        <v>46</v>
      </c>
    </row>
    <row r="23" spans="1:6" x14ac:dyDescent="0.25">
      <c r="A23" s="8"/>
      <c r="B23" s="37">
        <v>0</v>
      </c>
      <c r="C23" s="107">
        <f>C13</f>
        <v>400</v>
      </c>
      <c r="D23" s="129">
        <f t="shared" ref="D23:D30" si="0">(-$C$13)*(1-$C$16)^B23+PV($C$17,$C$15,-$C$14,0)</f>
        <v>-31.325973657718919</v>
      </c>
      <c r="E23" s="129">
        <f t="shared" ref="E23:E30" si="1">D23/(1+$C$17)^B23</f>
        <v>-31.325973657718919</v>
      </c>
      <c r="F23" s="119" t="str">
        <f t="shared" ref="F23:F30" si="2">IF(E23=MAX(E$23:E$30),B23,"")</f>
        <v/>
      </c>
    </row>
    <row r="24" spans="1:6" x14ac:dyDescent="0.25">
      <c r="A24" s="8"/>
      <c r="B24" s="37">
        <v>1</v>
      </c>
      <c r="C24" s="8">
        <f t="shared" ref="C24:C30" si="3">C23*(1-C$16)</f>
        <v>320</v>
      </c>
      <c r="D24" s="131">
        <f t="shared" si="0"/>
        <v>48.674026342281081</v>
      </c>
      <c r="E24" s="131">
        <f t="shared" si="1"/>
        <v>44.249114856619158</v>
      </c>
      <c r="F24" s="119" t="str">
        <f t="shared" si="2"/>
        <v/>
      </c>
    </row>
    <row r="25" spans="1:6" x14ac:dyDescent="0.25">
      <c r="A25" s="8"/>
      <c r="B25" s="37">
        <v>2</v>
      </c>
      <c r="C25" s="8">
        <f t="shared" si="3"/>
        <v>256</v>
      </c>
      <c r="D25" s="131">
        <f t="shared" si="0"/>
        <v>112.67402634228102</v>
      </c>
      <c r="E25" s="131">
        <f t="shared" si="1"/>
        <v>93.11903003494298</v>
      </c>
      <c r="F25" s="119" t="str">
        <f t="shared" si="2"/>
        <v/>
      </c>
    </row>
    <row r="26" spans="1:6" x14ac:dyDescent="0.25">
      <c r="A26" s="8"/>
      <c r="B26" s="37">
        <v>3</v>
      </c>
      <c r="C26" s="8">
        <f t="shared" si="3"/>
        <v>204.8</v>
      </c>
      <c r="D26" s="131">
        <f t="shared" si="0"/>
        <v>163.87402634228104</v>
      </c>
      <c r="E26" s="131">
        <f t="shared" si="1"/>
        <v>123.12098147429076</v>
      </c>
      <c r="F26" s="119" t="str">
        <f t="shared" si="2"/>
        <v/>
      </c>
    </row>
    <row r="27" spans="1:6" x14ac:dyDescent="0.25">
      <c r="A27" s="8"/>
      <c r="B27" s="37">
        <v>4</v>
      </c>
      <c r="C27" s="8">
        <f t="shared" si="3"/>
        <v>163.84000000000003</v>
      </c>
      <c r="D27" s="131">
        <f t="shared" si="0"/>
        <v>204.83402634228099</v>
      </c>
      <c r="E27" s="131">
        <f t="shared" si="1"/>
        <v>139.90439610838121</v>
      </c>
      <c r="F27" s="119" t="str">
        <f t="shared" si="2"/>
        <v/>
      </c>
    </row>
    <row r="28" spans="1:6" x14ac:dyDescent="0.25">
      <c r="A28" s="8"/>
      <c r="B28" s="37">
        <v>5</v>
      </c>
      <c r="C28" s="8">
        <f t="shared" si="3"/>
        <v>131.07200000000003</v>
      </c>
      <c r="D28" s="131">
        <f t="shared" si="0"/>
        <v>237.60202634228099</v>
      </c>
      <c r="E28" s="131">
        <f t="shared" si="1"/>
        <v>147.53216455798531</v>
      </c>
      <c r="F28" s="119" t="str">
        <f t="shared" si="2"/>
        <v/>
      </c>
    </row>
    <row r="29" spans="1:6" x14ac:dyDescent="0.25">
      <c r="A29" s="8"/>
      <c r="B29" s="37">
        <v>6</v>
      </c>
      <c r="C29" s="8">
        <f t="shared" si="3"/>
        <v>104.85760000000003</v>
      </c>
      <c r="D29" s="131">
        <f t="shared" si="0"/>
        <v>263.81642634228103</v>
      </c>
      <c r="E29" s="131">
        <f t="shared" si="1"/>
        <v>148.91749499017021</v>
      </c>
    </row>
    <row r="30" spans="1:6" x14ac:dyDescent="0.25">
      <c r="A30" s="8"/>
      <c r="B30" s="37">
        <v>7</v>
      </c>
      <c r="C30" s="8">
        <f t="shared" si="3"/>
        <v>83.886080000000035</v>
      </c>
      <c r="D30" s="131">
        <f t="shared" si="0"/>
        <v>284.78794634228103</v>
      </c>
      <c r="E30" s="131">
        <f t="shared" si="1"/>
        <v>146.14124663979234</v>
      </c>
      <c r="F30" s="119" t="str">
        <f t="shared" si="2"/>
        <v/>
      </c>
    </row>
    <row r="31" spans="1:6" x14ac:dyDescent="0.25">
      <c r="A31" s="8"/>
      <c r="C31" s="22"/>
      <c r="D31" s="56"/>
      <c r="E31" s="62"/>
    </row>
    <row r="32" spans="1:6" x14ac:dyDescent="0.25">
      <c r="A32" s="8"/>
      <c r="B32" s="206" t="s">
        <v>88</v>
      </c>
      <c r="C32" s="119">
        <f>IF(E29=MAX(E$23:E$30),B29,"")</f>
        <v>6</v>
      </c>
    </row>
    <row r="33" spans="3:4" x14ac:dyDescent="0.25">
      <c r="C33" s="58"/>
    </row>
    <row r="34" spans="3:4" x14ac:dyDescent="0.25">
      <c r="C34" s="58"/>
    </row>
    <row r="35" spans="3:4" x14ac:dyDescent="0.25">
      <c r="C35" s="61"/>
      <c r="D35" s="23"/>
    </row>
    <row r="36" spans="3:4" x14ac:dyDescent="0.25">
      <c r="C36" s="58"/>
      <c r="D36" s="60"/>
    </row>
    <row r="37" spans="3:4" x14ac:dyDescent="0.25">
      <c r="C37" s="58"/>
      <c r="D37" s="60"/>
    </row>
    <row r="38" spans="3:4" x14ac:dyDescent="0.25">
      <c r="C38" s="61"/>
    </row>
    <row r="39" spans="3:4" x14ac:dyDescent="0.25">
      <c r="C39" s="58"/>
    </row>
    <row r="40" spans="3:4" x14ac:dyDescent="0.25">
      <c r="C40" s="58"/>
    </row>
    <row r="41" spans="3:4" x14ac:dyDescent="0.25">
      <c r="C41" s="58"/>
    </row>
    <row r="42" spans="3:4" x14ac:dyDescent="0.25">
      <c r="C42" s="58"/>
    </row>
    <row r="43" spans="3:4" x14ac:dyDescent="0.25">
      <c r="C43" s="58"/>
    </row>
  </sheetData>
  <mergeCells count="1">
    <mergeCell ref="B4:G4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2060"/>
  </sheetPr>
  <dimension ref="A1:G39"/>
  <sheetViews>
    <sheetView workbookViewId="0">
      <selection activeCell="A2" sqref="A2"/>
    </sheetView>
  </sheetViews>
  <sheetFormatPr defaultColWidth="9.140625" defaultRowHeight="15" x14ac:dyDescent="0.25"/>
  <cols>
    <col min="1" max="1" width="17.85546875" customWidth="1"/>
    <col min="2" max="2" width="34.5703125" customWidth="1"/>
    <col min="3" max="3" width="19.42578125" customWidth="1"/>
    <col min="4" max="4" width="17.5703125" customWidth="1"/>
    <col min="5" max="5" width="13.42578125" customWidth="1"/>
  </cols>
  <sheetData>
    <row r="1" spans="1:7" x14ac:dyDescent="0.25">
      <c r="A1" s="2" t="s">
        <v>302</v>
      </c>
      <c r="B1" s="2"/>
      <c r="C1" s="2"/>
    </row>
    <row r="2" spans="1:7" s="34" customFormat="1" x14ac:dyDescent="0.25">
      <c r="A2" s="151"/>
      <c r="B2" s="151"/>
      <c r="C2" s="151"/>
    </row>
    <row r="3" spans="1:7" x14ac:dyDescent="0.25">
      <c r="A3" s="2" t="s">
        <v>0</v>
      </c>
      <c r="B3" s="2" t="s">
        <v>95</v>
      </c>
      <c r="C3" s="2"/>
    </row>
    <row r="4" spans="1:7" ht="50.25" customHeight="1" x14ac:dyDescent="0.25">
      <c r="A4" s="1"/>
      <c r="B4" s="214" t="s">
        <v>255</v>
      </c>
      <c r="C4" s="214"/>
      <c r="D4" s="214"/>
      <c r="E4" s="214"/>
      <c r="F4" s="150"/>
      <c r="G4" s="150"/>
    </row>
    <row r="5" spans="1:7" ht="16.5" customHeight="1" x14ac:dyDescent="0.25">
      <c r="A5" s="1"/>
      <c r="B5" s="54"/>
      <c r="C5" s="54"/>
      <c r="D5" s="54"/>
      <c r="E5" s="54"/>
      <c r="F5" s="54"/>
      <c r="G5" s="54"/>
    </row>
    <row r="6" spans="1:7" ht="15" customHeight="1" x14ac:dyDescent="0.25">
      <c r="A6" s="1"/>
      <c r="B6" s="213" t="s">
        <v>256</v>
      </c>
      <c r="C6" s="213"/>
      <c r="D6" s="213"/>
      <c r="E6" s="213"/>
    </row>
    <row r="7" spans="1:7" ht="15" customHeight="1" x14ac:dyDescent="0.25">
      <c r="A7" s="1"/>
      <c r="B7" s="213" t="s">
        <v>257</v>
      </c>
      <c r="C7" s="213"/>
      <c r="D7" s="213"/>
      <c r="E7" s="213"/>
    </row>
    <row r="8" spans="1:7" ht="15" customHeight="1" x14ac:dyDescent="0.25">
      <c r="A8" s="1"/>
      <c r="B8" s="14"/>
      <c r="C8" s="14"/>
      <c r="D8" s="14"/>
      <c r="E8" s="14"/>
    </row>
    <row r="9" spans="1:7" s="34" customFormat="1" x14ac:dyDescent="0.25">
      <c r="B9" s="167"/>
      <c r="C9" s="167"/>
      <c r="D9" s="167"/>
      <c r="E9" s="167"/>
    </row>
    <row r="10" spans="1:7" x14ac:dyDescent="0.25">
      <c r="A10" s="2"/>
      <c r="B10" s="3"/>
    </row>
    <row r="11" spans="1:7" x14ac:dyDescent="0.25">
      <c r="A11" s="2"/>
      <c r="B11" s="6" t="s">
        <v>1</v>
      </c>
      <c r="C11" s="6"/>
      <c r="D11" s="6"/>
      <c r="E11" s="6"/>
    </row>
    <row r="12" spans="1:7" x14ac:dyDescent="0.25">
      <c r="A12" s="2"/>
      <c r="B12" s="7" t="s">
        <v>2</v>
      </c>
      <c r="C12" s="3"/>
      <c r="D12" s="3"/>
      <c r="E12" s="3"/>
    </row>
    <row r="13" spans="1:7" s="10" customFormat="1" x14ac:dyDescent="0.25">
      <c r="A13" s="149"/>
      <c r="B13" s="149" t="s">
        <v>3</v>
      </c>
      <c r="C13" s="149"/>
      <c r="D13" s="149"/>
      <c r="E13" s="149"/>
    </row>
    <row r="15" spans="1:7" x14ac:dyDescent="0.25">
      <c r="B15" s="2" t="s">
        <v>4</v>
      </c>
    </row>
    <row r="16" spans="1:7" x14ac:dyDescent="0.25">
      <c r="A16" s="8"/>
      <c r="B16" s="37" t="s">
        <v>258</v>
      </c>
      <c r="C16" s="97">
        <v>5000</v>
      </c>
      <c r="D16" t="s">
        <v>0</v>
      </c>
    </row>
    <row r="17" spans="1:5" x14ac:dyDescent="0.25">
      <c r="A17" s="8"/>
      <c r="B17" s="37" t="s">
        <v>259</v>
      </c>
      <c r="C17" s="73">
        <v>3</v>
      </c>
      <c r="D17" s="37" t="s">
        <v>0</v>
      </c>
    </row>
    <row r="18" spans="1:5" x14ac:dyDescent="0.25">
      <c r="A18" s="8"/>
      <c r="B18" s="37" t="s">
        <v>47</v>
      </c>
      <c r="C18" s="123">
        <v>20000</v>
      </c>
      <c r="D18" s="59" t="s">
        <v>0</v>
      </c>
    </row>
    <row r="19" spans="1:5" x14ac:dyDescent="0.25">
      <c r="A19" s="8"/>
      <c r="B19" s="37" t="s">
        <v>260</v>
      </c>
      <c r="C19" s="132">
        <v>10000</v>
      </c>
      <c r="D19" t="s">
        <v>0</v>
      </c>
    </row>
    <row r="20" spans="1:5" x14ac:dyDescent="0.25">
      <c r="A20" s="8"/>
      <c r="B20" s="37" t="s">
        <v>261</v>
      </c>
      <c r="C20" s="133">
        <v>4</v>
      </c>
      <c r="D20" s="59" t="s">
        <v>0</v>
      </c>
    </row>
    <row r="21" spans="1:5" x14ac:dyDescent="0.25">
      <c r="A21" s="8"/>
      <c r="B21" s="37" t="s">
        <v>11</v>
      </c>
      <c r="C21" s="67">
        <v>0.15</v>
      </c>
      <c r="D21" s="59"/>
    </row>
    <row r="22" spans="1:5" x14ac:dyDescent="0.25">
      <c r="A22" s="8"/>
      <c r="C22" s="37" t="s">
        <v>0</v>
      </c>
      <c r="D22" s="131" t="s">
        <v>0</v>
      </c>
      <c r="E22" s="59"/>
    </row>
    <row r="23" spans="1:5" s="34" customFormat="1" x14ac:dyDescent="0.25">
      <c r="A23" s="33"/>
      <c r="C23" s="35"/>
      <c r="D23" s="36"/>
      <c r="E23" s="36"/>
    </row>
    <row r="24" spans="1:5" x14ac:dyDescent="0.25">
      <c r="A24" s="8"/>
    </row>
    <row r="25" spans="1:5" x14ac:dyDescent="0.25">
      <c r="A25" s="8"/>
      <c r="B25" s="2" t="s">
        <v>5</v>
      </c>
    </row>
    <row r="26" spans="1:5" x14ac:dyDescent="0.25">
      <c r="A26" s="8"/>
      <c r="B26" s="37" t="s">
        <v>18</v>
      </c>
      <c r="C26" s="93">
        <f>PMT(C21,C20,-C18,0)</f>
        <v>7005.3070318171576</v>
      </c>
      <c r="E26" s="38"/>
    </row>
    <row r="27" spans="1:5" x14ac:dyDescent="0.25">
      <c r="A27" s="8"/>
      <c r="B27" s="37" t="s">
        <v>262</v>
      </c>
      <c r="C27" s="207">
        <f>C19-C16</f>
        <v>5000</v>
      </c>
      <c r="E27" s="38"/>
    </row>
    <row r="28" spans="1:5" x14ac:dyDescent="0.25">
      <c r="B28" s="37" t="s">
        <v>263</v>
      </c>
      <c r="C28" s="120" t="str">
        <f>IF(C27&gt;C26,"Yes","No")</f>
        <v>No</v>
      </c>
    </row>
    <row r="29" spans="1:5" x14ac:dyDescent="0.25">
      <c r="C29" s="58"/>
    </row>
    <row r="30" spans="1:5" x14ac:dyDescent="0.25">
      <c r="C30" s="58"/>
    </row>
    <row r="31" spans="1:5" x14ac:dyDescent="0.25">
      <c r="C31" s="61"/>
      <c r="D31" s="23"/>
    </row>
    <row r="32" spans="1:5" x14ac:dyDescent="0.25">
      <c r="C32" s="58"/>
      <c r="D32" s="60"/>
    </row>
    <row r="33" spans="3:4" x14ac:dyDescent="0.25">
      <c r="C33" s="58"/>
      <c r="D33" s="60"/>
    </row>
    <row r="34" spans="3:4" x14ac:dyDescent="0.25">
      <c r="C34" s="61"/>
    </row>
    <row r="35" spans="3:4" x14ac:dyDescent="0.25">
      <c r="C35" s="58"/>
    </row>
    <row r="36" spans="3:4" x14ac:dyDescent="0.25">
      <c r="C36" s="58"/>
    </row>
    <row r="37" spans="3:4" x14ac:dyDescent="0.25">
      <c r="C37" s="58"/>
    </row>
    <row r="38" spans="3:4" x14ac:dyDescent="0.25">
      <c r="C38" s="58"/>
    </row>
    <row r="39" spans="3:4" x14ac:dyDescent="0.25">
      <c r="C39" s="58"/>
    </row>
  </sheetData>
  <mergeCells count="3">
    <mergeCell ref="B6:E6"/>
    <mergeCell ref="B7:E7"/>
    <mergeCell ref="B4:E4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5"/>
  <sheetViews>
    <sheetView tabSelected="1" topLeftCell="A6" workbookViewId="0">
      <selection activeCell="C34" sqref="C34"/>
    </sheetView>
  </sheetViews>
  <sheetFormatPr defaultColWidth="9.140625" defaultRowHeight="15" x14ac:dyDescent="0.25"/>
  <cols>
    <col min="1" max="1" width="18.5703125" customWidth="1"/>
    <col min="2" max="2" width="28.42578125" customWidth="1"/>
    <col min="3" max="3" width="15.140625" customWidth="1"/>
    <col min="4" max="5" width="17.5703125" customWidth="1"/>
  </cols>
  <sheetData>
    <row r="1" spans="1:6" x14ac:dyDescent="0.25">
      <c r="A1" s="2" t="s">
        <v>301</v>
      </c>
      <c r="B1" s="2"/>
    </row>
    <row r="2" spans="1:6" s="34" customFormat="1" x14ac:dyDescent="0.25">
      <c r="A2" s="151"/>
      <c r="B2" s="151"/>
    </row>
    <row r="3" spans="1:6" x14ac:dyDescent="0.25">
      <c r="A3" s="2" t="s">
        <v>0</v>
      </c>
      <c r="B3" s="2" t="s">
        <v>95</v>
      </c>
    </row>
    <row r="4" spans="1:6" ht="48.75" customHeight="1" x14ac:dyDescent="0.25">
      <c r="A4" s="1"/>
      <c r="B4" s="213" t="s">
        <v>264</v>
      </c>
      <c r="C4" s="213"/>
      <c r="D4" s="213"/>
      <c r="E4" s="213"/>
      <c r="F4" s="213"/>
    </row>
    <row r="5" spans="1:6" ht="15" customHeight="1" x14ac:dyDescent="0.25">
      <c r="A5" s="1"/>
      <c r="C5" s="14"/>
      <c r="D5" s="14"/>
      <c r="E5" s="14"/>
    </row>
    <row r="6" spans="1:6" ht="35.25" customHeight="1" x14ac:dyDescent="0.25">
      <c r="A6" s="1"/>
      <c r="B6" s="223" t="s">
        <v>265</v>
      </c>
      <c r="C6" s="223"/>
      <c r="D6" s="223"/>
      <c r="E6" s="223"/>
      <c r="F6" s="223"/>
    </row>
    <row r="7" spans="1:6" ht="15" customHeight="1" x14ac:dyDescent="0.25">
      <c r="A7" s="1"/>
      <c r="B7" s="213" t="s">
        <v>136</v>
      </c>
      <c r="C7" s="213"/>
      <c r="D7" s="213"/>
      <c r="E7" s="213"/>
    </row>
    <row r="8" spans="1:6" ht="36.75" customHeight="1" x14ac:dyDescent="0.25">
      <c r="A8" s="1"/>
      <c r="B8" s="223" t="s">
        <v>266</v>
      </c>
      <c r="C8" s="223"/>
      <c r="D8" s="223"/>
      <c r="E8" s="223"/>
      <c r="F8" s="223"/>
    </row>
    <row r="9" spans="1:6" ht="15" customHeight="1" x14ac:dyDescent="0.25">
      <c r="A9" s="1"/>
      <c r="B9" s="213" t="s">
        <v>135</v>
      </c>
      <c r="C9" s="213"/>
      <c r="D9" s="213"/>
      <c r="E9" s="213"/>
    </row>
    <row r="10" spans="1:6" ht="15" customHeight="1" x14ac:dyDescent="0.25">
      <c r="A10" s="1"/>
      <c r="B10" s="14" t="s">
        <v>0</v>
      </c>
      <c r="C10" s="14"/>
      <c r="D10" s="14"/>
      <c r="E10" s="14"/>
    </row>
    <row r="11" spans="1:6" s="11" customFormat="1" x14ac:dyDescent="0.25">
      <c r="A11" s="4"/>
      <c r="B11" s="5"/>
      <c r="C11" s="5"/>
      <c r="D11" s="5"/>
      <c r="E11" s="5"/>
    </row>
    <row r="12" spans="1:6" x14ac:dyDescent="0.25">
      <c r="A12" s="2"/>
      <c r="B12" s="3"/>
      <c r="C12" s="3"/>
      <c r="D12" s="3"/>
      <c r="E12" s="3"/>
    </row>
    <row r="13" spans="1:6" x14ac:dyDescent="0.25">
      <c r="A13" s="2"/>
      <c r="B13" s="6" t="s">
        <v>1</v>
      </c>
      <c r="C13" s="6"/>
      <c r="D13" s="6"/>
      <c r="E13" s="6"/>
      <c r="F13" s="13"/>
    </row>
    <row r="14" spans="1:6" x14ac:dyDescent="0.25">
      <c r="A14" s="2"/>
      <c r="B14" s="7" t="s">
        <v>2</v>
      </c>
      <c r="C14" s="3"/>
      <c r="D14" s="3"/>
      <c r="E14" s="3"/>
    </row>
    <row r="15" spans="1:6" x14ac:dyDescent="0.25">
      <c r="A15" s="2"/>
      <c r="B15" s="3" t="s">
        <v>3</v>
      </c>
      <c r="C15" s="3"/>
      <c r="D15" s="3"/>
      <c r="E15" s="3"/>
    </row>
    <row r="17" spans="1:4" x14ac:dyDescent="0.25">
      <c r="B17" s="19" t="s">
        <v>4</v>
      </c>
      <c r="C17" t="s">
        <v>0</v>
      </c>
    </row>
    <row r="18" spans="1:4" x14ac:dyDescent="0.25">
      <c r="A18" s="8"/>
      <c r="B18" s="37" t="s">
        <v>269</v>
      </c>
      <c r="C18" s="72">
        <v>2</v>
      </c>
      <c r="D18" t="s">
        <v>0</v>
      </c>
    </row>
    <row r="19" spans="1:4" x14ac:dyDescent="0.25">
      <c r="A19" s="8"/>
      <c r="B19" s="37" t="s">
        <v>267</v>
      </c>
      <c r="C19" s="66">
        <v>5000</v>
      </c>
      <c r="D19" t="s">
        <v>0</v>
      </c>
    </row>
    <row r="20" spans="1:4" x14ac:dyDescent="0.25">
      <c r="A20" s="8"/>
      <c r="B20" s="37" t="s">
        <v>268</v>
      </c>
      <c r="C20" s="66">
        <v>20000</v>
      </c>
      <c r="D20" t="s">
        <v>0</v>
      </c>
    </row>
    <row r="21" spans="1:4" x14ac:dyDescent="0.25">
      <c r="A21" s="8"/>
      <c r="B21" s="37" t="s">
        <v>270</v>
      </c>
      <c r="C21" s="73">
        <v>10</v>
      </c>
      <c r="D21" t="s">
        <v>0</v>
      </c>
    </row>
    <row r="22" spans="1:4" x14ac:dyDescent="0.25">
      <c r="A22" s="8"/>
      <c r="B22" s="37" t="s">
        <v>271</v>
      </c>
      <c r="C22" s="66">
        <v>2000</v>
      </c>
      <c r="D22" t="s">
        <v>0</v>
      </c>
    </row>
    <row r="23" spans="1:4" x14ac:dyDescent="0.25">
      <c r="A23" s="8"/>
      <c r="B23" s="22"/>
      <c r="C23" s="76"/>
    </row>
    <row r="24" spans="1:4" x14ac:dyDescent="0.25">
      <c r="A24" s="8"/>
      <c r="B24" s="37" t="s">
        <v>272</v>
      </c>
      <c r="C24" s="67">
        <v>0.04</v>
      </c>
    </row>
    <row r="25" spans="1:4" x14ac:dyDescent="0.25">
      <c r="A25" s="8"/>
      <c r="B25" s="37" t="s">
        <v>72</v>
      </c>
      <c r="C25" s="67">
        <v>0.12</v>
      </c>
    </row>
    <row r="26" spans="1:4" x14ac:dyDescent="0.25">
      <c r="A26" s="8"/>
      <c r="B26" s="37"/>
      <c r="C26" s="90"/>
    </row>
    <row r="27" spans="1:4" s="34" customFormat="1" x14ac:dyDescent="0.25">
      <c r="A27" s="33"/>
      <c r="B27" s="35"/>
      <c r="C27" s="36"/>
      <c r="D27" s="36"/>
    </row>
    <row r="28" spans="1:4" x14ac:dyDescent="0.25">
      <c r="A28" s="8"/>
      <c r="B28" s="22"/>
      <c r="C28" s="39"/>
      <c r="D28" s="39"/>
    </row>
    <row r="29" spans="1:4" x14ac:dyDescent="0.25">
      <c r="A29" s="8"/>
      <c r="B29" s="2" t="s">
        <v>5</v>
      </c>
    </row>
    <row r="30" spans="1:4" x14ac:dyDescent="0.25">
      <c r="A30" s="8"/>
      <c r="B30" s="2" t="s">
        <v>32</v>
      </c>
      <c r="C30" s="23"/>
      <c r="D30" s="23"/>
    </row>
    <row r="31" spans="1:4" x14ac:dyDescent="0.25">
      <c r="A31" s="8"/>
      <c r="B31" t="s">
        <v>242</v>
      </c>
      <c r="C31" s="81">
        <f>PMT($C$24,$C$21,-$C$20,0)+$C$22</f>
        <v>4465.8188866027303</v>
      </c>
      <c r="D31" s="23"/>
    </row>
    <row r="32" spans="1:4" x14ac:dyDescent="0.25">
      <c r="A32" s="8"/>
      <c r="C32" s="111"/>
    </row>
    <row r="33" spans="1:5" x14ac:dyDescent="0.25">
      <c r="A33" s="8"/>
      <c r="B33" s="2" t="s">
        <v>29</v>
      </c>
      <c r="C33" s="84"/>
      <c r="D33" s="23"/>
      <c r="E33" s="23"/>
    </row>
    <row r="34" spans="1:5" x14ac:dyDescent="0.25">
      <c r="A34" s="8"/>
      <c r="B34" t="s">
        <v>48</v>
      </c>
      <c r="C34" s="95" t="str">
        <f>IF(C31&gt;$C$19,"No","Yes")</f>
        <v>Yes</v>
      </c>
      <c r="D34" s="23"/>
      <c r="E34" s="23"/>
    </row>
    <row r="35" spans="1:5" x14ac:dyDescent="0.25">
      <c r="A35" s="8"/>
      <c r="C35" s="134"/>
      <c r="D35" s="22"/>
      <c r="E35" s="25"/>
    </row>
    <row r="36" spans="1:5" x14ac:dyDescent="0.25">
      <c r="A36" s="8"/>
      <c r="B36" s="2" t="s">
        <v>33</v>
      </c>
      <c r="C36" s="85"/>
      <c r="D36" s="23"/>
    </row>
    <row r="37" spans="1:5" x14ac:dyDescent="0.25">
      <c r="A37" s="8"/>
      <c r="B37" t="s">
        <v>242</v>
      </c>
      <c r="C37" s="81">
        <f>PMT($C$25,$C$21,-$C$20,0)+$C$22</f>
        <v>5539.6832831968823</v>
      </c>
      <c r="D37" s="23"/>
    </row>
    <row r="38" spans="1:5" x14ac:dyDescent="0.25">
      <c r="A38" s="8"/>
      <c r="C38" s="111"/>
    </row>
    <row r="39" spans="1:5" x14ac:dyDescent="0.25">
      <c r="A39" s="8"/>
      <c r="B39" s="2" t="s">
        <v>31</v>
      </c>
      <c r="C39" s="84"/>
      <c r="D39" s="23"/>
      <c r="E39" s="23"/>
    </row>
    <row r="40" spans="1:5" x14ac:dyDescent="0.25">
      <c r="A40" s="8"/>
      <c r="B40" t="s">
        <v>34</v>
      </c>
      <c r="C40" s="95" t="str">
        <f>IF(C37&gt;$C$19,"No","Yes")</f>
        <v>No</v>
      </c>
      <c r="D40" s="23"/>
      <c r="E40" s="23"/>
    </row>
    <row r="41" spans="1:5" x14ac:dyDescent="0.25">
      <c r="A41" s="8"/>
      <c r="C41" s="26"/>
      <c r="D41" s="22"/>
      <c r="E41" s="25"/>
    </row>
    <row r="42" spans="1:5" x14ac:dyDescent="0.25">
      <c r="A42" s="8"/>
      <c r="C42" s="26"/>
      <c r="D42" s="22"/>
      <c r="E42" s="25"/>
    </row>
    <row r="43" spans="1:5" x14ac:dyDescent="0.25">
      <c r="B43" s="9"/>
      <c r="C43" s="9"/>
      <c r="D43" s="9"/>
      <c r="E43" s="9"/>
    </row>
    <row r="44" spans="1:5" x14ac:dyDescent="0.25">
      <c r="B44" s="9"/>
      <c r="C44" s="9"/>
      <c r="D44" s="9"/>
      <c r="E44" s="9"/>
    </row>
    <row r="45" spans="1:5" x14ac:dyDescent="0.25">
      <c r="B45" s="9"/>
      <c r="C45" s="9"/>
      <c r="D45" s="9"/>
      <c r="E45" s="9"/>
    </row>
  </sheetData>
  <mergeCells count="5">
    <mergeCell ref="B7:E7"/>
    <mergeCell ref="B9:E9"/>
    <mergeCell ref="B4:F4"/>
    <mergeCell ref="B6:F6"/>
    <mergeCell ref="B8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Pr 8-1</vt:lpstr>
      <vt:lpstr>Pr 8-2</vt:lpstr>
      <vt:lpstr>Pr 8-3</vt:lpstr>
      <vt:lpstr>Pr 8-4</vt:lpstr>
      <vt:lpstr>Pr 8-5</vt:lpstr>
      <vt:lpstr>Pr 8-6</vt:lpstr>
      <vt:lpstr>Pr 8-7</vt:lpstr>
      <vt:lpstr>Pr 8-8</vt:lpstr>
      <vt:lpstr>Pr 8-9</vt:lpstr>
      <vt:lpstr>Pr 8-10</vt:lpstr>
      <vt:lpstr>Pr 8-11</vt:lpstr>
      <vt:lpstr>Pr 8-12</vt:lpstr>
      <vt:lpstr>Pr 8-13</vt:lpstr>
      <vt:lpstr>Pr 8-15</vt:lpstr>
      <vt:lpstr>Pr 8-16</vt:lpstr>
      <vt:lpstr>Pr 8-17</vt:lpstr>
      <vt:lpstr>Pr 8-18</vt:lpstr>
      <vt:lpstr>Pr 8-19</vt:lpstr>
      <vt:lpstr>Pr 8-20</vt:lpstr>
      <vt:lpstr>Pr 8-21</vt:lpstr>
      <vt:lpstr>Pr 8-22</vt:lpstr>
      <vt:lpstr>Pr 8-23</vt:lpstr>
      <vt:lpstr>Pr 8-25</vt:lpstr>
      <vt:lpstr>Pr 8-26</vt:lpstr>
      <vt:lpstr>Pr 8-27</vt:lpstr>
      <vt:lpstr>Pr 8-29</vt:lpstr>
      <vt:lpstr>Pr 8-31</vt:lpstr>
      <vt:lpstr>Pr 8-32</vt:lpstr>
      <vt:lpstr>Pr 8-33</vt:lpstr>
      <vt:lpstr>Pr 8-34</vt:lpstr>
      <vt:lpstr>Pr 8-35</vt:lpstr>
      <vt:lpstr>Pr 8-36</vt:lpstr>
      <vt:lpstr>Pr 8-38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Johnson</dc:creator>
  <cp:lastModifiedBy>Bethany Evitts</cp:lastModifiedBy>
  <dcterms:created xsi:type="dcterms:W3CDTF">2013-05-24T01:57:18Z</dcterms:created>
  <dcterms:modified xsi:type="dcterms:W3CDTF">2025-10-15T22:15:07Z</dcterms:modified>
</cp:coreProperties>
</file>