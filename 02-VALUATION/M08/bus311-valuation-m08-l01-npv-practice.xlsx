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91613f0104f47/EC_Teaching/BUS311 Corporate Finance_current/FA25- Teaching Materials - Brealey/Chapter 8 -Net Present Value/"/>
    </mc:Choice>
  </mc:AlternateContent>
  <xr:revisionPtr revIDLastSave="69" documentId="8_{8426469E-2962-461D-8E87-27E1F9BB1A1D}" xr6:coauthVersionLast="47" xr6:coauthVersionMax="47" xr10:uidLastSave="{03A37488-63EC-8645-8813-2B5977D6CB5E}"/>
  <bookViews>
    <workbookView xWindow="1420" yWindow="1340" windowWidth="23880" windowHeight="19200" activeTab="5" xr2:uid="{A5A99A8F-0BAD-4153-844B-017F01CA73DA}"/>
  </bookViews>
  <sheets>
    <sheet name="Office NPV" sheetId="3" r:id="rId1"/>
    <sheet name="NPV w Salvage Value" sheetId="4" r:id="rId2"/>
    <sheet name="IRR- Slide 13" sheetId="5" r:id="rId3"/>
    <sheet name="Profitabiliy Index" sheetId="6" r:id="rId4"/>
    <sheet name="PayBack Period-Slide" sheetId="7" r:id="rId5"/>
    <sheet name="Question #1" sheetId="2" r:id="rId6"/>
    <sheet name="Question#2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10" i="4"/>
  <c r="C8" i="1"/>
  <c r="C7" i="1"/>
  <c r="C6" i="1"/>
  <c r="D5" i="1"/>
  <c r="D6" i="1" s="1"/>
  <c r="D7" i="1" s="1"/>
  <c r="D8" i="1" s="1"/>
  <c r="C5" i="1"/>
</calcChain>
</file>

<file path=xl/sharedStrings.xml><?xml version="1.0" encoding="utf-8"?>
<sst xmlns="http://schemas.openxmlformats.org/spreadsheetml/2006/main" count="81" uniqueCount="60">
  <si>
    <t>NP-30</t>
  </si>
  <si>
    <t>NX-20</t>
  </si>
  <si>
    <t>Year 0</t>
  </si>
  <si>
    <t>Year 1</t>
  </si>
  <si>
    <t>Year 2</t>
  </si>
  <si>
    <t>Year 3</t>
  </si>
  <si>
    <t>Year 4</t>
  </si>
  <si>
    <t>Year 5</t>
  </si>
  <si>
    <t>Required return</t>
  </si>
  <si>
    <t>Payback</t>
  </si>
  <si>
    <t>IRR</t>
  </si>
  <si>
    <t>PI</t>
  </si>
  <si>
    <t>NPV</t>
  </si>
  <si>
    <t>Payback (years)</t>
  </si>
  <si>
    <t>Internal Rate of Return</t>
  </si>
  <si>
    <t>Profitability Index</t>
  </si>
  <si>
    <t>Which project would you recommend?</t>
  </si>
  <si>
    <t>Technique</t>
  </si>
  <si>
    <t>Fill in the table</t>
  </si>
  <si>
    <t>Project Recommendation</t>
  </si>
  <si>
    <t xml:space="preserve"> </t>
  </si>
  <si>
    <t>Capital Budgeting Analysis</t>
  </si>
  <si>
    <t>NPV, IRR, and Payback Period</t>
  </si>
  <si>
    <t>Project #1</t>
  </si>
  <si>
    <t>Project 1</t>
  </si>
  <si>
    <t>Period</t>
  </si>
  <si>
    <t>Cash Inflow</t>
  </si>
  <si>
    <t>Cash Outflow</t>
  </si>
  <si>
    <t>Net Cash Flow</t>
  </si>
  <si>
    <t>Cumulative Cash Flow</t>
  </si>
  <si>
    <t>Discount Rate -&gt;</t>
  </si>
  <si>
    <t>NPV -&gt;</t>
  </si>
  <si>
    <t>IRR -&gt;</t>
  </si>
  <si>
    <t>Payback Period -&gt;</t>
  </si>
  <si>
    <t>Project #2</t>
  </si>
  <si>
    <t>Project 2</t>
  </si>
  <si>
    <t>Cost of Building</t>
  </si>
  <si>
    <t>Sale Price (Year 1)</t>
  </si>
  <si>
    <t xml:space="preserve">Cost of Capital </t>
  </si>
  <si>
    <t>Initial Cost</t>
  </si>
  <si>
    <t>Inflows</t>
  </si>
  <si>
    <t>Outflows</t>
  </si>
  <si>
    <t>Net Flow</t>
  </si>
  <si>
    <t>Salvage</t>
  </si>
  <si>
    <t>Cost of Capital</t>
  </si>
  <si>
    <t>PV of Cashflows</t>
  </si>
  <si>
    <t>NPV of Project</t>
  </si>
  <si>
    <t>Year</t>
  </si>
  <si>
    <t>Cash Flow</t>
  </si>
  <si>
    <t>1</t>
  </si>
  <si>
    <t>Project</t>
  </si>
  <si>
    <t>Investment</t>
  </si>
  <si>
    <t>PV of CFs</t>
  </si>
  <si>
    <t>Alpha</t>
  </si>
  <si>
    <t>Beta</t>
  </si>
  <si>
    <t>Gamma</t>
  </si>
  <si>
    <t>Delta</t>
  </si>
  <si>
    <t>Yearly Cashflow</t>
  </si>
  <si>
    <t xml:space="preserve">Payback </t>
  </si>
  <si>
    <t>Project Net 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</si>
</sst>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-* #,##0\ _€_-;\-* #,##0\ _€_-;_-* &quot;-&quot;??\ _€_-;_-@"/>
    <numFmt numFmtId="167" formatCode="0.000%"/>
    <numFmt numFmtId="168" formatCode="_-* #,##0.00_-;\-* #,##0.00_-;_-* &quot;-&quot;??_-;_-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sz val="12"/>
      <color rgb="FF0050C7"/>
      <name val="Arial"/>
      <family val="2"/>
    </font>
    <font>
      <sz val="12"/>
      <color indexed="48"/>
      <name val="Arial"/>
      <family val="2"/>
    </font>
    <font>
      <b/>
      <i/>
      <sz val="12"/>
      <color rgb="FF002060"/>
      <name val="Arial"/>
      <family val="2"/>
    </font>
    <font>
      <sz val="12"/>
      <color theme="1"/>
      <name val="Aptos Narrow"/>
      <family val="2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sz val="12"/>
      <color rgb="FF0432FF"/>
      <name val="Calibri"/>
      <family val="2"/>
    </font>
    <font>
      <sz val="11"/>
      <color theme="0"/>
      <name val="Aptos Narrow"/>
      <family val="2"/>
      <scheme val="minor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sz val="18"/>
      <name val="Arial"/>
      <family val="2"/>
    </font>
    <font>
      <b/>
      <sz val="11"/>
      <color theme="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293D68"/>
        <bgColor rgb="FF293D6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3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/>
    <xf numFmtId="9" fontId="4" fillId="2" borderId="0" xfId="2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0" xfId="0" applyFont="1" applyFill="1"/>
    <xf numFmtId="42" fontId="5" fillId="2" borderId="0" xfId="2" applyNumberFormat="1" applyFont="1" applyFill="1" applyBorder="1" applyAlignment="1"/>
    <xf numFmtId="42" fontId="5" fillId="2" borderId="0" xfId="0" applyNumberFormat="1" applyFont="1" applyFill="1"/>
    <xf numFmtId="42" fontId="5" fillId="2" borderId="0" xfId="1" applyNumberFormat="1" applyFont="1" applyFill="1" applyBorder="1" applyAlignment="1"/>
    <xf numFmtId="37" fontId="5" fillId="2" borderId="0" xfId="1" applyNumberFormat="1" applyFont="1" applyFill="1" applyBorder="1"/>
    <xf numFmtId="0" fontId="5" fillId="2" borderId="0" xfId="0" applyFont="1" applyFill="1"/>
    <xf numFmtId="9" fontId="5" fillId="2" borderId="0" xfId="1" applyNumberFormat="1" applyFont="1" applyFill="1" applyBorder="1"/>
    <xf numFmtId="9" fontId="5" fillId="2" borderId="0" xfId="0" applyNumberFormat="1" applyFont="1" applyFill="1"/>
    <xf numFmtId="0" fontId="2" fillId="2" borderId="6" xfId="0" applyFont="1" applyFill="1" applyBorder="1"/>
    <xf numFmtId="0" fontId="2" fillId="2" borderId="7" xfId="0" applyFont="1" applyFill="1" applyBorder="1"/>
    <xf numFmtId="9" fontId="6" fillId="2" borderId="7" xfId="1" applyNumberFormat="1" applyFont="1" applyFill="1" applyBorder="1"/>
    <xf numFmtId="0" fontId="2" fillId="2" borderId="8" xfId="0" applyFont="1" applyFill="1" applyBorder="1"/>
    <xf numFmtId="0" fontId="0" fillId="0" borderId="9" xfId="0" applyBorder="1"/>
    <xf numFmtId="10" fontId="0" fillId="0" borderId="9" xfId="0" applyNumberFormat="1" applyBorder="1"/>
    <xf numFmtId="164" fontId="0" fillId="0" borderId="9" xfId="0" applyNumberFormat="1" applyBorder="1"/>
    <xf numFmtId="8" fontId="0" fillId="0" borderId="9" xfId="0" applyNumberFormat="1" applyBorder="1"/>
    <xf numFmtId="0" fontId="7" fillId="2" borderId="1" xfId="0" applyFont="1" applyFill="1" applyBorder="1"/>
    <xf numFmtId="2" fontId="0" fillId="0" borderId="11" xfId="0" applyNumberFormat="1" applyBorder="1"/>
    <xf numFmtId="0" fontId="0" fillId="0" borderId="11" xfId="0" applyBorder="1"/>
    <xf numFmtId="9" fontId="4" fillId="2" borderId="10" xfId="2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8" fillId="0" borderId="0" xfId="0" applyFont="1"/>
    <xf numFmtId="0" fontId="9" fillId="0" borderId="12" xfId="0" applyFont="1" applyBorder="1"/>
    <xf numFmtId="0" fontId="10" fillId="0" borderId="12" xfId="0" applyFont="1" applyBorder="1"/>
    <xf numFmtId="0" fontId="11" fillId="0" borderId="0" xfId="0" applyFont="1"/>
    <xf numFmtId="0" fontId="14" fillId="0" borderId="0" xfId="0" applyFont="1"/>
    <xf numFmtId="0" fontId="10" fillId="4" borderId="12" xfId="0" applyFont="1" applyFill="1" applyBorder="1" applyAlignment="1">
      <alignment horizontal="center"/>
    </xf>
    <xf numFmtId="165" fontId="15" fillId="5" borderId="0" xfId="0" applyNumberFormat="1" applyFont="1" applyFill="1"/>
    <xf numFmtId="166" fontId="14" fillId="0" borderId="0" xfId="0" applyNumberFormat="1" applyFont="1"/>
    <xf numFmtId="167" fontId="14" fillId="0" borderId="0" xfId="0" applyNumberFormat="1" applyFont="1"/>
    <xf numFmtId="0" fontId="10" fillId="0" borderId="13" xfId="0" applyFont="1" applyBorder="1"/>
    <xf numFmtId="165" fontId="10" fillId="0" borderId="13" xfId="0" applyNumberFormat="1" applyFont="1" applyBorder="1"/>
    <xf numFmtId="9" fontId="14" fillId="0" borderId="0" xfId="0" applyNumberFormat="1" applyFont="1"/>
    <xf numFmtId="0" fontId="10" fillId="0" borderId="0" xfId="0" applyFont="1"/>
    <xf numFmtId="165" fontId="10" fillId="0" borderId="0" xfId="0" applyNumberFormat="1" applyFont="1"/>
    <xf numFmtId="0" fontId="10" fillId="0" borderId="0" xfId="0" applyFont="1" applyAlignment="1">
      <alignment horizontal="right"/>
    </xf>
    <xf numFmtId="9" fontId="16" fillId="0" borderId="14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6" fontId="10" fillId="6" borderId="14" xfId="0" applyNumberFormat="1" applyFont="1" applyFill="1" applyBorder="1"/>
    <xf numFmtId="0" fontId="10" fillId="0" borderId="0" xfId="0" applyFont="1" applyAlignment="1">
      <alignment horizontal="center"/>
    </xf>
    <xf numFmtId="10" fontId="10" fillId="6" borderId="14" xfId="0" applyNumberFormat="1" applyFont="1" applyFill="1" applyBorder="1" applyAlignment="1">
      <alignment horizontal="center"/>
    </xf>
    <xf numFmtId="168" fontId="10" fillId="6" borderId="14" xfId="0" applyNumberFormat="1" applyFont="1" applyFill="1" applyBorder="1" applyAlignment="1">
      <alignment horizontal="center"/>
    </xf>
    <xf numFmtId="0" fontId="17" fillId="7" borderId="15" xfId="0" applyFont="1" applyFill="1" applyBorder="1"/>
    <xf numFmtId="0" fontId="0" fillId="0" borderId="16" xfId="0" applyBorder="1"/>
    <xf numFmtId="6" fontId="0" fillId="0" borderId="16" xfId="0" applyNumberFormat="1" applyBorder="1"/>
    <xf numFmtId="6" fontId="0" fillId="0" borderId="0" xfId="0" applyNumberFormat="1"/>
    <xf numFmtId="6" fontId="0" fillId="0" borderId="17" xfId="0" applyNumberFormat="1" applyBorder="1"/>
    <xf numFmtId="0" fontId="0" fillId="0" borderId="17" xfId="0" applyBorder="1"/>
    <xf numFmtId="9" fontId="0" fillId="0" borderId="0" xfId="0" applyNumberFormat="1"/>
    <xf numFmtId="8" fontId="0" fillId="0" borderId="0" xfId="0" applyNumberFormat="1"/>
    <xf numFmtId="165" fontId="0" fillId="0" borderId="0" xfId="1" applyNumberFormat="1" applyFont="1"/>
    <xf numFmtId="0" fontId="18" fillId="0" borderId="0" xfId="0" applyFont="1" applyAlignment="1">
      <alignment horizontal="center" vertical="center" wrapText="1" readingOrder="1"/>
    </xf>
    <xf numFmtId="0" fontId="19" fillId="0" borderId="0" xfId="0" applyFont="1" applyAlignment="1">
      <alignment horizontal="center" vertical="center" wrapText="1" readingOrder="1"/>
    </xf>
    <xf numFmtId="4" fontId="19" fillId="0" borderId="0" xfId="0" applyNumberFormat="1" applyFont="1" applyAlignment="1">
      <alignment horizontal="right" vertical="center" wrapText="1" indent="1" readingOrder="1"/>
    </xf>
    <xf numFmtId="0" fontId="20" fillId="0" borderId="0" xfId="0" applyFont="1" applyAlignment="1">
      <alignment vertical="top" wrapText="1"/>
    </xf>
    <xf numFmtId="10" fontId="19" fillId="0" borderId="0" xfId="0" applyNumberFormat="1" applyFont="1" applyAlignment="1">
      <alignment horizontal="right" vertical="center" wrapText="1" indent="1" readingOrder="1"/>
    </xf>
    <xf numFmtId="0" fontId="21" fillId="8" borderId="0" xfId="0" applyFont="1" applyFill="1"/>
    <xf numFmtId="2" fontId="0" fillId="0" borderId="0" xfId="0" applyNumberFormat="1"/>
    <xf numFmtId="0" fontId="21" fillId="8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6023-1183-F54F-86E3-558F92753D38}">
  <dimension ref="A1:A5"/>
  <sheetViews>
    <sheetView workbookViewId="0">
      <selection sqref="A1:A5"/>
    </sheetView>
  </sheetViews>
  <sheetFormatPr baseColWidth="10" defaultRowHeight="15" x14ac:dyDescent="0.2"/>
  <cols>
    <col min="1" max="1" width="15.83203125" customWidth="1"/>
  </cols>
  <sheetData>
    <row r="1" spans="1:1" x14ac:dyDescent="0.2">
      <c r="A1" t="s">
        <v>36</v>
      </c>
    </row>
    <row r="2" spans="1:1" x14ac:dyDescent="0.2">
      <c r="A2" t="s">
        <v>37</v>
      </c>
    </row>
    <row r="3" spans="1:1" x14ac:dyDescent="0.2">
      <c r="A3" t="s">
        <v>38</v>
      </c>
    </row>
    <row r="5" spans="1:1" x14ac:dyDescent="0.2">
      <c r="A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E15-A5D7-604A-9B2D-8C2FA858B4DA}">
  <dimension ref="A1:E13"/>
  <sheetViews>
    <sheetView workbookViewId="0">
      <selection activeCell="E34" sqref="D34:E34"/>
    </sheetView>
  </sheetViews>
  <sheetFormatPr baseColWidth="10" defaultRowHeight="15" x14ac:dyDescent="0.2"/>
  <cols>
    <col min="1" max="1" width="13.1640625" bestFit="1" customWidth="1"/>
    <col min="2" max="2" width="11.6640625" bestFit="1" customWidth="1"/>
    <col min="4" max="4" width="19" customWidth="1"/>
    <col min="5" max="5" width="24.5" customWidth="1"/>
  </cols>
  <sheetData>
    <row r="1" spans="1:5" x14ac:dyDescent="0.2">
      <c r="A1" s="52"/>
      <c r="B1" s="52" t="s">
        <v>2</v>
      </c>
      <c r="C1" s="52" t="s">
        <v>3</v>
      </c>
      <c r="D1" s="52" t="s">
        <v>4</v>
      </c>
      <c r="E1" s="52" t="s">
        <v>5</v>
      </c>
    </row>
    <row r="2" spans="1:5" x14ac:dyDescent="0.2">
      <c r="A2" s="53" t="s">
        <v>39</v>
      </c>
      <c r="B2" s="54">
        <v>-350000</v>
      </c>
      <c r="C2" s="54"/>
      <c r="D2" s="54"/>
      <c r="E2" s="54"/>
    </row>
    <row r="3" spans="1:5" x14ac:dyDescent="0.2">
      <c r="A3" t="s">
        <v>40</v>
      </c>
      <c r="B3" s="55"/>
      <c r="C3" s="55"/>
      <c r="D3" s="55"/>
      <c r="E3" s="55"/>
    </row>
    <row r="4" spans="1:5" ht="16" thickBot="1" x14ac:dyDescent="0.25">
      <c r="A4" t="s">
        <v>41</v>
      </c>
      <c r="B4" s="56"/>
      <c r="C4" s="56"/>
      <c r="D4" s="56"/>
      <c r="E4" s="56"/>
    </row>
    <row r="5" spans="1:5" ht="16" thickTop="1" x14ac:dyDescent="0.2">
      <c r="A5" t="s">
        <v>42</v>
      </c>
      <c r="B5" s="55"/>
      <c r="C5" s="55"/>
      <c r="D5" s="55"/>
      <c r="E5" s="55"/>
    </row>
    <row r="6" spans="1:5" ht="16" thickBot="1" x14ac:dyDescent="0.25">
      <c r="A6" s="57" t="s">
        <v>43</v>
      </c>
      <c r="B6" s="56"/>
      <c r="C6" s="56"/>
      <c r="D6" s="56"/>
      <c r="E6" s="56"/>
    </row>
    <row r="7" spans="1:5" ht="16" thickTop="1" x14ac:dyDescent="0.2">
      <c r="A7" t="s">
        <v>28</v>
      </c>
      <c r="B7" s="55"/>
      <c r="C7" s="55"/>
      <c r="D7" s="55"/>
      <c r="E7" s="55"/>
    </row>
    <row r="8" spans="1:5" x14ac:dyDescent="0.2">
      <c r="B8" s="55"/>
      <c r="C8" s="55"/>
      <c r="D8" s="55"/>
      <c r="E8" s="55"/>
    </row>
    <row r="9" spans="1:5" x14ac:dyDescent="0.2">
      <c r="A9" t="s">
        <v>44</v>
      </c>
      <c r="B9" s="58"/>
    </row>
    <row r="10" spans="1:5" x14ac:dyDescent="0.2">
      <c r="A10" t="s">
        <v>45</v>
      </c>
      <c r="B10" s="59"/>
      <c r="C10" t="e">
        <f ca="1">_xlfn.FORMULATEXT(B10)</f>
        <v>#N/A</v>
      </c>
    </row>
    <row r="12" spans="1:5" x14ac:dyDescent="0.2">
      <c r="A12" t="s">
        <v>46</v>
      </c>
      <c r="B12" s="59"/>
      <c r="C12" t="e">
        <f ca="1">_xlfn.FORMULATEXT(B12)</f>
        <v>#N/A</v>
      </c>
    </row>
    <row r="13" spans="1:5" x14ac:dyDescent="0.2">
      <c r="B13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8D9C-0CDB-CB43-ABD3-6A2E77B5FD07}">
  <dimension ref="A1:C7"/>
  <sheetViews>
    <sheetView workbookViewId="0">
      <selection activeCell="H26" sqref="H26"/>
    </sheetView>
  </sheetViews>
  <sheetFormatPr baseColWidth="10" defaultRowHeight="15" x14ac:dyDescent="0.2"/>
  <cols>
    <col min="2" max="2" width="21.33203125" customWidth="1"/>
  </cols>
  <sheetData>
    <row r="1" spans="1:3" ht="26" x14ac:dyDescent="0.2">
      <c r="A1" s="61" t="s">
        <v>47</v>
      </c>
      <c r="B1" s="61" t="s">
        <v>48</v>
      </c>
      <c r="C1" s="61"/>
    </row>
    <row r="2" spans="1:3" ht="25" x14ac:dyDescent="0.2">
      <c r="A2" s="62">
        <v>0</v>
      </c>
      <c r="B2" s="63">
        <v>-375000</v>
      </c>
    </row>
    <row r="3" spans="1:3" ht="26" x14ac:dyDescent="0.2">
      <c r="A3" s="62" t="s">
        <v>49</v>
      </c>
      <c r="B3" s="63">
        <v>25000</v>
      </c>
      <c r="C3" s="64"/>
    </row>
    <row r="4" spans="1:3" ht="25" x14ac:dyDescent="0.2">
      <c r="A4" s="62">
        <v>2</v>
      </c>
      <c r="B4" s="63">
        <v>25000</v>
      </c>
      <c r="C4" s="64"/>
    </row>
    <row r="5" spans="1:3" ht="25" x14ac:dyDescent="0.2">
      <c r="A5" s="62">
        <v>3</v>
      </c>
      <c r="B5" s="63">
        <v>475000</v>
      </c>
      <c r="C5" s="64"/>
    </row>
    <row r="7" spans="1:3" ht="26" x14ac:dyDescent="0.2">
      <c r="A7" s="61" t="s">
        <v>10</v>
      </c>
      <c r="B7" s="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3AC4-5CF4-8342-8981-641F40633AF4}">
  <dimension ref="A1:E5"/>
  <sheetViews>
    <sheetView workbookViewId="0">
      <selection activeCell="H24" sqref="H24"/>
    </sheetView>
  </sheetViews>
  <sheetFormatPr baseColWidth="10" defaultRowHeight="15" x14ac:dyDescent="0.2"/>
  <sheetData>
    <row r="1" spans="1:5" x14ac:dyDescent="0.2">
      <c r="A1" s="66" t="s">
        <v>50</v>
      </c>
      <c r="B1" s="66" t="s">
        <v>51</v>
      </c>
      <c r="C1" s="66" t="s">
        <v>12</v>
      </c>
      <c r="D1" s="68" t="s">
        <v>52</v>
      </c>
      <c r="E1" s="68" t="s">
        <v>11</v>
      </c>
    </row>
    <row r="2" spans="1:5" x14ac:dyDescent="0.2">
      <c r="A2" t="s">
        <v>53</v>
      </c>
      <c r="B2" s="55">
        <v>200</v>
      </c>
      <c r="C2" s="55">
        <v>120</v>
      </c>
      <c r="E2" s="67"/>
    </row>
    <row r="3" spans="1:5" x14ac:dyDescent="0.2">
      <c r="A3" t="s">
        <v>54</v>
      </c>
      <c r="B3" s="55">
        <v>500</v>
      </c>
      <c r="C3" s="55">
        <v>230</v>
      </c>
      <c r="E3" s="67"/>
    </row>
    <row r="4" spans="1:5" x14ac:dyDescent="0.2">
      <c r="A4" t="s">
        <v>55</v>
      </c>
      <c r="B4" s="55">
        <v>100</v>
      </c>
      <c r="C4" s="55">
        <v>75</v>
      </c>
      <c r="E4" s="67"/>
    </row>
    <row r="5" spans="1:5" x14ac:dyDescent="0.2">
      <c r="A5" t="s">
        <v>56</v>
      </c>
      <c r="B5" s="55">
        <v>400</v>
      </c>
      <c r="C5" s="55">
        <v>140</v>
      </c>
      <c r="E5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F8A5-08E2-124C-B491-BDA05226B59A}">
  <dimension ref="A2:B5"/>
  <sheetViews>
    <sheetView workbookViewId="0">
      <selection activeCell="C15" sqref="C15"/>
    </sheetView>
  </sheetViews>
  <sheetFormatPr baseColWidth="10" defaultRowHeight="15" x14ac:dyDescent="0.2"/>
  <cols>
    <col min="1" max="1" width="16" customWidth="1"/>
  </cols>
  <sheetData>
    <row r="2" spans="1:2" x14ac:dyDescent="0.2">
      <c r="A2" t="s">
        <v>51</v>
      </c>
    </row>
    <row r="3" spans="1:2" x14ac:dyDescent="0.2">
      <c r="A3" t="s">
        <v>57</v>
      </c>
    </row>
    <row r="5" spans="1:2" x14ac:dyDescent="0.2">
      <c r="A5" t="s">
        <v>58</v>
      </c>
      <c r="B5" s="6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87A5-68AF-49D2-9A1E-2801C9A977A1}">
  <dimension ref="A1:Z35"/>
  <sheetViews>
    <sheetView tabSelected="1" topLeftCell="A7" workbookViewId="0">
      <selection activeCell="C25" sqref="C25"/>
    </sheetView>
  </sheetViews>
  <sheetFormatPr baseColWidth="10" defaultColWidth="12.83203125" defaultRowHeight="15" x14ac:dyDescent="0.2"/>
  <cols>
    <col min="1" max="1" width="12.1640625" customWidth="1"/>
    <col min="2" max="2" width="26.33203125" customWidth="1"/>
    <col min="3" max="3" width="13.6640625" customWidth="1"/>
    <col min="4" max="4" width="12.6640625" customWidth="1"/>
    <col min="5" max="8" width="12.1640625" customWidth="1"/>
    <col min="9" max="9" width="12.33203125" customWidth="1"/>
    <col min="10" max="15" width="12.1640625" customWidth="1"/>
    <col min="16" max="16" width="14.33203125" customWidth="1"/>
    <col min="17" max="26" width="12.1640625" customWidth="1"/>
  </cols>
  <sheetData>
    <row r="1" spans="1:26" ht="16" x14ac:dyDescent="0.2">
      <c r="C1" s="31" t="s">
        <v>20</v>
      </c>
    </row>
    <row r="2" spans="1:26" ht="31" x14ac:dyDescent="0.35">
      <c r="B2" s="32" t="s">
        <v>21</v>
      </c>
      <c r="C2" s="33"/>
      <c r="D2" s="33"/>
      <c r="E2" s="33"/>
      <c r="F2" s="33"/>
      <c r="G2" s="33"/>
      <c r="H2" s="33"/>
    </row>
    <row r="3" spans="1:26" ht="19" x14ac:dyDescent="0.25">
      <c r="B3" s="34" t="s">
        <v>22</v>
      </c>
    </row>
    <row r="5" spans="1:26" ht="16" x14ac:dyDescent="0.2">
      <c r="A5" s="31" t="s">
        <v>23</v>
      </c>
      <c r="B5" s="69" t="s">
        <v>24</v>
      </c>
      <c r="C5" s="70"/>
      <c r="D5" s="70"/>
      <c r="E5" s="70"/>
      <c r="F5" s="70"/>
      <c r="G5" s="70"/>
      <c r="H5" s="70"/>
    </row>
    <row r="6" spans="1:26" ht="16" x14ac:dyDescent="0.2">
      <c r="A6" s="35"/>
      <c r="B6" s="36" t="s">
        <v>25</v>
      </c>
      <c r="C6" s="36">
        <v>0</v>
      </c>
      <c r="D6" s="36">
        <v>1</v>
      </c>
      <c r="E6" s="36">
        <v>2</v>
      </c>
      <c r="F6" s="36">
        <v>3</v>
      </c>
      <c r="G6" s="36">
        <v>4</v>
      </c>
      <c r="H6" s="36">
        <v>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6" x14ac:dyDescent="0.2">
      <c r="B7" s="31" t="s">
        <v>26</v>
      </c>
      <c r="C7" s="37"/>
      <c r="D7" s="37">
        <v>325000</v>
      </c>
      <c r="E7" s="37">
        <v>475000</v>
      </c>
      <c r="F7" s="37">
        <v>550000</v>
      </c>
      <c r="G7" s="37">
        <v>595000</v>
      </c>
      <c r="H7" s="37">
        <v>625000</v>
      </c>
      <c r="J7" s="38"/>
      <c r="Q7" s="38"/>
    </row>
    <row r="8" spans="1:26" ht="16" x14ac:dyDescent="0.2">
      <c r="B8" s="31" t="s">
        <v>27</v>
      </c>
      <c r="C8" s="37">
        <v>-1500000</v>
      </c>
      <c r="D8" s="37">
        <v>-100000</v>
      </c>
      <c r="E8" s="37">
        <v>-100000</v>
      </c>
      <c r="F8" s="37">
        <v>-100000</v>
      </c>
      <c r="G8" s="37">
        <v>-100000</v>
      </c>
      <c r="H8" s="37">
        <v>-100000</v>
      </c>
      <c r="P8" s="39"/>
      <c r="Q8" s="38"/>
    </row>
    <row r="9" spans="1:26" ht="16" x14ac:dyDescent="0.2">
      <c r="B9" s="40" t="s">
        <v>28</v>
      </c>
      <c r="C9" s="41"/>
      <c r="D9" s="41"/>
      <c r="E9" s="41"/>
      <c r="F9" s="41"/>
      <c r="G9" s="41"/>
      <c r="H9" s="41"/>
      <c r="P9" s="39"/>
      <c r="Q9" s="38"/>
    </row>
    <row r="10" spans="1:26" ht="16" x14ac:dyDescent="0.2">
      <c r="B10" s="40" t="s">
        <v>29</v>
      </c>
      <c r="C10" s="41"/>
      <c r="D10" s="41"/>
      <c r="E10" s="41"/>
      <c r="F10" s="41"/>
      <c r="G10" s="41"/>
      <c r="H10" s="41"/>
      <c r="P10" s="42"/>
      <c r="Q10" s="38"/>
    </row>
    <row r="11" spans="1:26" ht="16" x14ac:dyDescent="0.2">
      <c r="B11" s="43"/>
      <c r="C11" s="44"/>
      <c r="D11" s="44"/>
      <c r="E11" s="44"/>
      <c r="F11" s="44"/>
      <c r="G11" s="44"/>
      <c r="H11" s="44"/>
      <c r="P11" s="39"/>
      <c r="Q11" s="38"/>
    </row>
    <row r="12" spans="1:26" ht="16" x14ac:dyDescent="0.2">
      <c r="B12" s="45" t="s">
        <v>30</v>
      </c>
      <c r="C12" s="46">
        <v>0.08</v>
      </c>
      <c r="D12" s="44"/>
      <c r="E12" s="44"/>
      <c r="F12" s="44"/>
      <c r="G12" s="44"/>
      <c r="H12" s="44"/>
      <c r="P12" s="39"/>
      <c r="Q12" s="38"/>
    </row>
    <row r="13" spans="1:26" ht="16" x14ac:dyDescent="0.2">
      <c r="C13" s="47"/>
      <c r="Q13" s="38"/>
    </row>
    <row r="14" spans="1:26" ht="16" x14ac:dyDescent="0.2">
      <c r="B14" s="45" t="s">
        <v>31</v>
      </c>
      <c r="C14" s="48"/>
    </row>
    <row r="15" spans="1:26" ht="16" x14ac:dyDescent="0.2">
      <c r="B15" s="45"/>
      <c r="C15" s="49"/>
    </row>
    <row r="16" spans="1:26" ht="16" x14ac:dyDescent="0.2">
      <c r="B16" s="45" t="s">
        <v>32</v>
      </c>
      <c r="C16" s="50"/>
    </row>
    <row r="17" spans="1:8" ht="16" x14ac:dyDescent="0.2">
      <c r="B17" s="45"/>
      <c r="C17" s="49"/>
    </row>
    <row r="18" spans="1:8" ht="16" x14ac:dyDescent="0.2">
      <c r="B18" s="45" t="s">
        <v>33</v>
      </c>
      <c r="C18" s="51"/>
    </row>
    <row r="21" spans="1:8" ht="16" x14ac:dyDescent="0.2">
      <c r="A21" s="31" t="s">
        <v>34</v>
      </c>
      <c r="B21" s="69" t="s">
        <v>35</v>
      </c>
      <c r="C21" s="70"/>
      <c r="D21" s="70"/>
      <c r="E21" s="70"/>
      <c r="F21" s="70"/>
      <c r="G21" s="70"/>
      <c r="H21" s="70"/>
    </row>
    <row r="22" spans="1:8" ht="16" x14ac:dyDescent="0.2">
      <c r="B22" s="36" t="s">
        <v>25</v>
      </c>
      <c r="C22" s="36">
        <v>0</v>
      </c>
      <c r="D22" s="36">
        <v>1</v>
      </c>
      <c r="E22" s="36">
        <v>2</v>
      </c>
      <c r="F22" s="36">
        <v>3</v>
      </c>
      <c r="G22" s="36">
        <v>4</v>
      </c>
      <c r="H22" s="36">
        <v>5</v>
      </c>
    </row>
    <row r="23" spans="1:8" ht="16" x14ac:dyDescent="0.2">
      <c r="B23" s="31" t="s">
        <v>26</v>
      </c>
      <c r="C23" s="37"/>
      <c r="D23" s="37">
        <v>65000</v>
      </c>
      <c r="E23" s="37">
        <v>75000</v>
      </c>
      <c r="F23" s="37">
        <v>82500</v>
      </c>
      <c r="G23" s="37">
        <v>86000</v>
      </c>
      <c r="H23" s="37">
        <v>89000</v>
      </c>
    </row>
    <row r="24" spans="1:8" ht="16" x14ac:dyDescent="0.2">
      <c r="B24" s="31" t="s">
        <v>27</v>
      </c>
      <c r="C24" s="37">
        <v>-250000</v>
      </c>
      <c r="D24" s="37">
        <v>-10000</v>
      </c>
      <c r="E24" s="37">
        <v>-10000</v>
      </c>
      <c r="F24" s="37">
        <v>-10000</v>
      </c>
      <c r="G24" s="37">
        <v>-10000</v>
      </c>
      <c r="H24" s="37">
        <v>-10000</v>
      </c>
    </row>
    <row r="25" spans="1:8" ht="16" x14ac:dyDescent="0.2">
      <c r="B25" s="40" t="s">
        <v>28</v>
      </c>
      <c r="C25" s="41"/>
      <c r="D25" s="41"/>
      <c r="E25" s="41"/>
      <c r="F25" s="41"/>
      <c r="G25" s="41"/>
      <c r="H25" s="41"/>
    </row>
    <row r="26" spans="1:8" ht="16" x14ac:dyDescent="0.2">
      <c r="B26" s="40" t="s">
        <v>29</v>
      </c>
      <c r="C26" s="41"/>
      <c r="D26" s="41"/>
      <c r="E26" s="41"/>
      <c r="F26" s="41"/>
      <c r="G26" s="41"/>
      <c r="H26" s="41"/>
    </row>
    <row r="28" spans="1:8" ht="16" x14ac:dyDescent="0.2">
      <c r="B28" s="45" t="s">
        <v>30</v>
      </c>
      <c r="C28" s="46">
        <v>0.08</v>
      </c>
    </row>
    <row r="29" spans="1:8" ht="16" x14ac:dyDescent="0.2">
      <c r="C29" s="47"/>
    </row>
    <row r="30" spans="1:8" ht="16" x14ac:dyDescent="0.2">
      <c r="B30" s="45" t="s">
        <v>31</v>
      </c>
      <c r="C30" s="48"/>
    </row>
    <row r="31" spans="1:8" ht="16" x14ac:dyDescent="0.2">
      <c r="B31" s="45"/>
      <c r="C31" s="49"/>
    </row>
    <row r="32" spans="1:8" ht="16" x14ac:dyDescent="0.2">
      <c r="B32" s="45" t="s">
        <v>32</v>
      </c>
      <c r="C32" s="50"/>
    </row>
    <row r="33" spans="2:3" ht="16" x14ac:dyDescent="0.2">
      <c r="B33" s="45"/>
      <c r="C33" s="49"/>
    </row>
    <row r="34" spans="2:3" ht="16" x14ac:dyDescent="0.2">
      <c r="B34" s="45" t="s">
        <v>33</v>
      </c>
      <c r="C34" s="51"/>
    </row>
    <row r="35" spans="2:3" ht="16" x14ac:dyDescent="0.2">
      <c r="C35" s="43"/>
    </row>
  </sheetData>
  <mergeCells count="2">
    <mergeCell ref="B5:H5"/>
    <mergeCell ref="B21:H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2316-9F3C-45E7-B810-C0517DD17EF4}">
  <dimension ref="A1:E18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35" customWidth="1"/>
    <col min="2" max="2" width="16.6640625" bestFit="1" customWidth="1"/>
    <col min="3" max="3" width="16" customWidth="1"/>
    <col min="4" max="4" width="18.5" customWidth="1"/>
    <col min="5" max="5" width="22.5" customWidth="1"/>
  </cols>
  <sheetData>
    <row r="1" spans="1:5" ht="16" x14ac:dyDescent="0.2">
      <c r="A1" s="25" t="s">
        <v>16</v>
      </c>
      <c r="B1" s="1"/>
      <c r="C1" s="2"/>
      <c r="D1" s="2"/>
      <c r="E1" s="3"/>
    </row>
    <row r="2" spans="1:5" ht="16" x14ac:dyDescent="0.2">
      <c r="A2" s="4"/>
      <c r="B2" s="5"/>
      <c r="C2" s="6" t="s">
        <v>0</v>
      </c>
      <c r="D2" s="7" t="s">
        <v>1</v>
      </c>
      <c r="E2" s="8"/>
    </row>
    <row r="3" spans="1:5" ht="16" x14ac:dyDescent="0.2">
      <c r="A3" s="4"/>
      <c r="B3" s="9" t="s">
        <v>2</v>
      </c>
      <c r="C3" s="10">
        <v>-675000</v>
      </c>
      <c r="D3" s="11">
        <v>-430000</v>
      </c>
      <c r="E3" s="8"/>
    </row>
    <row r="4" spans="1:5" ht="16" x14ac:dyDescent="0.2">
      <c r="A4" s="4"/>
      <c r="B4" s="9" t="s">
        <v>3</v>
      </c>
      <c r="C4" s="12">
        <v>224000</v>
      </c>
      <c r="D4" s="11">
        <v>125000</v>
      </c>
      <c r="E4" s="8"/>
    </row>
    <row r="5" spans="1:5" ht="16" x14ac:dyDescent="0.2">
      <c r="A5" s="4"/>
      <c r="B5" s="9" t="s">
        <v>4</v>
      </c>
      <c r="C5" s="12">
        <f>C4</f>
        <v>224000</v>
      </c>
      <c r="D5" s="11">
        <f>ROUND(D4*1.1,0)</f>
        <v>137500</v>
      </c>
      <c r="E5" s="8"/>
    </row>
    <row r="6" spans="1:5" ht="16" x14ac:dyDescent="0.2">
      <c r="A6" s="4"/>
      <c r="B6" s="9" t="s">
        <v>5</v>
      </c>
      <c r="C6" s="12">
        <f>C4</f>
        <v>224000</v>
      </c>
      <c r="D6" s="11">
        <f t="shared" ref="D6:D8" si="0">ROUND(D5*1.1,0)</f>
        <v>151250</v>
      </c>
      <c r="E6" s="8"/>
    </row>
    <row r="7" spans="1:5" ht="16" x14ac:dyDescent="0.2">
      <c r="A7" s="4"/>
      <c r="B7" s="9" t="s">
        <v>6</v>
      </c>
      <c r="C7" s="12">
        <f>C4</f>
        <v>224000</v>
      </c>
      <c r="D7" s="11">
        <f t="shared" si="0"/>
        <v>166375</v>
      </c>
      <c r="E7" s="8"/>
    </row>
    <row r="8" spans="1:5" ht="16" x14ac:dyDescent="0.2">
      <c r="A8" s="4"/>
      <c r="B8" s="9" t="s">
        <v>7</v>
      </c>
      <c r="C8" s="12">
        <f>C4</f>
        <v>224000</v>
      </c>
      <c r="D8" s="11">
        <f t="shared" si="0"/>
        <v>183013</v>
      </c>
      <c r="E8" s="8"/>
    </row>
    <row r="9" spans="1:5" ht="16" x14ac:dyDescent="0.2">
      <c r="A9" s="4"/>
      <c r="B9" s="9"/>
      <c r="C9" s="13"/>
      <c r="D9" s="14"/>
      <c r="E9" s="8"/>
    </row>
    <row r="10" spans="1:5" ht="16" x14ac:dyDescent="0.2">
      <c r="A10" s="4"/>
      <c r="B10" s="9" t="s">
        <v>8</v>
      </c>
      <c r="C10" s="15"/>
      <c r="D10" s="16">
        <v>0.15</v>
      </c>
      <c r="E10" s="8"/>
    </row>
    <row r="11" spans="1:5" ht="17" thickBot="1" x14ac:dyDescent="0.25">
      <c r="A11" s="17"/>
      <c r="B11" s="18"/>
      <c r="C11" s="19"/>
      <c r="D11" s="18"/>
      <c r="E11" s="20"/>
    </row>
    <row r="13" spans="1:5" x14ac:dyDescent="0.2">
      <c r="C13" s="71" t="s">
        <v>18</v>
      </c>
      <c r="D13" s="71"/>
      <c r="E13" s="71"/>
    </row>
    <row r="14" spans="1:5" ht="35" thickBot="1" x14ac:dyDescent="0.25">
      <c r="B14" s="28" t="s">
        <v>17</v>
      </c>
      <c r="C14" s="28" t="s">
        <v>0</v>
      </c>
      <c r="D14" s="29" t="s">
        <v>1</v>
      </c>
      <c r="E14" s="30" t="s">
        <v>19</v>
      </c>
    </row>
    <row r="15" spans="1:5" ht="17" thickTop="1" x14ac:dyDescent="0.2">
      <c r="A15" t="s">
        <v>13</v>
      </c>
      <c r="B15" s="6" t="s">
        <v>9</v>
      </c>
      <c r="C15" s="26"/>
      <c r="D15" s="26"/>
      <c r="E15" s="27"/>
    </row>
    <row r="16" spans="1:5" ht="16" x14ac:dyDescent="0.2">
      <c r="A16" t="s">
        <v>14</v>
      </c>
      <c r="B16" s="6" t="s">
        <v>10</v>
      </c>
      <c r="C16" s="22"/>
      <c r="D16" s="22"/>
      <c r="E16" s="21"/>
    </row>
    <row r="17" spans="1:5" ht="16" x14ac:dyDescent="0.2">
      <c r="A17" t="s">
        <v>59</v>
      </c>
      <c r="B17" s="6" t="s">
        <v>12</v>
      </c>
      <c r="C17" s="23"/>
      <c r="D17" s="23"/>
      <c r="E17" s="21"/>
    </row>
    <row r="18" spans="1:5" ht="16" x14ac:dyDescent="0.2">
      <c r="A18" t="s">
        <v>15</v>
      </c>
      <c r="B18" s="6" t="s">
        <v>11</v>
      </c>
      <c r="C18" s="24"/>
      <c r="D18" s="24"/>
      <c r="E18" s="21"/>
    </row>
  </sheetData>
  <mergeCells count="1"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Office NPV</vt:lpstr>
      <vt:lpstr>NPV w Salvage Value</vt:lpstr>
      <vt:lpstr>IRR- Slide 13</vt:lpstr>
      <vt:lpstr>Profitabiliy Index</vt:lpstr>
      <vt:lpstr>PayBack Period-Slide</vt:lpstr>
      <vt:lpstr>Question #1</vt:lpstr>
      <vt:lpstr>Question#2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2025-03-26T16:59:16Z</dcterms:created>
  <dcterms:modified xsi:type="dcterms:W3CDTF">2026-10-21T15:35:52Z</dcterms:modified>
</cp:coreProperties>
</file>