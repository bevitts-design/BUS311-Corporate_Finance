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8 -Net Present Value/"/>
    </mc:Choice>
  </mc:AlternateContent>
  <xr:revisionPtr revIDLastSave="83" documentId="8_{9FFECD44-C4EC-4AA4-ACE7-4D4DAC5E9E77}" xr6:coauthVersionLast="47" xr6:coauthVersionMax="47" xr10:uidLastSave="{B9253130-60E1-4A9B-9248-09BC7793261E}"/>
  <bookViews>
    <workbookView xWindow="4370" yWindow="930" windowWidth="23880" windowHeight="14580" activeTab="4" xr2:uid="{A5A99A8F-0BAD-4153-844B-017F01CA73DA}"/>
  </bookViews>
  <sheets>
    <sheet name="Question #1" sheetId="4" r:id="rId1"/>
    <sheet name="Question #1-Solution" sheetId="3" r:id="rId2"/>
    <sheet name="Question #2" sheetId="5" r:id="rId3"/>
    <sheet name="Question #2- Solution" sheetId="2" r:id="rId4"/>
    <sheet name="Sheet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" l="1"/>
  <c r="D6" i="6"/>
  <c r="C5" i="6"/>
  <c r="C6" i="6"/>
  <c r="C7" i="6"/>
  <c r="C8" i="6"/>
  <c r="C4" i="6"/>
  <c r="C3" i="6"/>
  <c r="C21" i="2"/>
  <c r="C15" i="2"/>
  <c r="D15" i="2"/>
  <c r="C18" i="3"/>
  <c r="H25" i="4"/>
  <c r="G25" i="4"/>
  <c r="F25" i="4"/>
  <c r="E25" i="4"/>
  <c r="D25" i="4"/>
  <c r="C25" i="4"/>
  <c r="E18" i="4"/>
  <c r="E16" i="4"/>
  <c r="E14" i="4"/>
  <c r="H9" i="4"/>
  <c r="G9" i="4"/>
  <c r="F9" i="4"/>
  <c r="E9" i="4"/>
  <c r="D9" i="4"/>
  <c r="C9" i="4"/>
  <c r="C8" i="5"/>
  <c r="C7" i="5"/>
  <c r="C6" i="5"/>
  <c r="D5" i="5"/>
  <c r="C5" i="5"/>
  <c r="E18" i="3"/>
  <c r="E16" i="3"/>
  <c r="E14" i="3"/>
  <c r="D22" i="2"/>
  <c r="D23" i="2"/>
  <c r="D24" i="2"/>
  <c r="D21" i="2"/>
  <c r="C22" i="2"/>
  <c r="C23" i="2"/>
  <c r="C24" i="2"/>
  <c r="C32" i="3"/>
  <c r="H25" i="3"/>
  <c r="G25" i="3"/>
  <c r="F25" i="3"/>
  <c r="E25" i="3"/>
  <c r="D25" i="3"/>
  <c r="C25" i="3"/>
  <c r="H9" i="3"/>
  <c r="G9" i="3"/>
  <c r="F9" i="3"/>
  <c r="E9" i="3"/>
  <c r="D9" i="3"/>
  <c r="C9" i="3"/>
  <c r="C8" i="2"/>
  <c r="C7" i="2"/>
  <c r="C6" i="2"/>
  <c r="D5" i="2"/>
  <c r="C5" i="2"/>
  <c r="C26" i="4" l="1"/>
  <c r="D26" i="4" s="1"/>
  <c r="E26" i="4" s="1"/>
  <c r="F26" i="4" s="1"/>
  <c r="C10" i="4"/>
  <c r="D10" i="4" s="1"/>
  <c r="E10" i="4" s="1"/>
  <c r="F10" i="4" s="1"/>
  <c r="D6" i="5"/>
  <c r="C30" i="3"/>
  <c r="C26" i="3"/>
  <c r="D26" i="3" s="1"/>
  <c r="E26" i="3" s="1"/>
  <c r="F26" i="3" s="1"/>
  <c r="C10" i="3"/>
  <c r="D10" i="3" s="1"/>
  <c r="E10" i="3" s="1"/>
  <c r="F10" i="3" s="1"/>
  <c r="C14" i="3"/>
  <c r="C16" i="3"/>
  <c r="D6" i="2"/>
  <c r="C18" i="2"/>
  <c r="C17" i="2"/>
  <c r="C16" i="2"/>
  <c r="G26" i="4" l="1"/>
  <c r="G10" i="4"/>
  <c r="D7" i="5"/>
  <c r="D8" i="5" s="1"/>
  <c r="C34" i="3"/>
  <c r="G26" i="3"/>
  <c r="G10" i="3"/>
  <c r="D7" i="2"/>
  <c r="D8" i="2" s="1"/>
  <c r="D18" i="2"/>
  <c r="D17" i="2"/>
  <c r="D16" i="2"/>
</calcChain>
</file>

<file path=xl/sharedStrings.xml><?xml version="1.0" encoding="utf-8"?>
<sst xmlns="http://schemas.openxmlformats.org/spreadsheetml/2006/main" count="115" uniqueCount="43">
  <si>
    <t>NP-30</t>
  </si>
  <si>
    <t>NX-20</t>
  </si>
  <si>
    <t>Year 0</t>
  </si>
  <si>
    <t>Year 1</t>
  </si>
  <si>
    <t>Year 2</t>
  </si>
  <si>
    <t>Year 3</t>
  </si>
  <si>
    <t>Year 4</t>
  </si>
  <si>
    <t>Year 5</t>
  </si>
  <si>
    <t>Required return</t>
  </si>
  <si>
    <t>Payback</t>
  </si>
  <si>
    <t>IRR</t>
  </si>
  <si>
    <t>PI</t>
  </si>
  <si>
    <t>NPV</t>
  </si>
  <si>
    <t>Payback (years)</t>
  </si>
  <si>
    <t>Internal Rate of Return</t>
  </si>
  <si>
    <t>Profitability Index</t>
  </si>
  <si>
    <t>Net Present Value</t>
  </si>
  <si>
    <t>15% discount rate</t>
  </si>
  <si>
    <t>NP30</t>
  </si>
  <si>
    <t>NX20</t>
  </si>
  <si>
    <t>Which project would you recommend?</t>
  </si>
  <si>
    <t>Recommendation</t>
  </si>
  <si>
    <t>Technique</t>
  </si>
  <si>
    <t xml:space="preserve"> </t>
  </si>
  <si>
    <t>Capital Budgeting Analysis</t>
  </si>
  <si>
    <t>NPV, IRR, and Payback Period</t>
  </si>
  <si>
    <t>Project #1</t>
  </si>
  <si>
    <t>Project 1</t>
  </si>
  <si>
    <t>Period</t>
  </si>
  <si>
    <t>Cash Inflow</t>
  </si>
  <si>
    <t>Cash Outflow</t>
  </si>
  <si>
    <t>Net Cash Flow</t>
  </si>
  <si>
    <t>Cumulative Cash Flow</t>
  </si>
  <si>
    <t>Discount Rate -&gt;</t>
  </si>
  <si>
    <t>NPV -&gt;</t>
  </si>
  <si>
    <t>IRR -&gt;</t>
  </si>
  <si>
    <t>Payback Period -&gt;</t>
  </si>
  <si>
    <t>Project #2</t>
  </si>
  <si>
    <t>Project 2</t>
  </si>
  <si>
    <t>Even Cashflows</t>
  </si>
  <si>
    <t>Uneven Cashflows</t>
  </si>
  <si>
    <t>CashFlow</t>
  </si>
  <si>
    <t>Cumulative 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</si>
</sst>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-* #,##0\ _€_-;\-* #,##0\ _€_-;_-* &quot;-&quot;??\ _€_-;_-@"/>
    <numFmt numFmtId="167" formatCode="0.000%"/>
    <numFmt numFmtId="168" formatCode="_-* #,##0.00_-;\-* #,##0.00_-;_-* &quot;-&quot;??_-;_-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sz val="12"/>
      <color rgb="FF0050C7"/>
      <name val="Arial"/>
      <family val="2"/>
    </font>
    <font>
      <sz val="12"/>
      <color indexed="48"/>
      <name val="Arial"/>
      <family val="2"/>
    </font>
    <font>
      <sz val="12"/>
      <color theme="1"/>
      <name val="Aptos Narrow"/>
      <family val="2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sz val="12"/>
      <color rgb="FF0432FF"/>
      <name val="Calibri"/>
      <family val="2"/>
    </font>
    <font>
      <b/>
      <i/>
      <sz val="12"/>
      <name val="Arial"/>
      <family val="2"/>
    </font>
    <font>
      <b/>
      <i/>
      <sz val="12"/>
      <color rgb="FF0050C7"/>
      <name val="Arial"/>
      <family val="2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293D68"/>
        <bgColor rgb="FF293D6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/>
    <xf numFmtId="9" fontId="4" fillId="2" borderId="0" xfId="2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0" xfId="0" applyFont="1" applyFill="1"/>
    <xf numFmtId="42" fontId="5" fillId="2" borderId="0" xfId="2" applyNumberFormat="1" applyFont="1" applyFill="1" applyBorder="1" applyAlignment="1"/>
    <xf numFmtId="42" fontId="5" fillId="2" borderId="0" xfId="0" applyNumberFormat="1" applyFont="1" applyFill="1"/>
    <xf numFmtId="42" fontId="5" fillId="2" borderId="0" xfId="1" applyNumberFormat="1" applyFont="1" applyFill="1" applyBorder="1" applyAlignment="1"/>
    <xf numFmtId="37" fontId="5" fillId="2" borderId="0" xfId="1" applyNumberFormat="1" applyFont="1" applyFill="1" applyBorder="1"/>
    <xf numFmtId="0" fontId="5" fillId="2" borderId="0" xfId="0" applyFont="1" applyFill="1"/>
    <xf numFmtId="9" fontId="5" fillId="2" borderId="0" xfId="1" applyNumberFormat="1" applyFont="1" applyFill="1" applyBorder="1"/>
    <xf numFmtId="9" fontId="5" fillId="2" borderId="0" xfId="0" applyNumberFormat="1" applyFont="1" applyFill="1"/>
    <xf numFmtId="0" fontId="2" fillId="2" borderId="6" xfId="0" applyFont="1" applyFill="1" applyBorder="1"/>
    <xf numFmtId="0" fontId="2" fillId="2" borderId="7" xfId="0" applyFont="1" applyFill="1" applyBorder="1"/>
    <xf numFmtId="9" fontId="6" fillId="2" borderId="7" xfId="1" applyNumberFormat="1" applyFont="1" applyFill="1" applyBorder="1"/>
    <xf numFmtId="0" fontId="2" fillId="2" borderId="8" xfId="0" applyFont="1" applyFill="1" applyBorder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  <xf numFmtId="0" fontId="8" fillId="0" borderId="9" xfId="0" applyFont="1" applyBorder="1"/>
    <xf numFmtId="0" fontId="9" fillId="0" borderId="9" xfId="0" applyFont="1" applyBorder="1"/>
    <xf numFmtId="0" fontId="10" fillId="0" borderId="0" xfId="0" applyFont="1"/>
    <xf numFmtId="0" fontId="13" fillId="0" borderId="0" xfId="0" applyFont="1"/>
    <xf numFmtId="0" fontId="9" fillId="4" borderId="9" xfId="0" applyFont="1" applyFill="1" applyBorder="1" applyAlignment="1">
      <alignment horizontal="center"/>
    </xf>
    <xf numFmtId="165" fontId="14" fillId="5" borderId="0" xfId="0" applyNumberFormat="1" applyFont="1" applyFill="1"/>
    <xf numFmtId="166" fontId="13" fillId="0" borderId="0" xfId="0" applyNumberFormat="1" applyFont="1"/>
    <xf numFmtId="167" fontId="13" fillId="0" borderId="0" xfId="0" applyNumberFormat="1" applyFont="1"/>
    <xf numFmtId="0" fontId="9" fillId="0" borderId="10" xfId="0" applyFont="1" applyBorder="1"/>
    <xf numFmtId="165" fontId="9" fillId="0" borderId="10" xfId="0" applyNumberFormat="1" applyFont="1" applyBorder="1"/>
    <xf numFmtId="9" fontId="13" fillId="0" borderId="0" xfId="0" applyNumberFormat="1" applyFont="1"/>
    <xf numFmtId="0" fontId="9" fillId="0" borderId="0" xfId="0" applyFont="1"/>
    <xf numFmtId="165" fontId="9" fillId="0" borderId="0" xfId="0" applyNumberFormat="1" applyFont="1"/>
    <xf numFmtId="0" fontId="9" fillId="0" borderId="0" xfId="0" applyFont="1" applyAlignment="1">
      <alignment horizontal="right"/>
    </xf>
    <xf numFmtId="9" fontId="15" fillId="0" borderId="11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6" fontId="9" fillId="6" borderId="11" xfId="0" applyNumberFormat="1" applyFont="1" applyFill="1" applyBorder="1"/>
    <xf numFmtId="0" fontId="9" fillId="0" borderId="0" xfId="0" applyFont="1" applyAlignment="1">
      <alignment horizontal="center"/>
    </xf>
    <xf numFmtId="10" fontId="9" fillId="6" borderId="11" xfId="0" applyNumberFormat="1" applyFont="1" applyFill="1" applyBorder="1" applyAlignment="1">
      <alignment horizontal="center"/>
    </xf>
    <xf numFmtId="168" fontId="9" fillId="6" borderId="11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0" borderId="0" xfId="0" applyFont="1"/>
    <xf numFmtId="42" fontId="0" fillId="0" borderId="0" xfId="0" applyNumberFormat="1"/>
    <xf numFmtId="0" fontId="2" fillId="2" borderId="7" xfId="0" applyFont="1" applyFill="1" applyBorder="1" applyAlignment="1">
      <alignment horizontal="center"/>
    </xf>
    <xf numFmtId="0" fontId="16" fillId="2" borderId="0" xfId="0" applyFont="1" applyFill="1"/>
    <xf numFmtId="42" fontId="17" fillId="2" borderId="0" xfId="0" applyNumberFormat="1" applyFont="1" applyFill="1"/>
    <xf numFmtId="42" fontId="18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0</xdr:row>
      <xdr:rowOff>161925</xdr:rowOff>
    </xdr:from>
    <xdr:ext cx="933450" cy="266700"/>
    <xdr:pic>
      <xdr:nvPicPr>
        <xdr:cNvPr id="2" name="image2.png">
          <a:extLst>
            <a:ext uri="{FF2B5EF4-FFF2-40B4-BE49-F238E27FC236}">
              <a16:creationId xmlns:a16="http://schemas.microsoft.com/office/drawing/2014/main" id="{09E34ED4-5E21-402C-957D-E8FF3DC134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1025" y="161925"/>
          <a:ext cx="9334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0</xdr:row>
      <xdr:rowOff>161925</xdr:rowOff>
    </xdr:from>
    <xdr:ext cx="933450" cy="266700"/>
    <xdr:pic>
      <xdr:nvPicPr>
        <xdr:cNvPr id="3" name="image2.png">
          <a:extLst>
            <a:ext uri="{FF2B5EF4-FFF2-40B4-BE49-F238E27FC236}">
              <a16:creationId xmlns:a16="http://schemas.microsoft.com/office/drawing/2014/main" id="{EC8A14CD-7CD8-4827-9D7A-3DD8BCF420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1025" y="161925"/>
          <a:ext cx="933450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0</xdr:row>
      <xdr:rowOff>161925</xdr:rowOff>
    </xdr:from>
    <xdr:ext cx="933450" cy="266700"/>
    <xdr:pic>
      <xdr:nvPicPr>
        <xdr:cNvPr id="2" name="image2.png">
          <a:extLst>
            <a:ext uri="{FF2B5EF4-FFF2-40B4-BE49-F238E27FC236}">
              <a16:creationId xmlns:a16="http://schemas.microsoft.com/office/drawing/2014/main" id="{3AF4EFAC-65CE-4D0E-92DA-B21A11D27C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1025" y="161925"/>
          <a:ext cx="9334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0</xdr:row>
      <xdr:rowOff>161925</xdr:rowOff>
    </xdr:from>
    <xdr:ext cx="933450" cy="266700"/>
    <xdr:pic>
      <xdr:nvPicPr>
        <xdr:cNvPr id="3" name="image2.png">
          <a:extLst>
            <a:ext uri="{FF2B5EF4-FFF2-40B4-BE49-F238E27FC236}">
              <a16:creationId xmlns:a16="http://schemas.microsoft.com/office/drawing/2014/main" id="{2D9FD02D-FFB1-42CC-8AC5-D3DD08F8A4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1025" y="161925"/>
          <a:ext cx="933450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2D02-F78F-4D29-9290-CB6B666972E8}">
  <dimension ref="A1:Z35"/>
  <sheetViews>
    <sheetView topLeftCell="A2" workbookViewId="0">
      <selection activeCell="D17" sqref="D17"/>
    </sheetView>
  </sheetViews>
  <sheetFormatPr defaultColWidth="12.81640625" defaultRowHeight="14.5" x14ac:dyDescent="0.35"/>
  <cols>
    <col min="1" max="1" width="12.1796875" customWidth="1"/>
    <col min="2" max="2" width="26.26953125" customWidth="1"/>
    <col min="3" max="3" width="13.7265625" customWidth="1"/>
    <col min="4" max="4" width="12.7265625" customWidth="1"/>
    <col min="5" max="8" width="12.1796875" customWidth="1"/>
    <col min="9" max="9" width="12.26953125" customWidth="1"/>
    <col min="10" max="15" width="12.1796875" customWidth="1"/>
    <col min="16" max="16" width="14.26953125" customWidth="1"/>
    <col min="17" max="26" width="12.1796875" customWidth="1"/>
  </cols>
  <sheetData>
    <row r="1" spans="1:26" ht="16" x14ac:dyDescent="0.4">
      <c r="C1" s="27" t="s">
        <v>23</v>
      </c>
    </row>
    <row r="2" spans="1:26" ht="31" x14ac:dyDescent="0.7">
      <c r="B2" s="28" t="s">
        <v>24</v>
      </c>
      <c r="C2" s="29"/>
      <c r="D2" s="29"/>
      <c r="E2" s="29"/>
      <c r="F2" s="29"/>
      <c r="G2" s="29"/>
      <c r="H2" s="29"/>
    </row>
    <row r="3" spans="1:26" ht="18.5" x14ac:dyDescent="0.45">
      <c r="B3" s="30" t="s">
        <v>25</v>
      </c>
    </row>
    <row r="5" spans="1:26" ht="16" x14ac:dyDescent="0.4">
      <c r="A5" s="27" t="s">
        <v>26</v>
      </c>
      <c r="B5" s="48" t="s">
        <v>27</v>
      </c>
      <c r="C5" s="49"/>
      <c r="D5" s="49"/>
      <c r="E5" s="49"/>
      <c r="F5" s="49"/>
      <c r="G5" s="49"/>
      <c r="H5" s="49"/>
    </row>
    <row r="6" spans="1:26" ht="15.5" x14ac:dyDescent="0.35">
      <c r="A6" s="31"/>
      <c r="B6" s="32" t="s">
        <v>28</v>
      </c>
      <c r="C6" s="32">
        <v>0</v>
      </c>
      <c r="D6" s="32">
        <v>1</v>
      </c>
      <c r="E6" s="32">
        <v>2</v>
      </c>
      <c r="F6" s="32">
        <v>3</v>
      </c>
      <c r="G6" s="32">
        <v>4</v>
      </c>
      <c r="H6" s="32">
        <v>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" x14ac:dyDescent="0.4">
      <c r="B7" s="27" t="s">
        <v>29</v>
      </c>
      <c r="C7" s="33"/>
      <c r="D7" s="33">
        <v>325000</v>
      </c>
      <c r="E7" s="33">
        <v>475000</v>
      </c>
      <c r="F7" s="33">
        <v>550000</v>
      </c>
      <c r="G7" s="33">
        <v>595000</v>
      </c>
      <c r="H7" s="33">
        <v>625000</v>
      </c>
      <c r="J7" s="34"/>
      <c r="Q7" s="34"/>
    </row>
    <row r="8" spans="1:26" ht="16" x14ac:dyDescent="0.4">
      <c r="B8" s="27" t="s">
        <v>30</v>
      </c>
      <c r="C8" s="33">
        <v>-1500000</v>
      </c>
      <c r="D8" s="33">
        <v>-100000</v>
      </c>
      <c r="E8" s="33">
        <v>-100000</v>
      </c>
      <c r="F8" s="33">
        <v>-100000</v>
      </c>
      <c r="G8" s="33">
        <v>-100000</v>
      </c>
      <c r="H8" s="33">
        <v>-100000</v>
      </c>
      <c r="P8" s="35"/>
      <c r="Q8" s="34"/>
    </row>
    <row r="9" spans="1:26" ht="15.5" x14ac:dyDescent="0.35">
      <c r="B9" s="36" t="s">
        <v>31</v>
      </c>
      <c r="C9" s="37">
        <f>C7+C8</f>
        <v>-1500000</v>
      </c>
      <c r="D9" s="37">
        <f t="shared" ref="D9:H9" si="0">D7+D8</f>
        <v>225000</v>
      </c>
      <c r="E9" s="37">
        <f t="shared" si="0"/>
        <v>375000</v>
      </c>
      <c r="F9" s="37">
        <f t="shared" si="0"/>
        <v>450000</v>
      </c>
      <c r="G9" s="37">
        <f t="shared" si="0"/>
        <v>495000</v>
      </c>
      <c r="H9" s="37">
        <f t="shared" si="0"/>
        <v>525000</v>
      </c>
      <c r="P9" s="35"/>
      <c r="Q9" s="34"/>
    </row>
    <row r="10" spans="1:26" ht="15.5" x14ac:dyDescent="0.35">
      <c r="B10" s="36" t="s">
        <v>32</v>
      </c>
      <c r="C10" s="37">
        <f>C9</f>
        <v>-1500000</v>
      </c>
      <c r="D10" s="37">
        <f>C10+D9</f>
        <v>-1275000</v>
      </c>
      <c r="E10" s="37">
        <f t="shared" ref="E10:G10" si="1">D10+E9</f>
        <v>-900000</v>
      </c>
      <c r="F10" s="37">
        <f t="shared" si="1"/>
        <v>-450000</v>
      </c>
      <c r="G10" s="37">
        <f t="shared" si="1"/>
        <v>45000</v>
      </c>
      <c r="H10" s="37"/>
      <c r="P10" s="38"/>
      <c r="Q10" s="34"/>
    </row>
    <row r="11" spans="1:26" ht="15.5" x14ac:dyDescent="0.35">
      <c r="B11" s="39"/>
      <c r="C11" s="40"/>
      <c r="D11" s="40"/>
      <c r="E11" s="40"/>
      <c r="F11" s="40"/>
      <c r="G11" s="40"/>
      <c r="H11" s="40"/>
      <c r="P11" s="35"/>
      <c r="Q11" s="34"/>
    </row>
    <row r="12" spans="1:26" ht="15.5" x14ac:dyDescent="0.35">
      <c r="B12" s="41" t="s">
        <v>33</v>
      </c>
      <c r="C12" s="42">
        <v>0.08</v>
      </c>
      <c r="D12" s="40"/>
      <c r="E12" s="40"/>
      <c r="F12" s="40"/>
      <c r="G12" s="40"/>
      <c r="H12" s="40"/>
      <c r="P12" s="35"/>
      <c r="Q12" s="34"/>
    </row>
    <row r="13" spans="1:26" ht="15.5" x14ac:dyDescent="0.35">
      <c r="C13" s="43"/>
      <c r="Q13" s="34"/>
    </row>
    <row r="14" spans="1:26" ht="15.5" x14ac:dyDescent="0.35">
      <c r="B14" s="41" t="s">
        <v>34</v>
      </c>
      <c r="C14" s="44"/>
      <c r="E14" t="e">
        <f ca="1">_xlfn.FORMULATEXT(C14)</f>
        <v>#N/A</v>
      </c>
    </row>
    <row r="15" spans="1:26" ht="15.5" x14ac:dyDescent="0.35">
      <c r="B15" s="41"/>
      <c r="C15" s="45"/>
    </row>
    <row r="16" spans="1:26" ht="15.5" x14ac:dyDescent="0.35">
      <c r="B16" s="41" t="s">
        <v>35</v>
      </c>
      <c r="C16" s="46"/>
      <c r="E16" t="e">
        <f ca="1">_xlfn.FORMULATEXT(C16)</f>
        <v>#N/A</v>
      </c>
    </row>
    <row r="17" spans="1:8" ht="15.5" x14ac:dyDescent="0.35">
      <c r="B17" s="41"/>
      <c r="C17" s="45"/>
    </row>
    <row r="18" spans="1:8" ht="15.5" x14ac:dyDescent="0.35">
      <c r="B18" s="41" t="s">
        <v>36</v>
      </c>
      <c r="C18" s="47"/>
      <c r="E18" t="e">
        <f ca="1">_xlfn.FORMULATEXT(C18)</f>
        <v>#N/A</v>
      </c>
    </row>
    <row r="21" spans="1:8" ht="16" x14ac:dyDescent="0.4">
      <c r="A21" s="27" t="s">
        <v>37</v>
      </c>
      <c r="B21" s="48" t="s">
        <v>38</v>
      </c>
      <c r="C21" s="49"/>
      <c r="D21" s="49"/>
      <c r="E21" s="49"/>
      <c r="F21" s="49"/>
      <c r="G21" s="49"/>
      <c r="H21" s="49"/>
    </row>
    <row r="22" spans="1:8" ht="15.5" x14ac:dyDescent="0.35">
      <c r="B22" s="32" t="s">
        <v>28</v>
      </c>
      <c r="C22" s="32">
        <v>0</v>
      </c>
      <c r="D22" s="32">
        <v>1</v>
      </c>
      <c r="E22" s="32">
        <v>2</v>
      </c>
      <c r="F22" s="32">
        <v>3</v>
      </c>
      <c r="G22" s="32">
        <v>4</v>
      </c>
      <c r="H22" s="32">
        <v>5</v>
      </c>
    </row>
    <row r="23" spans="1:8" ht="16" x14ac:dyDescent="0.4">
      <c r="B23" s="27" t="s">
        <v>29</v>
      </c>
      <c r="C23" s="33"/>
      <c r="D23" s="33">
        <v>65000</v>
      </c>
      <c r="E23" s="33">
        <v>75000</v>
      </c>
      <c r="F23" s="33">
        <v>82500</v>
      </c>
      <c r="G23" s="33">
        <v>86000</v>
      </c>
      <c r="H23" s="33">
        <v>89000</v>
      </c>
    </row>
    <row r="24" spans="1:8" ht="16" x14ac:dyDescent="0.4">
      <c r="B24" s="27" t="s">
        <v>30</v>
      </c>
      <c r="C24" s="33">
        <v>-250000</v>
      </c>
      <c r="D24" s="33">
        <v>-10000</v>
      </c>
      <c r="E24" s="33">
        <v>-10000</v>
      </c>
      <c r="F24" s="33">
        <v>-10000</v>
      </c>
      <c r="G24" s="33">
        <v>-10000</v>
      </c>
      <c r="H24" s="33">
        <v>-10000</v>
      </c>
    </row>
    <row r="25" spans="1:8" ht="15.5" x14ac:dyDescent="0.35">
      <c r="B25" s="36" t="s">
        <v>31</v>
      </c>
      <c r="C25" s="37">
        <f>C23+C24</f>
        <v>-250000</v>
      </c>
      <c r="D25" s="37">
        <f t="shared" ref="D25:H25" si="2">D23+D24</f>
        <v>55000</v>
      </c>
      <c r="E25" s="37">
        <f t="shared" si="2"/>
        <v>65000</v>
      </c>
      <c r="F25" s="37">
        <f t="shared" si="2"/>
        <v>72500</v>
      </c>
      <c r="G25" s="37">
        <f t="shared" si="2"/>
        <v>76000</v>
      </c>
      <c r="H25" s="37">
        <f t="shared" si="2"/>
        <v>79000</v>
      </c>
    </row>
    <row r="26" spans="1:8" ht="15.5" x14ac:dyDescent="0.35">
      <c r="B26" s="36" t="s">
        <v>32</v>
      </c>
      <c r="C26" s="37">
        <f>C25</f>
        <v>-250000</v>
      </c>
      <c r="D26" s="37">
        <f>C26+D25</f>
        <v>-195000</v>
      </c>
      <c r="E26" s="37">
        <f t="shared" ref="E26:G26" si="3">D26+E25</f>
        <v>-130000</v>
      </c>
      <c r="F26" s="37">
        <f t="shared" si="3"/>
        <v>-57500</v>
      </c>
      <c r="G26" s="37">
        <f t="shared" si="3"/>
        <v>18500</v>
      </c>
      <c r="H26" s="37"/>
    </row>
    <row r="28" spans="1:8" ht="15.5" x14ac:dyDescent="0.35">
      <c r="B28" s="41" t="s">
        <v>33</v>
      </c>
      <c r="C28" s="42">
        <v>0.08</v>
      </c>
    </row>
    <row r="29" spans="1:8" ht="15.5" x14ac:dyDescent="0.35">
      <c r="C29" s="43"/>
    </row>
    <row r="30" spans="1:8" ht="15.5" x14ac:dyDescent="0.35">
      <c r="B30" s="41" t="s">
        <v>34</v>
      </c>
      <c r="C30" s="44"/>
    </row>
    <row r="31" spans="1:8" ht="15.5" x14ac:dyDescent="0.35">
      <c r="B31" s="41"/>
      <c r="C31" s="45"/>
    </row>
    <row r="32" spans="1:8" ht="15.5" x14ac:dyDescent="0.35">
      <c r="B32" s="41" t="s">
        <v>35</v>
      </c>
      <c r="C32" s="46"/>
    </row>
    <row r="33" spans="2:3" ht="15.5" x14ac:dyDescent="0.35">
      <c r="B33" s="41"/>
      <c r="C33" s="45"/>
    </row>
    <row r="34" spans="2:3" ht="15.5" x14ac:dyDescent="0.35">
      <c r="B34" s="41" t="s">
        <v>36</v>
      </c>
      <c r="C34" s="47"/>
    </row>
    <row r="35" spans="2:3" ht="15.5" x14ac:dyDescent="0.35">
      <c r="C35" s="39"/>
    </row>
  </sheetData>
  <mergeCells count="2">
    <mergeCell ref="B5:H5"/>
    <mergeCell ref="B21:H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BC1C-5398-458E-82B4-35853D3487D3}">
  <dimension ref="A1:Z35"/>
  <sheetViews>
    <sheetView topLeftCell="A5" workbookViewId="0">
      <selection activeCell="C18" sqref="C18"/>
    </sheetView>
  </sheetViews>
  <sheetFormatPr defaultColWidth="12.81640625" defaultRowHeight="14.5" x14ac:dyDescent="0.35"/>
  <cols>
    <col min="1" max="1" width="12.1796875" customWidth="1"/>
    <col min="2" max="2" width="26.26953125" customWidth="1"/>
    <col min="3" max="3" width="13.7265625" customWidth="1"/>
    <col min="4" max="4" width="12.7265625" customWidth="1"/>
    <col min="5" max="8" width="12.1796875" customWidth="1"/>
    <col min="9" max="9" width="12.26953125" customWidth="1"/>
    <col min="10" max="15" width="12.1796875" customWidth="1"/>
    <col min="16" max="16" width="14.26953125" customWidth="1"/>
    <col min="17" max="26" width="12.1796875" customWidth="1"/>
  </cols>
  <sheetData>
    <row r="1" spans="1:26" ht="16" x14ac:dyDescent="0.4">
      <c r="C1" s="27" t="s">
        <v>23</v>
      </c>
    </row>
    <row r="2" spans="1:26" ht="31" x14ac:dyDescent="0.7">
      <c r="B2" s="28" t="s">
        <v>24</v>
      </c>
      <c r="C2" s="29"/>
      <c r="D2" s="29"/>
      <c r="E2" s="29"/>
      <c r="F2" s="29"/>
      <c r="G2" s="29"/>
      <c r="H2" s="29"/>
    </row>
    <row r="3" spans="1:26" ht="18.5" x14ac:dyDescent="0.45">
      <c r="B3" s="30" t="s">
        <v>25</v>
      </c>
    </row>
    <row r="5" spans="1:26" ht="16" x14ac:dyDescent="0.4">
      <c r="A5" s="27" t="s">
        <v>26</v>
      </c>
      <c r="B5" s="48" t="s">
        <v>27</v>
      </c>
      <c r="C5" s="49"/>
      <c r="D5" s="49"/>
      <c r="E5" s="49"/>
      <c r="F5" s="49"/>
      <c r="G5" s="49"/>
      <c r="H5" s="49"/>
    </row>
    <row r="6" spans="1:26" ht="15.5" x14ac:dyDescent="0.35">
      <c r="A6" s="31"/>
      <c r="B6" s="32" t="s">
        <v>28</v>
      </c>
      <c r="C6" s="32">
        <v>0</v>
      </c>
      <c r="D6" s="32">
        <v>1</v>
      </c>
      <c r="E6" s="32">
        <v>2</v>
      </c>
      <c r="F6" s="32">
        <v>3</v>
      </c>
      <c r="G6" s="32">
        <v>4</v>
      </c>
      <c r="H6" s="32">
        <v>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" x14ac:dyDescent="0.4">
      <c r="B7" s="27" t="s">
        <v>29</v>
      </c>
      <c r="C7" s="33"/>
      <c r="D7" s="33">
        <v>325000</v>
      </c>
      <c r="E7" s="33">
        <v>475000</v>
      </c>
      <c r="F7" s="33">
        <v>550000</v>
      </c>
      <c r="G7" s="33">
        <v>595000</v>
      </c>
      <c r="H7" s="33">
        <v>625000</v>
      </c>
      <c r="J7" s="34"/>
      <c r="Q7" s="34"/>
    </row>
    <row r="8" spans="1:26" ht="16" x14ac:dyDescent="0.4">
      <c r="B8" s="27" t="s">
        <v>30</v>
      </c>
      <c r="C8" s="33">
        <v>-1500000</v>
      </c>
      <c r="D8" s="33">
        <v>-100000</v>
      </c>
      <c r="E8" s="33">
        <v>-100000</v>
      </c>
      <c r="F8" s="33">
        <v>-100000</v>
      </c>
      <c r="G8" s="33">
        <v>-100000</v>
      </c>
      <c r="H8" s="33">
        <v>-100000</v>
      </c>
      <c r="P8" s="35"/>
      <c r="Q8" s="34"/>
    </row>
    <row r="9" spans="1:26" ht="15.5" x14ac:dyDescent="0.35">
      <c r="B9" s="36" t="s">
        <v>31</v>
      </c>
      <c r="C9" s="37">
        <f>C7+C8</f>
        <v>-1500000</v>
      </c>
      <c r="D9" s="37">
        <f t="shared" ref="D9:H9" si="0">D7+D8</f>
        <v>225000</v>
      </c>
      <c r="E9" s="37">
        <f t="shared" si="0"/>
        <v>375000</v>
      </c>
      <c r="F9" s="37">
        <f t="shared" si="0"/>
        <v>450000</v>
      </c>
      <c r="G9" s="37">
        <f t="shared" si="0"/>
        <v>495000</v>
      </c>
      <c r="H9" s="37">
        <f t="shared" si="0"/>
        <v>525000</v>
      </c>
      <c r="P9" s="35"/>
      <c r="Q9" s="34"/>
    </row>
    <row r="10" spans="1:26" ht="15.5" x14ac:dyDescent="0.35">
      <c r="B10" s="36" t="s">
        <v>32</v>
      </c>
      <c r="C10" s="37">
        <f>C9</f>
        <v>-1500000</v>
      </c>
      <c r="D10" s="37">
        <f>C10+D9</f>
        <v>-1275000</v>
      </c>
      <c r="E10" s="37">
        <f t="shared" ref="E10:G10" si="1">D10+E9</f>
        <v>-900000</v>
      </c>
      <c r="F10" s="37">
        <f t="shared" si="1"/>
        <v>-450000</v>
      </c>
      <c r="G10" s="37">
        <f t="shared" si="1"/>
        <v>45000</v>
      </c>
      <c r="H10" s="37"/>
      <c r="P10" s="38"/>
      <c r="Q10" s="34"/>
    </row>
    <row r="11" spans="1:26" ht="15.5" x14ac:dyDescent="0.35">
      <c r="B11" s="39"/>
      <c r="C11" s="40"/>
      <c r="D11" s="40"/>
      <c r="E11" s="40"/>
      <c r="F11" s="40"/>
      <c r="G11" s="40"/>
      <c r="H11" s="40"/>
      <c r="P11" s="35"/>
      <c r="Q11" s="34"/>
    </row>
    <row r="12" spans="1:26" ht="15.5" x14ac:dyDescent="0.35">
      <c r="B12" s="41" t="s">
        <v>33</v>
      </c>
      <c r="C12" s="42">
        <v>0.08</v>
      </c>
      <c r="D12" s="40"/>
      <c r="E12" s="40"/>
      <c r="F12" s="40"/>
      <c r="G12" s="40"/>
      <c r="H12" s="40"/>
      <c r="P12" s="35"/>
      <c r="Q12" s="34"/>
    </row>
    <row r="13" spans="1:26" ht="15.5" x14ac:dyDescent="0.35">
      <c r="C13" s="43"/>
      <c r="Q13" s="34"/>
    </row>
    <row r="14" spans="1:26" ht="15.5" x14ac:dyDescent="0.35">
      <c r="B14" s="41" t="s">
        <v>34</v>
      </c>
      <c r="C14" s="44">
        <f>C9+NPV(C12,D9:H9)</f>
        <v>108205.85498254304</v>
      </c>
      <c r="E14" t="str">
        <f ca="1">_xlfn.FORMULATEXT(C14)</f>
        <v>=C9+NPV(C12,D9:H9)</v>
      </c>
    </row>
    <row r="15" spans="1:26" ht="15.5" x14ac:dyDescent="0.35">
      <c r="B15" s="41"/>
      <c r="C15" s="45"/>
    </row>
    <row r="16" spans="1:26" ht="15.5" x14ac:dyDescent="0.35">
      <c r="B16" s="41" t="s">
        <v>35</v>
      </c>
      <c r="C16" s="46">
        <f>IRR(C9:H9)</f>
        <v>0.10382578585799251</v>
      </c>
      <c r="E16" t="str">
        <f ca="1">_xlfn.FORMULATEXT(C16)</f>
        <v>=IRR(C9:H9)</v>
      </c>
    </row>
    <row r="17" spans="1:8" ht="15.5" x14ac:dyDescent="0.35">
      <c r="B17" s="41"/>
      <c r="C17" s="45"/>
    </row>
    <row r="18" spans="1:8" ht="15.5" x14ac:dyDescent="0.35">
      <c r="B18" s="41" t="s">
        <v>36</v>
      </c>
      <c r="C18" s="47">
        <f>3+ABS(F10/G9)</f>
        <v>3.9090909090909092</v>
      </c>
      <c r="E18" t="str">
        <f ca="1">_xlfn.FORMULATEXT(C18)</f>
        <v>=3+ABS(F10/G9)</v>
      </c>
    </row>
    <row r="21" spans="1:8" ht="16" x14ac:dyDescent="0.4">
      <c r="A21" s="27" t="s">
        <v>37</v>
      </c>
      <c r="B21" s="48" t="s">
        <v>38</v>
      </c>
      <c r="C21" s="49"/>
      <c r="D21" s="49"/>
      <c r="E21" s="49"/>
      <c r="F21" s="49"/>
      <c r="G21" s="49"/>
      <c r="H21" s="49"/>
    </row>
    <row r="22" spans="1:8" ht="15.5" x14ac:dyDescent="0.35">
      <c r="B22" s="32" t="s">
        <v>28</v>
      </c>
      <c r="C22" s="32">
        <v>0</v>
      </c>
      <c r="D22" s="32">
        <v>1</v>
      </c>
      <c r="E22" s="32">
        <v>2</v>
      </c>
      <c r="F22" s="32">
        <v>3</v>
      </c>
      <c r="G22" s="32">
        <v>4</v>
      </c>
      <c r="H22" s="32">
        <v>5</v>
      </c>
    </row>
    <row r="23" spans="1:8" ht="16" x14ac:dyDescent="0.4">
      <c r="B23" s="27" t="s">
        <v>29</v>
      </c>
      <c r="C23" s="33"/>
      <c r="D23" s="33">
        <v>65000</v>
      </c>
      <c r="E23" s="33">
        <v>75000</v>
      </c>
      <c r="F23" s="33">
        <v>82500</v>
      </c>
      <c r="G23" s="33">
        <v>86000</v>
      </c>
      <c r="H23" s="33">
        <v>89000</v>
      </c>
    </row>
    <row r="24" spans="1:8" ht="16" x14ac:dyDescent="0.4">
      <c r="B24" s="27" t="s">
        <v>30</v>
      </c>
      <c r="C24" s="33">
        <v>-250000</v>
      </c>
      <c r="D24" s="33">
        <v>-10000</v>
      </c>
      <c r="E24" s="33">
        <v>-10000</v>
      </c>
      <c r="F24" s="33">
        <v>-10000</v>
      </c>
      <c r="G24" s="33">
        <v>-10000</v>
      </c>
      <c r="H24" s="33">
        <v>-10000</v>
      </c>
    </row>
    <row r="25" spans="1:8" ht="15.5" x14ac:dyDescent="0.35">
      <c r="B25" s="36" t="s">
        <v>31</v>
      </c>
      <c r="C25" s="37">
        <f>C23+C24</f>
        <v>-250000</v>
      </c>
      <c r="D25" s="37">
        <f t="shared" ref="D25:H25" si="2">D23+D24</f>
        <v>55000</v>
      </c>
      <c r="E25" s="37">
        <f t="shared" si="2"/>
        <v>65000</v>
      </c>
      <c r="F25" s="37">
        <f t="shared" si="2"/>
        <v>72500</v>
      </c>
      <c r="G25" s="37">
        <f t="shared" si="2"/>
        <v>76000</v>
      </c>
      <c r="H25" s="37">
        <f t="shared" si="2"/>
        <v>79000</v>
      </c>
    </row>
    <row r="26" spans="1:8" ht="15.5" x14ac:dyDescent="0.35">
      <c r="B26" s="36" t="s">
        <v>32</v>
      </c>
      <c r="C26" s="37">
        <f>C25</f>
        <v>-250000</v>
      </c>
      <c r="D26" s="37">
        <f>C26+D25</f>
        <v>-195000</v>
      </c>
      <c r="E26" s="37">
        <f t="shared" ref="E26:G26" si="3">D26+E25</f>
        <v>-130000</v>
      </c>
      <c r="F26" s="37">
        <f t="shared" si="3"/>
        <v>-57500</v>
      </c>
      <c r="G26" s="37">
        <f t="shared" si="3"/>
        <v>18500</v>
      </c>
      <c r="H26" s="37"/>
    </row>
    <row r="28" spans="1:8" ht="15.5" x14ac:dyDescent="0.35">
      <c r="B28" s="41" t="s">
        <v>33</v>
      </c>
      <c r="C28" s="42">
        <v>0.08</v>
      </c>
    </row>
    <row r="29" spans="1:8" ht="15.5" x14ac:dyDescent="0.35">
      <c r="C29" s="43"/>
    </row>
    <row r="30" spans="1:8" ht="15.5" x14ac:dyDescent="0.35">
      <c r="B30" s="41" t="s">
        <v>34</v>
      </c>
      <c r="C30" s="44">
        <f>C25+NPV(C28,D25:H25)</f>
        <v>23834.128097701061</v>
      </c>
    </row>
    <row r="31" spans="1:8" ht="15.5" x14ac:dyDescent="0.35">
      <c r="B31" s="41"/>
      <c r="C31" s="45"/>
    </row>
    <row r="32" spans="1:8" ht="15.5" x14ac:dyDescent="0.35">
      <c r="B32" s="41" t="s">
        <v>35</v>
      </c>
      <c r="C32" s="46">
        <f>IRR(C25:H25)</f>
        <v>0.11337777494709433</v>
      </c>
    </row>
    <row r="33" spans="2:3" ht="15.5" x14ac:dyDescent="0.35">
      <c r="B33" s="41"/>
      <c r="C33" s="45"/>
    </row>
    <row r="34" spans="2:3" ht="15.5" x14ac:dyDescent="0.35">
      <c r="B34" s="41" t="s">
        <v>36</v>
      </c>
      <c r="C34" s="47">
        <f>3+ABS(F26/G25)</f>
        <v>3.7565789473684212</v>
      </c>
    </row>
    <row r="35" spans="2:3" ht="15.5" x14ac:dyDescent="0.35">
      <c r="C35" s="39"/>
    </row>
  </sheetData>
  <mergeCells count="2">
    <mergeCell ref="B5:H5"/>
    <mergeCell ref="B21:H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AD1-19F6-42FE-BE59-9434A199B75D}">
  <dimension ref="A1:E18"/>
  <sheetViews>
    <sheetView workbookViewId="0">
      <selection activeCell="C23" sqref="C23"/>
    </sheetView>
  </sheetViews>
  <sheetFormatPr defaultRowHeight="14.5" x14ac:dyDescent="0.35"/>
  <cols>
    <col min="1" max="1" width="45" customWidth="1"/>
    <col min="2" max="2" width="16.7265625" bestFit="1" customWidth="1"/>
    <col min="3" max="3" width="22.26953125" customWidth="1"/>
    <col min="4" max="4" width="23" customWidth="1"/>
    <col min="5" max="5" width="19.1796875" bestFit="1" customWidth="1"/>
  </cols>
  <sheetData>
    <row r="1" spans="1:5" ht="15.5" x14ac:dyDescent="0.35">
      <c r="A1" s="1" t="s">
        <v>20</v>
      </c>
      <c r="B1" s="2"/>
      <c r="C1" s="3"/>
      <c r="D1" s="3"/>
      <c r="E1" s="4"/>
    </row>
    <row r="2" spans="1:5" ht="15.5" x14ac:dyDescent="0.35">
      <c r="A2" s="5"/>
      <c r="B2" s="6"/>
      <c r="C2" s="7" t="s">
        <v>0</v>
      </c>
      <c r="D2" s="8" t="s">
        <v>1</v>
      </c>
      <c r="E2" s="9"/>
    </row>
    <row r="3" spans="1:5" ht="15.5" x14ac:dyDescent="0.35">
      <c r="A3" s="5"/>
      <c r="B3" s="10" t="s">
        <v>2</v>
      </c>
      <c r="C3" s="11">
        <v>-675000</v>
      </c>
      <c r="D3" s="12">
        <v>-430000</v>
      </c>
      <c r="E3" s="9"/>
    </row>
    <row r="4" spans="1:5" ht="15.5" x14ac:dyDescent="0.35">
      <c r="A4" s="5"/>
      <c r="B4" s="10" t="s">
        <v>3</v>
      </c>
      <c r="C4" s="13">
        <v>224000</v>
      </c>
      <c r="D4" s="12">
        <v>125000</v>
      </c>
      <c r="E4" s="9"/>
    </row>
    <row r="5" spans="1:5" ht="15.5" x14ac:dyDescent="0.35">
      <c r="A5" s="5"/>
      <c r="B5" s="10" t="s">
        <v>4</v>
      </c>
      <c r="C5" s="13">
        <f>C4</f>
        <v>224000</v>
      </c>
      <c r="D5" s="12">
        <f>ROUND(D4*1.1,0)</f>
        <v>137500</v>
      </c>
      <c r="E5" s="9"/>
    </row>
    <row r="6" spans="1:5" ht="15.5" x14ac:dyDescent="0.35">
      <c r="A6" s="5"/>
      <c r="B6" s="10" t="s">
        <v>5</v>
      </c>
      <c r="C6" s="13">
        <f>C4</f>
        <v>224000</v>
      </c>
      <c r="D6" s="12">
        <f t="shared" ref="D6:D8" si="0">ROUND(D5*1.1,0)</f>
        <v>151250</v>
      </c>
      <c r="E6" s="9"/>
    </row>
    <row r="7" spans="1:5" ht="15.5" x14ac:dyDescent="0.35">
      <c r="A7" s="5"/>
      <c r="B7" s="10" t="s">
        <v>6</v>
      </c>
      <c r="C7" s="13">
        <f>C4</f>
        <v>224000</v>
      </c>
      <c r="D7" s="12">
        <f t="shared" si="0"/>
        <v>166375</v>
      </c>
      <c r="E7" s="9"/>
    </row>
    <row r="8" spans="1:5" ht="15.5" x14ac:dyDescent="0.35">
      <c r="A8" s="5"/>
      <c r="B8" s="10" t="s">
        <v>7</v>
      </c>
      <c r="C8" s="13">
        <f>C4</f>
        <v>224000</v>
      </c>
      <c r="D8" s="12">
        <f t="shared" si="0"/>
        <v>183013</v>
      </c>
      <c r="E8" s="9"/>
    </row>
    <row r="9" spans="1:5" ht="15.5" x14ac:dyDescent="0.35">
      <c r="A9" s="5"/>
      <c r="B9" s="10"/>
      <c r="C9" s="14"/>
      <c r="D9" s="15"/>
      <c r="E9" s="9"/>
    </row>
    <row r="10" spans="1:5" ht="15.5" x14ac:dyDescent="0.35">
      <c r="A10" s="5"/>
      <c r="B10" s="10" t="s">
        <v>8</v>
      </c>
      <c r="C10" s="16"/>
      <c r="D10" s="17">
        <v>0.15</v>
      </c>
      <c r="E10" s="9"/>
    </row>
    <row r="11" spans="1:5" ht="16" thickBot="1" x14ac:dyDescent="0.4">
      <c r="A11" s="18"/>
      <c r="B11" s="19"/>
      <c r="C11" s="20"/>
      <c r="D11" s="19"/>
      <c r="E11" s="21"/>
    </row>
    <row r="14" spans="1:5" ht="15.5" x14ac:dyDescent="0.35">
      <c r="A14" t="s">
        <v>17</v>
      </c>
      <c r="B14" s="7" t="s">
        <v>22</v>
      </c>
      <c r="C14" s="7" t="s">
        <v>0</v>
      </c>
      <c r="D14" s="8" t="s">
        <v>1</v>
      </c>
      <c r="E14" s="8" t="s">
        <v>21</v>
      </c>
    </row>
    <row r="15" spans="1:5" x14ac:dyDescent="0.35">
      <c r="A15" t="s">
        <v>13</v>
      </c>
      <c r="B15" t="s">
        <v>9</v>
      </c>
      <c r="C15" s="24"/>
      <c r="D15" s="24"/>
      <c r="E15" s="26"/>
    </row>
    <row r="16" spans="1:5" x14ac:dyDescent="0.35">
      <c r="A16" t="s">
        <v>14</v>
      </c>
      <c r="B16" t="s">
        <v>10</v>
      </c>
      <c r="C16" s="22"/>
      <c r="D16" s="22"/>
      <c r="E16" s="26"/>
    </row>
    <row r="17" spans="1:5" x14ac:dyDescent="0.35">
      <c r="A17" t="s">
        <v>15</v>
      </c>
      <c r="B17" t="s">
        <v>11</v>
      </c>
      <c r="C17" s="23"/>
      <c r="D17" s="23"/>
      <c r="E17" s="26"/>
    </row>
    <row r="18" spans="1:5" x14ac:dyDescent="0.35">
      <c r="A18" t="s">
        <v>16</v>
      </c>
      <c r="B18" t="s">
        <v>12</v>
      </c>
      <c r="C18" s="25"/>
      <c r="D18" s="25"/>
      <c r="E1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B2D7-B29D-4737-B2EC-48CC6AB23B3D}">
  <dimension ref="A1:E26"/>
  <sheetViews>
    <sheetView workbookViewId="0">
      <selection activeCell="D3" sqref="D3:D6"/>
    </sheetView>
  </sheetViews>
  <sheetFormatPr defaultRowHeight="14.5" x14ac:dyDescent="0.35"/>
  <cols>
    <col min="1" max="1" width="45" customWidth="1"/>
    <col min="2" max="2" width="16.7265625" bestFit="1" customWidth="1"/>
    <col min="3" max="3" width="22.26953125" customWidth="1"/>
    <col min="4" max="4" width="23" customWidth="1"/>
    <col min="5" max="5" width="19.1796875" bestFit="1" customWidth="1"/>
  </cols>
  <sheetData>
    <row r="1" spans="1:5" ht="15.5" x14ac:dyDescent="0.35">
      <c r="A1" s="1" t="s">
        <v>20</v>
      </c>
      <c r="B1" s="2"/>
      <c r="C1" s="3"/>
      <c r="D1" s="3"/>
      <c r="E1" s="4"/>
    </row>
    <row r="2" spans="1:5" ht="15.5" x14ac:dyDescent="0.35">
      <c r="A2" s="5"/>
      <c r="B2" s="6"/>
      <c r="C2" s="7" t="s">
        <v>0</v>
      </c>
      <c r="D2" s="8" t="s">
        <v>1</v>
      </c>
      <c r="E2" s="9"/>
    </row>
    <row r="3" spans="1:5" ht="15.5" x14ac:dyDescent="0.35">
      <c r="A3" s="5"/>
      <c r="B3" s="10" t="s">
        <v>2</v>
      </c>
      <c r="C3" s="11">
        <v>-675000</v>
      </c>
      <c r="D3" s="12">
        <v>-430000</v>
      </c>
      <c r="E3" s="9"/>
    </row>
    <row r="4" spans="1:5" ht="15.5" x14ac:dyDescent="0.35">
      <c r="A4" s="5"/>
      <c r="B4" s="10" t="s">
        <v>3</v>
      </c>
      <c r="C4" s="13">
        <v>224000</v>
      </c>
      <c r="D4" s="12">
        <v>125000</v>
      </c>
      <c r="E4" s="9"/>
    </row>
    <row r="5" spans="1:5" ht="15.5" x14ac:dyDescent="0.35">
      <c r="A5" s="5"/>
      <c r="B5" s="10" t="s">
        <v>4</v>
      </c>
      <c r="C5" s="13">
        <f>C4</f>
        <v>224000</v>
      </c>
      <c r="D5" s="12">
        <f>ROUND(D4*1.1,0)</f>
        <v>137500</v>
      </c>
      <c r="E5" s="9"/>
    </row>
    <row r="6" spans="1:5" ht="15.5" x14ac:dyDescent="0.35">
      <c r="A6" s="5"/>
      <c r="B6" s="10" t="s">
        <v>5</v>
      </c>
      <c r="C6" s="13">
        <f>C4</f>
        <v>224000</v>
      </c>
      <c r="D6" s="12">
        <f t="shared" ref="D6:D8" si="0">ROUND(D5*1.1,0)</f>
        <v>151250</v>
      </c>
      <c r="E6" s="9"/>
    </row>
    <row r="7" spans="1:5" ht="15.5" x14ac:dyDescent="0.35">
      <c r="A7" s="5"/>
      <c r="B7" s="10" t="s">
        <v>6</v>
      </c>
      <c r="C7" s="13">
        <f>C4</f>
        <v>224000</v>
      </c>
      <c r="D7" s="12">
        <f t="shared" si="0"/>
        <v>166375</v>
      </c>
      <c r="E7" s="9"/>
    </row>
    <row r="8" spans="1:5" ht="15.5" x14ac:dyDescent="0.35">
      <c r="A8" s="5"/>
      <c r="B8" s="10" t="s">
        <v>7</v>
      </c>
      <c r="C8" s="13">
        <f>C4</f>
        <v>224000</v>
      </c>
      <c r="D8" s="12">
        <f t="shared" si="0"/>
        <v>183013</v>
      </c>
      <c r="E8" s="9"/>
    </row>
    <row r="9" spans="1:5" ht="15.5" x14ac:dyDescent="0.35">
      <c r="A9" s="5"/>
      <c r="B9" s="10"/>
      <c r="C9" s="14"/>
      <c r="D9" s="15"/>
      <c r="E9" s="9"/>
    </row>
    <row r="10" spans="1:5" ht="15.5" x14ac:dyDescent="0.35">
      <c r="A10" s="5"/>
      <c r="B10" s="10" t="s">
        <v>8</v>
      </c>
      <c r="C10" s="16"/>
      <c r="D10" s="17">
        <v>0.15</v>
      </c>
      <c r="E10" s="9"/>
    </row>
    <row r="11" spans="1:5" ht="16" thickBot="1" x14ac:dyDescent="0.4">
      <c r="A11" s="18"/>
      <c r="B11" s="19"/>
      <c r="C11" s="20"/>
      <c r="D11" s="19"/>
      <c r="E11" s="21"/>
    </row>
    <row r="14" spans="1:5" ht="15.5" x14ac:dyDescent="0.35">
      <c r="A14" t="s">
        <v>17</v>
      </c>
      <c r="B14" s="7" t="s">
        <v>22</v>
      </c>
      <c r="C14" s="7" t="s">
        <v>0</v>
      </c>
      <c r="D14" s="8" t="s">
        <v>1</v>
      </c>
      <c r="E14" s="8" t="s">
        <v>21</v>
      </c>
    </row>
    <row r="15" spans="1:5" x14ac:dyDescent="0.35">
      <c r="A15" t="s">
        <v>13</v>
      </c>
      <c r="B15" t="s">
        <v>9</v>
      </c>
      <c r="C15" s="24">
        <f>ABS(C3)/224000</f>
        <v>3.0133928571428572</v>
      </c>
      <c r="D15" s="24">
        <f>3+(16250/D7)</f>
        <v>3.0976709241172049</v>
      </c>
      <c r="E15" s="26" t="s">
        <v>18</v>
      </c>
    </row>
    <row r="16" spans="1:5" x14ac:dyDescent="0.35">
      <c r="A16" t="s">
        <v>14</v>
      </c>
      <c r="B16" t="s">
        <v>10</v>
      </c>
      <c r="C16" s="22">
        <f>IRR(C3:C8)</f>
        <v>0.19655985601834924</v>
      </c>
      <c r="D16" s="22">
        <f>IRR(D3:D8)</f>
        <v>0.21077219441969519</v>
      </c>
      <c r="E16" s="26" t="s">
        <v>19</v>
      </c>
    </row>
    <row r="17" spans="1:5" x14ac:dyDescent="0.35">
      <c r="A17" t="s">
        <v>15</v>
      </c>
      <c r="B17" t="s">
        <v>11</v>
      </c>
      <c r="C17" s="23">
        <f>NPV(D10,C4:C8)/-C3</f>
        <v>1.1124188769697099</v>
      </c>
      <c r="D17" s="23">
        <f>NPV(D10,D4:D8)/-D3</f>
        <v>1.1586743922680147</v>
      </c>
      <c r="E17" s="26" t="s">
        <v>19</v>
      </c>
    </row>
    <row r="18" spans="1:5" x14ac:dyDescent="0.35">
      <c r="A18" t="s">
        <v>16</v>
      </c>
      <c r="B18" t="s">
        <v>12</v>
      </c>
      <c r="C18" s="25">
        <f>NPV(D10,C4:C8)+C3</f>
        <v>75882.741954554222</v>
      </c>
      <c r="D18" s="25">
        <f>NPV(D10,D4:D8)+D3</f>
        <v>68229.988675246306</v>
      </c>
      <c r="E18" s="26" t="s">
        <v>18</v>
      </c>
    </row>
    <row r="21" spans="1:5" x14ac:dyDescent="0.35">
      <c r="B21" t="s">
        <v>9</v>
      </c>
      <c r="C21" t="str">
        <f t="shared" ref="C21:D24" ca="1" si="1">_xlfn.FORMULATEXT(C15)</f>
        <v>=ABS(C3)/224000</v>
      </c>
      <c r="D21" t="str">
        <f ca="1">_xlfn.FORMULATEXT(D15)</f>
        <v>=3+(16250/D7)</v>
      </c>
    </row>
    <row r="22" spans="1:5" x14ac:dyDescent="0.35">
      <c r="B22" t="s">
        <v>10</v>
      </c>
      <c r="C22" t="str">
        <f t="shared" ca="1" si="1"/>
        <v>=IRR(C3:C8)</v>
      </c>
      <c r="D22" t="str">
        <f t="shared" ca="1" si="1"/>
        <v>=IRR(D3:D8)</v>
      </c>
    </row>
    <row r="23" spans="1:5" x14ac:dyDescent="0.35">
      <c r="B23" t="s">
        <v>11</v>
      </c>
      <c r="C23" t="str">
        <f t="shared" ca="1" si="1"/>
        <v>=NPV(D10,C4:C8)/-C3</v>
      </c>
      <c r="D23" t="str">
        <f t="shared" ca="1" si="1"/>
        <v>=NPV(D10,D4:D8)/-D3</v>
      </c>
    </row>
    <row r="24" spans="1:5" x14ac:dyDescent="0.35">
      <c r="B24" t="s">
        <v>12</v>
      </c>
      <c r="C24" t="str">
        <f t="shared" ca="1" si="1"/>
        <v>=NPV(D10,C4:C8)+C3</v>
      </c>
      <c r="D24" t="str">
        <f t="shared" ca="1" si="1"/>
        <v>=NPV(D10,D4:D8)+D3</v>
      </c>
    </row>
    <row r="26" spans="1:5" x14ac:dyDescent="0.35">
      <c r="C26" t="s">
        <v>39</v>
      </c>
      <c r="D26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C4C2-3ADA-47A8-B7ED-1A61790D304A}">
  <dimension ref="A1:D10"/>
  <sheetViews>
    <sheetView tabSelected="1" workbookViewId="0">
      <selection activeCell="C12" sqref="C12"/>
    </sheetView>
  </sheetViews>
  <sheetFormatPr defaultRowHeight="14.5" x14ac:dyDescent="0.35"/>
  <cols>
    <col min="2" max="2" width="19.7265625" customWidth="1"/>
    <col min="3" max="3" width="21.81640625" bestFit="1" customWidth="1"/>
  </cols>
  <sheetData>
    <row r="1" spans="1:4" ht="16" thickBot="1" x14ac:dyDescent="0.4">
      <c r="A1" s="51" t="s">
        <v>1</v>
      </c>
      <c r="B1" s="51"/>
      <c r="C1" s="51"/>
    </row>
    <row r="2" spans="1:4" ht="15.5" x14ac:dyDescent="0.35">
      <c r="A2" s="2"/>
      <c r="B2" s="3" t="s">
        <v>41</v>
      </c>
      <c r="C2" s="3" t="s">
        <v>42</v>
      </c>
    </row>
    <row r="3" spans="1:4" ht="15.5" x14ac:dyDescent="0.35">
      <c r="A3" s="10" t="s">
        <v>2</v>
      </c>
      <c r="B3" s="12">
        <v>-430000</v>
      </c>
      <c r="C3" s="50">
        <f>B3</f>
        <v>-430000</v>
      </c>
    </row>
    <row r="4" spans="1:4" ht="15.5" x14ac:dyDescent="0.35">
      <c r="A4" s="10" t="s">
        <v>3</v>
      </c>
      <c r="B4" s="12">
        <v>125000</v>
      </c>
      <c r="C4" s="50">
        <f>C3+B4</f>
        <v>-305000</v>
      </c>
    </row>
    <row r="5" spans="1:4" ht="15.5" x14ac:dyDescent="0.35">
      <c r="A5" s="10" t="s">
        <v>4</v>
      </c>
      <c r="B5" s="12">
        <v>137500</v>
      </c>
      <c r="C5" s="50">
        <f t="shared" ref="C5:C8" si="0">C4+B5</f>
        <v>-167500</v>
      </c>
    </row>
    <row r="6" spans="1:4" ht="15.5" x14ac:dyDescent="0.35">
      <c r="A6" s="52" t="s">
        <v>5</v>
      </c>
      <c r="B6" s="53">
        <v>151250</v>
      </c>
      <c r="C6" s="54">
        <f t="shared" si="0"/>
        <v>-16250</v>
      </c>
      <c r="D6" s="24">
        <f>3+ABS(C6)/B7</f>
        <v>3.0976709241172049</v>
      </c>
    </row>
    <row r="7" spans="1:4" ht="15.5" x14ac:dyDescent="0.35">
      <c r="A7" s="10" t="s">
        <v>6</v>
      </c>
      <c r="B7" s="12">
        <v>166375</v>
      </c>
      <c r="C7" s="50">
        <f t="shared" si="0"/>
        <v>150125</v>
      </c>
    </row>
    <row r="8" spans="1:4" ht="15.5" x14ac:dyDescent="0.35">
      <c r="A8" s="10" t="s">
        <v>7</v>
      </c>
      <c r="B8" s="12">
        <v>183013</v>
      </c>
      <c r="C8" s="50">
        <f t="shared" si="0"/>
        <v>333138</v>
      </c>
    </row>
    <row r="10" spans="1:4" x14ac:dyDescent="0.35">
      <c r="D10" t="str">
        <f ca="1">_xlfn.FORMULATEXT(D6)</f>
        <v>=3+ABS(C6)/B7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#1</vt:lpstr>
      <vt:lpstr>Question #1-Solution</vt:lpstr>
      <vt:lpstr>Question #2</vt:lpstr>
      <vt:lpstr>Question #2- Solution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2025-03-26T16:59:16Z</dcterms:created>
  <dcterms:modified xsi:type="dcterms:W3CDTF">2025-11-13T20:15:17Z</dcterms:modified>
</cp:coreProperties>
</file>