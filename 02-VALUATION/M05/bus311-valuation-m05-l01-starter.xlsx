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b08a6d73aa4e30" /></Relationships>
</file>

<file path=xl/workbook.xml><?xml version="1.0" encoding="utf-8"?>
<x:workbook xmlns:x="http://schemas.openxmlformats.org/spreadsheetml/2006/main">
  <x:sheets>
    <x:sheet xmlns:r="http://schemas.openxmlformats.org/officeDocument/2006/relationships" name="START HERE" sheetId="1" r:id="Re9d97b33def14426"/>
    <x:sheet xmlns:r="http://schemas.openxmlformats.org/officeDocument/2006/relationships" name="1 Timeline-Diagnose" sheetId="2" r:id="Rb8808e5d68fc40de"/>
    <x:sheet xmlns:r="http://schemas.openxmlformats.org/officeDocument/2006/relationships" name="2 Build-Compare" sheetId="3" r:id="R57d96af1a23b4672"/>
    <x:sheet xmlns:r="http://schemas.openxmlformats.org/officeDocument/2006/relationships" name="3 Sensitivity" sheetId="4" r:id="Rf15f9a6c36874829"/>
    <x:sheet xmlns:r="http://schemas.openxmlformats.org/officeDocument/2006/relationships" name="4 Checks-Decision" sheetId="5" r:id="R8dcebfe725884b1e"/>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Red]($#,##0.00);-"/>
    <x:numFmt numFmtId="201" formatCode="0.00%;[Red](0.00%);-"/>
    <x:numFmt numFmtId="202" formatCode="#,##0;[Red](#,##0);-"/>
    <x:numFmt numFmtId="203" formatCode="@"/>
    <x:numFmt numFmtId="204" formatCode="0.00"/>
  </x:numFmts>
  <x:fonts count="15">
    <x:font>
      <x:sz val="11"/>
      <x:name val="Carlito"/>
    </x:font>
    <x:font>
      <x:sz val="10"/>
      <x:color rgb="FF000000"/>
      <x:name val="Aptos"/>
    </x:font>
    <x:font>
      <x:b/>
      <x:sz val="18"/>
      <x:color rgb="FFFFFFFF"/>
      <x:name val="Aptos"/>
    </x:font>
    <x:font>
      <x:b/>
      <x:sz val="10"/>
      <x:color rgb="FFFFFFFF"/>
      <x:name val="Aptos"/>
    </x:font>
    <x:font>
      <x:sz val="11"/>
      <x:color rgb="FF000000"/>
      <x:name val="Aptos"/>
    </x:font>
    <x:font>
      <x:b/>
      <x:sz val="11"/>
      <x:color rgb="FFFFFFFF"/>
      <x:name val="Aptos"/>
    </x:font>
    <x:font>
      <x:b/>
      <x:sz val="10"/>
      <x:color rgb="FF17365D"/>
      <x:name val="Aptos"/>
    </x:font>
    <x:font>
      <x:b/>
      <x:sz val="10"/>
      <x:color rgb="FF0000FF"/>
      <x:name val="Aptos"/>
    </x:font>
    <x:font>
      <x:b/>
      <x:sz val="10"/>
      <x:color rgb="FF000000"/>
      <x:name val="Aptos"/>
    </x:font>
    <x:font>
      <x:b/>
      <x:sz val="10"/>
      <x:color rgb="FF008000"/>
      <x:name val="Aptos"/>
    </x:font>
    <x:font>
      <x:sz val="10"/>
      <x:color rgb="FF0000FF"/>
      <x:name val="Aptos"/>
    </x:font>
    <x:font>
      <x:b/>
      <x:sz val="10"/>
      <x:color rgb="FF9C4A2B"/>
      <x:name val="Aptos"/>
    </x:font>
    <x:font>
      <x:sz val="10"/>
      <x:color rgb="FF008000"/>
      <x:name val="Aptos"/>
    </x:font>
    <x:font>
      <x:b/>
      <x:sz val="13"/>
      <x:color rgb="FF17365D"/>
      <x:name val="Aptos"/>
    </x:font>
    <x:font>
      <x:b/>
      <x:sz val="12"/>
      <x:color rgb="FF9C4A2B"/>
      <x:name val="Aptos"/>
    </x:font>
  </x:fonts>
  <x:fills count="12">
    <x:fill>
      <x:patternFill patternType="none"/>
    </x:fill>
    <x:fill>
      <x:patternFill patternType="gray125"/>
    </x:fill>
    <x:fill>
      <x:patternFill patternType="solid">
        <x:fgColor rgb="FF0E1116"/>
      </x:patternFill>
    </x:fill>
    <x:fill>
      <x:patternFill patternType="solid">
        <x:fgColor rgb="FF9C4A2B"/>
      </x:patternFill>
    </x:fill>
    <x:fill>
      <x:patternFill patternType="solid">
        <x:fgColor rgb="FFFAF8F3"/>
      </x:patternFill>
    </x:fill>
    <x:fill>
      <x:patternFill patternType="solid">
        <x:fgColor rgb="FF17365D"/>
      </x:patternFill>
    </x:fill>
    <x:fill>
      <x:patternFill patternType="solid">
        <x:fgColor rgb="FFF2EEE5"/>
      </x:patternFill>
    </x:fill>
    <x:fill>
      <x:patternFill patternType="solid">
        <x:fgColor rgb="FFDDEBF7"/>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7E6E6"/>
      </x:patternFill>
    </x:fill>
  </x:fills>
  <x:borders count="30">
    <x:border/>
    <x:border>
      <x:left style="thin">
        <x:color rgb="FFD9D5CB"/>
      </x:left>
      <x:top style="thin">
        <x:color rgb="FFD9D5CB"/>
      </x:top>
    </x:border>
    <x:border>
      <x:top style="thin">
        <x:color rgb="FFD9D5CB"/>
      </x:top>
    </x:border>
    <x:border>
      <x:right style="thin">
        <x:color rgb="FFD9D5CB"/>
      </x:right>
      <x:top style="thin">
        <x:color rgb="FFD9D5CB"/>
      </x:top>
    </x:border>
    <x:border>
      <x:left style="thin">
        <x:color rgb="FFD9D5CB"/>
      </x:left>
      <x:bottom style="thin">
        <x:color rgb="FFD9D5CB"/>
      </x:bottom>
    </x:border>
    <x:border>
      <x:bottom style="thin">
        <x:color rgb="FFD9D5CB"/>
      </x:bottom>
    </x:border>
    <x:border>
      <x:right style="thin">
        <x:color rgb="FFD9D5CB"/>
      </x:right>
      <x:bottom style="thin">
        <x:color rgb="FFD9D5CB"/>
      </x:bottom>
    </x:border>
    <x:border>
      <x:right style="thin">
        <x:color rgb="FFD9D5CB"/>
      </x:right>
      <x:top style="thin">
        <x:color rgb="FFD9D5CB"/>
      </x:top>
      <x:bottom style="thin">
        <x:color rgb="FFD9D5CB"/>
      </x:bottom>
    </x:border>
    <x:border>
      <x:left style="thin">
        <x:color rgb="FFD9D5CB"/>
      </x:left>
      <x:top style="thin">
        <x:color rgb="FFD9D5CB"/>
      </x:top>
      <x:bottom style="thin">
        <x:color rgb="FFD9D5CB"/>
      </x:bottom>
    </x:border>
    <x:border>
      <x:left style="thin">
        <x:color rgb="FFD9D5CB"/>
      </x:left>
      <x:right style="thin">
        <x:color rgb="FFD9D5CB"/>
      </x:right>
      <x:bottom style="thin">
        <x:color rgb="FFD9D5CB"/>
      </x:bottom>
    </x:border>
    <x:border>
      <x:left style="thin">
        <x:color rgb="FFD9D5CB"/>
      </x:left>
      <x:right style="thin">
        <x:color rgb="FFD9D5CB"/>
      </x:right>
      <x:top style="thin">
        <x:color rgb="FFD9D5CB"/>
      </x:top>
      <x:bottom style="thin">
        <x:color rgb="FFD9D5CB"/>
      </x:bottom>
    </x:border>
    <x:border>
      <x:left style="thin">
        <x:color rgb="FFD9D5CB"/>
      </x:left>
      <x:right style="thin">
        <x:color rgb="FFD9D5CB"/>
      </x:right>
      <x:top style="thin">
        <x:color rgb="FFD9D5CB"/>
      </x:top>
    </x:border>
    <x:border>
      <x:left style="thin">
        <x:color rgb="FFD9D5CB"/>
      </x:left>
    </x:border>
    <x:border>
      <x:right style="thin">
        <x:color rgb="FFD9D5CB"/>
      </x:right>
    </x:border>
    <x:border>
      <x:left style="thin">
        <x:color rgb="FFD9D5CB"/>
      </x:left>
      <x:right style="thin">
        <x:color rgb="FFD9D5CB"/>
      </x:right>
    </x:border>
    <x:border>
      <x:left style="thin">
        <x:color rgb="FF9C4A2B"/>
      </x:left>
      <x:right style="thin">
        <x:color rgb="FF9C4A2B"/>
      </x:right>
      <x:top style="thin">
        <x:color rgb="FF9C4A2B"/>
      </x:top>
      <x:bottom style="thin">
        <x:color rgb="FF9C4A2B"/>
      </x:bottom>
    </x:border>
    <x:border>
      <x:left style="thin">
        <x:color rgb="FF9C4A2B"/>
      </x:left>
      <x:right style="thin">
        <x:color rgb="FF9C4A2B"/>
      </x:right>
      <x:top style="thin">
        <x:color rgb="FF9C4A2B"/>
      </x:top>
    </x:border>
    <x:border>
      <x:left style="thin">
        <x:color rgb="FF9C4A2B"/>
      </x:left>
      <x:right style="thin">
        <x:color rgb="FF9C4A2B"/>
      </x:right>
    </x:border>
    <x:border>
      <x:left style="thin">
        <x:color rgb="FF9C4A2B"/>
      </x:left>
      <x:right style="thin">
        <x:color rgb="FF9C4A2B"/>
      </x:right>
      <x:bottom style="thin">
        <x:color rgb="FF9C4A2B"/>
      </x:bottom>
    </x:border>
    <x:border>
      <x:left style="thin">
        <x:color rgb="FF9C4A2B"/>
      </x:left>
      <x:top style="thin">
        <x:color rgb="FF9C4A2B"/>
      </x:top>
    </x:border>
    <x:border>
      <x:top style="thin">
        <x:color rgb="FF9C4A2B"/>
      </x:top>
    </x:border>
    <x:border>
      <x:right style="thin">
        <x:color rgb="FF9C4A2B"/>
      </x:right>
      <x:top style="thin">
        <x:color rgb="FF9C4A2B"/>
      </x:top>
    </x:border>
    <x:border>
      <x:left style="thin">
        <x:color rgb="FF9C4A2B"/>
      </x:left>
    </x:border>
    <x:border>
      <x:right style="thin">
        <x:color rgb="FF9C4A2B"/>
      </x:right>
    </x:border>
    <x:border>
      <x:left style="thin">
        <x:color rgb="FF9C4A2B"/>
      </x:left>
      <x:bottom style="thin">
        <x:color rgb="FF9C4A2B"/>
      </x:bottom>
    </x:border>
    <x:border>
      <x:bottom style="thin">
        <x:color rgb="FF9C4A2B"/>
      </x:bottom>
    </x:border>
    <x:border>
      <x:right style="thin">
        <x:color rgb="FF9C4A2B"/>
      </x:right>
      <x:bottom style="thin">
        <x:color rgb="FF9C4A2B"/>
      </x:bottom>
    </x:border>
    <x:border>
      <x:left style="thin">
        <x:color rgb="FF9C4A2B"/>
      </x:left>
      <x:top style="thin">
        <x:color rgb="FF9C4A2B"/>
      </x:top>
      <x:bottom style="thin">
        <x:color rgb="FF9C4A2B"/>
      </x:bottom>
    </x:border>
    <x:border>
      <x:top style="thin">
        <x:color rgb="FF9C4A2B"/>
      </x:top>
      <x:bottom style="thin">
        <x:color rgb="FF9C4A2B"/>
      </x:bottom>
    </x:border>
    <x:border>
      <x:right style="thin">
        <x:color rgb="FF9C4A2B"/>
      </x:right>
      <x:top style="thin">
        <x:color rgb="FF9C4A2B"/>
      </x:top>
      <x:bottom style="thin">
        <x:color rgb="FF9C4A2B"/>
      </x:bottom>
    </x:border>
  </x:borders>
  <x:cellStyleXfs count="1">
    <x:xf numFmtId="0" fontId="0" fillId="0" borderId="0"/>
  </x:cellStyleXfs>
  <x:cellXfs count="2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center"/>
    </x:xf>
    <x:xf numFmtId="0" fontId="1" fillId="3" borderId="0" xfId="0" applyNumberFormat="1" applyFont="1" applyFill="1" applyBorder="1" applyAlignment="1">
      <x:alignment vertical="top"/>
    </x:xf>
    <x:xf numFmtId="0" fontId="3" fillId="3" borderId="0" xfId="0" applyNumberFormat="1" applyFont="1" applyFill="1" applyBorder="1" applyAlignment="1">
      <x:alignment vertical="top"/>
    </x:xf>
    <x:xf numFmtId="0" fontId="3" fillId="3" borderId="0" xfId="0" applyNumberFormat="1" applyFont="1" applyFill="1" applyBorder="1" applyAlignment="1">
      <x:alignment vertical="center"/>
    </x:xf>
    <x:xf numFmtId="0" fontId="1" fillId="4" borderId="0" xfId="0" applyNumberFormat="1" applyFont="1" applyFill="1" applyBorder="1" applyAlignment="1">
      <x:alignment vertical="top"/>
    </x:xf>
    <x:xf numFmtId="0" fontId="4" fillId="4" borderId="0" xfId="0" applyNumberFormat="1" applyFont="1" applyFill="1" applyBorder="1" applyAlignment="1">
      <x:alignment vertical="top"/>
    </x:xf>
    <x:xf numFmtId="0" fontId="4" fillId="4" borderId="1" xfId="0" applyNumberFormat="1" applyFont="1" applyFill="1" applyBorder="1" applyAlignment="1">
      <x:alignment vertical="top"/>
    </x:xf>
    <x:xf numFmtId="0" fontId="4" fillId="4" borderId="2" xfId="0" applyNumberFormat="1" applyFont="1" applyFill="1" applyBorder="1" applyAlignment="1">
      <x:alignment vertical="top"/>
    </x:xf>
    <x:xf numFmtId="0" fontId="4" fillId="4" borderId="3" xfId="0" applyNumberFormat="1" applyFont="1" applyFill="1" applyBorder="1" applyAlignment="1">
      <x:alignment vertical="top"/>
    </x:xf>
    <x:xf numFmtId="0" fontId="4" fillId="4" borderId="4" xfId="0" applyNumberFormat="1" applyFont="1" applyFill="1" applyBorder="1" applyAlignment="1">
      <x:alignment vertical="top"/>
    </x:xf>
    <x:xf numFmtId="0" fontId="4" fillId="4" borderId="5" xfId="0" applyNumberFormat="1" applyFont="1" applyFill="1" applyBorder="1" applyAlignment="1">
      <x:alignment vertical="top"/>
    </x:xf>
    <x:xf numFmtId="0" fontId="4" fillId="4" borderId="6" xfId="0" applyNumberFormat="1" applyFont="1" applyFill="1" applyBorder="1" applyAlignment="1">
      <x:alignment vertical="top"/>
    </x:xf>
    <x:xf numFmtId="0" fontId="4" fillId="4" borderId="1" xfId="0" applyNumberFormat="1" applyFont="1" applyFill="1" applyBorder="1" applyAlignment="1">
      <x:alignment vertical="top" wrapText="1"/>
    </x:xf>
    <x:xf numFmtId="0" fontId="4" fillId="4" borderId="2" xfId="0" applyNumberFormat="1" applyFont="1" applyFill="1" applyBorder="1" applyAlignment="1">
      <x:alignment vertical="top" wrapText="1"/>
    </x:xf>
    <x:xf numFmtId="0" fontId="4" fillId="4" borderId="3" xfId="0" applyNumberFormat="1" applyFont="1" applyFill="1" applyBorder="1" applyAlignment="1">
      <x:alignment vertical="top" wrapText="1"/>
    </x:xf>
    <x:xf numFmtId="0" fontId="4" fillId="4" borderId="4" xfId="0" applyNumberFormat="1" applyFont="1" applyFill="1" applyBorder="1" applyAlignment="1">
      <x:alignment vertical="top" wrapText="1"/>
    </x:xf>
    <x:xf numFmtId="0" fontId="4" fillId="4" borderId="5" xfId="0" applyNumberFormat="1" applyFont="1" applyFill="1" applyBorder="1" applyAlignment="1">
      <x:alignment vertical="top" wrapText="1"/>
    </x:xf>
    <x:xf numFmtId="0" fontId="4" fillId="4" borderId="6" xfId="0" applyNumberFormat="1" applyFont="1" applyFill="1" applyBorder="1" applyAlignment="1">
      <x:alignment vertical="top" wrapText="1"/>
    </x:xf>
    <x:xf numFmtId="0" fontId="4" fillId="4" borderId="1"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4" fillId="4" borderId="3" xfId="0" applyNumberFormat="1" applyFont="1" applyFill="1" applyBorder="1" applyAlignment="1">
      <x:alignment vertical="center" wrapText="1"/>
    </x:xf>
    <x:xf numFmtId="0" fontId="4" fillId="4" borderId="4" xfId="0" applyNumberFormat="1" applyFont="1" applyFill="1" applyBorder="1" applyAlignment="1">
      <x:alignment vertical="center" wrapText="1"/>
    </x:xf>
    <x:xf numFmtId="0" fontId="4" fillId="4" borderId="5" xfId="0" applyNumberFormat="1" applyFont="1" applyFill="1" applyBorder="1" applyAlignment="1">
      <x:alignment vertical="center" wrapText="1"/>
    </x:xf>
    <x:xf numFmtId="0" fontId="4" fillId="4" borderId="6" xfId="0" applyNumberFormat="1" applyFont="1" applyFill="1" applyBorder="1" applyAlignment="1">
      <x:alignment vertical="center" wrapText="1"/>
    </x:xf>
    <x:xf numFmtId="0" fontId="1" fillId="5" borderId="0" xfId="0" applyNumberFormat="1" applyFont="1" applyFill="1" applyBorder="1" applyAlignment="1">
      <x:alignment vertical="top"/>
    </x:xf>
    <x:xf numFmtId="0" fontId="5" fillId="5" borderId="0" xfId="0" applyNumberFormat="1" applyFont="1" applyFill="1" applyBorder="1" applyAlignment="1">
      <x:alignment vertical="top"/>
    </x:xf>
    <x:xf numFmtId="0" fontId="5" fillId="5" borderId="0" xfId="0" applyNumberFormat="1" applyFont="1" applyFill="1" applyBorder="1" applyAlignment="1">
      <x:alignment vertical="center"/>
    </x:xf>
    <x:xf numFmtId="0" fontId="1" fillId="6" borderId="0" xfId="0" applyNumberFormat="1" applyFont="1" applyFill="1" applyBorder="1" applyAlignment="1">
      <x:alignment vertical="top"/>
    </x:xf>
    <x:xf numFmtId="0" fontId="6" fillId="6" borderId="0" xfId="0" applyNumberFormat="1" applyFont="1" applyFill="1" applyBorder="1" applyAlignment="1">
      <x:alignment vertical="top"/>
    </x:xf>
    <x:xf numFmtId="0" fontId="6" fillId="6" borderId="0"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1" fillId="0" borderId="4" xfId="0" applyNumberFormat="1" applyFont="1" applyFill="1" applyBorder="1" applyAlignment="1">
      <x:alignment vertical="top"/>
    </x:xf>
    <x:xf numFmtId="0" fontId="6" fillId="6" borderId="7" xfId="0" applyNumberFormat="1" applyFont="1" applyFill="1" applyBorder="1" applyAlignment="1">
      <x:alignment horizontal="center" vertical="top"/>
    </x:xf>
    <x:xf numFmtId="0" fontId="1" fillId="0" borderId="8" xfId="0" applyNumberFormat="1" applyFont="1" applyFill="1" applyBorder="1" applyAlignment="1">
      <x:alignment vertical="top"/>
    </x:xf>
    <x:xf numFmtId="0" fontId="6" fillId="6" borderId="3" xfId="0" applyNumberFormat="1" applyFont="1" applyFill="1" applyBorder="1" applyAlignment="1">
      <x:alignment horizontal="center" vertical="top"/>
    </x:xf>
    <x:xf numFmtId="0" fontId="1" fillId="0" borderId="1" xfId="0" applyNumberFormat="1" applyFont="1" applyFill="1" applyBorder="1" applyAlignment="1">
      <x:alignment vertical="top"/>
    </x:xf>
    <x:xf numFmtId="0" fontId="1" fillId="0" borderId="4"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6" fillId="6" borderId="6" xfId="0" applyNumberFormat="1" applyFont="1" applyFill="1" applyBorder="1" applyAlignment="1">
      <x:alignment vertical="top"/>
    </x:xf>
    <x:xf numFmtId="0" fontId="6" fillId="6" borderId="7" xfId="0" applyNumberFormat="1" applyFont="1" applyFill="1" applyBorder="1" applyAlignment="1">
      <x:alignment vertical="top"/>
    </x:xf>
    <x:xf numFmtId="0" fontId="6" fillId="6" borderId="3" xfId="0" applyNumberFormat="1" applyFont="1" applyFill="1" applyBorder="1" applyAlignment="1">
      <x:alignment vertical="top"/>
    </x:xf>
    <x:xf numFmtId="0" fontId="1" fillId="7" borderId="0" xfId="0" applyNumberFormat="1" applyFont="1" applyFill="1" applyBorder="1" applyAlignment="1">
      <x:alignment vertical="top"/>
    </x:xf>
    <x:xf numFmtId="0" fontId="7" fillId="7" borderId="0" xfId="0" applyNumberFormat="1" applyFont="1" applyFill="1" applyBorder="1" applyAlignment="1">
      <x:alignment vertical="top"/>
    </x:xf>
    <x:xf numFmtId="0" fontId="1" fillId="8" borderId="0" xfId="0" applyNumberFormat="1" applyFont="1" applyFill="1" applyBorder="1" applyAlignment="1">
      <x:alignment vertical="top"/>
    </x:xf>
    <x:xf numFmtId="0" fontId="8" fillId="8" borderId="0" xfId="0" applyNumberFormat="1" applyFont="1" applyFill="1" applyBorder="1" applyAlignment="1">
      <x:alignment vertical="top"/>
    </x:xf>
    <x:xf numFmtId="0" fontId="1" fillId="9" borderId="0" xfId="0" applyNumberFormat="1" applyFont="1" applyFill="1" applyBorder="1" applyAlignment="1">
      <x:alignment vertical="top"/>
    </x:xf>
    <x:xf numFmtId="0" fontId="9" fillId="9" borderId="0" xfId="0" applyNumberFormat="1" applyFont="1" applyFill="1" applyBorder="1" applyAlignment="1">
      <x:alignment vertical="top"/>
    </x:xf>
    <x:xf numFmtId="0" fontId="8" fillId="9" borderId="0" xfId="0" applyNumberFormat="1" applyFont="1" applyFill="1" applyBorder="1" applyAlignment="1">
      <x:alignment vertical="top"/>
    </x:xf>
    <x:xf numFmtId="0" fontId="7" fillId="7" borderId="6" xfId="0" applyNumberFormat="1" applyFont="1" applyFill="1" applyBorder="1" applyAlignment="1">
      <x:alignment vertical="top"/>
    </x:xf>
    <x:xf numFmtId="0" fontId="1" fillId="0" borderId="9" xfId="0" applyNumberFormat="1" applyFont="1" applyFill="1" applyBorder="1" applyAlignment="1">
      <x:alignment vertical="top"/>
    </x:xf>
    <x:xf numFmtId="0" fontId="8" fillId="8" borderId="9" xfId="0" applyNumberFormat="1" applyFont="1" applyFill="1" applyBorder="1" applyAlignment="1">
      <x:alignment vertical="top"/>
    </x:xf>
    <x:xf numFmtId="0" fontId="9" fillId="9" borderId="7" xfId="0" applyNumberFormat="1" applyFont="1" applyFill="1" applyBorder="1" applyAlignment="1">
      <x:alignment vertical="top"/>
    </x:xf>
    <x:xf numFmtId="0" fontId="1" fillId="0" borderId="10" xfId="0" applyNumberFormat="1" applyFont="1" applyFill="1" applyBorder="1" applyAlignment="1">
      <x:alignment vertical="top"/>
    </x:xf>
    <x:xf numFmtId="0" fontId="8" fillId="9" borderId="10" xfId="0" applyNumberFormat="1" applyFont="1" applyFill="1" applyBorder="1" applyAlignment="1">
      <x:alignment vertical="top"/>
    </x:xf>
    <x:xf numFmtId="0" fontId="1" fillId="0" borderId="3" xfId="0" applyNumberFormat="1" applyFont="1" applyFill="1" applyBorder="1" applyAlignment="1">
      <x:alignment vertical="top"/>
    </x:xf>
    <x:xf numFmtId="0" fontId="1" fillId="0" borderId="11" xfId="0" applyNumberFormat="1" applyFont="1" applyFill="1" applyBorder="1" applyAlignment="1">
      <x:alignment vertical="top"/>
    </x:xf>
    <x:xf numFmtId="0" fontId="1" fillId="0" borderId="9" xfId="0" applyNumberFormat="1" applyFont="1" applyFill="1" applyBorder="1" applyAlignment="1">
      <x:alignment vertical="top" wrapText="1"/>
    </x:xf>
    <x:xf numFmtId="0" fontId="8" fillId="8" borderId="9" xfId="0" applyNumberFormat="1" applyFont="1" applyFill="1" applyBorder="1" applyAlignment="1">
      <x:alignment vertical="top" wrapText="1"/>
    </x:xf>
    <x:xf numFmtId="0" fontId="1" fillId="0" borderId="10" xfId="0" applyNumberFormat="1" applyFont="1" applyFill="1" applyBorder="1" applyAlignment="1">
      <x:alignment vertical="top" wrapText="1"/>
    </x:xf>
    <x:xf numFmtId="0" fontId="8" fillId="9" borderId="10" xfId="0" applyNumberFormat="1" applyFont="1" applyFill="1" applyBorder="1" applyAlignment="1">
      <x:alignment vertical="top" wrapText="1"/>
    </x:xf>
    <x:xf numFmtId="0" fontId="1" fillId="0" borderId="11" xfId="0" applyNumberFormat="1" applyFont="1" applyFill="1" applyBorder="1" applyAlignment="1">
      <x:alignment vertical="top" wrapText="1"/>
    </x:xf>
    <x:xf numFmtId="0" fontId="1" fillId="4" borderId="1" xfId="0" applyNumberFormat="1" applyFont="1" applyFill="1" applyBorder="1" applyAlignment="1">
      <x:alignment vertical="top"/>
    </x:xf>
    <x:xf numFmtId="0" fontId="1" fillId="4" borderId="2" xfId="0" applyNumberFormat="1" applyFont="1" applyFill="1" applyBorder="1" applyAlignment="1">
      <x:alignment vertical="top"/>
    </x:xf>
    <x:xf numFmtId="0" fontId="1" fillId="4" borderId="3" xfId="0" applyNumberFormat="1" applyFont="1" applyFill="1" applyBorder="1" applyAlignment="1">
      <x:alignment vertical="top"/>
    </x:xf>
    <x:xf numFmtId="0" fontId="1" fillId="4" borderId="12" xfId="0" applyNumberFormat="1" applyFont="1" applyFill="1" applyBorder="1" applyAlignment="1">
      <x:alignment vertical="top"/>
    </x:xf>
    <x:xf numFmtId="0" fontId="1" fillId="4" borderId="13" xfId="0" applyNumberFormat="1" applyFont="1" applyFill="1" applyBorder="1" applyAlignment="1">
      <x:alignment vertical="top"/>
    </x:xf>
    <x:xf numFmtId="0" fontId="1" fillId="4" borderId="4" xfId="0" applyNumberFormat="1" applyFont="1" applyFill="1" applyBorder="1" applyAlignment="1">
      <x:alignment vertical="top"/>
    </x:xf>
    <x:xf numFmtId="0" fontId="1" fillId="4" borderId="5" xfId="0" applyNumberFormat="1" applyFont="1" applyFill="1" applyBorder="1" applyAlignment="1">
      <x:alignment vertical="top"/>
    </x:xf>
    <x:xf numFmtId="0" fontId="1" fillId="4" borderId="6" xfId="0" applyNumberFormat="1" applyFont="1" applyFill="1" applyBorder="1" applyAlignment="1">
      <x:alignment vertical="top"/>
    </x:xf>
    <x:xf numFmtId="0" fontId="1" fillId="4" borderId="1" xfId="0" applyNumberFormat="1" applyFont="1" applyFill="1" applyBorder="1" applyAlignment="1">
      <x:alignment vertical="top" wrapText="1"/>
    </x:xf>
    <x:xf numFmtId="0" fontId="1" fillId="4" borderId="2" xfId="0" applyNumberFormat="1" applyFont="1" applyFill="1" applyBorder="1" applyAlignment="1">
      <x:alignment vertical="top" wrapText="1"/>
    </x:xf>
    <x:xf numFmtId="0" fontId="1" fillId="4" borderId="3" xfId="0" applyNumberFormat="1" applyFont="1" applyFill="1" applyBorder="1" applyAlignment="1">
      <x:alignment vertical="top" wrapText="1"/>
    </x:xf>
    <x:xf numFmtId="0" fontId="1" fillId="4" borderId="12"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0" fontId="1" fillId="4" borderId="4" xfId="0" applyNumberFormat="1" applyFont="1" applyFill="1" applyBorder="1" applyAlignment="1">
      <x:alignment vertical="top" wrapText="1"/>
    </x:xf>
    <x:xf numFmtId="0" fontId="1" fillId="4" borderId="5" xfId="0" applyNumberFormat="1" applyFont="1" applyFill="1" applyBorder="1" applyAlignment="1">
      <x:alignment vertical="top" wrapText="1"/>
    </x:xf>
    <x:xf numFmtId="0" fontId="1" fillId="4" borderId="6" xfId="0" applyNumberFormat="1" applyFont="1" applyFill="1" applyBorder="1" applyAlignment="1">
      <x:alignment vertical="top" wrapText="1"/>
    </x:xf>
    <x:xf numFmtId="0" fontId="1" fillId="4" borderId="1" xfId="0" applyNumberFormat="1" applyFont="1" applyFill="1" applyBorder="1" applyAlignment="1">
      <x:alignment vertical="center" wrapText="1"/>
    </x:xf>
    <x:xf numFmtId="0" fontId="1" fillId="4" borderId="2" xfId="0" applyNumberFormat="1" applyFont="1" applyFill="1" applyBorder="1" applyAlignment="1">
      <x:alignment vertical="center" wrapText="1"/>
    </x:xf>
    <x:xf numFmtId="0" fontId="1" fillId="4" borderId="3" xfId="0" applyNumberFormat="1" applyFont="1" applyFill="1" applyBorder="1" applyAlignment="1">
      <x:alignment vertical="center" wrapText="1"/>
    </x:xf>
    <x:xf numFmtId="0" fontId="1" fillId="4" borderId="12"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4" borderId="13" xfId="0" applyNumberFormat="1" applyFont="1" applyFill="1" applyBorder="1" applyAlignment="1">
      <x:alignment vertical="center" wrapText="1"/>
    </x:xf>
    <x:xf numFmtId="0" fontId="1" fillId="4" borderId="4" xfId="0" applyNumberFormat="1" applyFont="1" applyFill="1" applyBorder="1" applyAlignment="1">
      <x:alignment vertical="center" wrapText="1"/>
    </x:xf>
    <x:xf numFmtId="0" fontId="1" fillId="4" borderId="5" xfId="0" applyNumberFormat="1" applyFont="1" applyFill="1" applyBorder="1" applyAlignment="1">
      <x:alignment vertical="center" wrapText="1"/>
    </x:xf>
    <x:xf numFmtId="0" fontId="1" fillId="4" borderId="6" xfId="0" applyNumberFormat="1" applyFont="1" applyFill="1" applyBorder="1" applyAlignment="1">
      <x:alignment vertical="center" wrapText="1"/>
    </x:xf>
    <x:xf numFmtId="0" fontId="3" fillId="3" borderId="13" xfId="0" applyNumberFormat="1" applyFont="1" applyFill="1" applyBorder="1" applyAlignment="1">
      <x:alignment vertical="top"/>
    </x:xf>
    <x:xf numFmtId="0" fontId="3" fillId="3" borderId="14" xfId="0" applyNumberFormat="1" applyFont="1" applyFill="1" applyBorder="1" applyAlignment="1">
      <x:alignment vertical="top"/>
    </x:xf>
    <x:xf numFmtId="0" fontId="3" fillId="3" borderId="12" xfId="0" applyNumberFormat="1" applyFont="1" applyFill="1" applyBorder="1" applyAlignment="1">
      <x:alignment vertical="top"/>
    </x:xf>
    <x:xf numFmtId="0" fontId="3" fillId="3" borderId="13" xfId="0" applyNumberFormat="1" applyFont="1" applyFill="1" applyBorder="1" applyAlignment="1">
      <x:alignment vertical="top" wrapText="1"/>
    </x:xf>
    <x:xf numFmtId="0" fontId="3" fillId="3" borderId="14" xfId="0" applyNumberFormat="1" applyFont="1" applyFill="1" applyBorder="1" applyAlignment="1">
      <x:alignment vertical="top" wrapText="1"/>
    </x:xf>
    <x:xf numFmtId="0" fontId="3" fillId="3" borderId="12" xfId="0" applyNumberFormat="1" applyFont="1" applyFill="1" applyBorder="1" applyAlignment="1">
      <x:alignment vertical="top" wrapText="1"/>
    </x:xf>
    <x:xf numFmtId="0" fontId="3" fillId="3" borderId="13" xfId="0" applyNumberFormat="1" applyFont="1" applyFill="1" applyBorder="1" applyAlignment="1">
      <x:alignment vertical="center" wrapText="1"/>
    </x:xf>
    <x:xf numFmtId="0" fontId="3" fillId="3" borderId="14" xfId="0" applyNumberFormat="1" applyFont="1" applyFill="1" applyBorder="1" applyAlignment="1">
      <x:alignment vertical="center" wrapText="1"/>
    </x:xf>
    <x:xf numFmtId="0" fontId="3" fillId="3" borderId="12" xfId="0" applyNumberFormat="1" applyFont="1" applyFill="1" applyBorder="1" applyAlignment="1">
      <x:alignment vertical="center" wrapText="1"/>
    </x:xf>
    <x:xf numFmtId="0" fontId="10" fillId="7" borderId="0" xfId="0" applyNumberFormat="1" applyFont="1" applyFill="1" applyBorder="1" applyAlignment="1">
      <x:alignment vertical="top"/>
    </x:xf>
    <x:xf numFmtId="0" fontId="10" fillId="7" borderId="10" xfId="0" applyNumberFormat="1" applyFont="1" applyFill="1" applyBorder="1" applyAlignment="1">
      <x:alignment vertical="top"/>
    </x:xf>
    <x:xf numFmtId="200" fontId="10" fillId="7" borderId="10" xfId="0" applyNumberFormat="1" applyFont="1" applyFill="1" applyBorder="1" applyAlignment="1">
      <x:alignment vertical="top"/>
    </x:xf>
    <x:xf numFmtId="201" fontId="10" fillId="7" borderId="10" xfId="0" applyNumberFormat="1" applyFont="1" applyFill="1" applyBorder="1" applyAlignment="1">
      <x:alignment vertical="top"/>
    </x:xf>
    <x:xf numFmtId="0" fontId="10" fillId="7" borderId="11" xfId="0" applyNumberFormat="1" applyFont="1" applyFill="1" applyBorder="1" applyAlignment="1">
      <x:alignment vertical="top"/>
    </x:xf>
    <x:xf numFmtId="0" fontId="10" fillId="7" borderId="9" xfId="0" applyNumberFormat="1" applyFont="1" applyFill="1" applyBorder="1" applyAlignment="1">
      <x:alignment vertical="top"/>
    </x:xf>
    <x:xf numFmtId="202" fontId="10" fillId="7" borderId="11" xfId="0" applyNumberFormat="1" applyFont="1" applyFill="1" applyBorder="1" applyAlignment="1">
      <x:alignment vertical="top"/>
    </x:xf>
    <x:xf numFmtId="202" fontId="10" fillId="7" borderId="9" xfId="0" applyNumberFormat="1" applyFont="1" applyFill="1" applyBorder="1" applyAlignment="1">
      <x:alignment vertical="top"/>
    </x:xf>
    <x:xf numFmtId="200" fontId="10" fillId="7" borderId="11" xfId="0" applyNumberFormat="1" applyFont="1" applyFill="1" applyBorder="1" applyAlignment="1">
      <x:alignment vertical="top"/>
    </x:xf>
    <x:xf numFmtId="200" fontId="10" fillId="7" borderId="9" xfId="0" applyNumberFormat="1" applyFont="1" applyFill="1" applyBorder="1" applyAlignment="1">
      <x:alignment vertical="top"/>
    </x:xf>
    <x:xf numFmtId="202" fontId="10" fillId="7" borderId="10" xfId="0" applyNumberFormat="1" applyFont="1" applyFill="1" applyBorder="1" applyAlignment="1">
      <x:alignment vertical="top"/>
    </x:xf>
    <x:xf numFmtId="0" fontId="1" fillId="8" borderId="15" xfId="0" applyNumberFormat="1" applyFont="1" applyFill="1" applyBorder="1" applyAlignment="1">
      <x:alignment vertical="top"/>
    </x:xf>
    <x:xf numFmtId="201" fontId="1" fillId="8" borderId="15" xfId="0" applyNumberFormat="1" applyFont="1" applyFill="1" applyBorder="1" applyAlignment="1">
      <x:alignment vertical="top"/>
    </x:xf>
    <x:xf numFmtId="201" fontId="1" fillId="8" borderId="15" xfId="0" applyNumberFormat="1" applyFont="1" applyFill="1" applyBorder="1" applyAlignment="1">
      <x:alignment vertical="top" wrapText="1"/>
    </x:xf>
    <x:xf numFmtId="202" fontId="1" fillId="8" borderId="15" xfId="0" applyNumberFormat="1" applyFont="1" applyFill="1" applyBorder="1" applyAlignment="1">
      <x:alignment vertical="top"/>
    </x:xf>
    <x:xf numFmtId="202" fontId="1" fillId="8" borderId="15" xfId="0" applyNumberFormat="1" applyFont="1" applyFill="1" applyBorder="1" applyAlignment="1">
      <x:alignment vertical="top" wrapText="1"/>
    </x:xf>
    <x:xf numFmtId="0" fontId="1" fillId="8" borderId="16" xfId="0" applyNumberFormat="1" applyFont="1" applyFill="1" applyBorder="1" applyAlignment="1">
      <x:alignment vertical="top"/>
    </x:xf>
    <x:xf numFmtId="0" fontId="1" fillId="8" borderId="17" xfId="0" applyNumberFormat="1" applyFont="1" applyFill="1" applyBorder="1" applyAlignment="1">
      <x:alignment vertical="top"/>
    </x:xf>
    <x:xf numFmtId="0" fontId="1" fillId="8" borderId="18" xfId="0" applyNumberFormat="1" applyFont="1" applyFill="1" applyBorder="1" applyAlignment="1">
      <x:alignment vertical="top"/>
    </x:xf>
    <x:xf numFmtId="203" fontId="1" fillId="8" borderId="16" xfId="0" applyNumberFormat="1" applyFont="1" applyFill="1" applyBorder="1" applyAlignment="1">
      <x:alignment vertical="top"/>
    </x:xf>
    <x:xf numFmtId="203" fontId="1" fillId="8" borderId="17" xfId="0" applyNumberFormat="1" applyFont="1" applyFill="1" applyBorder="1" applyAlignment="1">
      <x:alignment vertical="top"/>
    </x:xf>
    <x:xf numFmtId="203" fontId="1" fillId="8" borderId="18" xfId="0" applyNumberFormat="1" applyFont="1" applyFill="1" applyBorder="1" applyAlignment="1">
      <x:alignment vertical="top"/>
    </x:xf>
    <x:xf numFmtId="203" fontId="1" fillId="8" borderId="16" xfId="0" applyNumberFormat="1" applyFont="1" applyFill="1" applyBorder="1" applyAlignment="1">
      <x:alignment vertical="top" wrapText="1"/>
    </x:xf>
    <x:xf numFmtId="203" fontId="1" fillId="8" borderId="17" xfId="0" applyNumberFormat="1" applyFont="1" applyFill="1" applyBorder="1" applyAlignment="1">
      <x:alignment vertical="top" wrapText="1"/>
    </x:xf>
    <x:xf numFmtId="203" fontId="1" fillId="8" borderId="18" xfId="0" applyNumberFormat="1" applyFont="1" applyFill="1" applyBorder="1" applyAlignment="1">
      <x:alignment vertical="top" wrapText="1"/>
    </x:xf>
    <x:xf numFmtId="0" fontId="1" fillId="8" borderId="19" xfId="0" applyNumberFormat="1" applyFont="1" applyFill="1" applyBorder="1" applyAlignment="1">
      <x:alignment vertical="top"/>
    </x:xf>
    <x:xf numFmtId="0" fontId="1" fillId="8" borderId="20" xfId="0" applyNumberFormat="1" applyFont="1" applyFill="1" applyBorder="1" applyAlignment="1">
      <x:alignment vertical="top"/>
    </x:xf>
    <x:xf numFmtId="0" fontId="1" fillId="8" borderId="21" xfId="0" applyNumberFormat="1" applyFont="1" applyFill="1" applyBorder="1" applyAlignment="1">
      <x:alignment vertical="top"/>
    </x:xf>
    <x:xf numFmtId="0" fontId="1" fillId="8" borderId="22" xfId="0" applyNumberFormat="1" applyFont="1" applyFill="1" applyBorder="1" applyAlignment="1">
      <x:alignment vertical="top"/>
    </x:xf>
    <x:xf numFmtId="0" fontId="1" fillId="8" borderId="23" xfId="0" applyNumberFormat="1" applyFont="1" applyFill="1" applyBorder="1" applyAlignment="1">
      <x:alignment vertical="top"/>
    </x:xf>
    <x:xf numFmtId="0" fontId="1" fillId="8" borderId="24" xfId="0" applyNumberFormat="1" applyFont="1" applyFill="1" applyBorder="1" applyAlignment="1">
      <x:alignment vertical="top"/>
    </x:xf>
    <x:xf numFmtId="0" fontId="1" fillId="8" borderId="25" xfId="0" applyNumberFormat="1" applyFont="1" applyFill="1" applyBorder="1" applyAlignment="1">
      <x:alignment vertical="top"/>
    </x:xf>
    <x:xf numFmtId="0" fontId="1" fillId="8" borderId="26" xfId="0" applyNumberFormat="1" applyFont="1" applyFill="1" applyBorder="1" applyAlignment="1">
      <x:alignment vertical="top"/>
    </x:xf>
    <x:xf numFmtId="203" fontId="1" fillId="8" borderId="19" xfId="0" applyNumberFormat="1" applyFont="1" applyFill="1" applyBorder="1" applyAlignment="1">
      <x:alignment vertical="top"/>
    </x:xf>
    <x:xf numFmtId="203" fontId="1" fillId="8" borderId="20" xfId="0" applyNumberFormat="1" applyFont="1" applyFill="1" applyBorder="1" applyAlignment="1">
      <x:alignment vertical="top"/>
    </x:xf>
    <x:xf numFmtId="203" fontId="1" fillId="8" borderId="21" xfId="0" applyNumberFormat="1" applyFont="1" applyFill="1" applyBorder="1" applyAlignment="1">
      <x:alignment vertical="top"/>
    </x:xf>
    <x:xf numFmtId="203" fontId="1" fillId="8" borderId="22" xfId="0" applyNumberFormat="1" applyFont="1" applyFill="1" applyBorder="1" applyAlignment="1">
      <x:alignment vertical="top"/>
    </x:xf>
    <x:xf numFmtId="203" fontId="1" fillId="8" borderId="0" xfId="0" applyNumberFormat="1" applyFont="1" applyFill="1" applyBorder="1" applyAlignment="1">
      <x:alignment vertical="top"/>
    </x:xf>
    <x:xf numFmtId="203" fontId="1" fillId="8" borderId="23" xfId="0" applyNumberFormat="1" applyFont="1" applyFill="1" applyBorder="1" applyAlignment="1">
      <x:alignment vertical="top"/>
    </x:xf>
    <x:xf numFmtId="203" fontId="1" fillId="8" borderId="24" xfId="0" applyNumberFormat="1" applyFont="1" applyFill="1" applyBorder="1" applyAlignment="1">
      <x:alignment vertical="top"/>
    </x:xf>
    <x:xf numFmtId="203" fontId="1" fillId="8" borderId="25" xfId="0" applyNumberFormat="1" applyFont="1" applyFill="1" applyBorder="1" applyAlignment="1">
      <x:alignment vertical="top"/>
    </x:xf>
    <x:xf numFmtId="203" fontId="1" fillId="8" borderId="26" xfId="0" applyNumberFormat="1" applyFont="1" applyFill="1" applyBorder="1" applyAlignment="1">
      <x:alignment vertical="top"/>
    </x:xf>
    <x:xf numFmtId="203" fontId="1" fillId="8" borderId="19" xfId="0" applyNumberFormat="1" applyFont="1" applyFill="1" applyBorder="1" applyAlignment="1">
      <x:alignment vertical="top" wrapText="1"/>
    </x:xf>
    <x:xf numFmtId="203" fontId="1" fillId="8" borderId="20" xfId="0" applyNumberFormat="1" applyFont="1" applyFill="1" applyBorder="1" applyAlignment="1">
      <x:alignment vertical="top" wrapText="1"/>
    </x:xf>
    <x:xf numFmtId="203" fontId="1" fillId="8" borderId="21" xfId="0" applyNumberFormat="1" applyFont="1" applyFill="1" applyBorder="1" applyAlignment="1">
      <x:alignment vertical="top" wrapText="1"/>
    </x:xf>
    <x:xf numFmtId="203" fontId="1" fillId="8" borderId="22" xfId="0" applyNumberFormat="1" applyFont="1" applyFill="1" applyBorder="1" applyAlignment="1">
      <x:alignment vertical="top" wrapText="1"/>
    </x:xf>
    <x:xf numFmtId="203" fontId="1" fillId="8" borderId="0" xfId="0" applyNumberFormat="1" applyFont="1" applyFill="1" applyBorder="1" applyAlignment="1">
      <x:alignment vertical="top" wrapText="1"/>
    </x:xf>
    <x:xf numFmtId="203" fontId="1" fillId="8" borderId="23" xfId="0" applyNumberFormat="1" applyFont="1" applyFill="1" applyBorder="1" applyAlignment="1">
      <x:alignment vertical="top" wrapText="1"/>
    </x:xf>
    <x:xf numFmtId="203" fontId="1" fillId="8" borderId="24" xfId="0" applyNumberFormat="1" applyFont="1" applyFill="1" applyBorder="1" applyAlignment="1">
      <x:alignment vertical="top" wrapText="1"/>
    </x:xf>
    <x:xf numFmtId="203" fontId="1" fillId="8" borderId="25" xfId="0" applyNumberFormat="1" applyFont="1" applyFill="1" applyBorder="1" applyAlignment="1">
      <x:alignment vertical="top" wrapText="1"/>
    </x:xf>
    <x:xf numFmtId="203" fontId="1" fillId="8" borderId="26" xfId="0" applyNumberFormat="1" applyFont="1" applyFill="1" applyBorder="1" applyAlignment="1">
      <x:alignment vertical="top" wrapText="1"/>
    </x:xf>
    <x:xf numFmtId="200" fontId="1" fillId="8" borderId="19" xfId="0" applyNumberFormat="1" applyFont="1" applyFill="1" applyBorder="1" applyAlignment="1">
      <x:alignment vertical="top" wrapText="1"/>
    </x:xf>
    <x:xf numFmtId="200" fontId="1" fillId="8" borderId="20" xfId="0" applyNumberFormat="1" applyFont="1" applyFill="1" applyBorder="1" applyAlignment="1">
      <x:alignment vertical="top" wrapText="1"/>
    </x:xf>
    <x:xf numFmtId="200" fontId="1" fillId="8" borderId="22" xfId="0" applyNumberFormat="1" applyFont="1" applyFill="1" applyBorder="1" applyAlignment="1">
      <x:alignment vertical="top" wrapText="1"/>
    </x:xf>
    <x:xf numFmtId="200" fontId="1" fillId="8" borderId="0" xfId="0" applyNumberFormat="1" applyFont="1" applyFill="1" applyBorder="1" applyAlignment="1">
      <x:alignment vertical="top" wrapText="1"/>
    </x:xf>
    <x:xf numFmtId="200" fontId="1" fillId="8" borderId="24" xfId="0" applyNumberFormat="1" applyFont="1" applyFill="1" applyBorder="1" applyAlignment="1">
      <x:alignment vertical="top" wrapText="1"/>
    </x:xf>
    <x:xf numFmtId="200" fontId="1" fillId="8" borderId="25" xfId="0" applyNumberFormat="1" applyFont="1" applyFill="1" applyBorder="1" applyAlignment="1">
      <x:alignment vertical="top" wrapText="1"/>
    </x:xf>
    <x:xf numFmtId="0" fontId="1" fillId="10" borderId="0" xfId="0" applyNumberFormat="1" applyFont="1" applyFill="1" applyBorder="1" applyAlignment="1">
      <x:alignment vertical="top"/>
    </x:xf>
    <x:xf numFmtId="0" fontId="11" fillId="10" borderId="0" xfId="0" applyNumberFormat="1" applyFont="1" applyFill="1" applyBorder="1" applyAlignment="1">
      <x:alignment vertical="top"/>
    </x:xf>
    <x:xf numFmtId="0" fontId="11" fillId="10" borderId="27" xfId="0" applyNumberFormat="1" applyFont="1" applyFill="1" applyBorder="1" applyAlignment="1">
      <x:alignment vertical="top"/>
    </x:xf>
    <x:xf numFmtId="0" fontId="11" fillId="10" borderId="28" xfId="0" applyNumberFormat="1" applyFont="1" applyFill="1" applyBorder="1" applyAlignment="1">
      <x:alignment vertical="top"/>
    </x:xf>
    <x:xf numFmtId="0" fontId="11" fillId="10" borderId="29" xfId="0" applyNumberFormat="1" applyFont="1" applyFill="1" applyBorder="1" applyAlignment="1">
      <x:alignment vertical="top"/>
    </x:xf>
    <x:xf numFmtId="0" fontId="11" fillId="10" borderId="27" xfId="0" applyNumberFormat="1" applyFont="1" applyFill="1" applyBorder="1" applyAlignment="1">
      <x:alignment vertical="top" wrapText="1"/>
    </x:xf>
    <x:xf numFmtId="0" fontId="11" fillId="10" borderId="28" xfId="0" applyNumberFormat="1" applyFont="1" applyFill="1" applyBorder="1" applyAlignment="1">
      <x:alignment vertical="top" wrapText="1"/>
    </x:xf>
    <x:xf numFmtId="0" fontId="11" fillId="10" borderId="29" xfId="0" applyNumberFormat="1" applyFont="1" applyFill="1" applyBorder="1" applyAlignment="1">
      <x:alignment vertical="top"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1" fontId="12" fillId="0" borderId="0" xfId="0" applyNumberFormat="1" applyFont="1" applyFill="1" applyBorder="1" applyAlignment="1">
      <x:alignment vertical="top"/>
    </x:xf>
    <x:xf numFmtId="202" fontId="1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201" fontId="12" fillId="6" borderId="0" xfId="0" applyNumberFormat="1" applyFont="1" applyFill="1" applyBorder="1" applyAlignment="1">
      <x:alignment vertical="top"/>
    </x:xf>
    <x:xf numFmtId="202" fontId="12" fillId="6" borderId="0" xfId="0" applyNumberFormat="1" applyFont="1" applyFill="1" applyBorder="1" applyAlignment="1">
      <x:alignment vertical="top"/>
    </x:xf>
    <x:xf numFmtId="200" fontId="12" fillId="6" borderId="0" xfId="0" applyNumberFormat="1" applyFont="1" applyFill="1" applyBorder="1" applyAlignment="1">
      <x:alignment vertical="top"/>
    </x:xf>
    <x:xf numFmtId="201" fontId="12" fillId="6" borderId="6" xfId="0" applyNumberFormat="1" applyFont="1" applyFill="1" applyBorder="1" applyAlignment="1">
      <x:alignment vertical="top"/>
    </x:xf>
    <x:xf numFmtId="202" fontId="12" fillId="6" borderId="9" xfId="0" applyNumberFormat="1" applyFont="1" applyFill="1" applyBorder="1" applyAlignment="1">
      <x:alignment vertical="top"/>
    </x:xf>
    <x:xf numFmtId="200" fontId="12" fillId="6" borderId="9" xfId="0" applyNumberFormat="1" applyFont="1" applyFill="1" applyBorder="1" applyAlignment="1">
      <x:alignment vertical="top"/>
    </x:xf>
    <x:xf numFmtId="202" fontId="12" fillId="6" borderId="4" xfId="0" applyNumberFormat="1" applyFont="1" applyFill="1" applyBorder="1" applyAlignment="1">
      <x:alignment vertical="top"/>
    </x:xf>
    <x:xf numFmtId="201" fontId="12" fillId="6" borderId="7" xfId="0" applyNumberFormat="1" applyFont="1" applyFill="1" applyBorder="1" applyAlignment="1">
      <x:alignment vertical="top"/>
    </x:xf>
    <x:xf numFmtId="202" fontId="12" fillId="6" borderId="10" xfId="0" applyNumberFormat="1" applyFont="1" applyFill="1" applyBorder="1" applyAlignment="1">
      <x:alignment vertical="top"/>
    </x:xf>
    <x:xf numFmtId="200" fontId="12" fillId="6" borderId="10" xfId="0" applyNumberFormat="1" applyFont="1" applyFill="1" applyBorder="1" applyAlignment="1">
      <x:alignment vertical="top"/>
    </x:xf>
    <x:xf numFmtId="202" fontId="12" fillId="6" borderId="8" xfId="0" applyNumberFormat="1" applyFont="1" applyFill="1" applyBorder="1" applyAlignment="1">
      <x:alignment vertical="top"/>
    </x:xf>
    <x:xf numFmtId="201" fontId="12" fillId="6" borderId="3" xfId="0" applyNumberFormat="1" applyFont="1" applyFill="1" applyBorder="1" applyAlignment="1">
      <x:alignment vertical="top"/>
    </x:xf>
    <x:xf numFmtId="202" fontId="12" fillId="6" borderId="11" xfId="0" applyNumberFormat="1" applyFont="1" applyFill="1" applyBorder="1" applyAlignment="1">
      <x:alignment vertical="top"/>
    </x:xf>
    <x:xf numFmtId="200" fontId="12" fillId="6" borderId="11" xfId="0" applyNumberFormat="1" applyFont="1" applyFill="1" applyBorder="1" applyAlignment="1">
      <x:alignment vertical="top"/>
    </x:xf>
    <x:xf numFmtId="202" fontId="12" fillId="6" borderId="1" xfId="0" applyNumberFormat="1" applyFont="1" applyFill="1" applyBorder="1" applyAlignment="1">
      <x:alignment vertical="top"/>
    </x:xf>
    <x:xf numFmtId="200" fontId="1" fillId="8" borderId="16" xfId="0" applyNumberFormat="1" applyFont="1" applyFill="1" applyBorder="1" applyAlignment="1">
      <x:alignment vertical="top"/>
    </x:xf>
    <x:xf numFmtId="200" fontId="1" fillId="8" borderId="17" xfId="0" applyNumberFormat="1" applyFont="1" applyFill="1" applyBorder="1" applyAlignment="1">
      <x:alignment vertical="top"/>
    </x:xf>
    <x:xf numFmtId="200" fontId="1" fillId="8" borderId="18" xfId="0" applyNumberFormat="1" applyFont="1" applyFill="1" applyBorder="1" applyAlignment="1">
      <x:alignment vertical="top"/>
    </x:xf>
    <x:xf numFmtId="200" fontId="1" fillId="8" borderId="16" xfId="0" applyNumberFormat="1" applyFont="1" applyFill="1" applyBorder="1" applyAlignment="1">
      <x:alignment vertical="top" wrapText="1"/>
    </x:xf>
    <x:xf numFmtId="200" fontId="1" fillId="8" borderId="17" xfId="0" applyNumberFormat="1" applyFont="1" applyFill="1" applyBorder="1" applyAlignment="1">
      <x:alignment vertical="top" wrapText="1"/>
    </x:xf>
    <x:xf numFmtId="200" fontId="1" fillId="8" borderId="18"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200" fontId="1" fillId="8" borderId="19" xfId="0" applyNumberFormat="1" applyFont="1" applyFill="1" applyBorder="1" applyAlignment="1">
      <x:alignment vertical="top"/>
    </x:xf>
    <x:xf numFmtId="200" fontId="1" fillId="8" borderId="20" xfId="0" applyNumberFormat="1" applyFont="1" applyFill="1" applyBorder="1" applyAlignment="1">
      <x:alignment vertical="top"/>
    </x:xf>
    <x:xf numFmtId="200" fontId="1" fillId="8" borderId="21" xfId="0" applyNumberFormat="1" applyFont="1" applyFill="1" applyBorder="1" applyAlignment="1">
      <x:alignment vertical="top"/>
    </x:xf>
    <x:xf numFmtId="200" fontId="1" fillId="8" borderId="22" xfId="0" applyNumberFormat="1" applyFont="1" applyFill="1" applyBorder="1" applyAlignment="1">
      <x:alignment vertical="top"/>
    </x:xf>
    <x:xf numFmtId="200" fontId="1" fillId="8" borderId="0" xfId="0" applyNumberFormat="1" applyFont="1" applyFill="1" applyBorder="1" applyAlignment="1">
      <x:alignment vertical="top"/>
    </x:xf>
    <x:xf numFmtId="200" fontId="1" fillId="8" borderId="23" xfId="0" applyNumberFormat="1" applyFont="1" applyFill="1" applyBorder="1" applyAlignment="1">
      <x:alignment vertical="top"/>
    </x:xf>
    <x:xf numFmtId="200" fontId="1" fillId="8" borderId="24" xfId="0" applyNumberFormat="1" applyFont="1" applyFill="1" applyBorder="1" applyAlignment="1">
      <x:alignment vertical="top"/>
    </x:xf>
    <x:xf numFmtId="200" fontId="1" fillId="8" borderId="25" xfId="0" applyNumberFormat="1" applyFont="1" applyFill="1" applyBorder="1" applyAlignment="1">
      <x:alignment vertical="top"/>
    </x:xf>
    <x:xf numFmtId="200" fontId="1" fillId="8" borderId="26" xfId="0" applyNumberFormat="1" applyFont="1" applyFill="1" applyBorder="1" applyAlignment="1">
      <x:alignment vertical="top"/>
    </x:xf>
    <x:xf numFmtId="200" fontId="1" fillId="8" borderId="21" xfId="0" applyNumberFormat="1" applyFont="1" applyFill="1" applyBorder="1" applyAlignment="1">
      <x:alignment vertical="top" wrapText="1"/>
    </x:xf>
    <x:xf numFmtId="200" fontId="1" fillId="8" borderId="23" xfId="0" applyNumberFormat="1" applyFont="1" applyFill="1" applyBorder="1" applyAlignment="1">
      <x:alignment vertical="top" wrapText="1"/>
    </x:xf>
    <x:xf numFmtId="200" fontId="1" fillId="8" borderId="26" xfId="0" applyNumberFormat="1" applyFont="1" applyFill="1" applyBorder="1" applyAlignment="1">
      <x:alignment vertical="top" wrapText="1"/>
    </x:xf>
    <x:xf numFmtId="0" fontId="10" fillId="7" borderId="14" xfId="0" applyNumberFormat="1" applyFont="1" applyFill="1" applyBorder="1" applyAlignment="1">
      <x:alignment vertical="top"/>
    </x:xf>
    <x:xf numFmtId="200" fontId="10" fillId="7" borderId="14" xfId="0" applyNumberFormat="1" applyFont="1" applyFill="1" applyBorder="1" applyAlignment="1">
      <x:alignment vertical="top"/>
    </x:xf>
    <x:xf numFmtId="0" fontId="3" fillId="7" borderId="14" xfId="0" applyNumberFormat="1" applyFont="1" applyFill="1" applyBorder="1" applyAlignment="1">
      <x:alignment vertical="center" wrapText="1"/>
    </x:xf>
    <x:xf numFmtId="0" fontId="3" fillId="7" borderId="12" xfId="0" applyNumberFormat="1" applyFont="1" applyFill="1" applyBorder="1" applyAlignment="1">
      <x:alignment vertical="center" wrapText="1"/>
    </x:xf>
    <x:xf numFmtId="0" fontId="7" fillId="7" borderId="14" xfId="0" applyNumberFormat="1" applyFont="1" applyFill="1" applyBorder="1" applyAlignment="1">
      <x:alignment vertical="center" wrapText="1"/>
    </x:xf>
    <x:xf numFmtId="0" fontId="7" fillId="7" borderId="12" xfId="0" applyNumberFormat="1" applyFont="1" applyFill="1" applyBorder="1" applyAlignment="1">
      <x:alignment vertical="center" wrapText="1"/>
    </x:xf>
    <x:xf numFmtId="0" fontId="7" fillId="7" borderId="10" xfId="0" applyNumberFormat="1" applyFont="1" applyFill="1" applyBorder="1" applyAlignment="1">
      <x:alignment vertical="center" wrapText="1"/>
    </x:xf>
    <x:xf numFmtId="201" fontId="7" fillId="7" borderId="10" xfId="0" applyNumberFormat="1" applyFont="1" applyFill="1" applyBorder="1" applyAlignment="1">
      <x:alignment vertical="center" wrapText="1"/>
    </x:xf>
    <x:xf numFmtId="0" fontId="1" fillId="11" borderId="0" xfId="0" applyNumberFormat="1" applyFont="1" applyFill="1" applyBorder="1" applyAlignment="1">
      <x:alignment vertical="top"/>
    </x:xf>
    <x:xf numFmtId="0" fontId="13" fillId="11" borderId="0" xfId="0" applyNumberFormat="1" applyFont="1" applyFill="1" applyBorder="1" applyAlignment="1">
      <x:alignment vertical="top"/>
    </x:xf>
    <x:xf numFmtId="0" fontId="13" fillId="11" borderId="0" xfId="0" applyNumberFormat="1" applyFont="1" applyFill="1" applyBorder="1" applyAlignment="1">
      <x:alignment horizontal="center" vertical="top"/>
    </x:xf>
    <x:xf numFmtId="0" fontId="14" fillId="10" borderId="0" xfId="0" applyNumberFormat="1" applyFont="1" applyFill="1" applyBorder="1" applyAlignment="1">
      <x:alignment vertical="top"/>
    </x:xf>
    <x:xf numFmtId="0" fontId="14" fillId="10" borderId="0" xfId="0" applyNumberFormat="1" applyFont="1" applyFill="1" applyBorder="1" applyAlignment="1">
      <x:alignment horizontal="center" vertical="top"/>
    </x:xf>
    <x:xf numFmtId="0" fontId="12" fillId="11" borderId="0" xfId="0" applyNumberFormat="1" applyFont="1" applyFill="1" applyBorder="1" applyAlignment="1">
      <x:alignment vertical="top"/>
    </x:xf>
    <x:xf numFmtId="200" fontId="12" fillId="11" borderId="0" xfId="0" applyNumberFormat="1" applyFont="1" applyFill="1" applyBorder="1" applyAlignment="1">
      <x:alignment vertical="top"/>
    </x:xf>
    <x:xf numFmtId="200" fontId="12" fillId="11" borderId="0" xfId="0" applyNumberFormat="1" applyFont="1" applyFill="1" applyBorder="1" applyAlignment="1">
      <x:alignment vertical="top" wrapText="1"/>
    </x:xf>
    <x:xf numFmtId="202" fontId="12" fillId="11" borderId="0" xfId="0" applyNumberFormat="1" applyFont="1" applyFill="1" applyBorder="1" applyAlignment="1">
      <x:alignment vertical="top" wrapText="1"/>
    </x:xf>
    <x:xf numFmtId="203" fontId="12" fillId="11" borderId="0" xfId="0" applyNumberFormat="1" applyFont="1" applyFill="1" applyBorder="1" applyAlignment="1">
      <x:alignment vertical="top" wrapText="1"/>
    </x:xf>
    <x:xf numFmtId="204" fontId="1" fillId="0" borderId="0" xfId="0" applyNumberFormat="1" applyFont="1" applyFill="1" applyBorder="1" applyAlignment="1">
      <x:alignment vertical="top"/>
    </x:xf>
    <x:xf numFmtId="0" fontId="8" fillId="11" borderId="0" xfId="0" applyNumberFormat="1" applyFont="1" applyFill="1" applyBorder="1" applyAlignment="1">
      <x:alignment vertical="top"/>
    </x:xf>
    <x:xf numFmtId="0" fontId="8" fillId="11" borderId="0" xfId="0" applyNumberFormat="1" applyFont="1" applyFill="1" applyBorder="1" applyAlignment="1">
      <x:alignment horizontal="center" vertical="top"/>
    </x:xf>
    <x:xf numFmtId="0" fontId="3" fillId="3" borderId="6" xfId="0" applyNumberFormat="1" applyFont="1" applyFill="1" applyBorder="1" applyAlignment="1">
      <x:alignment vertical="center" wrapText="1"/>
    </x:xf>
    <x:xf numFmtId="0" fontId="3" fillId="3" borderId="9" xfId="0" applyNumberFormat="1" applyFont="1" applyFill="1" applyBorder="1" applyAlignment="1">
      <x:alignment vertical="center" wrapText="1"/>
    </x:xf>
    <x:xf numFmtId="0" fontId="1" fillId="0" borderId="7" xfId="0" applyNumberFormat="1" applyFont="1" applyFill="1" applyBorder="1" applyAlignment="1">
      <x:alignment vertical="top"/>
    </x:xf>
    <x:xf numFmtId="202" fontId="12" fillId="11" borderId="10" xfId="0" applyNumberFormat="1" applyFont="1" applyFill="1" applyBorder="1" applyAlignment="1">
      <x:alignment vertical="top" wrapText="1"/>
    </x:xf>
    <x:xf numFmtId="204" fontId="1" fillId="0" borderId="10" xfId="0" applyNumberFormat="1" applyFont="1" applyFill="1" applyBorder="1" applyAlignment="1">
      <x:alignment vertical="top"/>
    </x:xf>
    <x:xf numFmtId="0" fontId="8" fillId="11" borderId="10" xfId="0" applyNumberFormat="1" applyFont="1" applyFill="1" applyBorder="1" applyAlignment="1">
      <x:alignment horizontal="center" vertical="top"/>
    </x:xf>
    <x:xf numFmtId="203" fontId="12" fillId="11" borderId="10" xfId="0" applyNumberFormat="1" applyFont="1" applyFill="1" applyBorder="1" applyAlignment="1">
      <x:alignment vertical="top" wrapText="1"/>
    </x:xf>
    <x:xf numFmtId="200" fontId="12" fillId="11" borderId="10" xfId="0" applyNumberFormat="1" applyFont="1" applyFill="1" applyBorder="1" applyAlignment="1">
      <x:alignment vertical="top" wrapText="1"/>
    </x:xf>
    <x:xf numFmtId="203" fontId="12" fillId="11" borderId="11" xfId="0" applyNumberFormat="1" applyFont="1" applyFill="1" applyBorder="1" applyAlignment="1">
      <x:alignment vertical="top" wrapText="1"/>
    </x:xf>
    <x:xf numFmtId="204" fontId="1" fillId="0" borderId="11" xfId="0" applyNumberFormat="1" applyFont="1" applyFill="1" applyBorder="1" applyAlignment="1">
      <x:alignment vertical="top"/>
    </x:xf>
    <x:xf numFmtId="0" fontId="8" fillId="11" borderId="11" xfId="0" applyNumberFormat="1" applyFont="1" applyFill="1" applyBorder="1" applyAlignment="1">
      <x:alignment horizontal="center" vertical="top"/>
    </x:xf>
    <x:xf numFmtId="0" fontId="6" fillId="6" borderId="0" xfId="0" applyNumberFormat="1" applyFont="1" applyFill="1" applyBorder="1" applyAlignment="1">
      <x:alignment vertical="top" wrapText="1"/>
    </x:xf>
    <x:xf numFmtId="0" fontId="6" fillId="6"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ff71454442640df" /><Relationship Type="http://schemas.openxmlformats.org/officeDocument/2006/relationships/theme" Target="/xl/theme/theme1.xml" Id="R4e46d6f9fb2f4905" /><Relationship Type="http://schemas.openxmlformats.org/officeDocument/2006/relationships/sharedStrings" Target="/xl/sharedStrings.xml" Id="R3afa4a58952442e7" /><Relationship Type="http://schemas.openxmlformats.org/officeDocument/2006/relationships/worksheet" Target="/xl/worksheets/sheet1.xml" Id="Re9d97b33def14426" /><Relationship Type="http://schemas.openxmlformats.org/officeDocument/2006/relationships/worksheet" Target="/xl/worksheets/sheet2.xml" Id="Rb8808e5d68fc40de" /><Relationship Type="http://schemas.openxmlformats.org/officeDocument/2006/relationships/worksheet" Target="/xl/worksheets/sheet3.xml" Id="R57d96af1a23b4672" /><Relationship Type="http://schemas.openxmlformats.org/officeDocument/2006/relationships/worksheet" Target="/xl/worksheets/sheet4.xml" Id="Rf15f9a6c36874829" /><Relationship Type="http://schemas.openxmlformats.org/officeDocument/2006/relationships/worksheet" Target="/xl/worksheets/sheet5.xml" Id="R8dcebfe725884b1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0" hidden="0" customWidth="1"/>
    <x:col min="3" max="3" width="18" hidden="0" customWidth="1"/>
    <x:col min="4" max="4" width="42" hidden="0" customWidth="1"/>
    <x:col min="5" max="5" width="12" hidden="0" customWidth="1"/>
    <x:col min="6" max="6" width="12" hidden="0" customWidth="1"/>
    <x:col min="7" max="7" width="12" hidden="0" customWidth="1"/>
    <x:col min="8" max="8" width="12" hidden="0" customWidth="1"/>
  </x:cols>
  <x:sheetData>
    <x:row r="1" ht="30" customHeight="1">
      <x:c r="A1" s="5" t="str">
        <x:v>Time Value of Money — Decision Model</x:v>
      </x:c>
      <x:c r="B1" s="5"/>
      <x:c r="C1" s="5"/>
      <x:c r="D1" s="5"/>
      <x:c r="E1" s="5"/>
      <x:c r="F1" s="5"/>
      <x:c r="G1" s="5"/>
      <x:c r="H1" s="5"/>
    </x:row>
    <x:row r="2">
      <x:c r="A2" s="2"/>
      <x:c r="B2" s="2"/>
      <x:c r="C2" s="2"/>
      <x:c r="D2" s="2"/>
      <x:c r="E2" s="2"/>
      <x:c r="F2" s="2"/>
      <x:c r="G2" s="2"/>
      <x:c r="H2" s="2"/>
    </x:row>
    <x:row r="3">
      <x:c r="A3" s="8" t="str">
        <x:v>BUS311 · Valuation M05 · Student starter · Version 2026-07-28</x:v>
      </x:c>
      <x:c r="B3" s="8"/>
      <x:c r="C3" s="8"/>
      <x:c r="D3" s="8"/>
      <x:c r="E3" s="8"/>
      <x:c r="F3" s="8"/>
      <x:c r="G3" s="8"/>
      <x:c r="H3" s="8"/>
    </x:row>
    <x:row r="4">
      <x:c r="A4" s="2"/>
      <x:c r="B4" s="2"/>
      <x:c r="C4" s="2"/>
      <x:c r="D4" s="2"/>
      <x:c r="E4" s="2"/>
      <x:c r="F4" s="2"/>
      <x:c r="G4" s="2"/>
      <x:c r="H4" s="2"/>
    </x:row>
    <x:row r="5" ht="28" customHeight="1">
      <x:c r="A5" s="23" t="str">
        <x:v>Decision objective: compare a cash purchase with beginning-of-month financing on the same valuation date. Complete the timeline before selecting functions, then normalize rates and periods, value both alternatives, stress-test the result, and state the choice in today’s dollars.</x:v>
      </x:c>
      <x:c r="B5" s="24"/>
      <x:c r="C5" s="24"/>
      <x:c r="D5" s="24"/>
      <x:c r="E5" s="24"/>
      <x:c r="F5" s="24"/>
      <x:c r="G5" s="24"/>
      <x:c r="H5" s="25"/>
    </x:row>
    <x:row r="6" ht="28" customHeight="1">
      <x:c r="A6" s="26"/>
      <x:c r="B6" s="27"/>
      <x:c r="C6" s="27"/>
      <x:c r="D6" s="27"/>
      <x:c r="E6" s="27"/>
      <x:c r="F6" s="27"/>
      <x:c r="G6" s="27"/>
      <x:c r="H6" s="28"/>
    </x:row>
    <x:row r="7">
      <x:c r="A7" s="2"/>
      <x:c r="B7" s="2"/>
      <x:c r="C7" s="2"/>
      <x:c r="D7" s="2"/>
      <x:c r="E7" s="2"/>
      <x:c r="F7" s="2"/>
      <x:c r="G7" s="2"/>
      <x:c r="H7" s="2"/>
    </x:row>
    <x:row r="8" ht="22" customHeight="1">
      <x:c r="A8" s="31" t="str">
        <x:v>Required decision sequence</x:v>
      </x:c>
      <x:c r="B8" s="31"/>
      <x:c r="C8" s="31"/>
      <x:c r="D8" s="31"/>
      <x:c r="E8" s="31"/>
      <x:c r="F8" s="31"/>
      <x:c r="G8" s="31"/>
      <x:c r="H8" s="31"/>
    </x:row>
    <x:row r="9" ht="28" customHeight="1">
      <x:c r="A9" s="35" t="str">
        <x:v>Map</x:v>
      </x:c>
      <x:c r="B9" s="41" t="str">
        <x:v>Place each signed cash flow on the timeline and identify the valuation date.</x:v>
      </x:c>
      <x:c r="C9" s="2"/>
      <x:c r="D9" s="2"/>
      <x:c r="E9" s="2"/>
      <x:c r="F9" s="2"/>
      <x:c r="G9" s="2"/>
      <x:c r="H9" s="2"/>
    </x:row>
    <x:row r="10" ht="28" customHeight="1">
      <x:c r="A10" s="37" t="str">
        <x:v>Diagnose</x:v>
      </x:c>
      <x:c r="B10" s="42" t="str">
        <x:v>Explain the sign, unit, period-count, APR/EAR, and payment-timing errors in the broken formulas.</x:v>
      </x:c>
      <x:c r="C10" s="2"/>
      <x:c r="D10" s="2"/>
      <x:c r="E10" s="2"/>
      <x:c r="F10" s="2"/>
      <x:c r="G10" s="2"/>
      <x:c r="H10" s="2"/>
    </x:row>
    <x:row r="11" ht="28" customHeight="1">
      <x:c r="A11" s="37" t="str">
        <x:v>Normalize</x:v>
      </x:c>
      <x:c r="B11" s="42" t="str">
        <x:v>Convert the quoted nominal APR to a periodic rate and calculate the EAR.</x:v>
      </x:c>
      <x:c r="C11" s="2"/>
      <x:c r="D11" s="2"/>
      <x:c r="E11" s="2"/>
      <x:c r="F11" s="2"/>
      <x:c r="G11" s="2"/>
      <x:c r="H11" s="2"/>
    </x:row>
    <x:row r="12" ht="28" customHeight="1">
      <x:c r="A12" s="37" t="str">
        <x:v>Model</x:v>
      </x:c>
      <x:c r="B12" s="42" t="str">
        <x:v>Use Excel PV and FV functions with linked cells; do not hard-code formula arguments.</x:v>
      </x:c>
      <x:c r="C12" s="2"/>
      <x:c r="D12" s="2"/>
      <x:c r="E12" s="2"/>
      <x:c r="F12" s="2"/>
      <x:c r="G12" s="2"/>
      <x:c r="H12" s="2"/>
    </x:row>
    <x:row r="13" ht="28" customHeight="1">
      <x:c r="A13" s="37" t="str">
        <x:v>Compare</x:v>
      </x:c>
      <x:c r="B13" s="42" t="str">
        <x:v>Put the cash and financing alternatives in today’s dollars before choosing.</x:v>
      </x:c>
      <x:c r="C13" s="2"/>
      <x:c r="D13" s="2"/>
      <x:c r="E13" s="2"/>
      <x:c r="F13" s="2"/>
      <x:c r="G13" s="2"/>
      <x:c r="H13" s="2"/>
    </x:row>
    <x:row r="14" ht="28" customHeight="1">
      <x:c r="A14" s="37" t="str">
        <x:v>Stress-test</x:v>
      </x:c>
      <x:c r="B14" s="42" t="str">
        <x:v>Write one linked sensitivity formula, then copy it across and down.</x:v>
      </x:c>
      <x:c r="C14" s="2"/>
      <x:c r="D14" s="2"/>
      <x:c r="E14" s="2"/>
      <x:c r="F14" s="2"/>
      <x:c r="G14" s="2"/>
      <x:c r="H14" s="2"/>
    </x:row>
    <x:row r="15" ht="28" customHeight="1">
      <x:c r="A15" s="39" t="str">
        <x:v>Decide</x:v>
      </x:c>
      <x:c r="B15" s="43" t="str">
        <x:v>State the recommendation, evidence, and one assumption that could reverse it.</x:v>
      </x:c>
      <x:c r="C15" s="2"/>
      <x:c r="D15" s="2"/>
      <x:c r="E15" s="2"/>
      <x:c r="F15" s="2"/>
      <x:c r="G15" s="2"/>
      <x:c r="H15" s="2"/>
    </x:row>
    <x:row r="16">
      <x:c r="A16" s="2"/>
      <x:c r="B16" s="2"/>
      <x:c r="C16" s="2"/>
      <x:c r="D16" s="2"/>
      <x:c r="E16" s="2"/>
      <x:c r="F16" s="2"/>
      <x:c r="G16" s="2"/>
      <x:c r="H16" s="2"/>
    </x:row>
    <x:row r="17" ht="22" customHeight="1">
      <x:c r="A17" s="31" t="str">
        <x:v>Deliverables</x:v>
      </x:c>
      <x:c r="B17" s="31"/>
      <x:c r="C17" s="31"/>
      <x:c r="D17" s="31"/>
      <x:c r="E17" s="31"/>
      <x:c r="F17" s="31"/>
      <x:c r="G17" s="31"/>
      <x:c r="H17" s="31"/>
    </x:row>
    <x:row r="18" ht="28" customHeight="1">
      <x:c r="A18" s="44" t="str">
        <x:v>Timeline</x:v>
      </x:c>
      <x:c r="B18" s="41" t="str">
        <x:v>Complete all cash-flow positions, directions, first-payment timing, and pattern labels.</x:v>
      </x:c>
      <x:c r="C18" s="2"/>
      <x:c r="D18" s="2"/>
      <x:c r="E18" s="2"/>
      <x:c r="F18" s="2"/>
      <x:c r="G18" s="2"/>
      <x:c r="H18" s="2"/>
    </x:row>
    <x:row r="19" ht="28" customHeight="1">
      <x:c r="A19" s="45" t="str">
        <x:v>Model</x:v>
      </x:c>
      <x:c r="B19" s="42" t="str">
        <x:v>Use real cell references for the rate, nper, pmt, pv/fv, and type arguments.</x:v>
      </x:c>
      <x:c r="C19" s="2"/>
      <x:c r="D19" s="2"/>
      <x:c r="E19" s="2"/>
      <x:c r="F19" s="2"/>
      <x:c r="G19" s="2"/>
      <x:c r="H19" s="2"/>
    </x:row>
    <x:row r="20" ht="28" customHeight="1">
      <x:c r="A20" s="45" t="str">
        <x:v>Sensitivity</x:v>
      </x:c>
      <x:c r="B20" s="42" t="str">
        <x:v>Complete the 4 × 5 linked block and verify that the base case ties to the decision model.</x:v>
      </x:c>
      <x:c r="C20" s="2"/>
      <x:c r="D20" s="2"/>
      <x:c r="E20" s="2"/>
      <x:c r="F20" s="2"/>
      <x:c r="G20" s="2"/>
      <x:c r="H20" s="2"/>
    </x:row>
    <x:row r="21" ht="28" customHeight="1">
      <x:c r="A21" s="45" t="str">
        <x:v>Checks</x:v>
      </x:c>
      <x:c r="B21" s="42" t="str">
        <x:v>Clear each reasonableness, direction, sign, and tie-out check.</x:v>
      </x:c>
      <x:c r="C21" s="2"/>
      <x:c r="D21" s="2"/>
      <x:c r="E21" s="2"/>
      <x:c r="F21" s="2"/>
      <x:c r="G21" s="2"/>
      <x:c r="H21" s="2"/>
    </x:row>
    <x:row r="22" ht="28" customHeight="1">
      <x:c r="A22" s="46" t="str">
        <x:v>Decision output</x:v>
      </x:c>
      <x:c r="B22" s="43" t="str">
        <x:v>Write a short choice in today’s dollars with evidence and a reversal trigger.</x:v>
      </x:c>
      <x:c r="C22" s="2"/>
      <x:c r="D22" s="2"/>
      <x:c r="E22" s="2"/>
      <x:c r="F22" s="2"/>
      <x:c r="G22" s="2"/>
      <x:c r="H22" s="2"/>
    </x:row>
    <x:row r="23">
      <x:c r="A23" s="2"/>
      <x:c r="B23" s="2"/>
      <x:c r="C23" s="2"/>
      <x:c r="D23" s="2"/>
      <x:c r="E23" s="2"/>
      <x:c r="F23" s="2"/>
      <x:c r="G23" s="2"/>
      <x:c r="H23" s="2"/>
    </x:row>
    <x:row r="24" ht="22" customHeight="1">
      <x:c r="A24" s="31" t="str">
        <x:v>Workbook legend and modeling conventions</x:v>
      </x:c>
      <x:c r="B24" s="31"/>
      <x:c r="C24" s="31"/>
      <x:c r="D24" s="31"/>
      <x:c r="E24" s="31"/>
      <x:c r="F24" s="31"/>
      <x:c r="G24" s="31"/>
      <x:c r="H24" s="31"/>
    </x:row>
    <x:row r="25" ht="30" customHeight="1">
      <x:c r="A25" s="54" t="str">
        <x:v>Blue input</x:v>
      </x:c>
      <x:c r="B25" s="62" t="str">
        <x:v>Given teaching-scenario assumption</x:v>
      </x:c>
      <x:c r="C25" s="63" t="str">
        <x:v>Yellow cell</x:v>
      </x:c>
      <x:c r="D25" s="41" t="str">
        <x:v>Student formula, choice, diagnosis, or interpretation</x:v>
      </x:c>
      <x:c r="E25" s="2"/>
      <x:c r="F25" s="2"/>
      <x:c r="G25" s="2"/>
      <x:c r="H25" s="2"/>
    </x:row>
    <x:row r="26" ht="30" customHeight="1">
      <x:c r="A26" s="57" t="str">
        <x:v>Green font</x:v>
      </x:c>
      <x:c r="B26" s="64" t="str">
        <x:v>Formula linked from another worksheet</x:v>
      </x:c>
      <x:c r="C26" s="65" t="str">
        <x:v>Black formula</x:v>
      </x:c>
      <x:c r="D26" s="42" t="str">
        <x:v>Formula calculated on the current worksheet</x:v>
      </x:c>
      <x:c r="E26" s="2"/>
      <x:c r="F26" s="2"/>
      <x:c r="G26" s="2"/>
      <x:c r="H26" s="2"/>
    </x:row>
    <x:row r="27" ht="30" customHeight="1">
      <x:c r="A27" s="60" t="str">
        <x:v>Cash-flow signs</x:v>
      </x:c>
      <x:c r="B27" s="66" t="str">
        <x:v>Negative = cash paid; positive = cash received</x:v>
      </x:c>
      <x:c r="C27" s="66" t="str">
        <x:v>Value date</x:v>
      </x:c>
      <x:c r="D27" s="43" t="str">
        <x:v>Today unless the row explicitly says Month 24</x:v>
      </x:c>
      <x:c r="E27" s="2"/>
      <x:c r="F27" s="2"/>
      <x:c r="G27" s="2"/>
      <x:c r="H27" s="2"/>
    </x:row>
    <x:row r="28">
      <x:c r="A28" s="2"/>
      <x:c r="B28" s="2"/>
      <x:c r="C28" s="2"/>
      <x:c r="D28" s="2"/>
      <x:c r="E28" s="2"/>
      <x:c r="F28" s="2"/>
      <x:c r="G28" s="2"/>
      <x:c r="H28" s="2"/>
    </x:row>
    <x:row r="29" ht="22" customHeight="1">
      <x:c r="A29" s="31" t="str">
        <x:v>Source and scope note</x:v>
      </x:c>
      <x:c r="B29" s="31"/>
      <x:c r="C29" s="31"/>
      <x:c r="D29" s="31"/>
      <x:c r="E29" s="31"/>
      <x:c r="F29" s="31"/>
      <x:c r="G29" s="31"/>
      <x:c r="H29" s="31"/>
    </x:row>
    <x:row r="30" ht="24" customHeight="1">
      <x:c r="A30" s="84" t="str">
        <x:v>This is a clearly labeled Berkshire Hathaway teaching scenario; the cash amounts and financing quote are instructional assumptions, not company disclosures or an offer. If your instructor substitutes a FactSet-backed rate, record the field name, company, fiscal period, units, currency, retrieval date, and rate definition before using it.</x:v>
      </x:c>
      <x:c r="B30" s="85"/>
      <x:c r="C30" s="85"/>
      <x:c r="D30" s="85"/>
      <x:c r="E30" s="85"/>
      <x:c r="F30" s="85"/>
      <x:c r="G30" s="85"/>
      <x:c r="H30" s="86"/>
    </x:row>
    <x:row r="31" ht="24" customHeight="1">
      <x:c r="A31" s="87"/>
      <x:c r="B31" s="88"/>
      <x:c r="C31" s="88"/>
      <x:c r="D31" s="88"/>
      <x:c r="E31" s="88"/>
      <x:c r="F31" s="88"/>
      <x:c r="G31" s="88"/>
      <x:c r="H31" s="89"/>
    </x:row>
    <x:row r="32" ht="24" customHeight="1">
      <x:c r="A32" s="90"/>
      <x:c r="B32" s="91"/>
      <x:c r="C32" s="91"/>
      <x:c r="D32" s="91"/>
      <x:c r="E32" s="91"/>
      <x:c r="F32" s="91"/>
      <x:c r="G32" s="91"/>
      <x:c r="H32" s="92"/>
    </x:row>
    <x:row r="33">
      <x:c r="A33" s="2"/>
      <x:c r="B33" s="2"/>
      <x:c r="C33" s="2"/>
      <x:c r="D33" s="2"/>
      <x:c r="E33" s="2"/>
      <x:c r="F33" s="2"/>
      <x:c r="G33" s="2"/>
      <x:c r="H33" s="2"/>
    </x:row>
    <x:row r="34">
      <x:c r="A34" s="2"/>
      <x:c r="B34" s="2"/>
      <x:c r="C34" s="2"/>
      <x:c r="D34" s="2"/>
      <x:c r="E34" s="2"/>
      <x:c r="F34" s="2"/>
      <x:c r="G34" s="2"/>
      <x:c r="H34" s="2"/>
    </x:row>
  </x:sheetData>
  <x:mergeCells>
    <x:mergeCell ref="A1:H1"/>
    <x:mergeCell ref="A3:H3"/>
    <x:mergeCell ref="A5:H6"/>
    <x:mergeCell ref="A8:H8"/>
    <x:mergeCell ref="A17:H17"/>
    <x:mergeCell ref="A24:H24"/>
    <x:mergeCell ref="A29:H29"/>
    <x:mergeCell ref="A30:H3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1" hidden="0" customWidth="1"/>
    <x:col min="2" max="2" width="17" hidden="0" customWidth="1"/>
    <x:col min="3" max="3" width="27" hidden="0" customWidth="1"/>
    <x:col min="4" max="4" width="22" hidden="0" customWidth="1"/>
    <x:col min="5" max="5" width="25" hidden="0" customWidth="1"/>
    <x:col min="6" max="6" width="25" hidden="0" customWidth="1"/>
    <x:col min="7" max="7" width="22" hidden="0" customWidth="1"/>
    <x:col min="8" max="8" width="31" hidden="0" customWidth="1"/>
  </x:cols>
  <x:sheetData>
    <x:row r="1" ht="30" customHeight="1">
      <x:c r="A1" s="5" t="str">
        <x:v>Map the cash before choosing the function</x:v>
      </x:c>
      <x:c r="B1" s="5"/>
      <x:c r="C1" s="5"/>
      <x:c r="D1" s="5"/>
      <x:c r="E1" s="5"/>
      <x:c r="F1" s="5"/>
      <x:c r="G1" s="5"/>
      <x:c r="H1" s="5"/>
    </x:row>
    <x:row r="2">
      <x:c r="A2" s="2"/>
      <x:c r="B2" s="2"/>
      <x:c r="C2" s="2"/>
      <x:c r="D2" s="2"/>
      <x:c r="E2" s="2"/>
      <x:c r="F2" s="2"/>
      <x:c r="G2" s="2"/>
      <x:c r="H2" s="2"/>
    </x:row>
    <x:row r="3" ht="26" customHeight="1">
      <x:c r="A3" s="84" t="str">
        <x:v>Berkshire teaching scenario: a wholly owned operation can buy equipment for cash today or finance it with 24 beginning-of-month payments plus a balloon at Month 24. Treat all amounts from the company’s point of view.</x:v>
      </x:c>
      <x:c r="B3" s="85"/>
      <x:c r="C3" s="85"/>
      <x:c r="D3" s="85"/>
      <x:c r="E3" s="85"/>
      <x:c r="F3" s="85"/>
      <x:c r="G3" s="85"/>
      <x:c r="H3" s="86"/>
    </x:row>
    <x:row r="4" ht="26" customHeight="1">
      <x:c r="A4" s="90"/>
      <x:c r="B4" s="91"/>
      <x:c r="C4" s="91"/>
      <x:c r="D4" s="91"/>
      <x:c r="E4" s="91"/>
      <x:c r="F4" s="91"/>
      <x:c r="G4" s="91"/>
      <x:c r="H4" s="92"/>
    </x:row>
    <x:row r="5">
      <x:c r="A5" s="2"/>
      <x:c r="B5" s="2"/>
      <x:c r="C5" s="2"/>
      <x:c r="D5" s="2"/>
      <x:c r="E5" s="2"/>
      <x:c r="F5" s="2"/>
      <x:c r="G5" s="2"/>
      <x:c r="H5" s="2"/>
    </x:row>
    <x:row r="6" ht="22" customHeight="1">
      <x:c r="A6" s="31" t="str">
        <x:v>Given assumptions</x:v>
      </x:c>
      <x:c r="B6" s="31"/>
      <x:c r="C6" s="31"/>
      <x:c r="D6" s="2"/>
      <x:c r="E6" s="31" t="str">
        <x:v>Normalize the quote and choose functions</x:v>
      </x:c>
      <x:c r="F6" s="31"/>
      <x:c r="G6" s="31"/>
      <x:c r="H6" s="31"/>
    </x:row>
    <x:row r="7" ht="30" customHeight="1">
      <x:c r="A7" s="99" t="str">
        <x:v>Input</x:v>
      </x:c>
      <x:c r="B7" s="100" t="str">
        <x:v>Value</x:v>
      </x:c>
      <x:c r="C7" s="101" t="str">
        <x:v>Unit / definition</x:v>
      </x:c>
      <x:c r="D7" s="2"/>
      <x:c r="E7" s="99" t="str">
        <x:v>Decision input</x:v>
      </x:c>
      <x:c r="F7" s="100" t="str">
        <x:v>Student cell</x:v>
      </x:c>
      <x:c r="G7" s="100" t="str">
        <x:v>Unit</x:v>
      </x:c>
      <x:c r="H7" s="101" t="str">
        <x:v>Audit question</x:v>
      </x:c>
    </x:row>
    <x:row r="8" ht="30" customHeight="1">
      <x:c r="A8" s="2" t="str">
        <x:v>Cash price today</x:v>
      </x:c>
      <x:c r="B8" s="104" t="n">
        <x:v>-80000</x:v>
      </x:c>
      <x:c r="C8" s="2" t="str">
        <x:v>Company cash outflow at t = 0</x:v>
      </x:c>
      <x:c r="D8" s="2"/>
      <x:c r="E8" s="2" t="str">
        <x:v>Periodic rate</x:v>
      </x:c>
      <x:c r="F8" s="115"/>
      <x:c r="G8" s="2" t="str">
        <x:v>per month</x:v>
      </x:c>
      <x:c r="H8" s="2" t="str">
        <x:v>Does the rate speak the same language as nper?</x:v>
      </x:c>
    </x:row>
    <x:row r="9" ht="30" customHeight="1">
      <x:c r="A9" s="2" t="str">
        <x:v>Quoted nominal APR</x:v>
      </x:c>
      <x:c r="B9" s="105" t="n">
        <x:v>0.096</x:v>
      </x:c>
      <x:c r="C9" s="2" t="str">
        <x:v>Compounded monthly</x:v>
      </x:c>
      <x:c r="D9" s="2"/>
      <x:c r="E9" s="2" t="str">
        <x:v>Number of periods</x:v>
      </x:c>
      <x:c r="F9" s="117"/>
      <x:c r="G9" s="2" t="str">
        <x:v>months</x:v>
      </x:c>
      <x:c r="H9" s="2" t="str">
        <x:v>How many payment intervals occur?</x:v>
      </x:c>
    </x:row>
    <x:row r="10" ht="30" customHeight="1">
      <x:c r="A10" s="2" t="str">
        <x:v>Compounding periods per year</x:v>
      </x:c>
      <x:c r="B10" s="108" t="n">
        <x:v>12</x:v>
      </x:c>
      <x:c r="C10" s="2" t="str">
        <x:v>Months per year</x:v>
      </x:c>
      <x:c r="D10" s="2"/>
      <x:c r="E10" s="2" t="str">
        <x:v>Effective annual rate</x:v>
      </x:c>
      <x:c r="F10" s="115"/>
      <x:c r="G10" s="2" t="str">
        <x:v>EAR</x:v>
      </x:c>
      <x:c r="H10" s="2" t="str">
        <x:v>What is the actual one-year growth rate?</x:v>
      </x:c>
    </x:row>
    <x:row r="11" ht="30" customHeight="1">
      <x:c r="A11" s="2" t="str">
        <x:v>Term</x:v>
      </x:c>
      <x:c r="B11" s="109" t="n">
        <x:v>24</x:v>
      </x:c>
      <x:c r="C11" s="2" t="str">
        <x:v>Months</x:v>
      </x:c>
      <x:c r="D11" s="2"/>
      <x:c r="E11" s="2" t="str">
        <x:v>Payment-stream function</x:v>
      </x:c>
      <x:c r="F11" s="124"/>
      <x:c r="G11" s="2" t="str">
        <x:v>function</x:v>
      </x:c>
      <x:c r="H11" s="2" t="str">
        <x:v>Which function values equal finite payments today?</x:v>
      </x:c>
    </x:row>
    <x:row r="12" ht="30" customHeight="1">
      <x:c r="A12" s="2" t="str">
        <x:v>Monthly payment</x:v>
      </x:c>
      <x:c r="B12" s="110" t="n">
        <x:v>-3150</x:v>
      </x:c>
      <x:c r="C12" s="2" t="str">
        <x:v>Company cash outflow</x:v>
      </x:c>
      <x:c r="D12" s="2"/>
      <x:c r="E12" s="2" t="str">
        <x:v>Balloon function</x:v>
      </x:c>
      <x:c r="F12" s="125"/>
      <x:c r="G12" s="2" t="str">
        <x:v>function</x:v>
      </x:c>
      <x:c r="H12" s="2" t="str">
        <x:v>Which function values one future lump sum today?</x:v>
      </x:c>
    </x:row>
    <x:row r="13" ht="30" customHeight="1">
      <x:c r="A13" s="2" t="str">
        <x:v>Balloon payment</x:v>
      </x:c>
      <x:c r="B13" s="111" t="n">
        <x:v>-8000</x:v>
      </x:c>
      <x:c r="C13" s="2" t="str">
        <x:v>Company outflow at Month 24</x:v>
      </x:c>
      <x:c r="D13" s="2"/>
      <x:c r="E13" s="2" t="str">
        <x:v>Payment timing</x:v>
      </x:c>
      <x:c r="F13" s="126"/>
      <x:c r="G13" s="2" t="str">
        <x:v>type meaning</x:v>
      </x:c>
      <x:c r="H13" s="2" t="str">
        <x:v>Does the first payment occur today or one month later?</x:v>
      </x:c>
    </x:row>
    <x:row r="14" ht="30" customHeight="1">
      <x:c r="A14" s="2" t="str">
        <x:v>Payment type</x:v>
      </x:c>
      <x:c r="B14" s="112" t="n">
        <x:v>1</x:v>
      </x:c>
      <x:c r="C14" s="2" t="str">
        <x:v>1 = beginning; 0 = end</x:v>
      </x:c>
      <x:c r="D14" s="2"/>
      <x:c r="E14" s="2"/>
      <x:c r="F14" s="2"/>
      <x:c r="G14" s="2"/>
      <x:c r="H14" s="2"/>
    </x:row>
    <x:row r="15">
      <x:c r="A15" s="2"/>
      <x:c r="B15" s="2"/>
      <x:c r="C15" s="2"/>
      <x:c r="D15" s="2"/>
      <x:c r="E15" s="2"/>
      <x:c r="F15" s="2"/>
      <x:c r="G15" s="2"/>
      <x:c r="H15" s="2"/>
    </x:row>
    <x:row r="16" ht="22" customHeight="1">
      <x:c r="A16" s="31" t="str">
        <x:v>Complete the cash-flow timeline before building the model</x:v>
      </x:c>
      <x:c r="B16" s="31"/>
      <x:c r="C16" s="31"/>
      <x:c r="D16" s="31"/>
      <x:c r="E16" s="31"/>
      <x:c r="F16" s="31"/>
      <x:c r="G16" s="31"/>
      <x:c r="H16" s="31"/>
    </x:row>
    <x:row r="17" ht="32" customHeight="1">
      <x:c r="A17" s="99" t="str">
        <x:v>Cash-flow element</x:v>
      </x:c>
      <x:c r="B17" s="100" t="str">
        <x:v>Today (t=0)</x:v>
      </x:c>
      <x:c r="C17" s="100" t="str">
        <x:v>Month 1</x:v>
      </x:c>
      <x:c r="D17" s="100" t="str">
        <x:v>Months 2–23</x:v>
      </x:c>
      <x:c r="E17" s="100" t="str">
        <x:v>Month 24</x:v>
      </x:c>
      <x:c r="F17" s="100" t="str">
        <x:v>Direction</x:v>
      </x:c>
      <x:c r="G17" s="100" t="str">
        <x:v>First payment</x:v>
      </x:c>
      <x:c r="H17" s="101" t="str">
        <x:v>Pattern / function family</x:v>
      </x:c>
    </x:row>
    <x:row r="18" ht="32" customHeight="1">
      <x:c r="A18" s="2" t="str">
        <x:v>Alternative A — cash price</x:v>
      </x:c>
      <x:c r="B18" s="153"/>
      <x:c r="C18" s="154"/>
      <x:c r="D18" s="154"/>
      <x:c r="E18" s="154"/>
      <x:c r="F18" s="145"/>
      <x:c r="G18" s="145"/>
      <x:c r="H18" s="146"/>
    </x:row>
    <x:row r="19" ht="32" customHeight="1">
      <x:c r="A19" s="2" t="str">
        <x:v>Alternative B — monthly payments</x:v>
      </x:c>
      <x:c r="B19" s="155"/>
      <x:c r="C19" s="156"/>
      <x:c r="D19" s="156"/>
      <x:c r="E19" s="156"/>
      <x:c r="F19" s="148"/>
      <x:c r="G19" s="148"/>
      <x:c r="H19" s="149"/>
    </x:row>
    <x:row r="20" ht="32" customHeight="1">
      <x:c r="A20" s="2" t="str">
        <x:v>Alternative B — balloon</x:v>
      </x:c>
      <x:c r="B20" s="157"/>
      <x:c r="C20" s="158"/>
      <x:c r="D20" s="158"/>
      <x:c r="E20" s="158"/>
      <x:c r="F20" s="151"/>
      <x:c r="G20" s="151"/>
      <x:c r="H20" s="152"/>
    </x:row>
    <x:row r="21">
      <x:c r="A21" s="2"/>
      <x:c r="B21" s="2"/>
      <x:c r="C21" s="2"/>
      <x:c r="D21" s="2"/>
      <x:c r="E21" s="2"/>
      <x:c r="F21" s="2"/>
      <x:c r="G21" s="2"/>
      <x:c r="H21" s="2"/>
    </x:row>
    <x:row r="22" ht="30" customHeight="1">
      <x:c r="A22" s="164" t="str">
        <x:v>Gate: do not move to the model until each row shows when cash moves, its sign, the first-payment date, and the matching cash-flow pattern.</x:v>
      </x:c>
      <x:c r="B22" s="165"/>
      <x:c r="C22" s="165"/>
      <x:c r="D22" s="165"/>
      <x:c r="E22" s="165"/>
      <x:c r="F22" s="165"/>
      <x:c r="G22" s="165"/>
      <x:c r="H22" s="166"/>
    </x:row>
    <x:row r="23">
      <x:c r="A23" s="2"/>
      <x:c r="B23" s="2"/>
      <x:c r="C23" s="2"/>
      <x:c r="D23" s="2"/>
      <x:c r="E23" s="2"/>
      <x:c r="F23" s="2"/>
      <x:c r="G23" s="2"/>
      <x:c r="H23" s="2"/>
    </x:row>
    <x:row r="24" ht="22" customHeight="1">
      <x:c r="A24" s="31" t="str">
        <x:v>Diagnose the model before trusting the output</x:v>
      </x:c>
      <x:c r="B24" s="31"/>
      <x:c r="C24" s="31"/>
      <x:c r="D24" s="31"/>
      <x:c r="E24" s="31"/>
      <x:c r="F24" s="31"/>
      <x:c r="G24" s="31"/>
      <x:c r="H24" s="31"/>
    </x:row>
    <x:row r="25" ht="30" customHeight="1">
      <x:c r="A25" s="99" t="str">
        <x:v>Broken setup</x:v>
      </x:c>
      <x:c r="B25" s="100" t="str">
        <x:v>Student diagnosis</x:v>
      </x:c>
      <x:c r="C25" s="100"/>
      <x:c r="D25" s="100" t="str">
        <x:v>Corrected setup or rule</x:v>
      </x:c>
      <x:c r="E25" s="100"/>
      <x:c r="F25" s="100"/>
      <x:c r="G25" s="100" t="str">
        <x:v>Direction / reasonableness check</x:v>
      </x:c>
      <x:c r="H25" s="101"/>
    </x:row>
    <x:row r="26" ht="30" customHeight="1">
      <x:c r="A26" s="167" t="str">
        <x:v>=PV(9.6%,2,-3150,0,0)</x:v>
      </x:c>
      <x:c r="B26" s="144"/>
      <x:c r="C26" s="146"/>
      <x:c r="D26" s="144"/>
      <x:c r="E26" s="145"/>
      <x:c r="F26" s="146"/>
      <x:c r="G26" s="144"/>
      <x:c r="H26" s="146"/>
    </x:row>
    <x:row r="27" ht="30" customHeight="1">
      <x:c r="A27" s="167"/>
      <x:c r="B27" s="150"/>
      <x:c r="C27" s="152"/>
      <x:c r="D27" s="150"/>
      <x:c r="E27" s="151"/>
      <x:c r="F27" s="152"/>
      <x:c r="G27" s="150"/>
      <x:c r="H27" s="152"/>
    </x:row>
    <x:row r="28" ht="30" customHeight="1">
      <x:c r="A28" s="167" t="str">
        <x:v>=FV(8%,5,0,10000,0)</x:v>
      </x:c>
      <x:c r="B28" s="144"/>
      <x:c r="C28" s="146"/>
      <x:c r="D28" s="144"/>
      <x:c r="E28" s="145"/>
      <x:c r="F28" s="146"/>
      <x:c r="G28" s="144"/>
      <x:c r="H28" s="146"/>
    </x:row>
    <x:row r="29" ht="30" customHeight="1">
      <x:c r="A29" s="167"/>
      <x:c r="B29" s="150"/>
      <x:c r="C29" s="152"/>
      <x:c r="D29" s="150"/>
      <x:c r="E29" s="151"/>
      <x:c r="F29" s="152"/>
      <x:c r="G29" s="150"/>
      <x:c r="H29" s="152"/>
    </x:row>
    <x:row r="30" ht="30" customHeight="1">
      <x:c r="A30" s="167" t="str">
        <x:v>12.68% EAR is divided by 12 to get a monthly rate.</x:v>
      </x:c>
      <x:c r="B30" s="144"/>
      <x:c r="C30" s="146"/>
      <x:c r="D30" s="144"/>
      <x:c r="E30" s="145"/>
      <x:c r="F30" s="146"/>
      <x:c r="G30" s="144"/>
      <x:c r="H30" s="146"/>
    </x:row>
    <x:row r="31" ht="30" customHeight="1">
      <x:c r="A31" s="167"/>
      <x:c r="B31" s="150"/>
      <x:c r="C31" s="152"/>
      <x:c r="D31" s="150"/>
      <x:c r="E31" s="151"/>
      <x:c r="F31" s="152"/>
      <x:c r="G31" s="150"/>
      <x:c r="H31" s="152"/>
    </x:row>
    <x:row r="32">
      <x:c r="A32" s="2"/>
      <x:c r="B32" s="2"/>
      <x:c r="C32" s="2"/>
      <x:c r="D32" s="2"/>
      <x:c r="E32" s="2"/>
      <x:c r="F32" s="2"/>
      <x:c r="G32" s="2"/>
      <x:c r="H32" s="2"/>
    </x:row>
    <x:row r="33">
      <x:c r="A33" s="2"/>
      <x:c r="B33" s="2"/>
      <x:c r="C33" s="2"/>
      <x:c r="D33" s="2"/>
      <x:c r="E33" s="2"/>
      <x:c r="F33" s="2"/>
      <x:c r="G33" s="2"/>
      <x:c r="H33" s="2"/>
    </x:row>
    <x:row r="34">
      <x:c r="A34" s="2"/>
      <x:c r="B34" s="2"/>
      <x:c r="C34" s="2"/>
      <x:c r="D34" s="2"/>
      <x:c r="E34" s="2"/>
      <x:c r="F34" s="2"/>
      <x:c r="G34" s="2"/>
      <x:c r="H34" s="2"/>
    </x:row>
  </x:sheetData>
  <x:mergeCells>
    <x:mergeCell ref="A1:H1"/>
    <x:mergeCell ref="A3:H4"/>
    <x:mergeCell ref="A6:C6"/>
    <x:mergeCell ref="E6:H6"/>
    <x:mergeCell ref="A16:H16"/>
    <x:mergeCell ref="A22:H22"/>
    <x:mergeCell ref="A24:H24"/>
    <x:mergeCell ref="B25:C25"/>
    <x:mergeCell ref="D25:F25"/>
    <x:mergeCell ref="G25:H25"/>
    <x:mergeCell ref="A26:A27"/>
    <x:mergeCell ref="B26:C27"/>
    <x:mergeCell ref="D26:F27"/>
    <x:mergeCell ref="G26:H27"/>
    <x:mergeCell ref="A28:A29"/>
    <x:mergeCell ref="B28:C29"/>
    <x:mergeCell ref="D28:F29"/>
    <x:mergeCell ref="G28:H29"/>
    <x:mergeCell ref="A30:A31"/>
    <x:mergeCell ref="B30:C31"/>
    <x:mergeCell ref="D30:F31"/>
    <x:mergeCell ref="G30:H3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17" hidden="0" customWidth="1"/>
    <x:col min="3" max="3" width="13" hidden="0" customWidth="1"/>
    <x:col min="4" max="4" width="11" hidden="0" customWidth="1"/>
    <x:col min="5" max="5" width="16" hidden="0" customWidth="1"/>
    <x:col min="6" max="6" width="16" hidden="0" customWidth="1"/>
    <x:col min="7" max="7" width="12" hidden="0" customWidth="1"/>
    <x:col min="8" max="8" width="21" hidden="0" customWidth="1"/>
  </x:cols>
  <x:sheetData>
    <x:row r="1" ht="30" customHeight="1">
      <x:c r="A1" s="5" t="str">
        <x:v>Build the functions, then compare on today’s date</x:v>
      </x:c>
      <x:c r="B1" s="5"/>
      <x:c r="C1" s="5"/>
      <x:c r="D1" s="5"/>
      <x:c r="E1" s="5"/>
      <x:c r="F1" s="5"/>
      <x:c r="G1" s="5"/>
      <x:c r="H1" s="5"/>
    </x:row>
    <x:row r="2">
      <x:c r="A2" s="2"/>
      <x:c r="B2" s="2"/>
      <x:c r="C2" s="2"/>
      <x:c r="D2" s="2"/>
      <x:c r="E2" s="2"/>
      <x:c r="F2" s="2"/>
      <x:c r="G2" s="2"/>
      <x:c r="H2" s="2"/>
    </x:row>
    <x:row r="3" ht="26" customHeight="1">
      <x:c r="A3" s="84" t="str">
        <x:v>Use linked inputs from the timeline sheet. Enter each Excel function in the yellow result cell, audit the sign and value date, and compare alternatives only after both are stated as positive present costs.</x:v>
      </x:c>
      <x:c r="B3" s="85"/>
      <x:c r="C3" s="85"/>
      <x:c r="D3" s="85"/>
      <x:c r="E3" s="85"/>
      <x:c r="F3" s="85"/>
      <x:c r="G3" s="85"/>
      <x:c r="H3" s="86"/>
    </x:row>
    <x:row r="4" ht="26" customHeight="1">
      <x:c r="A4" s="90"/>
      <x:c r="B4" s="91"/>
      <x:c r="C4" s="91"/>
      <x:c r="D4" s="91"/>
      <x:c r="E4" s="91"/>
      <x:c r="F4" s="91"/>
      <x:c r="G4" s="91"/>
      <x:c r="H4" s="92"/>
    </x:row>
    <x:row r="5">
      <x:c r="A5" s="2"/>
      <x:c r="B5" s="2"/>
      <x:c r="C5" s="2"/>
      <x:c r="D5" s="2"/>
      <x:c r="E5" s="2"/>
      <x:c r="F5" s="2"/>
      <x:c r="G5" s="2"/>
      <x:c r="H5" s="2"/>
    </x:row>
    <x:row r="6" ht="22" customHeight="1">
      <x:c r="A6" s="31" t="str">
        <x:v>Function build and present-value comparison</x:v>
      </x:c>
      <x:c r="B6" s="31"/>
      <x:c r="C6" s="31"/>
      <x:c r="D6" s="31"/>
      <x:c r="E6" s="31"/>
      <x:c r="F6" s="31"/>
      <x:c r="G6" s="31"/>
      <x:c r="H6" s="31"/>
    </x:row>
    <x:row r="7" ht="28" customHeight="1">
      <x:c r="A7" s="99" t="str">
        <x:v>Model line</x:v>
      </x:c>
      <x:c r="B7" s="100" t="str">
        <x:v>Function choice</x:v>
      </x:c>
      <x:c r="C7" s="100" t="str">
        <x:v>rate</x:v>
      </x:c>
      <x:c r="D7" s="100" t="str">
        <x:v>nper</x:v>
      </x:c>
      <x:c r="E7" s="100" t="str">
        <x:v>pmt</x:v>
      </x:c>
      <x:c r="F7" s="100" t="str">
        <x:v>pv / fv</x:v>
      </x:c>
      <x:c r="G7" s="100" t="str">
        <x:v>type</x:v>
      </x:c>
      <x:c r="H7" s="101" t="str">
        <x:v>Student result</x:v>
      </x:c>
    </x:row>
    <x:row r="8" ht="28" customHeight="1">
      <x:c r="A8" s="2" t="str">
        <x:v>Alternative A — cash cost today</x:v>
      </x:c>
      <x:c r="B8" s="124"/>
      <x:c r="C8" s="2"/>
      <x:c r="D8" s="2"/>
      <x:c r="E8" s="2"/>
      <x:c r="F8" s="2"/>
      <x:c r="G8" s="2"/>
      <x:c r="H8" s="192"/>
    </x:row>
    <x:row r="9" ht="28" customHeight="1">
      <x:c r="A9" s="2" t="str">
        <x:v>Alternative A — Month 24 equivalent</x:v>
      </x:c>
      <x:c r="B9" s="125"/>
      <x:c r="C9" s="177" t="n">
        <x:f>'1 Timeline-Diagnose'!F8</x:f>
        <x:v>0</x:v>
      </x:c>
      <x:c r="D9" s="178" t="n">
        <x:f>'1 Timeline-Diagnose'!F9</x:f>
        <x:v>0</x:v>
      </x:c>
      <x:c r="E9" s="179" t="n">
        <x:f>0</x:f>
        <x:v>0</x:v>
      </x:c>
      <x:c r="F9" s="179" t="n">
        <x:f>'1 Timeline-Diagnose'!B8</x:f>
        <x:v>-80000</x:v>
      </x:c>
      <x:c r="G9" s="180" t="n">
        <x:f>0</x:f>
        <x:v>0</x:v>
      </x:c>
      <x:c r="H9" s="193"/>
    </x:row>
    <x:row r="10" ht="28" customHeight="1">
      <x:c r="A10" s="2" t="str">
        <x:v>Alternative A — round-trip PV check</x:v>
      </x:c>
      <x:c r="B10" s="126"/>
      <x:c r="C10" s="181" t="n">
        <x:f>'1 Timeline-Diagnose'!F8</x:f>
        <x:v>0</x:v>
      </x:c>
      <x:c r="D10" s="182" t="n">
        <x:f>'1 Timeline-Diagnose'!F9</x:f>
        <x:v>0</x:v>
      </x:c>
      <x:c r="E10" s="183" t="n">
        <x:f>0</x:f>
        <x:v>0</x:v>
      </x:c>
      <x:c r="F10" s="183" t="n">
        <x:f>-H9</x:f>
        <x:v>0</x:v>
      </x:c>
      <x:c r="G10" s="184" t="n">
        <x:f>0</x:f>
        <x:v>0</x:v>
      </x:c>
      <x:c r="H10" s="194"/>
    </x:row>
    <x:row r="11" ht="28" customHeight="1">
      <x:c r="A11" s="2"/>
      <x:c r="B11" s="2"/>
      <x:c r="C11" s="181"/>
      <x:c r="D11" s="182"/>
      <x:c r="E11" s="183"/>
      <x:c r="F11" s="183"/>
      <x:c r="G11" s="184"/>
      <x:c r="H11" s="2"/>
    </x:row>
    <x:row r="12" ht="28" customHeight="1">
      <x:c r="A12" s="2" t="str">
        <x:v>Alternative B — payment-stream PV</x:v>
      </x:c>
      <x:c r="B12" s="124"/>
      <x:c r="C12" s="181" t="n">
        <x:f>'1 Timeline-Diagnose'!F8</x:f>
        <x:v>0</x:v>
      </x:c>
      <x:c r="D12" s="182" t="n">
        <x:f>'1 Timeline-Diagnose'!F9</x:f>
        <x:v>0</x:v>
      </x:c>
      <x:c r="E12" s="183" t="n">
        <x:f>'1 Timeline-Diagnose'!B12</x:f>
        <x:v>-3150</x:v>
      </x:c>
      <x:c r="F12" s="183" t="n">
        <x:f>0</x:f>
        <x:v>0</x:v>
      </x:c>
      <x:c r="G12" s="184" t="n">
        <x:f>'1 Timeline-Diagnose'!B14</x:f>
        <x:v>1</x:v>
      </x:c>
      <x:c r="H12" s="192"/>
    </x:row>
    <x:row r="13" ht="28" customHeight="1">
      <x:c r="A13" s="2" t="str">
        <x:v>Alternative B — balloon PV</x:v>
      </x:c>
      <x:c r="B13" s="125"/>
      <x:c r="C13" s="181" t="n">
        <x:f>'1 Timeline-Diagnose'!F8</x:f>
        <x:v>0</x:v>
      </x:c>
      <x:c r="D13" s="182" t="n">
        <x:f>'1 Timeline-Diagnose'!F9</x:f>
        <x:v>0</x:v>
      </x:c>
      <x:c r="E13" s="183" t="n">
        <x:f>0</x:f>
        <x:v>0</x:v>
      </x:c>
      <x:c r="F13" s="183" t="n">
        <x:f>'1 Timeline-Diagnose'!B13</x:f>
        <x:v>-8000</x:v>
      </x:c>
      <x:c r="G13" s="184" t="n">
        <x:f>0</x:f>
        <x:v>0</x:v>
      </x:c>
      <x:c r="H13" s="193"/>
    </x:row>
    <x:row r="14" ht="28" customHeight="1">
      <x:c r="A14" s="2" t="str">
        <x:v>Alternative B — total present cost</x:v>
      </x:c>
      <x:c r="B14" s="126"/>
      <x:c r="C14" s="181"/>
      <x:c r="D14" s="182"/>
      <x:c r="E14" s="183"/>
      <x:c r="F14" s="183"/>
      <x:c r="G14" s="184"/>
      <x:c r="H14" s="194"/>
    </x:row>
    <x:row r="15" ht="28" customHeight="1">
      <x:c r="A15" s="2"/>
      <x:c r="B15" s="2"/>
      <x:c r="C15" s="181"/>
      <x:c r="D15" s="182"/>
      <x:c r="E15" s="183"/>
      <x:c r="F15" s="183"/>
      <x:c r="G15" s="184"/>
      <x:c r="H15" s="2"/>
    </x:row>
    <x:row r="16" ht="28" customHeight="1">
      <x:c r="A16" s="2" t="str">
        <x:v>Timing audit — ordinary annuity PV</x:v>
      </x:c>
      <x:c r="B16" s="124"/>
      <x:c r="C16" s="181" t="n">
        <x:f>'1 Timeline-Diagnose'!F8</x:f>
        <x:v>0</x:v>
      </x:c>
      <x:c r="D16" s="182" t="n">
        <x:f>'1 Timeline-Diagnose'!F9</x:f>
        <x:v>0</x:v>
      </x:c>
      <x:c r="E16" s="183" t="n">
        <x:f>'1 Timeline-Diagnose'!B12</x:f>
        <x:v>-3150</x:v>
      </x:c>
      <x:c r="F16" s="183" t="n">
        <x:f>0</x:f>
        <x:v>0</x:v>
      </x:c>
      <x:c r="G16" s="184" t="n">
        <x:f>0</x:f>
        <x:v>0</x:v>
      </x:c>
      <x:c r="H16" s="192"/>
    </x:row>
    <x:row r="17" ht="28" customHeight="1">
      <x:c r="A17" s="2" t="str">
        <x:v>Timing audit — annuity-due PV</x:v>
      </x:c>
      <x:c r="B17" s="125"/>
      <x:c r="C17" s="185" t="n">
        <x:f>'1 Timeline-Diagnose'!F8</x:f>
        <x:v>0</x:v>
      </x:c>
      <x:c r="D17" s="186" t="n">
        <x:f>'1 Timeline-Diagnose'!F9</x:f>
        <x:v>0</x:v>
      </x:c>
      <x:c r="E17" s="187" t="n">
        <x:f>'1 Timeline-Diagnose'!B12</x:f>
        <x:v>-3150</x:v>
      </x:c>
      <x:c r="F17" s="187" t="n">
        <x:f>0</x:f>
        <x:v>0</x:v>
      </x:c>
      <x:c r="G17" s="188" t="n">
        <x:f>'1 Timeline-Diagnose'!B14</x:f>
        <x:v>1</x:v>
      </x:c>
      <x:c r="H17" s="193"/>
    </x:row>
    <x:row r="18" ht="28" customHeight="1">
      <x:c r="A18" s="2" t="str">
        <x:v>Value gained by paying one period earlier</x:v>
      </x:c>
      <x:c r="B18" s="126"/>
      <x:c r="C18" s="2"/>
      <x:c r="D18" s="2"/>
      <x:c r="E18" s="2"/>
      <x:c r="F18" s="2"/>
      <x:c r="G18" s="2"/>
      <x:c r="H18" s="194"/>
    </x:row>
    <x:row r="19">
      <x:c r="A19" s="2"/>
      <x:c r="B19" s="2"/>
      <x:c r="C19" s="2"/>
      <x:c r="D19" s="2"/>
      <x:c r="E19" s="2"/>
      <x:c r="F19" s="2"/>
      <x:c r="G19" s="2"/>
      <x:c r="H19" s="2"/>
    </x:row>
    <x:row r="20" ht="22" customHeight="1">
      <x:c r="A20" s="31" t="str">
        <x:v>Decision bridge — all values as of today</x:v>
      </x:c>
      <x:c r="B20" s="31"/>
      <x:c r="C20" s="31"/>
      <x:c r="D20" s="31"/>
      <x:c r="E20" s="31"/>
      <x:c r="F20" s="31"/>
      <x:c r="G20" s="31"/>
      <x:c r="H20" s="31"/>
    </x:row>
    <x:row r="21" ht="32" customHeight="1">
      <x:c r="A21" s="99" t="str">
        <x:v>Decision metric</x:v>
      </x:c>
      <x:c r="B21" s="100" t="str">
        <x:v>Student result</x:v>
      </x:c>
      <x:c r="C21" s="100"/>
      <x:c r="D21" s="100"/>
      <x:c r="E21" s="100"/>
      <x:c r="F21" s="100" t="str">
        <x:v>Units</x:v>
      </x:c>
      <x:c r="G21" s="100" t="str">
        <x:v>Reasonableness rule</x:v>
      </x:c>
      <x:c r="H21" s="101"/>
    </x:row>
    <x:row r="22" ht="32" customHeight="1">
      <x:c r="A22" s="2" t="str">
        <x:v>Cash alternative — present cost</x:v>
      </x:c>
      <x:c r="B22" s="153"/>
      <x:c r="C22" s="154"/>
      <x:c r="D22" s="154"/>
      <x:c r="E22" s="206"/>
      <x:c r="F22" s="2" t="str">
        <x:v>Today dollars</x:v>
      </x:c>
      <x:c r="G22" s="167" t="str">
        <x:v>Must be positive and equal the t=0 cash price</x:v>
      </x:c>
      <x:c r="H22" s="167"/>
    </x:row>
    <x:row r="23" ht="32" customHeight="1">
      <x:c r="A23" s="2" t="str">
        <x:v>Financing alternative — present cost</x:v>
      </x:c>
      <x:c r="B23" s="155"/>
      <x:c r="C23" s="156"/>
      <x:c r="D23" s="156"/>
      <x:c r="E23" s="207"/>
      <x:c r="F23" s="2" t="str">
        <x:v>Today dollars</x:v>
      </x:c>
      <x:c r="G23" s="167" t="str">
        <x:v>Must be below the undiscounted nominal outflows</x:v>
      </x:c>
      <x:c r="H23" s="167"/>
    </x:row>
    <x:row r="24" ht="32" customHeight="1">
      <x:c r="A24" s="2" t="str">
        <x:v>Financing minus cash</x:v>
      </x:c>
      <x:c r="B24" s="157"/>
      <x:c r="C24" s="158"/>
      <x:c r="D24" s="158"/>
      <x:c r="E24" s="208"/>
      <x:c r="F24" s="2" t="str">
        <x:v>Today dollars</x:v>
      </x:c>
      <x:c r="G24" s="167" t="str">
        <x:v>Negative means financing has the lower PV cost</x:v>
      </x:c>
      <x:c r="H24" s="167"/>
    </x:row>
    <x:row r="25">
      <x:c r="A25" s="2"/>
      <x:c r="B25" s="2"/>
      <x:c r="C25" s="2"/>
      <x:c r="D25" s="2"/>
      <x:c r="E25" s="2"/>
      <x:c r="F25" s="2"/>
      <x:c r="G25" s="2"/>
      <x:c r="H25" s="2"/>
    </x:row>
    <x:row r="26" ht="34" customHeight="1">
      <x:c r="A26" s="164" t="str">
        <x:v>Reasonableness prompt: explain why a higher discount rate lowers the present cost of deferred financing cash flows, while a beginning-of-month payment raises PV relative to an end-of-month payment.</x:v>
      </x:c>
      <x:c r="B26" s="165"/>
      <x:c r="C26" s="165"/>
      <x:c r="D26" s="165"/>
      <x:c r="E26" s="165"/>
      <x:c r="F26" s="165"/>
      <x:c r="G26" s="165"/>
      <x:c r="H26" s="166"/>
    </x:row>
    <x:row r="27">
      <x:c r="A27" s="2"/>
      <x:c r="B27" s="2"/>
      <x:c r="C27" s="2"/>
      <x:c r="D27" s="2"/>
      <x:c r="E27" s="2"/>
      <x:c r="F27" s="2"/>
      <x:c r="G27" s="2"/>
      <x:c r="H27" s="2"/>
    </x:row>
    <x:row r="28">
      <x:c r="A28" s="2"/>
      <x:c r="B28" s="2"/>
      <x:c r="C28" s="2"/>
      <x:c r="D28" s="2"/>
      <x:c r="E28" s="2"/>
      <x:c r="F28" s="2"/>
      <x:c r="G28" s="2"/>
      <x:c r="H28" s="2"/>
    </x:row>
    <x:row r="29">
      <x:c r="A29" s="2"/>
      <x:c r="B29" s="2"/>
      <x:c r="C29" s="2"/>
      <x:c r="D29" s="2"/>
      <x:c r="E29" s="2"/>
      <x:c r="F29" s="2"/>
      <x:c r="G29" s="2"/>
      <x:c r="H29" s="2"/>
    </x:row>
    <x:row r="30">
      <x:c r="A30" s="2"/>
      <x:c r="B30" s="2"/>
      <x:c r="C30" s="2"/>
      <x:c r="D30" s="2"/>
      <x:c r="E30" s="2"/>
      <x:c r="F30" s="2"/>
      <x:c r="G30" s="2"/>
      <x:c r="H30" s="2"/>
    </x:row>
    <x:row r="31">
      <x:c r="A31" s="2"/>
      <x:c r="B31" s="2"/>
      <x:c r="C31" s="2"/>
      <x:c r="D31" s="2"/>
      <x:c r="E31" s="2"/>
      <x:c r="F31" s="2"/>
      <x:c r="G31" s="2"/>
      <x:c r="H31" s="2"/>
    </x:row>
    <x:row r="32">
      <x:c r="A32" s="2"/>
      <x:c r="B32" s="2"/>
      <x:c r="C32" s="2"/>
      <x:c r="D32" s="2"/>
      <x:c r="E32" s="2"/>
      <x:c r="F32" s="2"/>
      <x:c r="G32" s="2"/>
      <x:c r="H32" s="2"/>
    </x:row>
    <x:row r="33">
      <x:c r="A33" s="2"/>
      <x:c r="B33" s="2"/>
      <x:c r="C33" s="2"/>
      <x:c r="D33" s="2"/>
      <x:c r="E33" s="2"/>
      <x:c r="F33" s="2"/>
      <x:c r="G33" s="2"/>
      <x:c r="H33" s="2"/>
    </x:row>
    <x:row r="34">
      <x:c r="A34" s="2"/>
      <x:c r="B34" s="2"/>
      <x:c r="C34" s="2"/>
      <x:c r="D34" s="2"/>
      <x:c r="E34" s="2"/>
      <x:c r="F34" s="2"/>
      <x:c r="G34" s="2"/>
      <x:c r="H34" s="2"/>
    </x:row>
  </x:sheetData>
  <x:mergeCells>
    <x:mergeCell ref="A1:H1"/>
    <x:mergeCell ref="A3:H4"/>
    <x:mergeCell ref="A6:H6"/>
    <x:mergeCell ref="A20:H20"/>
    <x:mergeCell ref="B21:E21"/>
    <x:mergeCell ref="G21:H21"/>
    <x:mergeCell ref="B22:E22"/>
    <x:mergeCell ref="G22:H22"/>
    <x:mergeCell ref="B23:E23"/>
    <x:mergeCell ref="G23:H23"/>
    <x:mergeCell ref="B24:E24"/>
    <x:mergeCell ref="G24:H24"/>
    <x:mergeCell ref="A26:H26"/>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8" hidden="0" customWidth="1"/>
    <x:col min="2" max="2" width="18" hidden="0" customWidth="1"/>
    <x:col min="3" max="3" width="18" hidden="0" customWidth="1"/>
    <x:col min="4" max="4" width="18" hidden="0" customWidth="1"/>
    <x:col min="5" max="5" width="18" hidden="0" customWidth="1"/>
    <x:col min="6" max="6" width="18" hidden="0" customWidth="1"/>
    <x:col min="7" max="7" width="4" hidden="0" customWidth="1"/>
  </x:cols>
  <x:sheetData>
    <x:row r="1" ht="30" customHeight="1">
      <x:c r="A1" s="5" t="str">
        <x:v>Stress-test the financing alternative</x:v>
      </x:c>
      <x:c r="B1" s="5"/>
      <x:c r="C1" s="5"/>
      <x:c r="D1" s="5"/>
      <x:c r="E1" s="5"/>
      <x:c r="F1" s="5"/>
      <x:c r="G1" s="5"/>
    </x:row>
    <x:row r="2">
      <x:c r="A2" s="2"/>
      <x:c r="B2" s="2"/>
      <x:c r="C2" s="2"/>
      <x:c r="D2" s="2"/>
      <x:c r="E2" s="2"/>
      <x:c r="F2" s="2"/>
      <x:c r="G2" s="2"/>
    </x:row>
    <x:row r="3" ht="29" customHeight="1">
      <x:c r="A3" s="84" t="str">
        <x:v>Write one linked formula in B8 using the APR header in row 7 and monthly-payment input in column A. Lock only the rows/columns that should stay fixed, then copy the formula across and down. Every cell must recalculate the full payment-stream PV plus balloon PV.</x:v>
      </x:c>
      <x:c r="B3" s="85"/>
      <x:c r="C3" s="85"/>
      <x:c r="D3" s="85"/>
      <x:c r="E3" s="85"/>
      <x:c r="F3" s="85"/>
      <x:c r="G3" s="86"/>
    </x:row>
    <x:row r="4" ht="29" customHeight="1">
      <x:c r="A4" s="90"/>
      <x:c r="B4" s="91"/>
      <x:c r="C4" s="91"/>
      <x:c r="D4" s="91"/>
      <x:c r="E4" s="91"/>
      <x:c r="F4" s="91"/>
      <x:c r="G4" s="92"/>
    </x:row>
    <x:row r="5">
      <x:c r="A5" s="2"/>
      <x:c r="B5" s="2"/>
      <x:c r="C5" s="2"/>
      <x:c r="D5" s="2"/>
      <x:c r="E5" s="2"/>
      <x:c r="F5" s="2"/>
      <x:c r="G5" s="2"/>
    </x:row>
    <x:row r="6" ht="22" customHeight="1">
      <x:c r="A6" s="31" t="str">
        <x:v>Present cost of financing — today dollars</x:v>
      </x:c>
      <x:c r="B6" s="31"/>
      <x:c r="C6" s="31"/>
      <x:c r="D6" s="31"/>
      <x:c r="E6" s="31"/>
      <x:c r="F6" s="31"/>
      <x:c r="G6" s="2"/>
    </x:row>
    <x:row r="7" ht="26" customHeight="1">
      <x:c r="A7" s="99" t="str">
        <x:v>Monthly payment  Nominal APR</x:v>
      </x:c>
      <x:c r="B7" s="216" t="n">
        <x:v>0.06</x:v>
      </x:c>
      <x:c r="C7" s="216" t="n">
        <x:v>0.08</x:v>
      </x:c>
      <x:c r="D7" s="216" t="n">
        <x:v>0.096</x:v>
      </x:c>
      <x:c r="E7" s="216" t="n">
        <x:v>0.12</x:v>
      </x:c>
      <x:c r="F7" s="216" t="n">
        <x:v>0.14</x:v>
      </x:c>
      <x:c r="G7" s="2"/>
    </x:row>
    <x:row r="8" ht="26" customHeight="1">
      <x:c r="A8" s="110" t="n">
        <x:v>-3000</x:v>
      </x:c>
      <x:c r="B8" s="153"/>
      <x:c r="C8" s="154"/>
      <x:c r="D8" s="154"/>
      <x:c r="E8" s="154"/>
      <x:c r="F8" s="206"/>
      <x:c r="G8" s="2"/>
    </x:row>
    <x:row r="9" ht="26" customHeight="1">
      <x:c r="A9" s="210" t="n">
        <x:v>-3150</x:v>
      </x:c>
      <x:c r="B9" s="155"/>
      <x:c r="C9" s="156"/>
      <x:c r="D9" s="156"/>
      <x:c r="E9" s="156"/>
      <x:c r="F9" s="207"/>
      <x:c r="G9" s="2"/>
    </x:row>
    <x:row r="10" ht="26" customHeight="1">
      <x:c r="A10" s="210" t="n">
        <x:v>-3300</x:v>
      </x:c>
      <x:c r="B10" s="155"/>
      <x:c r="C10" s="156"/>
      <x:c r="D10" s="156"/>
      <x:c r="E10" s="156"/>
      <x:c r="F10" s="207"/>
      <x:c r="G10" s="2"/>
    </x:row>
    <x:row r="11" ht="26" customHeight="1">
      <x:c r="A11" s="111" t="n">
        <x:v>-3450</x:v>
      </x:c>
      <x:c r="B11" s="157"/>
      <x:c r="C11" s="158"/>
      <x:c r="D11" s="158"/>
      <x:c r="E11" s="158"/>
      <x:c r="F11" s="208"/>
      <x:c r="G11" s="2"/>
    </x:row>
    <x:row r="12">
      <x:c r="A12" s="2"/>
      <x:c r="B12" s="2"/>
      <x:c r="C12" s="2"/>
      <x:c r="D12" s="2"/>
      <x:c r="E12" s="2"/>
      <x:c r="F12" s="2"/>
      <x:c r="G12" s="2"/>
    </x:row>
    <x:row r="13" ht="34" customHeight="1">
      <x:c r="A13" s="164" t="str">
        <x:v>Copy audit: the base case is the intersection of −$3,150 per month and 9.60% APR. It must tie to the financing present cost on the model sheet.</x:v>
      </x:c>
      <x:c r="B13" s="165"/>
      <x:c r="C13" s="165"/>
      <x:c r="D13" s="165"/>
      <x:c r="E13" s="165"/>
      <x:c r="F13" s="166"/>
      <x:c r="G13" s="2"/>
    </x:row>
    <x:row r="14">
      <x:c r="A14" s="2"/>
      <x:c r="B14" s="2"/>
      <x:c r="C14" s="2"/>
      <x:c r="D14" s="2"/>
      <x:c r="E14" s="2"/>
      <x:c r="F14" s="2"/>
      <x:c r="G14" s="2"/>
    </x:row>
    <x:row r="15" ht="22" customHeight="1">
      <x:c r="A15" s="31" t="str">
        <x:v>Interpret the sensitivity — do not stop at the table</x:v>
      </x:c>
      <x:c r="B15" s="31"/>
      <x:c r="C15" s="31"/>
      <x:c r="D15" s="31"/>
      <x:c r="E15" s="31"/>
      <x:c r="F15" s="31"/>
      <x:c r="G15" s="2"/>
    </x:row>
    <x:row r="16" ht="31" customHeight="1">
      <x:c r="A16" s="99" t="str">
        <x:v>Prompt</x:v>
      </x:c>
      <x:c r="B16" s="100" t="str">
        <x:v>Student interpretation</x:v>
      </x:c>
      <x:c r="C16" s="100"/>
      <x:c r="D16" s="100"/>
      <x:c r="E16" s="100"/>
      <x:c r="F16" s="101"/>
      <x:c r="G16" s="2"/>
    </x:row>
    <x:row r="17" ht="31" customHeight="1">
      <x:c r="A17" s="167" t="str">
        <x:v>Across a row, what happens to PV cost as APR rises? Why?</x:v>
      </x:c>
      <x:c r="B17" s="144"/>
      <x:c r="C17" s="145"/>
      <x:c r="D17" s="145"/>
      <x:c r="E17" s="145"/>
      <x:c r="F17" s="146"/>
      <x:c r="G17" s="2"/>
    </x:row>
    <x:row r="18" ht="31" customHeight="1">
      <x:c r="A18" s="167"/>
      <x:c r="B18" s="150"/>
      <x:c r="C18" s="151"/>
      <x:c r="D18" s="151"/>
      <x:c r="E18" s="151"/>
      <x:c r="F18" s="152"/>
      <x:c r="G18" s="2"/>
    </x:row>
    <x:row r="19" ht="31" customHeight="1">
      <x:c r="A19" s="167" t="str">
        <x:v>Down a column, what happens as the payment becomes more negative? Why?</x:v>
      </x:c>
      <x:c r="B19" s="144"/>
      <x:c r="C19" s="145"/>
      <x:c r="D19" s="145"/>
      <x:c r="E19" s="145"/>
      <x:c r="F19" s="146"/>
      <x:c r="G19" s="2"/>
    </x:row>
    <x:row r="20" ht="31" customHeight="1">
      <x:c r="A20" s="167"/>
      <x:c r="B20" s="150"/>
      <x:c r="C20" s="151"/>
      <x:c r="D20" s="151"/>
      <x:c r="E20" s="151"/>
      <x:c r="F20" s="152"/>
      <x:c r="G20" s="2"/>
    </x:row>
    <x:row r="21" ht="31" customHeight="1">
      <x:c r="A21" s="167" t="str">
        <x:v>Where does the choice between cash and financing change?</x:v>
      </x:c>
      <x:c r="B21" s="144"/>
      <x:c r="C21" s="145"/>
      <x:c r="D21" s="145"/>
      <x:c r="E21" s="145"/>
      <x:c r="F21" s="146"/>
      <x:c r="G21" s="2"/>
    </x:row>
    <x:row r="22" ht="31" customHeight="1">
      <x:c r="A22" s="167"/>
      <x:c r="B22" s="150"/>
      <x:c r="C22" s="151"/>
      <x:c r="D22" s="151"/>
      <x:c r="E22" s="151"/>
      <x:c r="F22" s="152"/>
      <x:c r="G22" s="2"/>
    </x:row>
    <x:row r="23" ht="31" customHeight="1">
      <x:c r="A23" s="167" t="str">
        <x:v>Is the base recommendation robust? Name the assumption most likely to reverse it.</x:v>
      </x:c>
      <x:c r="B23" s="144"/>
      <x:c r="C23" s="145"/>
      <x:c r="D23" s="145"/>
      <x:c r="E23" s="145"/>
      <x:c r="F23" s="146"/>
      <x:c r="G23" s="2"/>
    </x:row>
    <x:row r="24">
      <x:c r="A24" s="167"/>
      <x:c r="B24" s="150"/>
      <x:c r="C24" s="151"/>
      <x:c r="D24" s="151"/>
      <x:c r="E24" s="151"/>
      <x:c r="F24" s="152"/>
      <x:c r="G24" s="2"/>
    </x:row>
    <x:row r="25">
      <x:c r="A25" s="2"/>
      <x:c r="B25" s="2"/>
      <x:c r="C25" s="2"/>
      <x:c r="D25" s="2"/>
      <x:c r="E25" s="2"/>
      <x:c r="F25" s="2"/>
      <x:c r="G25" s="2"/>
    </x:row>
    <x:row r="26">
      <x:c r="A26" s="2"/>
      <x:c r="B26" s="2"/>
      <x:c r="C26" s="2"/>
      <x:c r="D26" s="2"/>
      <x:c r="E26" s="2"/>
      <x:c r="F26" s="2"/>
      <x:c r="G26" s="2"/>
    </x:row>
    <x:row r="27">
      <x:c r="A27" s="2"/>
      <x:c r="B27" s="2"/>
      <x:c r="C27" s="2"/>
      <x:c r="D27" s="2"/>
      <x:c r="E27" s="2"/>
      <x:c r="F27" s="2"/>
      <x:c r="G27" s="2"/>
    </x:row>
  </x:sheetData>
  <x:mergeCells>
    <x:mergeCell ref="A1:G1"/>
    <x:mergeCell ref="A3:G4"/>
    <x:mergeCell ref="A6:F6"/>
    <x:mergeCell ref="A13:F13"/>
    <x:mergeCell ref="A15:F15"/>
    <x:mergeCell ref="B16:F16"/>
    <x:mergeCell ref="A17:A18"/>
    <x:mergeCell ref="B17:F18"/>
    <x:mergeCell ref="A19:A20"/>
    <x:mergeCell ref="B19:F20"/>
    <x:mergeCell ref="A21:A22"/>
    <x:mergeCell ref="B21:F22"/>
    <x:mergeCell ref="A23:A24"/>
    <x:mergeCell ref="B23:F24"/>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19" hidden="0" customWidth="1"/>
    <x:col min="3" max="3" width="25" hidden="0" customWidth="1"/>
    <x:col min="4" max="4" width="12" hidden="0" customWidth="1"/>
    <x:col min="5" max="5" width="14" hidden="0" customWidth="1"/>
    <x:col min="6" max="6" width="29" hidden="0" customWidth="1"/>
    <x:col min="7" max="7" width="34" hidden="0" customWidth="1"/>
  </x:cols>
  <x:sheetData>
    <x:row r="1" ht="30" customHeight="1">
      <x:c r="A1" s="5" t="str">
        <x:v>Audit the model and make the decision</x:v>
      </x:c>
      <x:c r="B1" s="5"/>
      <x:c r="C1" s="5"/>
      <x:c r="D1" s="5"/>
      <x:c r="E1" s="5"/>
      <x:c r="F1" s="5"/>
      <x:c r="G1" s="5"/>
    </x:row>
    <x:row r="2">
      <x:c r="A2" s="2"/>
      <x:c r="B2" s="2"/>
      <x:c r="C2" s="2"/>
      <x:c r="D2" s="2"/>
      <x:c r="E2" s="2"/>
      <x:c r="F2" s="2"/>
      <x:c r="G2" s="2"/>
    </x:row>
    <x:row r="3">
      <x:c r="A3" s="219" t="str">
        <x:v>MODEL STATUS</x:v>
      </x:c>
      <x:c r="B3" s="219"/>
      <x:c r="C3" s="219"/>
      <x:c r="D3" s="219"/>
      <x:c r="E3" s="219"/>
      <x:c r="F3" s="219"/>
      <x:c r="G3" s="219"/>
    </x:row>
    <x:row r="4">
      <x:c r="A4" s="221" t="str">
        <x:f>IF(COUNTIF(E7:E14,"CHECK")&gt;0,"CHECK",IF(COUNTIF(E7:E14,"INCOMPLETE")&gt;0,"INCOMPLETE","READY"))</x:f>
        <x:v>INCOMPLETE</x:v>
      </x:c>
      <x:c r="B4" s="221"/>
      <x:c r="C4" s="221"/>
      <x:c r="D4" s="221"/>
      <x:c r="E4" s="221"/>
      <x:c r="F4" s="221"/>
      <x:c r="G4" s="221"/>
    </x:row>
    <x:row r="5">
      <x:c r="A5" s="2"/>
      <x:c r="B5" s="2"/>
      <x:c r="C5" s="2"/>
      <x:c r="D5" s="2"/>
      <x:c r="E5" s="2"/>
      <x:c r="F5" s="2"/>
      <x:c r="G5" s="2"/>
    </x:row>
    <x:row r="6" ht="22" customHeight="1">
      <x:c r="A6" s="31" t="str">
        <x:v>Visible control checks</x:v>
      </x:c>
      <x:c r="B6" s="31"/>
      <x:c r="C6" s="31"/>
      <x:c r="D6" s="31"/>
      <x:c r="E6" s="31"/>
      <x:c r="F6" s="31"/>
      <x:c r="G6" s="31"/>
    </x:row>
    <x:row r="7" ht="36" customHeight="1">
      <x:c r="A7" s="230" t="str">
        <x:v>Check</x:v>
      </x:c>
      <x:c r="B7" s="231" t="str">
        <x:v>Actual / delta</x:v>
      </x:c>
      <x:c r="C7" s="231" t="str">
        <x:v>Pass rule</x:v>
      </x:c>
      <x:c r="D7" s="231" t="str">
        <x:v>Tolerance</x:v>
      </x:c>
      <x:c r="E7" s="231" t="str">
        <x:v>Status</x:v>
      </x:c>
      <x:c r="F7" s="231" t="str">
        <x:v>Where to fix</x:v>
      </x:c>
      <x:c r="G7" s="231" t="str">
        <x:v>Why it matters</x:v>
      </x:c>
    </x:row>
    <x:row r="8" ht="36" customHeight="1">
      <x:c r="A8" s="232" t="str">
        <x:v>Timeline completion</x:v>
      </x:c>
      <x:c r="B8" s="233" t="n">
        <x:f>COUNTBLANK('1 Timeline-Diagnose'!B18:H20)</x:f>
        <x:v>21</x:v>
      </x:c>
      <x:c r="C8" s="58" t="str">
        <x:v>0 blanks</x:v>
      </x:c>
      <x:c r="D8" s="234" t="n">
        <x:v>0</x:v>
      </x:c>
      <x:c r="E8" s="235" t="str">
        <x:f>IF(B8=0,"OK","INCOMPLETE")</x:f>
        <x:v>INCOMPLETE</x:v>
      </x:c>
      <x:c r="F8" s="58" t="str">
        <x:v>1 Timeline-Diagnose</x:v>
      </x:c>
      <x:c r="G8" s="58" t="str">
        <x:v>Function choice must follow the cash-flow map.</x:v>
      </x:c>
    </x:row>
    <x:row r="9" ht="36" customHeight="1">
      <x:c r="A9" s="232" t="str">
        <x:v>Rate-period match</x:v>
      </x:c>
      <x:c r="B9" s="236" t="str">
        <x:f>IF(COUNT('1 Timeline-Diagnose'!F8:F10)&lt;3,"",IF(AND('1 Timeline-Diagnose'!F8&gt;0,'1 Timeline-Diagnose'!F9='1 Timeline-Diagnose'!B11),"monthly / monthly","CHECK"))</x:f>
      </x:c>
      <x:c r="C9" s="58" t="str">
        <x:v>monthly / monthly</x:v>
      </x:c>
      <x:c r="D9" s="234"/>
      <x:c r="E9" s="235" t="str">
        <x:f>IF(B9="","INCOMPLETE",IF(B9=C9,"OK","CHECK"))</x:f>
        <x:v>INCOMPLETE</x:v>
      </x:c>
      <x:c r="F9" s="58" t="str">
        <x:v>1 Timeline-Diagnose F8:F9</x:v>
      </x:c>
      <x:c r="G9" s="58" t="str">
        <x:v>A valid function with mismatched units is still wrong.</x:v>
      </x:c>
    </x:row>
    <x:row r="10" ht="36" customHeight="1">
      <x:c r="A10" s="232" t="str">
        <x:v>Cash-flow signs</x:v>
      </x:c>
      <x:c r="B10" s="236" t="str">
        <x:f>IF(AND('1 Timeline-Diagnose'!B8&lt;0,'1 Timeline-Diagnose'!B12&lt;0,'1 Timeline-Diagnose'!B13&lt;0),"all company payments negative","CHECK")</x:f>
        <x:v>all company payments negative</x:v>
      </x:c>
      <x:c r="C10" s="58" t="str">
        <x:v>all company payments negative</x:v>
      </x:c>
      <x:c r="D10" s="234"/>
      <x:c r="E10" s="235" t="str">
        <x:f>IF(B10=C10,"OK","CHECK")</x:f>
        <x:v>OK</x:v>
      </x:c>
      <x:c r="F10" s="58" t="str">
        <x:v>1 Timeline-Diagnose B8:B14</x:v>
      </x:c>
      <x:c r="G10" s="58" t="str">
        <x:v>Excel signs describe direction, not profitability.</x:v>
      </x:c>
    </x:row>
    <x:row r="11" ht="36" customHeight="1">
      <x:c r="A11" s="232" t="str">
        <x:v>PV/FV round trip</x:v>
      </x:c>
      <x:c r="B11" s="237" t="str">
        <x:f>IF(COUNT('2 Build-Compare'!H8:H10)&lt;3,"",'2 Build-Compare'!H10-'2 Build-Compare'!H8)</x:f>
      </x:c>
      <x:c r="C11" s="58" t="str">
        <x:v>approximately 0</x:v>
      </x:c>
      <x:c r="D11" s="234" t="n">
        <x:v>0.01</x:v>
      </x:c>
      <x:c r="E11" s="235" t="str">
        <x:f>IF(COUNT('2 Build-Compare'!H8:H10)&lt;3,"INCOMPLETE",IF(ABS(B11)&lt;=D11,"OK","CHECK"))</x:f>
        <x:v>INCOMPLETE</x:v>
      </x:c>
      <x:c r="F11" s="58" t="str">
        <x:v>2 Build-Compare H8:H10</x:v>
      </x:c>
      <x:c r="G11" s="58" t="str">
        <x:v>Inverse moves should return the same today value.</x:v>
      </x:c>
    </x:row>
    <x:row r="12" ht="36" customHeight="1">
      <x:c r="A12" s="232" t="str">
        <x:v>Payment-timing direction</x:v>
      </x:c>
      <x:c r="B12" s="237" t="str">
        <x:f>IF(COUNT('2 Build-Compare'!H16:H18)&lt;3,"",'2 Build-Compare'!H18)</x:f>
      </x:c>
      <x:c r="C12" s="58" t="str">
        <x:v>due PV &gt; ordinary PV</x:v>
      </x:c>
      <x:c r="D12" s="234" t="n">
        <x:v>0</x:v>
      </x:c>
      <x:c r="E12" s="235" t="str">
        <x:f>IF(B12="","INCOMPLETE",IF(B12&gt;D12,"OK","CHECK"))</x:f>
        <x:v>INCOMPLETE</x:v>
      </x:c>
      <x:c r="F12" s="58" t="str">
        <x:v>2 Build-Compare H16:H18</x:v>
      </x:c>
      <x:c r="G12" s="58" t="str">
        <x:v>Earlier payments are discounted for one fewer period.</x:v>
      </x:c>
    </x:row>
    <x:row r="13" ht="36" customHeight="1">
      <x:c r="A13" s="232" t="str">
        <x:v>Sensitivity base tie</x:v>
      </x:c>
      <x:c r="B13" s="237" t="str">
        <x:f>IF(COUNT('3 Sensitivity'!B8:F11)&lt;20,"",'3 Sensitivity'!D9-'2 Build-Compare'!H14)</x:f>
      </x:c>
      <x:c r="C13" s="58" t="str">
        <x:v>approximately 0</x:v>
      </x:c>
      <x:c r="D13" s="234" t="n">
        <x:v>0.01</x:v>
      </x:c>
      <x:c r="E13" s="235" t="str">
        <x:f>IF(OR(COUNT('3 Sensitivity'!B8:F11)&lt;20,COUNT('2 Build-Compare'!H14)&lt;1),"INCOMPLETE",IF(ABS(B13)&lt;=D13,"OK","CHECK"))</x:f>
        <x:v>INCOMPLETE</x:v>
      </x:c>
      <x:c r="F13" s="58" t="str">
        <x:v>3 Sensitivity D9</x:v>
      </x:c>
      <x:c r="G13" s="58" t="str">
        <x:v>The copied block must recalculate the same base model.</x:v>
      </x:c>
    </x:row>
    <x:row r="14" ht="36" customHeight="1">
      <x:c r="A14" s="60" t="str">
        <x:v>Sensitivity rate direction</x:v>
      </x:c>
      <x:c r="B14" s="238" t="str">
        <x:f>IF(COUNT('3 Sensitivity'!B8:F11)&lt;20,"",IF(AND('3 Sensitivity'!B9&gt;'3 Sensitivity'!C9,'3 Sensitivity'!C9&gt;'3 Sensitivity'!D9,'3 Sensitivity'!D9&gt;'3 Sensitivity'!E9,'3 Sensitivity'!E9&gt;'3 Sensitivity'!F9),"PV cost decreases as APR rises","CHECK"))</x:f>
      </x:c>
      <x:c r="C14" s="61" t="str">
        <x:v>PV cost decreases as APR rises</x:v>
      </x:c>
      <x:c r="D14" s="239"/>
      <x:c r="E14" s="240" t="str">
        <x:f>IF(B14="","INCOMPLETE",IF(B14=C14,"OK","CHECK"))</x:f>
        <x:v>INCOMPLETE</x:v>
      </x:c>
      <x:c r="F14" s="61" t="str">
        <x:v>3 Sensitivity row 9</x:v>
      </x:c>
      <x:c r="G14" s="61" t="str">
        <x:v>The direction check catches bad anchors and units.</x:v>
      </x:c>
    </x:row>
    <x:row r="15">
      <x:c r="A15" s="2"/>
      <x:c r="B15" s="2"/>
      <x:c r="C15" s="2"/>
      <x:c r="D15" s="2"/>
      <x:c r="E15" s="2"/>
      <x:c r="F15" s="2"/>
      <x:c r="G15" s="2"/>
    </x:row>
    <x:row r="16" ht="22" customHeight="1">
      <x:c r="A16" s="31" t="str">
        <x:v>Decision output — state the choice in today’s dollars</x:v>
      </x:c>
      <x:c r="B16" s="31"/>
      <x:c r="C16" s="31"/>
      <x:c r="D16" s="31"/>
      <x:c r="E16" s="31"/>
      <x:c r="F16" s="31"/>
      <x:c r="G16" s="31"/>
    </x:row>
    <x:row r="17" ht="27" customHeight="1">
      <x:c r="A17" s="242" t="str">
        <x:v>Recommendation</x:v>
      </x:c>
      <x:c r="B17" s="144"/>
      <x:c r="C17" s="145"/>
      <x:c r="D17" s="145"/>
      <x:c r="E17" s="145"/>
      <x:c r="F17" s="145"/>
      <x:c r="G17" s="146"/>
    </x:row>
    <x:row r="18" ht="27" customHeight="1">
      <x:c r="A18" s="242"/>
      <x:c r="B18" s="147"/>
      <x:c r="C18" s="148"/>
      <x:c r="D18" s="148"/>
      <x:c r="E18" s="148"/>
      <x:c r="F18" s="148"/>
      <x:c r="G18" s="149"/>
    </x:row>
    <x:row r="19" ht="27" customHeight="1">
      <x:c r="A19" s="242"/>
      <x:c r="B19" s="150"/>
      <x:c r="C19" s="151"/>
      <x:c r="D19" s="151"/>
      <x:c r="E19" s="151"/>
      <x:c r="F19" s="151"/>
      <x:c r="G19" s="152"/>
    </x:row>
    <x:row r="20" ht="27" customHeight="1">
      <x:c r="A20" s="242" t="str">
        <x:v>Evidence</x:v>
      </x:c>
      <x:c r="B20" s="144"/>
      <x:c r="C20" s="145"/>
      <x:c r="D20" s="145"/>
      <x:c r="E20" s="145"/>
      <x:c r="F20" s="145"/>
      <x:c r="G20" s="146"/>
    </x:row>
    <x:row r="21" ht="27" customHeight="1">
      <x:c r="A21" s="242"/>
      <x:c r="B21" s="147"/>
      <x:c r="C21" s="148"/>
      <x:c r="D21" s="148"/>
      <x:c r="E21" s="148"/>
      <x:c r="F21" s="148"/>
      <x:c r="G21" s="149"/>
    </x:row>
    <x:row r="22" ht="27" customHeight="1">
      <x:c r="A22" s="242"/>
      <x:c r="B22" s="150"/>
      <x:c r="C22" s="151"/>
      <x:c r="D22" s="151"/>
      <x:c r="E22" s="151"/>
      <x:c r="F22" s="151"/>
      <x:c r="G22" s="152"/>
    </x:row>
    <x:row r="23" ht="27" customHeight="1">
      <x:c r="A23" s="242" t="str">
        <x:v>Risk / reversal trigger</x:v>
      </x:c>
      <x:c r="B23" s="144"/>
      <x:c r="C23" s="145"/>
      <x:c r="D23" s="145"/>
      <x:c r="E23" s="145"/>
      <x:c r="F23" s="145"/>
      <x:c r="G23" s="146"/>
    </x:row>
    <x:row r="24" ht="27" customHeight="1">
      <x:c r="A24" s="242"/>
      <x:c r="B24" s="147"/>
      <x:c r="C24" s="148"/>
      <x:c r="D24" s="148"/>
      <x:c r="E24" s="148"/>
      <x:c r="F24" s="148"/>
      <x:c r="G24" s="149"/>
    </x:row>
    <x:row r="25" ht="27" customHeight="1">
      <x:c r="A25" s="242"/>
      <x:c r="B25" s="150"/>
      <x:c r="C25" s="151"/>
      <x:c r="D25" s="151"/>
      <x:c r="E25" s="151"/>
      <x:c r="F25" s="151"/>
      <x:c r="G25" s="152"/>
    </x:row>
    <x:row r="26" ht="34" customHeight="1">
      <x:c r="A26" s="164" t="str">
        <x:v>Final audit</x:v>
      </x:c>
      <x:c r="B26" s="165" t="str">
        <x:v>Amount + value date + periodic rate + timing + evidence + trigger</x:v>
      </x:c>
      <x:c r="C26" s="165"/>
      <x:c r="D26" s="165"/>
      <x:c r="E26" s="165"/>
      <x:c r="F26" s="165"/>
      <x:c r="G26" s="166"/>
    </x:row>
    <x:row r="27">
      <x:c r="A27" s="2"/>
      <x:c r="B27" s="2"/>
      <x:c r="C27" s="2"/>
      <x:c r="D27" s="2"/>
      <x:c r="E27" s="2"/>
      <x:c r="F27" s="2"/>
      <x:c r="G27" s="2"/>
    </x:row>
    <x:row r="28">
      <x:c r="A28" s="2"/>
      <x:c r="B28" s="2"/>
      <x:c r="C28" s="2"/>
      <x:c r="D28" s="2"/>
      <x:c r="E28" s="2"/>
      <x:c r="F28" s="2"/>
      <x:c r="G28" s="2"/>
    </x:row>
    <x:row r="29">
      <x:c r="A29" s="2"/>
      <x:c r="B29" s="2"/>
      <x:c r="C29" s="2"/>
      <x:c r="D29" s="2"/>
      <x:c r="E29" s="2"/>
      <x:c r="F29" s="2"/>
      <x:c r="G29" s="2"/>
    </x:row>
    <x:row r="30">
      <x:c r="A30" s="2"/>
      <x:c r="B30" s="2"/>
      <x:c r="C30" s="2"/>
      <x:c r="D30" s="2"/>
      <x:c r="E30" s="2"/>
      <x:c r="F30" s="2"/>
      <x:c r="G30" s="2"/>
    </x:row>
    <x:row r="31">
      <x:c r="A31" s="2"/>
      <x:c r="B31" s="2"/>
      <x:c r="C31" s="2"/>
      <x:c r="D31" s="2"/>
      <x:c r="E31" s="2"/>
      <x:c r="F31" s="2"/>
      <x:c r="G31" s="2"/>
    </x:row>
    <x:row r="32">
      <x:c r="A32" s="2"/>
      <x:c r="B32" s="2"/>
      <x:c r="C32" s="2"/>
      <x:c r="D32" s="2"/>
      <x:c r="E32" s="2"/>
      <x:c r="F32" s="2"/>
      <x:c r="G32" s="2"/>
    </x:row>
  </x:sheetData>
  <x:mergeCells>
    <x:mergeCell ref="A1:G1"/>
    <x:mergeCell ref="A3:G3"/>
    <x:mergeCell ref="A4:G4"/>
    <x:mergeCell ref="A6:G6"/>
    <x:mergeCell ref="A16:G16"/>
    <x:mergeCell ref="A17:A19"/>
    <x:mergeCell ref="B17:G19"/>
    <x:mergeCell ref="A20:A22"/>
    <x:mergeCell ref="B20:G22"/>
    <x:mergeCell ref="A23:A25"/>
    <x:mergeCell ref="B23:G25"/>
    <x:mergeCell ref="B26:G26"/>
  </x:mergeCells>
  <x:pageMargins left="0.7" right="0.7" top="0.75" bottom="0.75" header="0.3" footer="0.3"/>
</x:worksheet>
</file>