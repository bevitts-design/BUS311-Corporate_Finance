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51ff3d83149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a21fc5e2e614d78"/>
    <x:sheet xmlns:r="http://schemas.openxmlformats.org/officeDocument/2006/relationships" name="TVM Lab" sheetId="2" r:id="Rd672c86c1ea5498e"/>
    <x:sheet xmlns:r="http://schemas.openxmlformats.org/officeDocument/2006/relationships" name="Checks" sheetId="3" r:id="Rf98f77539f9d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9C4A2B"/>
      </x:patternFill>
    </x:fill>
    <x:fill>
      <x:patternFill patternType="solid">
        <x:fgColor rgb="FFF2EEE5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D9D5CB"/>
      </x:left>
      <x:top style="thin">
        <x:color rgb="FFD9D5CB"/>
      </x:top>
    </x:border>
    <x:border>
      <x:right style="thin">
        <x:color rgb="FFD9D5CB"/>
      </x:right>
      <x:top style="thin">
        <x:color rgb="FFD9D5CB"/>
      </x:top>
    </x:border>
    <x:border>
      <x:left style="thin">
        <x:color rgb="FFD9D5CB"/>
      </x:left>
    </x:border>
    <x:border>
      <x:right style="thin">
        <x:color rgb="FFD9D5CB"/>
      </x:right>
    </x:border>
    <x:border>
      <x:left style="thin">
        <x:color rgb="FFD9D5CB"/>
      </x:left>
      <x:bottom style="thin">
        <x:color rgb="FFD9D5CB"/>
      </x:bottom>
    </x:border>
    <x:border>
      <x:right style="thin">
        <x:color rgb="FFD9D5CB"/>
      </x:right>
      <x:bottom style="thin">
        <x:color rgb="FFD9D5C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201" fontId="5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4d6806d8e4d8a" /><Relationship Type="http://schemas.openxmlformats.org/officeDocument/2006/relationships/theme" Target="/xl/theme/theme1.xml" Id="R607818e28e014ba9" /><Relationship Type="http://schemas.openxmlformats.org/officeDocument/2006/relationships/sharedStrings" Target="/xl/sharedStrings.xml" Id="R039492132df1443e" /><Relationship Type="http://schemas.openxmlformats.org/officeDocument/2006/relationships/worksheet" Target="/xl/worksheets/sheet1.xml" Id="R5a21fc5e2e614d78" /><Relationship Type="http://schemas.openxmlformats.org/officeDocument/2006/relationships/worksheet" Target="/xl/worksheets/sheet2.xml" Id="Rd672c86c1ea5498e" /><Relationship Type="http://schemas.openxmlformats.org/officeDocument/2006/relationships/worksheet" Target="/xl/worksheets/sheet3.xml" Id="Rf98f77539f9d42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8" hidden="0" customWidth="1"/>
  </x:cols>
  <x:sheetData>
    <x:row r="1">
      <x:c r="A1" s="2" t="str">
        <x:v>Time Value of Money</x:v>
      </x:c>
      <x:c r="B1" s="2"/>
      <x:c r="C1" s="2"/>
      <x:c r="D1" s="2"/>
      <x:c r="E1" s="2"/>
      <x:c r="F1" s="2"/>
    </x:row>
    <x:row r="3">
      <x:c r="A3" s="4" t="str">
        <x:v>BUS311 · valuation-m01-l01 · FactSet required</x:v>
      </x:c>
      <x:c r="B3" s="4"/>
      <x:c r="C3" s="4"/>
      <x:c r="D3" s="4"/>
      <x:c r="E3" s="4"/>
      <x:c r="F3" s="4"/>
    </x:row>
    <x:row r="5">
      <x:c r="A5" s="7" t="str">
        <x:v>Step</x:v>
      </x:c>
      <x:c r="B5" s="8" t="str">
        <x:v>Instruction</x:v>
      </x:c>
    </x:row>
    <x:row r="6">
      <x:c r="A6" s="9" t="n">
        <x:v>1</x:v>
      </x:c>
      <x:c r="B6" s="10" t="str">
        <x:v>Read the lesson pre-reading and confirm FactSet access.</x:v>
      </x:c>
    </x:row>
    <x:row r="7">
      <x:c r="A7" s="9" t="n">
        <x:v>2</x:v>
      </x:c>
      <x:c r="B7" s="10" t="str">
        <x:v>Enter or verify blue input values and document field definitions.</x:v>
      </x:c>
    </x:row>
    <x:row r="8">
      <x:c r="A8" s="9" t="n">
        <x:v>3</x:v>
      </x:c>
      <x:c r="B8" s="10" t="str">
        <x:v>Complete yellow calculation cells with auditable formulas.</x:v>
      </x:c>
    </x:row>
    <x:row r="9">
      <x:c r="A9" s="9" t="n">
        <x:v>4</x:v>
      </x:c>
      <x:c r="B9" s="10" t="str">
        <x:v>Use the Checks sheet before writing a recommendation.</x:v>
      </x:c>
    </x:row>
    <x:row r="10">
      <x:c r="A10" s="11" t="n">
        <x:v>5</x:v>
      </x:c>
      <x:c r="B10" s="12" t="str">
        <x:v>State the decision, evidence, risk, and monitoring trigger.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</x:cols>
  <x:sheetData>
    <x:row r="1">
      <x:c r="A1" s="13" t="str">
        <x:v>Berkshire Capital Allocation — TVM Lab</x:v>
      </x:c>
      <x:c r="B1" s="13"/>
      <x:c r="C1" s="13"/>
      <x:c r="D1" s="13"/>
      <x:c r="E1" s="13"/>
      <x:c r="F1" s="13"/>
    </x:row>
    <x:row r="3">
      <x:c r="A3" s="4" t="str">
        <x:v>Scenario</x:v>
      </x:c>
      <x:c r="B3" s="4" t="str">
        <x:v>Input</x:v>
      </x:c>
      <x:c r="C3" s="4" t="str">
        <x:v>Value</x:v>
      </x:c>
    </x:row>
    <x:row r="4">
      <x:c r="A4" t="str">
        <x:v>Future value</x:v>
      </x:c>
      <x:c r="B4" t="str">
        <x:v>Present amount</x:v>
      </x:c>
      <x:c r="C4" s="16" t="n">
        <x:v>10000</x:v>
      </x:c>
    </x:row>
    <x:row r="5">
      <x:c r="A5" t="str"/>
      <x:c r="B5" t="str">
        <x:v>Annual rate</x:v>
      </x:c>
      <x:c r="C5" s="19" t="n">
        <x:v>0.08</x:v>
      </x:c>
    </x:row>
    <x:row r="6">
      <x:c r="A6" t="str"/>
      <x:c r="B6" t="str">
        <x:v>Years</x:v>
      </x:c>
      <x:c r="C6" s="16" t="n">
        <x:v>5</x:v>
      </x:c>
    </x:row>
    <x:row r="7">
      <x:c r="A7" t="str"/>
      <x:c r="B7" t="str">
        <x:v>Future value</x:v>
      </x:c>
      <x:c r="C7" s="18"/>
    </x:row>
    <x:row r="8">
      <x:c r="A8" t="str">
        <x:v>Present value</x:v>
      </x:c>
      <x:c r="B8" t="str">
        <x:v>Future amount</x:v>
      </x:c>
      <x:c r="C8" s="16" t="n">
        <x:v>20000</x:v>
      </x:c>
    </x:row>
    <x:row r="9">
      <x:c r="A9" t="str"/>
      <x:c r="B9" t="str">
        <x:v>Annual rate</x:v>
      </x:c>
      <x:c r="C9" s="19" t="n">
        <x:v>0.07</x:v>
      </x:c>
    </x:row>
    <x:row r="10">
      <x:c r="A10" t="str"/>
      <x:c r="B10" t="str">
        <x:v>Years</x:v>
      </x:c>
      <x:c r="C10" s="16" t="n">
        <x:v>4</x:v>
      </x:c>
    </x:row>
    <x:row r="11">
      <x:c r="A11" t="str"/>
      <x:c r="B11" t="str">
        <x:v>Present value</x:v>
      </x:c>
      <x:c r="C11" s="18"/>
    </x:row>
    <x:row r="12">
      <x:c r="A12" t="str">
        <x:v>Annuity</x:v>
      </x:c>
      <x:c r="B12" t="str">
        <x:v>Annual cash flow</x:v>
      </x:c>
      <x:c r="C12" s="16" t="n">
        <x:v>5000</x:v>
      </x:c>
    </x:row>
    <x:row r="13">
      <x:c r="A13" t="str"/>
      <x:c r="B13" t="str">
        <x:v>Annual rate</x:v>
      </x:c>
      <x:c r="C13" s="19" t="n">
        <x:v>0.06</x:v>
      </x:c>
    </x:row>
    <x:row r="14">
      <x:c r="A14" t="str"/>
      <x:c r="B14" t="str">
        <x:v>Periods</x:v>
      </x:c>
      <x:c r="C14" s="16" t="n">
        <x:v>6</x:v>
      </x:c>
    </x:row>
    <x:row r="15">
      <x:c r="A15" t="str"/>
      <x:c r="B15" t="str">
        <x:v>Present value</x:v>
      </x:c>
      <x:c r="C15" s="18"/>
    </x:row>
    <x:row r="16">
      <x:c r="A16" t="str">
        <x:v>Perpetuity</x:v>
      </x:c>
      <x:c r="B16" t="str">
        <x:v>Annual cash flow</x:v>
      </x:c>
      <x:c r="C16" s="16" t="n">
        <x:v>2400</x:v>
      </x:c>
    </x:row>
    <x:row r="17">
      <x:c r="A17" t="str"/>
      <x:c r="B17" t="str">
        <x:v>Required return</x:v>
      </x:c>
      <x:c r="C17" s="19" t="n">
        <x:v>0.1</x:v>
      </x:c>
    </x:row>
    <x:row r="18">
      <x:c r="A18" t="str"/>
      <x:c r="B18" t="str">
        <x:v>Present value</x:v>
      </x:c>
      <x:c r="C18" s="18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</x:cols>
  <x:sheetData>
    <x:row r="1">
      <x:c r="A1" s="13" t="str">
        <x:v>TVM Checks</x:v>
      </x:c>
      <x:c r="B1" s="13"/>
      <x:c r="C1" s="13"/>
      <x:c r="D1" s="13"/>
      <x:c r="E1" s="13"/>
    </x:row>
    <x:row r="3">
      <x:c r="A3" s="4" t="str">
        <x:v>Check</x:v>
      </x:c>
      <x:c r="B3" s="4" t="str">
        <x:v>Actual</x:v>
      </x:c>
      <x:c r="C3" s="4" t="str">
        <x:v>Expected</x:v>
      </x:c>
      <x:c r="D3" s="4" t="str">
        <x:v>Difference</x:v>
      </x:c>
      <x:c r="E3" s="4" t="str">
        <x:v>Status</x:v>
      </x:c>
    </x:row>
    <x:row r="4">
      <x:c r="A4" t="str">
        <x:v>Future value</x:v>
      </x:c>
      <x:c r="B4" t="n">
        <x:f>'TVM Lab'!C7</x:f>
        <x:v>0</x:v>
      </x:c>
      <x:c r="C4" t="n">
        <x:v>14693.280768</x:v>
      </x:c>
      <x:c r="D4" t="n">
        <x:f>B4-C4</x:f>
        <x:v>-14693.280768</x:v>
      </x:c>
      <x:c r="E4" t="str">
        <x:f>IF(ABS(D4)&lt;1,"OK","CHECK")</x:f>
        <x:v>CHECK</x:v>
      </x:c>
    </x:row>
    <x:row r="5">
      <x:c r="A5" t="str">
        <x:v>Present value</x:v>
      </x:c>
      <x:c r="B5" t="n">
        <x:f>'TVM Lab'!C11</x:f>
        <x:v>0</x:v>
      </x:c>
      <x:c r="C5" t="n">
        <x:v>15257.9041</x:v>
      </x:c>
      <x:c r="D5" t="n">
        <x:f>B5-C5</x:f>
        <x:v>-15257.9041</x:v>
      </x:c>
      <x:c r="E5" t="str">
        <x:f>IF(ABS(D5)&lt;1,"OK","CHECK")</x:f>
        <x:v>CHECK</x:v>
      </x:c>
    </x:row>
    <x:row r="6">
      <x:c r="A6" t="str">
        <x:v>Annuity PV</x:v>
      </x:c>
      <x:c r="B6" t="n">
        <x:f>'TVM Lab'!C15</x:f>
        <x:v>0</x:v>
      </x:c>
      <x:c r="C6" t="n">
        <x:v>24586.62</x:v>
      </x:c>
      <x:c r="D6" t="n">
        <x:f>B6-C6</x:f>
        <x:v>-24586.62</x:v>
      </x:c>
      <x:c r="E6" t="str">
        <x:f>IF(ABS(D6)&lt;1,"OK","CHECK")</x:f>
        <x:v>CHECK</x:v>
      </x:c>
    </x:row>
    <x:row r="7">
      <x:c r="A7" t="str">
        <x:v>Perpetuity PV</x:v>
      </x:c>
      <x:c r="B7" t="n">
        <x:f>'TVM Lab'!C18</x:f>
        <x:v>0</x:v>
      </x:c>
      <x:c r="C7" t="n">
        <x:v>24000</x:v>
      </x:c>
      <x:c r="D7" t="n">
        <x:f>B7-C7</x:f>
        <x:v>-24000</x:v>
      </x:c>
      <x:c r="E7" t="str">
        <x:f>IF(ABS(D7)&lt;1,"OK","CHECK")</x:f>
        <x:v>CHECK</x:v>
      </x:c>
    </x:row>
  </x:sheetData>
  <x:mergeCells>
    <x:mergeCell ref="A1:E1"/>
  </x:mergeCells>
  <x:pageMargins left="0.7" right="0.7" top="0.75" bottom="0.75" header="0.3" footer="0.3"/>
</x:worksheet>
</file>