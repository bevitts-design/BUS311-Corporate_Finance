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5 - Time Value of Money/"/>
    </mc:Choice>
  </mc:AlternateContent>
  <xr:revisionPtr revIDLastSave="613" documentId="8_{0EF62B3E-D228-481C-9CE8-219231241E97}" xr6:coauthVersionLast="47" xr6:coauthVersionMax="47" xr10:uidLastSave="{FD75FA78-2DA6-40E6-9258-5DD7A281FA40}"/>
  <bookViews>
    <workbookView xWindow="4785" yWindow="990" windowWidth="22455" windowHeight="14250" tabRatio="723" firstSheet="1" activeTab="7" xr2:uid="{AC7636A6-38F1-43B9-8F70-280DE3944A19}"/>
  </bookViews>
  <sheets>
    <sheet name="FV " sheetId="11" r:id="rId1"/>
    <sheet name="PV- Uncle" sheetId="2" r:id="rId2"/>
    <sheet name="Manhattan Island" sheetId="10" r:id="rId3"/>
    <sheet name="Perpetuities" sheetId="12" r:id="rId4"/>
    <sheet name="Preferred Stock" sheetId="13" r:id="rId5"/>
    <sheet name="PV Annuity" sheetId="8" r:id="rId6"/>
    <sheet name="Lottery" sheetId="4" r:id="rId7"/>
    <sheet name="ABC Tech" sheetId="5" r:id="rId8"/>
    <sheet name="Lemonade Stand" sheetId="7" r:id="rId9"/>
    <sheet name="NPV another model" sheetId="6" r:id="rId10"/>
    <sheet name="FV Graph" sheetId="1" r:id="rId11"/>
  </sheets>
  <externalReferences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D11" i="5"/>
  <c r="C12" i="5"/>
  <c r="D12" i="5"/>
  <c r="C9" i="4"/>
  <c r="D9" i="4"/>
  <c r="C11" i="4"/>
  <c r="D11" i="4"/>
  <c r="C18" i="8"/>
  <c r="B18" i="8"/>
  <c r="C7" i="8"/>
  <c r="F7" i="13"/>
  <c r="F5" i="13"/>
  <c r="C7" i="13"/>
  <c r="E5" i="13"/>
  <c r="B7" i="13"/>
  <c r="E7" i="13" s="1"/>
  <c r="C5" i="12"/>
  <c r="B5" i="12"/>
  <c r="B7" i="11"/>
  <c r="B8" i="11"/>
  <c r="D8" i="11"/>
  <c r="D10" i="11"/>
  <c r="D7" i="11"/>
  <c r="B10" i="11"/>
  <c r="C17" i="8"/>
  <c r="B17" i="8"/>
  <c r="G8" i="1"/>
  <c r="G9" i="1"/>
  <c r="G10" i="1"/>
  <c r="G11" i="1"/>
  <c r="G7" i="1"/>
  <c r="D8" i="10"/>
  <c r="D4" i="10"/>
  <c r="B4" i="10"/>
  <c r="B8" i="10" s="1"/>
  <c r="B7" i="8"/>
  <c r="C13" i="7"/>
  <c r="C12" i="7"/>
  <c r="C34" i="5"/>
  <c r="B10" i="6"/>
  <c r="D3" i="6"/>
  <c r="D4" i="6"/>
  <c r="D5" i="6"/>
  <c r="D6" i="6"/>
  <c r="D2" i="6"/>
  <c r="C33" i="5"/>
  <c r="G5" i="5"/>
  <c r="G6" i="5"/>
  <c r="G7" i="5"/>
  <c r="G8" i="5"/>
  <c r="G9" i="5"/>
  <c r="G4" i="5"/>
  <c r="F5" i="5"/>
  <c r="F6" i="5"/>
  <c r="F7" i="5"/>
  <c r="F8" i="5"/>
  <c r="F9" i="5"/>
  <c r="F4" i="5"/>
  <c r="D8" i="2"/>
  <c r="C8" i="2"/>
  <c r="C9" i="1"/>
  <c r="C10" i="1"/>
  <c r="C11" i="1"/>
  <c r="C8" i="1"/>
  <c r="D8" i="1"/>
  <c r="D9" i="1"/>
  <c r="D10" i="1"/>
  <c r="D11" i="1"/>
  <c r="D7" i="1"/>
  <c r="C7" i="1"/>
  <c r="G11" i="5" l="1"/>
  <c r="F11" i="5"/>
  <c r="H7" i="1"/>
  <c r="C17" i="1"/>
  <c r="D17" i="1" l="1"/>
  <c r="F7" i="1"/>
  <c r="F8" i="1" l="1"/>
  <c r="E7" i="1"/>
  <c r="E8" i="1" l="1"/>
  <c r="H8" i="1"/>
  <c r="C18" i="1"/>
  <c r="F9" i="1" l="1"/>
  <c r="E9" i="1" s="1"/>
  <c r="D18" i="1"/>
  <c r="C19" i="1"/>
  <c r="H9" i="1"/>
  <c r="C20" i="1" l="1"/>
  <c r="F10" i="1"/>
  <c r="E10" i="1" s="1"/>
  <c r="H10" i="1"/>
  <c r="D19" i="1"/>
  <c r="D12" i="1" l="1"/>
  <c r="F11" i="1"/>
  <c r="D20" i="1"/>
  <c r="C21" i="1"/>
  <c r="H11" i="1"/>
  <c r="D21" i="1" l="1"/>
  <c r="E11" i="1"/>
  <c r="E12" i="1" s="1"/>
  <c r="F12" i="1"/>
</calcChain>
</file>

<file path=xl/sharedStrings.xml><?xml version="1.0" encoding="utf-8"?>
<sst xmlns="http://schemas.openxmlformats.org/spreadsheetml/2006/main" count="95" uniqueCount="68">
  <si>
    <t>Initial investment</t>
  </si>
  <si>
    <t xml:space="preserve"> The future value of $1 is found by the equation FV = $1 ´ (1 + r)^t</t>
  </si>
  <si>
    <t>Interest rate per year</t>
  </si>
  <si>
    <t>What is the value of the investment each year over the next 5 years? How much of the interest is simple interest and how much is compound interest? We will answer this question with the following table:</t>
  </si>
  <si>
    <t>Year</t>
  </si>
  <si>
    <t>Beginning
Amount</t>
  </si>
  <si>
    <t>Simple 
Interest</t>
  </si>
  <si>
    <t>Compound
Interest</t>
  </si>
  <si>
    <t>Total
Interest</t>
  </si>
  <si>
    <t>Ending
Amount</t>
  </si>
  <si>
    <t>Amount 
with 
Simple 
Interest</t>
  </si>
  <si>
    <t>Totals</t>
  </si>
  <si>
    <t>So what does simple interest look like compared to compound interest? We can use Excel to draw a graph for us. First, we need to set up a table that shows the value with simple interest and the total compound interest.</t>
  </si>
  <si>
    <t>Amount with Simple
Interest</t>
  </si>
  <si>
    <t>Total Compound
Interest</t>
  </si>
  <si>
    <t>Now we can graph the contribution of compounding to the future value of our investment.</t>
  </si>
  <si>
    <t xml:space="preserve">Your rich uncle promises to give you $10,000 when you graduate from college.  </t>
  </si>
  <si>
    <t>What is the value of this gift if you plan to graduate in 5 years and interest rates are 10 percent</t>
  </si>
  <si>
    <t>FV</t>
  </si>
  <si>
    <t>Years</t>
  </si>
  <si>
    <t>Rate</t>
  </si>
  <si>
    <t>PV</t>
  </si>
  <si>
    <t>=PV(rate, nper,pmt,-FV)</t>
  </si>
  <si>
    <t xml:space="preserve">Find the future value of $24 </t>
  </si>
  <si>
    <t>Inputs</t>
  </si>
  <si>
    <t>Interest Rate</t>
  </si>
  <si>
    <t>Periods</t>
  </si>
  <si>
    <t>Payment</t>
  </si>
  <si>
    <t>Present Value</t>
  </si>
  <si>
    <t xml:space="preserve">Future Value </t>
  </si>
  <si>
    <t>$520Trillion</t>
  </si>
  <si>
    <t>Lump Sum Today</t>
  </si>
  <si>
    <t>Payment Plan @ 5% Disc Rate</t>
  </si>
  <si>
    <t>Payment Plan @ 10% Disc Rate</t>
  </si>
  <si>
    <t>Yearly PMTS</t>
  </si>
  <si>
    <t>Level Cash Flow Payment - use the PV Annuity Formula</t>
  </si>
  <si>
    <t>PMT</t>
  </si>
  <si>
    <t>Nper(# of periods)</t>
  </si>
  <si>
    <t>=PV(rate, nper,-pmt)</t>
  </si>
  <si>
    <t>NPV Function</t>
  </si>
  <si>
    <t>Target Return Treshold</t>
  </si>
  <si>
    <t>PV Forumla</t>
  </si>
  <si>
    <t>Time</t>
  </si>
  <si>
    <t>Cashflow</t>
  </si>
  <si>
    <t>Net Present Value</t>
  </si>
  <si>
    <t>Note for Excel NPV Function:</t>
  </si>
  <si>
    <t>Double Check</t>
  </si>
  <si>
    <t>Cashflows at end of Period</t>
  </si>
  <si>
    <t>Cashflows at regular Intervals</t>
  </si>
  <si>
    <t>Initial Cashflow at Beginning - so needs to be added back in (if listed as a negative)</t>
  </si>
  <si>
    <t>XNPV Function</t>
  </si>
  <si>
    <t xml:space="preserve">Uneven Cash Flows- with Dates </t>
  </si>
  <si>
    <t>Discount Rate</t>
  </si>
  <si>
    <t>Date</t>
  </si>
  <si>
    <t>NPV</t>
  </si>
  <si>
    <t>Cost</t>
  </si>
  <si>
    <t>Benefit</t>
  </si>
  <si>
    <t>Difference</t>
  </si>
  <si>
    <t>Compound Frequency</t>
  </si>
  <si>
    <t>NPER</t>
  </si>
  <si>
    <t>Rate per CF</t>
  </si>
  <si>
    <t>Future Value</t>
  </si>
  <si>
    <t>Cash Flow (PMT)</t>
  </si>
  <si>
    <t>Return Required</t>
  </si>
  <si>
    <t>Present  Value</t>
  </si>
  <si>
    <t>Cash Flow</t>
  </si>
  <si>
    <t>Existing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</si>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</sst>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[$-409]dd\-mmm\-yy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50C7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B8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rgb="FFB8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4" fillId="2" borderId="0" xfId="0" applyFont="1" applyFill="1"/>
    <xf numFmtId="6" fontId="5" fillId="2" borderId="0" xfId="0" applyNumberFormat="1" applyFont="1" applyFill="1"/>
    <xf numFmtId="9" fontId="5" fillId="2" borderId="0" xfId="2" applyFont="1" applyFill="1"/>
    <xf numFmtId="9" fontId="6" fillId="2" borderId="0" xfId="2" applyFont="1" applyFill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44" fontId="7" fillId="3" borderId="0" xfId="0" applyNumberFormat="1" applyFont="1" applyFill="1"/>
    <xf numFmtId="44" fontId="7" fillId="3" borderId="5" xfId="0" applyNumberFormat="1" applyFont="1" applyFill="1" applyBorder="1"/>
    <xf numFmtId="43" fontId="7" fillId="3" borderId="0" xfId="0" applyNumberFormat="1" applyFont="1" applyFill="1"/>
    <xf numFmtId="43" fontId="7" fillId="3" borderId="6" xfId="0" applyNumberFormat="1" applyFont="1" applyFill="1" applyBorder="1"/>
    <xf numFmtId="0" fontId="4" fillId="3" borderId="7" xfId="0" applyFont="1" applyFill="1" applyBorder="1" applyAlignment="1">
      <alignment horizontal="center"/>
    </xf>
    <xf numFmtId="0" fontId="7" fillId="3" borderId="6" xfId="0" applyFont="1" applyFill="1" applyBorder="1"/>
    <xf numFmtId="44" fontId="7" fillId="3" borderId="6" xfId="0" applyNumberFormat="1" applyFont="1" applyFill="1" applyBorder="1"/>
    <xf numFmtId="0" fontId="4" fillId="3" borderId="1" xfId="0" applyFont="1" applyFill="1" applyBorder="1"/>
    <xf numFmtId="37" fontId="4" fillId="3" borderId="4" xfId="0" applyNumberFormat="1" applyFont="1" applyFill="1" applyBorder="1" applyAlignment="1">
      <alignment horizontal="center"/>
    </xf>
    <xf numFmtId="37" fontId="4" fillId="3" borderId="7" xfId="0" applyNumberFormat="1" applyFont="1" applyFill="1" applyBorder="1" applyAlignment="1">
      <alignment horizontal="center"/>
    </xf>
    <xf numFmtId="44" fontId="7" fillId="3" borderId="8" xfId="0" applyNumberFormat="1" applyFont="1" applyFill="1" applyBorder="1"/>
    <xf numFmtId="6" fontId="7" fillId="3" borderId="0" xfId="0" applyNumberFormat="1" applyFont="1" applyFill="1"/>
    <xf numFmtId="0" fontId="8" fillId="3" borderId="9" xfId="0" applyFont="1" applyFill="1" applyBorder="1" applyAlignment="1">
      <alignment horizontal="center" wrapText="1"/>
    </xf>
    <xf numFmtId="44" fontId="9" fillId="3" borderId="10" xfId="0" applyNumberFormat="1" applyFont="1" applyFill="1" applyBorder="1"/>
    <xf numFmtId="43" fontId="9" fillId="3" borderId="10" xfId="0" applyNumberFormat="1" applyFont="1" applyFill="1" applyBorder="1"/>
    <xf numFmtId="0" fontId="9" fillId="3" borderId="11" xfId="0" applyFont="1" applyFill="1" applyBorder="1"/>
    <xf numFmtId="9" fontId="0" fillId="0" borderId="0" xfId="0" applyNumberFormat="1"/>
    <xf numFmtId="8" fontId="0" fillId="0" borderId="0" xfId="0" applyNumberFormat="1"/>
    <xf numFmtId="0" fontId="0" fillId="0" borderId="0" xfId="0" quotePrefix="1"/>
    <xf numFmtId="0" fontId="0" fillId="4" borderId="0" xfId="0" applyFill="1"/>
    <xf numFmtId="8" fontId="0" fillId="5" borderId="0" xfId="0" applyNumberFormat="1" applyFill="1"/>
    <xf numFmtId="164" fontId="0" fillId="0" borderId="0" xfId="1" applyNumberFormat="1" applyFont="1"/>
    <xf numFmtId="6" fontId="0" fillId="0" borderId="0" xfId="0" applyNumberFormat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6" fontId="0" fillId="5" borderId="0" xfId="0" applyNumberFormat="1" applyFill="1"/>
    <xf numFmtId="9" fontId="0" fillId="0" borderId="0" xfId="0" applyNumberFormat="1" applyAlignment="1">
      <alignment horizontal="center"/>
    </xf>
    <xf numFmtId="6" fontId="0" fillId="4" borderId="0" xfId="0" applyNumberFormat="1" applyFill="1"/>
    <xf numFmtId="0" fontId="0" fillId="0" borderId="0" xfId="0" applyAlignment="1">
      <alignment horizontal="right"/>
    </xf>
    <xf numFmtId="9" fontId="0" fillId="0" borderId="4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8" fontId="0" fillId="0" borderId="4" xfId="0" applyNumberFormat="1" applyBorder="1"/>
    <xf numFmtId="6" fontId="0" fillId="0" borderId="5" xfId="0" applyNumberFormat="1" applyBorder="1"/>
    <xf numFmtId="0" fontId="0" fillId="0" borderId="4" xfId="0" applyBorder="1"/>
    <xf numFmtId="0" fontId="0" fillId="0" borderId="5" xfId="0" applyBorder="1"/>
    <xf numFmtId="8" fontId="0" fillId="0" borderId="5" xfId="0" applyNumberFormat="1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10" fillId="0" borderId="6" xfId="0" applyFont="1" applyBorder="1"/>
    <xf numFmtId="8" fontId="10" fillId="0" borderId="8" xfId="0" applyNumberFormat="1" applyFont="1" applyBorder="1"/>
    <xf numFmtId="164" fontId="0" fillId="0" borderId="0" xfId="0" applyNumberFormat="1"/>
    <xf numFmtId="165" fontId="0" fillId="0" borderId="0" xfId="0" applyNumberFormat="1"/>
    <xf numFmtId="0" fontId="11" fillId="4" borderId="0" xfId="0" applyFont="1" applyFill="1" applyAlignment="1">
      <alignment horizontal="right"/>
    </xf>
    <xf numFmtId="44" fontId="11" fillId="4" borderId="0" xfId="0" applyNumberFormat="1" applyFont="1" applyFill="1"/>
    <xf numFmtId="44" fontId="0" fillId="5" borderId="0" xfId="0" applyNumberFormat="1" applyFill="1"/>
    <xf numFmtId="9" fontId="0" fillId="5" borderId="0" xfId="0" applyNumberFormat="1" applyFill="1"/>
    <xf numFmtId="0" fontId="0" fillId="4" borderId="0" xfId="0" applyFill="1" applyAlignment="1">
      <alignment horizontal="left"/>
    </xf>
    <xf numFmtId="0" fontId="2" fillId="6" borderId="0" xfId="0" applyFont="1" applyFill="1"/>
    <xf numFmtId="9" fontId="0" fillId="4" borderId="0" xfId="0" applyNumberFormat="1" applyFill="1"/>
    <xf numFmtId="14" fontId="0" fillId="0" borderId="0" xfId="0" applyNumberFormat="1"/>
    <xf numFmtId="0" fontId="0" fillId="7" borderId="0" xfId="0" applyFill="1"/>
    <xf numFmtId="0" fontId="0" fillId="4" borderId="12" xfId="0" applyFill="1" applyBorder="1"/>
    <xf numFmtId="10" fontId="0" fillId="0" borderId="0" xfId="0" applyNumberFormat="1"/>
    <xf numFmtId="0" fontId="4" fillId="2" borderId="0" xfId="0" applyFont="1" applyFill="1" applyAlignment="1">
      <alignment horizontal="left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0" xfId="0" applyFill="1" applyBorder="1"/>
    <xf numFmtId="44" fontId="0" fillId="4" borderId="0" xfId="1" applyFont="1" applyFill="1"/>
    <xf numFmtId="9" fontId="0" fillId="7" borderId="0" xfId="2" applyFont="1" applyFill="1"/>
    <xf numFmtId="10" fontId="0" fillId="5" borderId="0" xfId="2" applyNumberFormat="1" applyFont="1" applyFill="1"/>
    <xf numFmtId="44" fontId="0" fillId="5" borderId="0" xfId="1" applyFont="1" applyFill="1"/>
    <xf numFmtId="0" fontId="0" fillId="0" borderId="12" xfId="0" applyBorder="1"/>
    <xf numFmtId="6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Future Value, Simple</a:t>
            </a:r>
            <a:r>
              <a:rPr lang="en-US" baseline="0"/>
              <a:t> Interest, and Compound Interest</a:t>
            </a:r>
            <a:endParaRPr lang="en-US"/>
          </a:p>
        </c:rich>
      </c:tx>
      <c:layout>
        <c:manualLayout>
          <c:xMode val="edge"/>
          <c:yMode val="edge"/>
          <c:x val="0.20833342510507871"/>
          <c:y val="3.4374944704945599E-2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Amount with simple interest</c:v>
          </c:tx>
          <c:invertIfNegative val="0"/>
          <c:val>
            <c:numRef>
              <c:f>'[1]Section 5.1'!$C$41:$C$45</c:f>
              <c:numCache>
                <c:formatCode>General</c:formatCode>
                <c:ptCount val="5"/>
                <c:pt idx="0">
                  <c:v>1100</c:v>
                </c:pt>
                <c:pt idx="1">
                  <c:v>1200</c:v>
                </c:pt>
                <c:pt idx="2">
                  <c:v>1300</c:v>
                </c:pt>
                <c:pt idx="3">
                  <c:v>1400</c:v>
                </c:pt>
                <c:pt idx="4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C-4622-8EF0-2419906EB441}"/>
            </c:ext>
          </c:extLst>
        </c:ser>
        <c:ser>
          <c:idx val="2"/>
          <c:order val="1"/>
          <c:tx>
            <c:v>Compound interest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'[1]Section 5.1'!$D$41:$D$45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31</c:v>
                </c:pt>
                <c:pt idx="3">
                  <c:v>64.100000000000136</c:v>
                </c:pt>
                <c:pt idx="4">
                  <c:v>110.51000000000022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C-4622-8EF0-2419906EB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6357632"/>
        <c:axId val="396358192"/>
      </c:barChart>
      <c:catAx>
        <c:axId val="396357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(years)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6358192"/>
        <c:crosses val="autoZero"/>
        <c:auto val="1"/>
        <c:lblAlgn val="ctr"/>
        <c:lblOffset val="100"/>
        <c:noMultiLvlLbl val="0"/>
      </c:catAx>
      <c:valAx>
        <c:axId val="396358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Future value ($)</a:t>
                </a:r>
              </a:p>
            </c:rich>
          </c:tx>
          <c:overlay val="0"/>
        </c:title>
        <c:numFmt formatCode="_(&quot;$&quot;* #,##0_);_(&quot;$&quot;* \(#,##0\);_(&quot;$&quot;* &quot;-&quot;_);_(@_)" sourceLinked="0"/>
        <c:majorTickMark val="out"/>
        <c:minorTickMark val="none"/>
        <c:tickLblPos val="nextTo"/>
        <c:crossAx val="396357632"/>
        <c:crosses val="autoZero"/>
        <c:crossBetween val="between"/>
      </c:valAx>
      <c:spPr>
        <a:effectLst>
          <a:innerShdw blurRad="114300">
            <a:prstClr val="black"/>
          </a:innerShdw>
        </a:effectLst>
      </c:spPr>
    </c:plotArea>
    <c:legend>
      <c:legendPos val="r"/>
      <c:overlay val="0"/>
    </c:legend>
    <c:plotVisOnly val="1"/>
    <c:dispBlanksAs val="gap"/>
    <c:showDLblsOverMax val="0"/>
  </c:chart>
  <c:spPr>
    <a:scene3d>
      <a:camera prst="orthographicFront"/>
      <a:lightRig rig="threePt" dir="t"/>
    </a:scene3d>
    <a:sp3d prstMaterial="metal"/>
  </c:spPr>
  <c:txPr>
    <a:bodyPr/>
    <a:lstStyle/>
    <a:p>
      <a:pPr>
        <a:defRPr sz="1000"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 orientation="landscape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13</xdr:row>
      <xdr:rowOff>142875</xdr:rowOff>
    </xdr:from>
    <xdr:to>
      <xdr:col>5</xdr:col>
      <xdr:colOff>95250</xdr:colOff>
      <xdr:row>25</xdr:row>
      <xdr:rowOff>47625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9FE43A3-A2C0-A325-AB34-4CEDA1BDCF32}"/>
            </a:ext>
          </a:extLst>
        </xdr:cNvPr>
        <xdr:cNvSpPr/>
      </xdr:nvSpPr>
      <xdr:spPr>
        <a:xfrm>
          <a:off x="1866900" y="2638425"/>
          <a:ext cx="3276600" cy="2190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304801</xdr:colOff>
      <xdr:row>24</xdr:row>
      <xdr:rowOff>66675</xdr:rowOff>
    </xdr:from>
    <xdr:to>
      <xdr:col>9</xdr:col>
      <xdr:colOff>361950</xdr:colOff>
      <xdr:row>41</xdr:row>
      <xdr:rowOff>57150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A5C29BE-A823-486E-80B2-B7B9403C8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ailendicott-my.sharepoint.com/personal/bevitts_endicott_edu/Documents/BUS311%20Corporate%20Finance/BME%20-%20Teaching%20Materials/Chapter%205%20and%206%20and%207%20-%20Fixed%20Income/Excel%20Master%20It%20File%20Examples/Ross_FCF_2024Release_Ch05_Excel_Master_Solution.xlsx" TargetMode="External"/><Relationship Id="rId2" Type="http://schemas.microsoft.com/office/2019/04/relationships/externalLinkLongPath" Target="Excel%20Master%20It%20File%20Examples/Ross_FCF_2024Release_Ch05_Excel_Master_Solution.xlsx?0CDE15B3" TargetMode="External"/><Relationship Id="rId1" Type="http://schemas.openxmlformats.org/officeDocument/2006/relationships/externalLinkPath" Target="file:///\\0CDE15B3\Ross_FCF_2024Release_Ch05_Excel_Master_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hapter 5"/>
      <sheetName val="Section 5.1"/>
      <sheetName val="Section 5.2"/>
      <sheetName val="Section 5.3"/>
      <sheetName val="Master it!"/>
      <sheetName val="Solution"/>
    </sheetNames>
    <sheetDataSet>
      <sheetData sheetId="0"/>
      <sheetData sheetId="1">
        <row r="41">
          <cell r="C41">
            <v>1100</v>
          </cell>
          <cell r="D41">
            <v>0</v>
          </cell>
        </row>
        <row r="42">
          <cell r="C42">
            <v>1200</v>
          </cell>
          <cell r="D42">
            <v>10</v>
          </cell>
        </row>
        <row r="43">
          <cell r="C43">
            <v>1300</v>
          </cell>
          <cell r="D43">
            <v>31</v>
          </cell>
        </row>
        <row r="44">
          <cell r="C44">
            <v>1400</v>
          </cell>
          <cell r="D44">
            <v>64.100000000000136</v>
          </cell>
        </row>
        <row r="45">
          <cell r="C45">
            <v>1500</v>
          </cell>
          <cell r="D45">
            <v>110.51000000000022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BF97-8FBE-44A7-8096-38A518EC0A31}">
  <dimension ref="A1:D10"/>
  <sheetViews>
    <sheetView workbookViewId="0">
      <selection activeCell="H8" sqref="H8"/>
    </sheetView>
  </sheetViews>
  <sheetFormatPr defaultRowHeight="15" x14ac:dyDescent="0.25"/>
  <cols>
    <col min="1" max="1" width="20.42578125" bestFit="1" customWidth="1"/>
    <col min="2" max="2" width="16.5703125" customWidth="1"/>
    <col min="3" max="3" width="12.85546875" customWidth="1"/>
    <col min="4" max="4" width="16.7109375" bestFit="1" customWidth="1"/>
  </cols>
  <sheetData>
    <row r="1" spans="1:4" ht="15.75" thickBot="1" x14ac:dyDescent="0.3">
      <c r="A1" s="67" t="s">
        <v>24</v>
      </c>
      <c r="B1" s="67"/>
    </row>
    <row r="2" spans="1:4" ht="15.75" thickTop="1" x14ac:dyDescent="0.25">
      <c r="A2" s="28" t="s">
        <v>25</v>
      </c>
      <c r="B2" s="64">
        <v>0.1</v>
      </c>
    </row>
    <row r="3" spans="1:4" x14ac:dyDescent="0.25">
      <c r="A3" s="28" t="s">
        <v>19</v>
      </c>
      <c r="B3" s="73">
        <v>10</v>
      </c>
    </row>
    <row r="4" spans="1:4" x14ac:dyDescent="0.25">
      <c r="A4" s="28" t="s">
        <v>27</v>
      </c>
      <c r="B4" s="74">
        <v>0</v>
      </c>
    </row>
    <row r="5" spans="1:4" x14ac:dyDescent="0.25">
      <c r="A5" s="28" t="s">
        <v>28</v>
      </c>
      <c r="B5" s="74">
        <v>1000</v>
      </c>
    </row>
    <row r="6" spans="1:4" x14ac:dyDescent="0.25">
      <c r="A6" s="28" t="s">
        <v>58</v>
      </c>
      <c r="B6" s="28">
        <v>1</v>
      </c>
    </row>
    <row r="7" spans="1:4" x14ac:dyDescent="0.25">
      <c r="A7" s="66" t="s">
        <v>60</v>
      </c>
      <c r="B7" s="75">
        <f>B2/B6</f>
        <v>0.1</v>
      </c>
      <c r="D7" t="str">
        <f ca="1">_xlfn.FORMULATEXT(B7)</f>
        <v>=B2/B6</v>
      </c>
    </row>
    <row r="8" spans="1:4" x14ac:dyDescent="0.25">
      <c r="A8" s="66" t="s">
        <v>59</v>
      </c>
      <c r="B8" s="66">
        <f>B6*B3</f>
        <v>10</v>
      </c>
      <c r="D8" t="str">
        <f t="shared" ref="D8:D10" ca="1" si="0">_xlfn.FORMULATEXT(B8)</f>
        <v>=B6*B3</v>
      </c>
    </row>
    <row r="10" spans="1:4" x14ac:dyDescent="0.25">
      <c r="A10" t="s">
        <v>61</v>
      </c>
      <c r="B10" s="26">
        <f>FV(B7,B8,B4,-B5)</f>
        <v>2593.7424601000021</v>
      </c>
      <c r="D10" t="str">
        <f t="shared" ca="1" si="0"/>
        <v>=FV(B7,B8,B4,-B5)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88D1-180B-4CB3-A820-1C64677897D7}">
  <dimension ref="A1:D9"/>
  <sheetViews>
    <sheetView workbookViewId="0">
      <selection activeCell="H23" sqref="H23"/>
    </sheetView>
  </sheetViews>
  <sheetFormatPr defaultRowHeight="15" x14ac:dyDescent="0.25"/>
  <cols>
    <col min="3" max="3" width="15.42578125" customWidth="1"/>
    <col min="4" max="4" width="20.85546875" customWidth="1"/>
  </cols>
  <sheetData>
    <row r="1" spans="1:4" x14ac:dyDescent="0.25">
      <c r="A1" t="s">
        <v>16</v>
      </c>
    </row>
    <row r="2" spans="1:4" x14ac:dyDescent="0.25">
      <c r="A2" t="s">
        <v>17</v>
      </c>
    </row>
    <row r="5" spans="1:4" x14ac:dyDescent="0.25">
      <c r="B5" s="28" t="s">
        <v>18</v>
      </c>
      <c r="C5" s="30">
        <v>10000</v>
      </c>
    </row>
    <row r="6" spans="1:4" x14ac:dyDescent="0.25">
      <c r="B6" s="28" t="s">
        <v>19</v>
      </c>
      <c r="C6">
        <v>5</v>
      </c>
    </row>
    <row r="7" spans="1:4" x14ac:dyDescent="0.25">
      <c r="B7" s="28" t="s">
        <v>20</v>
      </c>
      <c r="C7" s="25">
        <v>0.1</v>
      </c>
    </row>
    <row r="8" spans="1:4" x14ac:dyDescent="0.25">
      <c r="B8" s="28" t="s">
        <v>21</v>
      </c>
      <c r="C8" s="29">
        <f>PV(C7,C6,0,-C5)</f>
        <v>6209.2132305915493</v>
      </c>
      <c r="D8" t="str">
        <f ca="1">_xlfn.FORMULATEXT(C8)</f>
        <v>=PV(C7,C6,0,-C5)</v>
      </c>
    </row>
    <row r="9" spans="1:4" x14ac:dyDescent="0.25">
      <c r="D9" s="27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F1B07-9D03-4672-A683-12799E25D730}">
  <dimension ref="A1:D9"/>
  <sheetViews>
    <sheetView workbookViewId="0">
      <selection activeCell="A2" sqref="A2:B6"/>
    </sheetView>
  </sheetViews>
  <sheetFormatPr defaultRowHeight="15" x14ac:dyDescent="0.25"/>
  <cols>
    <col min="1" max="1" width="16.7109375" customWidth="1"/>
    <col min="2" max="2" width="23" bestFit="1" customWidth="1"/>
    <col min="4" max="4" width="25.28515625" customWidth="1"/>
  </cols>
  <sheetData>
    <row r="1" spans="1:4" x14ac:dyDescent="0.25">
      <c r="A1" t="s">
        <v>23</v>
      </c>
      <c r="D1" s="65"/>
    </row>
    <row r="2" spans="1:4" ht="15.75" thickBot="1" x14ac:dyDescent="0.3">
      <c r="A2" s="67" t="s">
        <v>24</v>
      </c>
      <c r="B2" s="67"/>
    </row>
    <row r="3" spans="1:4" ht="15.75" thickTop="1" x14ac:dyDescent="0.25">
      <c r="A3" s="28" t="s">
        <v>25</v>
      </c>
      <c r="B3" s="64">
        <v>0.08</v>
      </c>
    </row>
    <row r="4" spans="1:4" x14ac:dyDescent="0.25">
      <c r="A4" s="28" t="s">
        <v>26</v>
      </c>
      <c r="B4" s="66">
        <f ca="1">YEAR(TODAY())-1626</f>
        <v>400</v>
      </c>
      <c r="D4" t="str">
        <f ca="1">_xlfn.FORMULATEXT(B4)</f>
        <v>=YEAR(TODAY())-1626</v>
      </c>
    </row>
    <row r="5" spans="1:4" x14ac:dyDescent="0.25">
      <c r="A5" s="28" t="s">
        <v>27</v>
      </c>
      <c r="B5" s="28">
        <v>0</v>
      </c>
    </row>
    <row r="6" spans="1:4" x14ac:dyDescent="0.25">
      <c r="A6" s="28" t="s">
        <v>28</v>
      </c>
      <c r="B6" s="37">
        <v>24</v>
      </c>
    </row>
    <row r="8" spans="1:4" x14ac:dyDescent="0.25">
      <c r="A8" s="28" t="s">
        <v>29</v>
      </c>
      <c r="B8" s="29">
        <f ca="1">FV(B3,B4,B5,-B6)</f>
        <v>561970394044948.75</v>
      </c>
      <c r="D8" t="str">
        <f ca="1">_xlfn.FORMULATEXT(B8)</f>
        <v>=FV(B3,B4,B5,-B6)</v>
      </c>
    </row>
    <row r="9" spans="1:4" x14ac:dyDescent="0.25">
      <c r="B9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19C4-38EA-4432-B5D2-D2305B4A4E83}">
  <dimension ref="A2:C5"/>
  <sheetViews>
    <sheetView workbookViewId="0">
      <selection activeCell="F3" sqref="F3"/>
    </sheetView>
  </sheetViews>
  <sheetFormatPr defaultRowHeight="15" x14ac:dyDescent="0.25"/>
  <cols>
    <col min="1" max="1" width="23.42578125" bestFit="1" customWidth="1"/>
    <col min="3" max="3" width="7" bestFit="1" customWidth="1"/>
  </cols>
  <sheetData>
    <row r="2" spans="1:3" x14ac:dyDescent="0.25">
      <c r="A2" s="28" t="s">
        <v>62</v>
      </c>
      <c r="B2" s="37">
        <v>500</v>
      </c>
    </row>
    <row r="3" spans="1:3" x14ac:dyDescent="0.25">
      <c r="A3" s="28" t="s">
        <v>63</v>
      </c>
      <c r="B3" s="64">
        <v>0.08</v>
      </c>
    </row>
    <row r="5" spans="1:3" x14ac:dyDescent="0.25">
      <c r="A5" s="34" t="s">
        <v>64</v>
      </c>
      <c r="B5" s="35">
        <f>B2/B3</f>
        <v>6250</v>
      </c>
      <c r="C5" t="str">
        <f ca="1">_xlfn.FORMULATEXT(B5)</f>
        <v>=B2/B3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3509-FB93-408A-8E35-EE8832F686B9}">
  <dimension ref="A3:F7"/>
  <sheetViews>
    <sheetView workbookViewId="0">
      <selection activeCell="E9" sqref="E9"/>
    </sheetView>
  </sheetViews>
  <sheetFormatPr defaultRowHeight="15" x14ac:dyDescent="0.25"/>
  <cols>
    <col min="1" max="1" width="14.5703125" customWidth="1"/>
    <col min="3" max="3" width="15.140625" customWidth="1"/>
    <col min="6" max="6" width="16.85546875" customWidth="1"/>
  </cols>
  <sheetData>
    <row r="3" spans="1:6" ht="15.75" thickBot="1" x14ac:dyDescent="0.3">
      <c r="A3" s="78"/>
      <c r="B3" s="78" t="s">
        <v>66</v>
      </c>
      <c r="C3" s="78"/>
      <c r="D3" s="78"/>
      <c r="E3" s="78" t="s">
        <v>67</v>
      </c>
    </row>
    <row r="4" spans="1:6" ht="15.75" thickTop="1" x14ac:dyDescent="0.25">
      <c r="A4" t="s">
        <v>28</v>
      </c>
      <c r="B4" s="31">
        <v>40</v>
      </c>
      <c r="E4" s="31">
        <v>100</v>
      </c>
    </row>
    <row r="5" spans="1:6" x14ac:dyDescent="0.25">
      <c r="A5" t="s">
        <v>65</v>
      </c>
      <c r="B5" s="31">
        <v>1</v>
      </c>
      <c r="E5" s="77">
        <f>E4/B4*B5</f>
        <v>2.5</v>
      </c>
      <c r="F5" t="str">
        <f ca="1">_xlfn.FORMULATEXT(E5)</f>
        <v>=E4/B4*B5</v>
      </c>
    </row>
    <row r="7" spans="1:6" x14ac:dyDescent="0.25">
      <c r="A7" t="s">
        <v>20</v>
      </c>
      <c r="B7" s="76">
        <f>B5*(1/B4)</f>
        <v>2.5000000000000001E-2</v>
      </c>
      <c r="C7" t="str">
        <f ca="1">_xlfn.FORMULATEXT(B7)</f>
        <v>=B5*(1/B4)</v>
      </c>
      <c r="E7" s="68">
        <f>B7</f>
        <v>2.5000000000000001E-2</v>
      </c>
      <c r="F7" t="str">
        <f ca="1">_xlfn.FORMULATEXT(E7)</f>
        <v>=B7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14FA-75EC-42BF-B54F-F35819C8C58F}">
  <dimension ref="A1:C20"/>
  <sheetViews>
    <sheetView workbookViewId="0">
      <selection activeCell="A11" sqref="A11:XFD20"/>
    </sheetView>
  </sheetViews>
  <sheetFormatPr defaultRowHeight="15" x14ac:dyDescent="0.25"/>
  <cols>
    <col min="1" max="1" width="16.7109375" customWidth="1"/>
    <col min="2" max="2" width="32.42578125" customWidth="1"/>
    <col min="3" max="3" width="21.42578125" customWidth="1"/>
  </cols>
  <sheetData>
    <row r="1" spans="1:3" x14ac:dyDescent="0.25">
      <c r="A1" s="63" t="s">
        <v>35</v>
      </c>
      <c r="B1" s="63"/>
      <c r="C1" s="63"/>
    </row>
    <row r="3" spans="1:3" x14ac:dyDescent="0.25">
      <c r="A3" s="28" t="s">
        <v>36</v>
      </c>
      <c r="B3" s="31">
        <v>500</v>
      </c>
    </row>
    <row r="4" spans="1:3" x14ac:dyDescent="0.25">
      <c r="A4" s="28" t="s">
        <v>20</v>
      </c>
      <c r="B4" s="25">
        <v>0.1</v>
      </c>
    </row>
    <row r="5" spans="1:3" x14ac:dyDescent="0.25">
      <c r="A5" s="28" t="s">
        <v>37</v>
      </c>
      <c r="B5">
        <v>3</v>
      </c>
    </row>
    <row r="7" spans="1:3" x14ac:dyDescent="0.25">
      <c r="A7" s="34" t="s">
        <v>21</v>
      </c>
      <c r="B7" s="29">
        <f>PV(B4,B5,-B3)</f>
        <v>1243.4259954921124</v>
      </c>
      <c r="C7" s="34" t="str">
        <f ca="1">_xlfn.FORMULATEXT(B7)</f>
        <v>=PV(B4,B5,-B3)</v>
      </c>
    </row>
    <row r="8" spans="1:3" x14ac:dyDescent="0.25">
      <c r="B8" s="27" t="s">
        <v>38</v>
      </c>
    </row>
    <row r="11" spans="1:3" ht="14.25" hidden="1" customHeight="1" x14ac:dyDescent="0.25"/>
    <row r="12" spans="1:3" hidden="1" x14ac:dyDescent="0.25">
      <c r="A12" s="28" t="s">
        <v>36</v>
      </c>
      <c r="B12" s="79">
        <v>500</v>
      </c>
      <c r="C12" s="79">
        <v>500</v>
      </c>
    </row>
    <row r="13" spans="1:3" hidden="1" x14ac:dyDescent="0.25">
      <c r="B13" s="32"/>
      <c r="C13" s="32"/>
    </row>
    <row r="14" spans="1:3" hidden="1" x14ac:dyDescent="0.25">
      <c r="A14" s="28" t="s">
        <v>37</v>
      </c>
      <c r="B14" s="32">
        <v>3</v>
      </c>
      <c r="C14" s="32">
        <v>3</v>
      </c>
    </row>
    <row r="15" spans="1:3" hidden="1" x14ac:dyDescent="0.25">
      <c r="A15" t="s">
        <v>21</v>
      </c>
      <c r="B15" s="81">
        <v>1200</v>
      </c>
      <c r="C15" s="81">
        <v>1675</v>
      </c>
    </row>
    <row r="16" spans="1:3" hidden="1" x14ac:dyDescent="0.25">
      <c r="B16" s="32"/>
      <c r="C16" s="32"/>
    </row>
    <row r="17" spans="1:3" hidden="1" x14ac:dyDescent="0.25">
      <c r="A17" s="28" t="s">
        <v>20</v>
      </c>
      <c r="B17" s="80">
        <f>RATE(B14,-B12,B15)</f>
        <v>0.12044398297707488</v>
      </c>
      <c r="C17" s="80">
        <f>RATE(C14,-C12,C15)</f>
        <v>-5.32080560849005E-2</v>
      </c>
    </row>
    <row r="18" spans="1:3" hidden="1" x14ac:dyDescent="0.25">
      <c r="B18" s="32" t="str">
        <f ca="1">_xlfn.FORMULATEXT(B17)</f>
        <v>=RATE(B14,-B12,B15)</v>
      </c>
      <c r="C18" s="32" t="str">
        <f ca="1">_xlfn.FORMULATEXT(C17)</f>
        <v>=RATE(C14,-C12,C15)</v>
      </c>
    </row>
    <row r="19" spans="1:3" hidden="1" x14ac:dyDescent="0.25"/>
    <row r="20" spans="1:3" hidden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EA67-5E8E-46C0-B6DD-BE3951B167BB}">
  <dimension ref="A3:D11"/>
  <sheetViews>
    <sheetView workbookViewId="0">
      <selection activeCell="C15" sqref="C15"/>
    </sheetView>
  </sheetViews>
  <sheetFormatPr defaultRowHeight="15" x14ac:dyDescent="0.25"/>
  <cols>
    <col min="1" max="1" width="18.140625" customWidth="1"/>
    <col min="2" max="2" width="17.28515625" customWidth="1"/>
    <col min="3" max="3" width="29.140625" customWidth="1"/>
    <col min="4" max="4" width="30.28515625" customWidth="1"/>
  </cols>
  <sheetData>
    <row r="3" spans="1:4" x14ac:dyDescent="0.25">
      <c r="B3" s="33" t="s">
        <v>31</v>
      </c>
      <c r="C3" s="33" t="s">
        <v>32</v>
      </c>
      <c r="D3" s="33" t="s">
        <v>33</v>
      </c>
    </row>
    <row r="4" spans="1:4" x14ac:dyDescent="0.25">
      <c r="A4" s="28" t="s">
        <v>34</v>
      </c>
      <c r="B4" s="31"/>
      <c r="C4" s="31">
        <v>500000</v>
      </c>
      <c r="D4" s="31">
        <v>500000</v>
      </c>
    </row>
    <row r="5" spans="1:4" x14ac:dyDescent="0.25">
      <c r="A5" s="28" t="s">
        <v>19</v>
      </c>
      <c r="C5">
        <v>20</v>
      </c>
      <c r="D5">
        <v>20</v>
      </c>
    </row>
    <row r="6" spans="1:4" x14ac:dyDescent="0.25">
      <c r="A6" s="28" t="s">
        <v>20</v>
      </c>
      <c r="C6" s="25">
        <v>0.05</v>
      </c>
      <c r="D6" s="25">
        <v>0.1</v>
      </c>
    </row>
    <row r="9" spans="1:4" x14ac:dyDescent="0.25">
      <c r="A9" s="34" t="s">
        <v>21</v>
      </c>
      <c r="B9" s="35">
        <v>5000000</v>
      </c>
      <c r="C9" s="29">
        <f>PV(C6,C5,-C4)</f>
        <v>6231105.1712699933</v>
      </c>
      <c r="D9" s="29">
        <f>PV(D6,D5,-D4)</f>
        <v>4256781.8598792823</v>
      </c>
    </row>
    <row r="11" spans="1:4" x14ac:dyDescent="0.25">
      <c r="C11" s="32" t="str">
        <f ca="1">_xlfn.FORMULATEXT(C9)</f>
        <v>=PV(C6,C5,-C4)</v>
      </c>
      <c r="D11" s="32" t="str">
        <f ca="1">_xlfn.FORMULATEXT(D9)</f>
        <v>=PV(D6,D5,-D4)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E804-E38D-47FE-95A5-565D8674ED5E}">
  <dimension ref="A1:G34"/>
  <sheetViews>
    <sheetView tabSelected="1" workbookViewId="0">
      <selection activeCell="B4" sqref="B4:D12"/>
    </sheetView>
  </sheetViews>
  <sheetFormatPr defaultRowHeight="15" x14ac:dyDescent="0.25"/>
  <cols>
    <col min="2" max="2" width="20.5703125" customWidth="1"/>
    <col min="3" max="3" width="33.140625" customWidth="1"/>
    <col min="4" max="4" width="26.42578125" customWidth="1"/>
    <col min="5" max="5" width="25.5703125" customWidth="1"/>
    <col min="6" max="6" width="27.28515625" customWidth="1"/>
    <col min="7" max="7" width="15.28515625" bestFit="1" customWidth="1"/>
  </cols>
  <sheetData>
    <row r="1" spans="1:7" x14ac:dyDescent="0.25">
      <c r="A1" s="63" t="s">
        <v>39</v>
      </c>
      <c r="B1" s="63"/>
      <c r="C1" s="63"/>
    </row>
    <row r="2" spans="1:7" ht="13.5" customHeight="1" x14ac:dyDescent="0.25">
      <c r="C2" s="70" t="s">
        <v>40</v>
      </c>
      <c r="D2" s="70"/>
      <c r="E2" s="32"/>
      <c r="F2" s="71" t="s">
        <v>41</v>
      </c>
      <c r="G2" s="72"/>
    </row>
    <row r="3" spans="1:7" x14ac:dyDescent="0.25">
      <c r="A3" t="s">
        <v>42</v>
      </c>
      <c r="B3" t="s">
        <v>43</v>
      </c>
      <c r="C3" s="36">
        <v>0.12</v>
      </c>
      <c r="D3" s="36">
        <v>0.15</v>
      </c>
      <c r="E3" s="36"/>
      <c r="F3" s="39">
        <v>0.12</v>
      </c>
      <c r="G3" s="40">
        <v>0.15</v>
      </c>
    </row>
    <row r="4" spans="1:7" x14ac:dyDescent="0.25">
      <c r="A4" s="28">
        <v>0</v>
      </c>
      <c r="B4" s="37">
        <v>-20000000</v>
      </c>
      <c r="F4" s="41">
        <f t="shared" ref="F4:F9" si="0">B4/((1+$C$3)^A4)</f>
        <v>-20000000</v>
      </c>
      <c r="G4" s="42">
        <f>B4/((1+$G$3)^A4)</f>
        <v>-20000000</v>
      </c>
    </row>
    <row r="5" spans="1:7" x14ac:dyDescent="0.25">
      <c r="A5" s="34">
        <v>1</v>
      </c>
      <c r="B5" s="35">
        <v>4000000</v>
      </c>
      <c r="F5" s="41">
        <f t="shared" si="0"/>
        <v>3571428.5714285709</v>
      </c>
      <c r="G5" s="42">
        <f t="shared" ref="G5:G9" si="1">B5/((1+$G$3)^A5)</f>
        <v>3478260.8695652178</v>
      </c>
    </row>
    <row r="6" spans="1:7" x14ac:dyDescent="0.25">
      <c r="A6" s="34">
        <v>2</v>
      </c>
      <c r="B6" s="35">
        <v>5000000</v>
      </c>
      <c r="F6" s="41">
        <f t="shared" si="0"/>
        <v>3985969.3877551015</v>
      </c>
      <c r="G6" s="42">
        <f t="shared" si="1"/>
        <v>3780718.3364839326</v>
      </c>
    </row>
    <row r="7" spans="1:7" x14ac:dyDescent="0.25">
      <c r="A7" s="34">
        <v>3</v>
      </c>
      <c r="B7" s="35">
        <v>6000000</v>
      </c>
      <c r="F7" s="41">
        <f t="shared" si="0"/>
        <v>4270681.4868804654</v>
      </c>
      <c r="G7" s="42">
        <f t="shared" si="1"/>
        <v>3945097.3945919303</v>
      </c>
    </row>
    <row r="8" spans="1:7" x14ac:dyDescent="0.25">
      <c r="A8" s="34">
        <v>4</v>
      </c>
      <c r="B8" s="35">
        <v>7000000</v>
      </c>
      <c r="F8" s="41">
        <f t="shared" si="0"/>
        <v>4448626.5488338182</v>
      </c>
      <c r="G8" s="42">
        <f t="shared" si="1"/>
        <v>4002272.7191512338</v>
      </c>
    </row>
    <row r="9" spans="1:7" x14ac:dyDescent="0.25">
      <c r="A9" s="34">
        <v>5</v>
      </c>
      <c r="B9" s="35">
        <v>8000000</v>
      </c>
      <c r="F9" s="41">
        <f t="shared" si="0"/>
        <v>4539414.8457487943</v>
      </c>
      <c r="G9" s="42">
        <f t="shared" si="1"/>
        <v>3977413.8823863189</v>
      </c>
    </row>
    <row r="10" spans="1:7" x14ac:dyDescent="0.25">
      <c r="F10" s="43"/>
      <c r="G10" s="44"/>
    </row>
    <row r="11" spans="1:7" x14ac:dyDescent="0.25">
      <c r="B11" t="s">
        <v>44</v>
      </c>
      <c r="C11" s="26">
        <f>NPV(C3,$B$5:$B$9)+B4</f>
        <v>816120.84064675122</v>
      </c>
      <c r="D11" s="26">
        <f>NPV(D3,$B$5:$B$9)+B4</f>
        <v>-816236.79782136902</v>
      </c>
      <c r="E11" s="26"/>
      <c r="F11" s="41">
        <f>SUM(F4:F10)</f>
        <v>816120.84064675029</v>
      </c>
      <c r="G11" s="45">
        <f>SUM(G4:G10)</f>
        <v>-816236.7978213639</v>
      </c>
    </row>
    <row r="12" spans="1:7" x14ac:dyDescent="0.25">
      <c r="C12" t="str">
        <f ca="1">_xlfn.FORMULATEXT(C11)</f>
        <v>=NPV(C3,$B$5:$B$9)+B4</v>
      </c>
      <c r="D12" t="str">
        <f ca="1">_xlfn.FORMULATEXT(D11)</f>
        <v>=NPV(D3,$B$5:$B$9)+B4</v>
      </c>
      <c r="F12" s="46"/>
      <c r="G12" s="47"/>
    </row>
    <row r="14" spans="1:7" x14ac:dyDescent="0.25">
      <c r="A14" s="48" t="s">
        <v>45</v>
      </c>
      <c r="B14" s="49"/>
      <c r="C14" s="50"/>
      <c r="F14" s="70" t="s">
        <v>46</v>
      </c>
      <c r="G14" s="70"/>
    </row>
    <row r="15" spans="1:7" x14ac:dyDescent="0.25">
      <c r="A15" s="51"/>
      <c r="B15" s="52" t="s">
        <v>47</v>
      </c>
      <c r="C15" s="53"/>
    </row>
    <row r="16" spans="1:7" x14ac:dyDescent="0.25">
      <c r="A16" s="51"/>
      <c r="B16" s="52" t="s">
        <v>48</v>
      </c>
      <c r="C16" s="53"/>
    </row>
    <row r="17" spans="1:6" x14ac:dyDescent="0.25">
      <c r="A17" s="46"/>
      <c r="B17" s="54" t="s">
        <v>49</v>
      </c>
      <c r="C17" s="55"/>
      <c r="D17" s="26"/>
      <c r="E17" s="26"/>
      <c r="F17" s="26"/>
    </row>
    <row r="23" spans="1:6" x14ac:dyDescent="0.25">
      <c r="A23" s="63" t="s">
        <v>50</v>
      </c>
      <c r="B23" s="63"/>
      <c r="C23" s="63"/>
    </row>
    <row r="24" spans="1:6" x14ac:dyDescent="0.25">
      <c r="A24" s="62" t="s">
        <v>51</v>
      </c>
      <c r="B24" s="62"/>
      <c r="C24" s="62"/>
    </row>
    <row r="25" spans="1:6" x14ac:dyDescent="0.25">
      <c r="B25" t="s">
        <v>52</v>
      </c>
      <c r="C25" s="25">
        <v>0.09</v>
      </c>
    </row>
    <row r="26" spans="1:6" x14ac:dyDescent="0.25">
      <c r="C26" s="25"/>
    </row>
    <row r="27" spans="1:6" x14ac:dyDescent="0.25">
      <c r="B27" t="s">
        <v>53</v>
      </c>
      <c r="C27" t="s">
        <v>43</v>
      </c>
    </row>
    <row r="28" spans="1:6" x14ac:dyDescent="0.25">
      <c r="B28" s="57">
        <v>45418</v>
      </c>
      <c r="C28" s="56">
        <v>-1500</v>
      </c>
    </row>
    <row r="29" spans="1:6" x14ac:dyDescent="0.25">
      <c r="B29" s="57">
        <v>45584</v>
      </c>
      <c r="C29" s="56">
        <v>600</v>
      </c>
    </row>
    <row r="30" spans="1:6" x14ac:dyDescent="0.25">
      <c r="B30" s="57">
        <v>45690</v>
      </c>
      <c r="C30" s="56">
        <v>800</v>
      </c>
    </row>
    <row r="31" spans="1:6" x14ac:dyDescent="0.25">
      <c r="B31" s="57">
        <v>45930</v>
      </c>
      <c r="C31" s="56">
        <v>1000</v>
      </c>
    </row>
    <row r="33" spans="2:3" x14ac:dyDescent="0.25">
      <c r="B33" s="58" t="s">
        <v>54</v>
      </c>
      <c r="C33" s="59">
        <f>XNPV(C25,C28:C31,B28:B31)</f>
        <v>713.31381014775604</v>
      </c>
    </row>
    <row r="34" spans="2:3" x14ac:dyDescent="0.25">
      <c r="C34" t="str">
        <f ca="1">_xlfn.FORMULATEXT(C33)</f>
        <v>=XNPV(C25,C28:C31,B28:B31)</v>
      </c>
    </row>
  </sheetData>
  <mergeCells count="3">
    <mergeCell ref="C2:D2"/>
    <mergeCell ref="F2:G2"/>
    <mergeCell ref="F14:G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B34B-0220-4645-9446-64F3C3D4041F}">
  <dimension ref="A2:C13"/>
  <sheetViews>
    <sheetView workbookViewId="0">
      <selection activeCell="A2" sqref="A2:C2"/>
    </sheetView>
  </sheetViews>
  <sheetFormatPr defaultRowHeight="15" x14ac:dyDescent="0.25"/>
  <cols>
    <col min="2" max="2" width="23.5703125" customWidth="1"/>
    <col min="3" max="3" width="21.7109375" customWidth="1"/>
  </cols>
  <sheetData>
    <row r="2" spans="1:3" x14ac:dyDescent="0.25">
      <c r="A2" s="63" t="s">
        <v>50</v>
      </c>
      <c r="B2" s="63"/>
      <c r="C2" s="63"/>
    </row>
    <row r="3" spans="1:3" x14ac:dyDescent="0.25">
      <c r="A3" s="62" t="s">
        <v>51</v>
      </c>
      <c r="B3" s="62"/>
      <c r="C3" s="62"/>
    </row>
    <row r="4" spans="1:3" x14ac:dyDescent="0.25">
      <c r="B4" t="s">
        <v>52</v>
      </c>
      <c r="C4" s="25">
        <v>0.09</v>
      </c>
    </row>
    <row r="5" spans="1:3" x14ac:dyDescent="0.25">
      <c r="C5" s="25"/>
    </row>
    <row r="6" spans="1:3" x14ac:dyDescent="0.25">
      <c r="B6" t="s">
        <v>53</v>
      </c>
      <c r="C6" t="s">
        <v>43</v>
      </c>
    </row>
    <row r="7" spans="1:3" x14ac:dyDescent="0.25">
      <c r="B7" s="57">
        <v>45418</v>
      </c>
      <c r="C7" s="56">
        <v>-1500</v>
      </c>
    </row>
    <row r="8" spans="1:3" x14ac:dyDescent="0.25">
      <c r="B8" s="57">
        <v>45584</v>
      </c>
      <c r="C8" s="56">
        <v>600</v>
      </c>
    </row>
    <row r="9" spans="1:3" x14ac:dyDescent="0.25">
      <c r="B9" s="57">
        <v>45690</v>
      </c>
      <c r="C9" s="56">
        <v>800</v>
      </c>
    </row>
    <row r="10" spans="1:3" x14ac:dyDescent="0.25">
      <c r="B10" s="57">
        <v>45930</v>
      </c>
      <c r="C10" s="56">
        <v>1000</v>
      </c>
    </row>
    <row r="12" spans="1:3" x14ac:dyDescent="0.25">
      <c r="B12" s="58" t="s">
        <v>54</v>
      </c>
      <c r="C12" s="59">
        <f>XNPV(C4,C7:C10,B7:B10)</f>
        <v>713.31381014775604</v>
      </c>
    </row>
    <row r="13" spans="1:3" x14ac:dyDescent="0.25">
      <c r="C13" t="str">
        <f ca="1">_xlfn.FORMULATEXT(C12)</f>
        <v>=XNPV(C4,C7:C10,B7:B10)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C725-2144-4A04-87D5-31D27E398E3B}">
  <dimension ref="A1:D10"/>
  <sheetViews>
    <sheetView workbookViewId="0">
      <selection activeCell="C25" sqref="C25"/>
    </sheetView>
  </sheetViews>
  <sheetFormatPr defaultRowHeight="15" x14ac:dyDescent="0.25"/>
  <cols>
    <col min="2" max="2" width="18.42578125" customWidth="1"/>
    <col min="3" max="3" width="10.5703125" bestFit="1" customWidth="1"/>
    <col min="4" max="4" width="15" customWidth="1"/>
  </cols>
  <sheetData>
    <row r="1" spans="1:4" x14ac:dyDescent="0.25">
      <c r="A1" t="s">
        <v>42</v>
      </c>
      <c r="B1" s="38" t="s">
        <v>55</v>
      </c>
      <c r="C1" s="38" t="s">
        <v>56</v>
      </c>
      <c r="D1" t="s">
        <v>57</v>
      </c>
    </row>
    <row r="2" spans="1:4" x14ac:dyDescent="0.25">
      <c r="A2" s="28">
        <v>0</v>
      </c>
      <c r="B2" s="37">
        <v>-10000</v>
      </c>
      <c r="C2" s="56">
        <v>0</v>
      </c>
      <c r="D2" s="31">
        <f>SUM(B2:C2)</f>
        <v>-10000</v>
      </c>
    </row>
    <row r="3" spans="1:4" x14ac:dyDescent="0.25">
      <c r="A3" s="34">
        <v>1</v>
      </c>
      <c r="B3" s="35">
        <v>-2000</v>
      </c>
      <c r="C3" s="56">
        <v>500</v>
      </c>
      <c r="D3" s="31">
        <f t="shared" ref="D3:D6" si="0">SUM(B3:C3)</f>
        <v>-1500</v>
      </c>
    </row>
    <row r="4" spans="1:4" x14ac:dyDescent="0.25">
      <c r="A4" s="34">
        <v>2</v>
      </c>
      <c r="B4" s="60">
        <v>0</v>
      </c>
      <c r="C4" s="56">
        <v>1500</v>
      </c>
      <c r="D4" s="31">
        <f t="shared" si="0"/>
        <v>1500</v>
      </c>
    </row>
    <row r="5" spans="1:4" x14ac:dyDescent="0.25">
      <c r="A5" s="34">
        <v>3</v>
      </c>
      <c r="B5" s="60">
        <v>0</v>
      </c>
      <c r="C5" s="56">
        <v>5000</v>
      </c>
      <c r="D5" s="31">
        <f t="shared" si="0"/>
        <v>5000</v>
      </c>
    </row>
    <row r="6" spans="1:4" x14ac:dyDescent="0.25">
      <c r="A6" s="34">
        <v>4</v>
      </c>
      <c r="B6" s="60">
        <v>0</v>
      </c>
      <c r="C6" s="56">
        <v>7500</v>
      </c>
      <c r="D6" s="31">
        <f t="shared" si="0"/>
        <v>7500</v>
      </c>
    </row>
    <row r="9" spans="1:4" x14ac:dyDescent="0.25">
      <c r="A9" t="s">
        <v>20</v>
      </c>
      <c r="B9" s="61">
        <v>0.12</v>
      </c>
    </row>
    <row r="10" spans="1:4" x14ac:dyDescent="0.25">
      <c r="A10" t="s">
        <v>54</v>
      </c>
      <c r="B10" s="26">
        <f>NPV(B9,D3:D6)+B2</f>
        <v>-1818.2080708558969</v>
      </c>
    </row>
  </sheetData>
  <pageMargins left="0.7" right="0.7" top="0.75" bottom="0.75" header="0.3" footer="0.3"/>
  <ignoredErrors>
    <ignoredError sqref="D2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BE79-957E-4289-A64F-A279BCE26461}">
  <dimension ref="A1:L42"/>
  <sheetViews>
    <sheetView workbookViewId="0">
      <selection activeCell="Q20" sqref="Q20"/>
    </sheetView>
  </sheetViews>
  <sheetFormatPr defaultRowHeight="15" x14ac:dyDescent="0.25"/>
  <cols>
    <col min="3" max="3" width="12.42578125" customWidth="1"/>
    <col min="4" max="4" width="12.5703125" customWidth="1"/>
    <col min="5" max="5" width="16.7109375" customWidth="1"/>
    <col min="6" max="6" width="12.5703125" customWidth="1"/>
    <col min="7" max="7" width="15.28515625" customWidth="1"/>
    <col min="8" max="8" width="14.5703125" customWidth="1"/>
    <col min="12" max="12" width="10.28515625" bestFit="1" customWidth="1"/>
  </cols>
  <sheetData>
    <row r="1" spans="1:12" ht="15.75" x14ac:dyDescent="0.25">
      <c r="A1" s="1"/>
      <c r="B1" s="1" t="s">
        <v>0</v>
      </c>
      <c r="C1" s="1"/>
      <c r="D1" s="2">
        <v>1000</v>
      </c>
      <c r="E1" s="1" t="s">
        <v>1</v>
      </c>
      <c r="F1" s="1"/>
      <c r="G1" s="1"/>
      <c r="H1" s="1"/>
      <c r="I1" s="1"/>
      <c r="J1" s="1"/>
      <c r="K1" s="1"/>
    </row>
    <row r="2" spans="1:12" ht="15.75" x14ac:dyDescent="0.25">
      <c r="A2" s="1"/>
      <c r="B2" s="1" t="s">
        <v>2</v>
      </c>
      <c r="C2" s="1"/>
      <c r="D2" s="3">
        <v>0.1</v>
      </c>
      <c r="E2" s="1"/>
      <c r="F2" s="1"/>
      <c r="G2" s="1"/>
      <c r="H2" s="1"/>
      <c r="I2" s="1"/>
      <c r="J2" s="1"/>
      <c r="K2" s="1"/>
    </row>
    <row r="3" spans="1:12" ht="24" customHeight="1" x14ac:dyDescent="0.25">
      <c r="A3" s="1"/>
      <c r="B3" s="1"/>
      <c r="C3" s="1"/>
      <c r="D3" s="4"/>
      <c r="E3" s="1"/>
      <c r="F3" s="1"/>
      <c r="G3" s="1"/>
      <c r="H3" s="1"/>
      <c r="I3" s="1"/>
      <c r="J3" s="1"/>
      <c r="K3" s="1"/>
    </row>
    <row r="4" spans="1:12" ht="30.75" customHeight="1" x14ac:dyDescent="0.25">
      <c r="A4" s="69" t="s">
        <v>3</v>
      </c>
      <c r="B4" s="69"/>
      <c r="C4" s="69"/>
      <c r="D4" s="69"/>
      <c r="E4" s="69"/>
      <c r="F4" s="69"/>
      <c r="G4" s="69"/>
      <c r="H4" s="69"/>
      <c r="I4" s="69"/>
      <c r="J4" s="69"/>
      <c r="K4" s="69"/>
    </row>
    <row r="5" spans="1:12" ht="15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2" ht="63" x14ac:dyDescent="0.25">
      <c r="A6" s="1"/>
      <c r="B6" s="5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21" t="s">
        <v>10</v>
      </c>
      <c r="I6" s="1"/>
      <c r="J6" s="1"/>
      <c r="K6" s="1"/>
    </row>
    <row r="7" spans="1:12" ht="15.75" x14ac:dyDescent="0.25">
      <c r="A7" s="1"/>
      <c r="B7" s="8">
        <v>1</v>
      </c>
      <c r="C7" s="20">
        <f>D1</f>
        <v>1000</v>
      </c>
      <c r="D7" s="9">
        <f>$D$1*$D$2</f>
        <v>100</v>
      </c>
      <c r="E7" s="9">
        <f>F7-D7</f>
        <v>0</v>
      </c>
      <c r="F7" s="9">
        <f>G7-C7</f>
        <v>100</v>
      </c>
      <c r="G7" s="9">
        <f t="shared" ref="G7:G11" si="0">$D$1*(1+$D$2)^B7</f>
        <v>1100</v>
      </c>
      <c r="H7" s="22">
        <f>C7+D7</f>
        <v>1100</v>
      </c>
      <c r="I7" s="1"/>
      <c r="J7" s="1"/>
      <c r="K7" s="1"/>
      <c r="L7" s="26"/>
    </row>
    <row r="8" spans="1:12" ht="15.75" x14ac:dyDescent="0.25">
      <c r="A8" s="1"/>
      <c r="B8" s="8">
        <v>2</v>
      </c>
      <c r="C8" s="9">
        <f>G7</f>
        <v>1100</v>
      </c>
      <c r="D8" s="9">
        <f t="shared" ref="D8:D11" si="1">$D$1*$D$2</f>
        <v>100</v>
      </c>
      <c r="E8" s="11">
        <f>F8-D8</f>
        <v>10.000000000000227</v>
      </c>
      <c r="F8" s="11">
        <f>G8-C8</f>
        <v>110.00000000000023</v>
      </c>
      <c r="G8" s="9">
        <f t="shared" si="0"/>
        <v>1210.0000000000002</v>
      </c>
      <c r="H8" s="23">
        <f>H7+D8</f>
        <v>1200</v>
      </c>
      <c r="I8" s="1"/>
      <c r="J8" s="1"/>
      <c r="K8" s="1"/>
      <c r="L8" s="26"/>
    </row>
    <row r="9" spans="1:12" ht="15.75" x14ac:dyDescent="0.25">
      <c r="A9" s="1"/>
      <c r="B9" s="8">
        <v>3</v>
      </c>
      <c r="C9" s="9">
        <f t="shared" ref="C9:C11" si="2">G8</f>
        <v>1210.0000000000002</v>
      </c>
      <c r="D9" s="9">
        <f t="shared" si="1"/>
        <v>100</v>
      </c>
      <c r="E9" s="11">
        <f>F9-D9</f>
        <v>21.000000000000227</v>
      </c>
      <c r="F9" s="11">
        <f>G9-C9</f>
        <v>121.00000000000023</v>
      </c>
      <c r="G9" s="9">
        <f t="shared" si="0"/>
        <v>1331.0000000000005</v>
      </c>
      <c r="H9" s="23">
        <f>H8+D9</f>
        <v>1300</v>
      </c>
      <c r="I9" s="1"/>
      <c r="J9" s="1"/>
      <c r="K9" s="1"/>
      <c r="L9" s="26"/>
    </row>
    <row r="10" spans="1:12" ht="15.75" x14ac:dyDescent="0.25">
      <c r="A10" s="1"/>
      <c r="B10" s="8">
        <v>4</v>
      </c>
      <c r="C10" s="9">
        <f t="shared" si="2"/>
        <v>1331.0000000000005</v>
      </c>
      <c r="D10" s="9">
        <f t="shared" si="1"/>
        <v>100</v>
      </c>
      <c r="E10" s="11">
        <f>F10-D10</f>
        <v>33.099999999999909</v>
      </c>
      <c r="F10" s="11">
        <f>G10-C10</f>
        <v>133.09999999999991</v>
      </c>
      <c r="G10" s="9">
        <f t="shared" si="0"/>
        <v>1464.1000000000004</v>
      </c>
      <c r="H10" s="23">
        <f>H9+D10</f>
        <v>1400</v>
      </c>
      <c r="I10" s="1"/>
      <c r="J10" s="1"/>
      <c r="K10" s="1"/>
      <c r="L10" s="26"/>
    </row>
    <row r="11" spans="1:12" ht="15.75" x14ac:dyDescent="0.25">
      <c r="A11" s="1"/>
      <c r="B11" s="8">
        <v>5</v>
      </c>
      <c r="C11" s="9">
        <f t="shared" si="2"/>
        <v>1464.1000000000004</v>
      </c>
      <c r="D11" s="15">
        <f t="shared" si="1"/>
        <v>100</v>
      </c>
      <c r="E11" s="12">
        <f>F11-D11</f>
        <v>46.410000000000082</v>
      </c>
      <c r="F11" s="12">
        <f>G11-C11</f>
        <v>146.41000000000008</v>
      </c>
      <c r="G11" s="9">
        <f t="shared" si="0"/>
        <v>1610.5100000000004</v>
      </c>
      <c r="H11" s="23">
        <f>H10+D11</f>
        <v>1500</v>
      </c>
      <c r="I11" s="1"/>
      <c r="J11" s="1"/>
      <c r="K11" s="1"/>
      <c r="L11" s="26"/>
    </row>
    <row r="12" spans="1:12" ht="15.75" x14ac:dyDescent="0.25">
      <c r="A12" s="1"/>
      <c r="B12" s="13" t="s">
        <v>11</v>
      </c>
      <c r="C12" s="14"/>
      <c r="D12" s="15">
        <f>SUM(D7:D11)</f>
        <v>500</v>
      </c>
      <c r="E12" s="15">
        <f>SUM(E7:E11)</f>
        <v>110.51000000000045</v>
      </c>
      <c r="F12" s="15">
        <f>SUM(F7:F11)</f>
        <v>610.51000000000045</v>
      </c>
      <c r="G12" s="15"/>
      <c r="H12" s="24"/>
      <c r="I12" s="1"/>
      <c r="J12" s="1"/>
      <c r="K12" s="1"/>
      <c r="L12" s="26"/>
    </row>
    <row r="13" spans="1:12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2" ht="15.75" x14ac:dyDescent="0.25">
      <c r="A14" s="69" t="s">
        <v>12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</row>
    <row r="15" spans="1:12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2" ht="47.25" x14ac:dyDescent="0.25">
      <c r="A16" s="1"/>
      <c r="B16" s="16" t="s">
        <v>4</v>
      </c>
      <c r="C16" s="6" t="s">
        <v>13</v>
      </c>
      <c r="D16" s="7" t="s">
        <v>14</v>
      </c>
      <c r="E16" s="1"/>
      <c r="F16" s="1"/>
      <c r="G16" s="1"/>
      <c r="H16" s="1"/>
      <c r="I16" s="1"/>
      <c r="J16" s="1"/>
      <c r="K16" s="1"/>
    </row>
    <row r="17" spans="1:11" ht="15.75" x14ac:dyDescent="0.25">
      <c r="A17" s="1"/>
      <c r="B17" s="17">
        <v>1</v>
      </c>
      <c r="C17" s="9">
        <f>C7+D7</f>
        <v>1100</v>
      </c>
      <c r="D17" s="10">
        <f>G7-C17</f>
        <v>0</v>
      </c>
      <c r="E17" s="1"/>
      <c r="F17" s="1"/>
      <c r="G17" s="1"/>
      <c r="H17" s="1"/>
      <c r="I17" s="1"/>
      <c r="J17" s="1"/>
      <c r="K17" s="1"/>
    </row>
    <row r="18" spans="1:11" ht="15.75" x14ac:dyDescent="0.25">
      <c r="A18" s="1"/>
      <c r="B18" s="17">
        <v>2</v>
      </c>
      <c r="C18" s="9">
        <f>C17+D8</f>
        <v>1200</v>
      </c>
      <c r="D18" s="10">
        <f>G8-C18</f>
        <v>10.000000000000227</v>
      </c>
      <c r="E18" s="1"/>
      <c r="F18" s="1"/>
      <c r="G18" s="1"/>
      <c r="H18" s="1"/>
      <c r="I18" s="1"/>
      <c r="J18" s="1"/>
      <c r="K18" s="1"/>
    </row>
    <row r="19" spans="1:11" ht="15.75" x14ac:dyDescent="0.25">
      <c r="A19" s="1"/>
      <c r="B19" s="17">
        <v>3</v>
      </c>
      <c r="C19" s="9">
        <f>C18+D9</f>
        <v>1300</v>
      </c>
      <c r="D19" s="10">
        <f>G9-C19</f>
        <v>31.000000000000455</v>
      </c>
      <c r="E19" s="1"/>
      <c r="F19" s="1"/>
      <c r="G19" s="1"/>
      <c r="H19" s="1"/>
      <c r="I19" s="1"/>
      <c r="J19" s="1"/>
      <c r="K19" s="1"/>
    </row>
    <row r="20" spans="1:11" ht="15.75" x14ac:dyDescent="0.25">
      <c r="A20" s="1"/>
      <c r="B20" s="17">
        <v>4</v>
      </c>
      <c r="C20" s="9">
        <f>C19+D10</f>
        <v>1400</v>
      </c>
      <c r="D20" s="10">
        <f>G10-C20</f>
        <v>64.100000000000364</v>
      </c>
      <c r="E20" s="1"/>
      <c r="F20" s="1"/>
      <c r="G20" s="1"/>
      <c r="H20" s="1"/>
      <c r="I20" s="1"/>
      <c r="J20" s="1"/>
      <c r="K20" s="1"/>
    </row>
    <row r="21" spans="1:11" ht="15.75" x14ac:dyDescent="0.25">
      <c r="A21" s="1"/>
      <c r="B21" s="18">
        <v>5</v>
      </c>
      <c r="C21" s="15">
        <f>C20+D11</f>
        <v>1500</v>
      </c>
      <c r="D21" s="19">
        <f>G11-C21</f>
        <v>110.51000000000045</v>
      </c>
      <c r="E21" s="1"/>
      <c r="F21" s="1"/>
      <c r="G21" s="1"/>
      <c r="H21" s="1"/>
      <c r="I21" s="1"/>
      <c r="J21" s="1"/>
      <c r="K21" s="1"/>
    </row>
    <row r="22" spans="1:11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.75" x14ac:dyDescent="0.25">
      <c r="A23" s="69" t="s">
        <v>15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</row>
    <row r="24" spans="1:11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</sheetData>
  <mergeCells count="3">
    <mergeCell ref="A4:K4"/>
    <mergeCell ref="A14:K14"/>
    <mergeCell ref="A23:K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FV </vt:lpstr>
      <vt:lpstr>PV- Uncle</vt:lpstr>
      <vt:lpstr>Manhattan Island</vt:lpstr>
      <vt:lpstr>Perpetuities</vt:lpstr>
      <vt:lpstr>Preferred Stock</vt:lpstr>
      <vt:lpstr>PV Annuity</vt:lpstr>
      <vt:lpstr>Lottery</vt:lpstr>
      <vt:lpstr>ABC Tech</vt:lpstr>
      <vt:lpstr>Lemonade Stand</vt:lpstr>
      <vt:lpstr>NPV another model</vt:lpstr>
      <vt:lpstr>FV 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Bethany Evitts</dc:creator>
  <cp:keywords/>
  <dc:description/>
  <cp:lastModifiedBy>Bethany Evitts</cp:lastModifiedBy>
  <cp:revision/>
  <dcterms:created xsi:type="dcterms:W3CDTF">2025-02-23T21:20:06Z</dcterms:created>
  <dcterms:modified xsi:type="dcterms:W3CDTF">2026-02-17T15:39:25Z</dcterms:modified>
  <cp:category/>
  <cp:contentStatus/>
</cp:coreProperties>
</file>