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drawings/drawing3.xml" ContentType="application/vnd.openxmlformats-officedocument.drawing+xml"/>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drawings/drawing4.xml" ContentType="application/vnd.openxmlformats-officedocument.drawing+xml"/>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drawings/drawing5.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drawings/drawing6.xml" ContentType="application/vnd.openxmlformats-officedocument.drawing+xml"/>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drawings/drawing7.xml" ContentType="application/vnd.openxmlformats-officedocument.drawing+xml"/>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drawings/drawing8.xml" ContentType="application/vnd.openxmlformats-officedocument.drawing+xml"/>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drawings/drawing9.xml" ContentType="application/vnd.openxmlformats-officedocument.drawing+xml"/>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drawings/drawing10.xml" ContentType="application/vnd.openxmlformats-officedocument.drawing+xml"/>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drawings/drawing11.xml" ContentType="application/vnd.openxmlformats-officedocument.drawing+xml"/>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drawings/drawing12.xml" ContentType="application/vnd.openxmlformats-officedocument.drawing+xml"/>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drawings/drawing13.xml" ContentType="application/vnd.openxmlformats-officedocument.drawing+xml"/>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drawings/drawing14.xml" ContentType="application/vnd.openxmlformats-officedocument.drawing+xml"/>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drawings/drawing15.xml" ContentType="application/vnd.openxmlformats-officedocument.drawing+xml"/>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drawings/drawing16.xml" ContentType="application/vnd.openxmlformats-officedocument.drawing+xml"/>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drawings/drawing17.xml" ContentType="application/vnd.openxmlformats-officedocument.drawing+xml"/>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C:\Users\nicholas.racculia\Documents\AdVentures\Investments Work\Fundamentals 11e\Upated - Work from Here\Revised Supplements for Allison\Excel Solutions\"/>
    </mc:Choice>
  </mc:AlternateContent>
  <xr:revisionPtr revIDLastSave="0" documentId="13_ncr:1_{57616E76-A079-41B1-9538-26B6E4CF62B6}" xr6:coauthVersionLast="46" xr6:coauthVersionMax="46" xr10:uidLastSave="{00000000-0000-0000-0000-000000000000}"/>
  <bookViews>
    <workbookView xWindow="28680" yWindow="-120" windowWidth="19440" windowHeight="15000" tabRatio="942" firstSheet="42" activeTab="45" xr2:uid="{00000000-000D-0000-FFFF-FFFF00000000}"/>
  </bookViews>
  <sheets>
    <sheet name="Pr 5-1" sheetId="91" r:id="rId1"/>
    <sheet name="Pr 5-3" sheetId="1" r:id="rId2"/>
    <sheet name="Pr 5-4" sheetId="92" r:id="rId3"/>
    <sheet name="Pr 5-5" sheetId="93" r:id="rId4"/>
    <sheet name="Pr 5-6" sheetId="29" r:id="rId5"/>
    <sheet name="Pr 5-7" sheetId="94" r:id="rId6"/>
    <sheet name="Pr 5-8" sheetId="95" r:id="rId7"/>
    <sheet name="Pr 5-9" sheetId="96" r:id="rId8"/>
    <sheet name="Pr 5-10" sheetId="82" r:id="rId9"/>
    <sheet name="Pr 5-11" sheetId="97" r:id="rId10"/>
    <sheet name="Pr 5-12" sheetId="34" r:id="rId11"/>
    <sheet name="Pr 5-13" sheetId="35" r:id="rId12"/>
    <sheet name="Pr 5-14" sheetId="36" r:id="rId13"/>
    <sheet name="Pr 5-15" sheetId="37" r:id="rId14"/>
    <sheet name="Pr 5-16" sheetId="38" r:id="rId15"/>
    <sheet name="Pr 5-17" sheetId="39" r:id="rId16"/>
    <sheet name="Pr 5-18" sheetId="98" r:id="rId17"/>
    <sheet name="Pr 5-19" sheetId="83" r:id="rId18"/>
    <sheet name="Pr 5-20" sheetId="40" r:id="rId19"/>
    <sheet name="Pr 5-21" sheetId="99" r:id="rId20"/>
    <sheet name="Pr 5-22" sheetId="41" r:id="rId21"/>
    <sheet name="Pr 5-23" sheetId="42" r:id="rId22"/>
    <sheet name="Pr 5-24" sheetId="43" r:id="rId23"/>
    <sheet name="Pr 5-25" sheetId="89" r:id="rId24"/>
    <sheet name="Pr 5-26" sheetId="44" r:id="rId25"/>
    <sheet name="Pr 5-27" sheetId="46" r:id="rId26"/>
    <sheet name="Pr 5-28" sheetId="47" r:id="rId27"/>
    <sheet name="Pr 5-29" sheetId="48" r:id="rId28"/>
    <sheet name="Pr 5-30" sheetId="101" r:id="rId29"/>
    <sheet name="Pr 5-31" sheetId="51" r:id="rId30"/>
    <sheet name="Pr 5-32" sheetId="52" r:id="rId31"/>
    <sheet name="Pr 5-33" sheetId="53" r:id="rId32"/>
    <sheet name="Pr 5-34" sheetId="102" r:id="rId33"/>
    <sheet name="Pr 5-36" sheetId="103" r:id="rId34"/>
    <sheet name="Pr 5-37" sheetId="54" r:id="rId35"/>
    <sheet name="Pr 5-38" sheetId="104" r:id="rId36"/>
    <sheet name="Pr 5-39" sheetId="90" r:id="rId37"/>
    <sheet name="Pr 5-40" sheetId="105" r:id="rId38"/>
    <sheet name="Pr 5-41" sheetId="58" r:id="rId39"/>
    <sheet name="Pr 5-42" sheetId="60" r:id="rId40"/>
    <sheet name="Pr 5-43" sheetId="106" r:id="rId41"/>
    <sheet name="Pr 5-44" sheetId="61" r:id="rId42"/>
    <sheet name="Pr 5-45" sheetId="63" r:id="rId43"/>
    <sheet name="Pr 5-46" sheetId="112" r:id="rId44"/>
    <sheet name="Pr 5-48" sheetId="55" r:id="rId45"/>
    <sheet name="Pr 5-49" sheetId="64" r:id="rId46"/>
    <sheet name="Pr 5-50" sheetId="65" r:id="rId47"/>
    <sheet name="Pr 5-51" sheetId="66" r:id="rId48"/>
    <sheet name="Pr 5-52" sheetId="67" r:id="rId49"/>
    <sheet name="Pr 5-53" sheetId="107" r:id="rId50"/>
    <sheet name="Pr 5-54" sheetId="108" r:id="rId51"/>
    <sheet name="Pr 5-55" sheetId="68" r:id="rId52"/>
    <sheet name="Pr 5-56" sheetId="109" r:id="rId53"/>
    <sheet name="Pr 5-57" sheetId="110" r:id="rId54"/>
    <sheet name="Pr 5-58" sheetId="69" r:id="rId55"/>
    <sheet name="Pr 5-59" sheetId="70" r:id="rId56"/>
    <sheet name="Pr 5-60" sheetId="71" r:id="rId57"/>
    <sheet name="Pr 5-61" sheetId="72" r:id="rId58"/>
    <sheet name="Pr 5-62" sheetId="74" r:id="rId59"/>
    <sheet name="Pr 5-63" sheetId="73" r:id="rId60"/>
    <sheet name="Pr 5-64" sheetId="85" r:id="rId61"/>
    <sheet name="Pr 5-65" sheetId="111" r:id="rId62"/>
    <sheet name="Pr 5-66" sheetId="75" r:id="rId63"/>
    <sheet name="Pr 5-67" sheetId="76" r:id="rId64"/>
    <sheet name="Pr 5-68" sheetId="77" r:id="rId65"/>
    <sheet name="Pr 5-69" sheetId="79" r:id="rId66"/>
    <sheet name="Pr 5-70" sheetId="86" r:id="rId67"/>
    <sheet name="Pr 5-71" sheetId="113" r:id="rId68"/>
    <sheet name="Pr 5-72" sheetId="88" r:id="rId69"/>
    <sheet name="Pr 5-73" sheetId="114" r:id="rId70"/>
    <sheet name="Pr 5-74" sheetId="115" r:id="rId71"/>
    <sheet name="Pr 5-75" sheetId="81" r:id="rId72"/>
  </sheets>
  <definedNames>
    <definedName name="_xlnm._FilterDatabase" localSheetId="9" hidden="1">'Pr 5-11'!$F$20:$F$20</definedName>
    <definedName name="_xlnm._FilterDatabase" localSheetId="16" hidden="1">'Pr 5-18'!#REF!</definedName>
    <definedName name="_xlnm._FilterDatabase" localSheetId="19" hidden="1">'Pr 5-21'!#REF!</definedName>
    <definedName name="_xlnm._FilterDatabase" localSheetId="2" hidden="1">'Pr 5-4'!$G$23:$G$25</definedName>
    <definedName name="_xlnm._FilterDatabase" localSheetId="3" hidden="1">'Pr 5-5'!#REF!</definedName>
    <definedName name="_xlnm._FilterDatabase" localSheetId="5" hidden="1">'Pr 5-7'!#REF!</definedName>
    <definedName name="_xlnm._FilterDatabase" localSheetId="6" hidden="1">'Pr 5-8'!$F$20:$F$20</definedName>
    <definedName name="_xlnm._FilterDatabase" localSheetId="7" hidden="1">'Pr 5-9'!$G$20:$G$20</definedName>
    <definedName name="_xlnm.Print_Area" localSheetId="69">'Pr 5-73'!$A$1:$K$55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113" l="1"/>
  <c r="C15" i="75"/>
  <c r="C23" i="83"/>
  <c r="C21" i="83"/>
  <c r="C20" i="75" l="1"/>
  <c r="C22" i="105"/>
  <c r="G20" i="35"/>
  <c r="E32" i="110"/>
  <c r="C19" i="64"/>
  <c r="C20" i="64" s="1"/>
  <c r="H30" i="63"/>
  <c r="G36" i="63"/>
  <c r="G30" i="63"/>
  <c r="G26" i="63"/>
  <c r="C32" i="46"/>
  <c r="G30" i="46"/>
  <c r="C26" i="98"/>
  <c r="C33" i="92"/>
  <c r="C36" i="92"/>
  <c r="C39" i="92"/>
  <c r="C30" i="92"/>
  <c r="C31" i="81"/>
  <c r="C34" i="81"/>
  <c r="C27" i="81"/>
  <c r="B30" i="74"/>
  <c r="B29" i="74"/>
  <c r="G21" i="68"/>
  <c r="H24" i="108"/>
  <c r="C28" i="103"/>
  <c r="C31" i="103"/>
  <c r="F25" i="53"/>
  <c r="H25" i="46"/>
  <c r="I25" i="46"/>
  <c r="C20" i="41"/>
  <c r="F31" i="41" s="1"/>
  <c r="C31" i="40"/>
  <c r="C32" i="40" s="1"/>
  <c r="C36" i="40"/>
  <c r="C37" i="40" s="1"/>
  <c r="I41" i="34"/>
  <c r="I37" i="34"/>
  <c r="I33" i="34"/>
  <c r="I29" i="34"/>
  <c r="C36" i="97"/>
  <c r="C35" i="97" s="1"/>
  <c r="C29" i="97"/>
  <c r="C32" i="97" s="1"/>
  <c r="F21" i="115"/>
  <c r="E37" i="115"/>
  <c r="F37" i="115" s="1"/>
  <c r="F34" i="115"/>
  <c r="F33" i="115"/>
  <c r="F27" i="115"/>
  <c r="F28" i="115"/>
  <c r="F29" i="115"/>
  <c r="F30" i="115"/>
  <c r="F26" i="115"/>
  <c r="G25" i="115"/>
  <c r="F25" i="115"/>
  <c r="D47" i="115"/>
  <c r="G30" i="115" s="1"/>
  <c r="G51" i="114"/>
  <c r="G46" i="114"/>
  <c r="C46" i="114"/>
  <c r="C51" i="114"/>
  <c r="E51" i="114"/>
  <c r="E41" i="114"/>
  <c r="C29" i="114"/>
  <c r="F32" i="114" s="1"/>
  <c r="F37" i="114"/>
  <c r="F51" i="114"/>
  <c r="F41" i="114"/>
  <c r="F46" i="114"/>
  <c r="E32" i="114"/>
  <c r="E28" i="114"/>
  <c r="H28" i="114"/>
  <c r="E46" i="88"/>
  <c r="C47" i="88"/>
  <c r="F55" i="88"/>
  <c r="F51" i="88"/>
  <c r="C43" i="88"/>
  <c r="C39" i="88"/>
  <c r="G38" i="88"/>
  <c r="E38" i="88"/>
  <c r="E34" i="88"/>
  <c r="F42" i="88"/>
  <c r="F46" i="88" s="1"/>
  <c r="E42" i="88"/>
  <c r="H42" i="88"/>
  <c r="F38" i="88"/>
  <c r="F34" i="88"/>
  <c r="C31" i="88"/>
  <c r="H30" i="88"/>
  <c r="F30" i="88"/>
  <c r="E30" i="88"/>
  <c r="C26" i="86"/>
  <c r="I25" i="86"/>
  <c r="F29" i="86"/>
  <c r="F25" i="86"/>
  <c r="E29" i="86"/>
  <c r="E25" i="86"/>
  <c r="C22" i="85"/>
  <c r="D25" i="85" s="1"/>
  <c r="C25" i="85" s="1"/>
  <c r="C20" i="112"/>
  <c r="F26" i="82"/>
  <c r="E26" i="82"/>
  <c r="G22" i="82"/>
  <c r="F22" i="82"/>
  <c r="E22" i="82"/>
  <c r="C22" i="82"/>
  <c r="F36" i="81"/>
  <c r="F30" i="81"/>
  <c r="G30" i="81"/>
  <c r="G36" i="81"/>
  <c r="J30" i="81"/>
  <c r="J26" i="81"/>
  <c r="F26" i="81"/>
  <c r="G26" i="81"/>
  <c r="C27" i="79"/>
  <c r="C26" i="79"/>
  <c r="C25" i="79"/>
  <c r="C27" i="77"/>
  <c r="C26" i="77"/>
  <c r="C25" i="77"/>
  <c r="F29" i="76"/>
  <c r="F25" i="76"/>
  <c r="C30" i="76"/>
  <c r="C26" i="76"/>
  <c r="I29" i="76"/>
  <c r="I25" i="76"/>
  <c r="G29" i="76"/>
  <c r="G25" i="76"/>
  <c r="G41" i="111"/>
  <c r="G37" i="111"/>
  <c r="G33" i="111"/>
  <c r="I33" i="111"/>
  <c r="E41" i="111"/>
  <c r="E37" i="111"/>
  <c r="E33" i="111"/>
  <c r="I29" i="111"/>
  <c r="G29" i="111"/>
  <c r="E29" i="111"/>
  <c r="I23" i="73"/>
  <c r="H23" i="73"/>
  <c r="F23" i="73"/>
  <c r="C30" i="74"/>
  <c r="C29" i="74"/>
  <c r="C19" i="72"/>
  <c r="C18" i="72"/>
  <c r="E20" i="71"/>
  <c r="B28" i="71" s="1"/>
  <c r="E21" i="71"/>
  <c r="B29" i="71" s="1"/>
  <c r="E19" i="71"/>
  <c r="B27" i="71" s="1"/>
  <c r="E20" i="70"/>
  <c r="B28" i="70" s="1"/>
  <c r="E21" i="70"/>
  <c r="B29" i="70" s="1"/>
  <c r="E19" i="70"/>
  <c r="B27" i="70" s="1"/>
  <c r="C27" i="69"/>
  <c r="C24" i="69"/>
  <c r="G32" i="110"/>
  <c r="H34" i="110" s="1"/>
  <c r="F32" i="110"/>
  <c r="G25" i="110"/>
  <c r="F25" i="110"/>
  <c r="E25" i="110"/>
  <c r="C24" i="109"/>
  <c r="C27" i="109"/>
  <c r="H21" i="68"/>
  <c r="E21" i="68"/>
  <c r="G24" i="108"/>
  <c r="E24" i="108"/>
  <c r="I28" i="107"/>
  <c r="I24" i="107"/>
  <c r="G28" i="107"/>
  <c r="G24" i="107"/>
  <c r="C18" i="67"/>
  <c r="C26" i="66"/>
  <c r="C22" i="66"/>
  <c r="G21" i="66"/>
  <c r="F25" i="66"/>
  <c r="H25" i="66"/>
  <c r="G25" i="66"/>
  <c r="H21" i="66"/>
  <c r="F21" i="66"/>
  <c r="C24" i="65"/>
  <c r="C25" i="65" s="1"/>
  <c r="C26" i="65"/>
  <c r="C30" i="65"/>
  <c r="H23" i="65"/>
  <c r="F25" i="65" s="1"/>
  <c r="G23" i="65"/>
  <c r="C27" i="63"/>
  <c r="C28" i="63"/>
  <c r="F36" i="63"/>
  <c r="F30" i="63"/>
  <c r="I26" i="63"/>
  <c r="F26" i="63"/>
  <c r="G25" i="61"/>
  <c r="F25" i="61"/>
  <c r="H23" i="61"/>
  <c r="J25" i="61" s="1"/>
  <c r="I21" i="61"/>
  <c r="G21" i="61"/>
  <c r="F21" i="61"/>
  <c r="C21" i="61"/>
  <c r="C22" i="61" s="1"/>
  <c r="C25" i="106"/>
  <c r="C26" i="106" s="1"/>
  <c r="J20" i="60"/>
  <c r="I22" i="60"/>
  <c r="G20" i="60"/>
  <c r="F20" i="60"/>
  <c r="C20" i="60"/>
  <c r="F51" i="58"/>
  <c r="G51" i="58"/>
  <c r="G44" i="58"/>
  <c r="F44" i="58"/>
  <c r="J39" i="58"/>
  <c r="G39" i="58"/>
  <c r="F39" i="58"/>
  <c r="C27" i="58"/>
  <c r="C37" i="58" s="1"/>
  <c r="C38" i="58" s="1"/>
  <c r="G30" i="58"/>
  <c r="F30" i="58"/>
  <c r="I26" i="58"/>
  <c r="F26" i="58"/>
  <c r="G26" i="58"/>
  <c r="C21" i="55"/>
  <c r="F25" i="55"/>
  <c r="I23" i="55"/>
  <c r="H21" i="55"/>
  <c r="G21" i="55"/>
  <c r="F21" i="55"/>
  <c r="C14" i="55"/>
  <c r="H25" i="55" s="1"/>
  <c r="E28" i="105"/>
  <c r="E31" i="105" s="1"/>
  <c r="C21" i="90"/>
  <c r="E25" i="90"/>
  <c r="H23" i="90"/>
  <c r="G27" i="90" s="1"/>
  <c r="G21" i="90"/>
  <c r="F25" i="90"/>
  <c r="F21" i="90"/>
  <c r="H25" i="54"/>
  <c r="H21" i="54"/>
  <c r="G25" i="54"/>
  <c r="F25" i="54"/>
  <c r="G21" i="54"/>
  <c r="F21" i="54"/>
  <c r="C22" i="54"/>
  <c r="C25" i="54" s="1"/>
  <c r="C19" i="52"/>
  <c r="C21" i="53"/>
  <c r="C22" i="53" s="1"/>
  <c r="G25" i="53"/>
  <c r="G21" i="53"/>
  <c r="I21" i="53"/>
  <c r="F21" i="53"/>
  <c r="H21" i="51"/>
  <c r="I21" i="51"/>
  <c r="K21" i="51"/>
  <c r="J21" i="51"/>
  <c r="I25" i="101"/>
  <c r="H25" i="101"/>
  <c r="F25" i="101"/>
  <c r="C30" i="48"/>
  <c r="I30" i="48"/>
  <c r="G30" i="48"/>
  <c r="F30" i="48"/>
  <c r="C27" i="48"/>
  <c r="G29" i="47"/>
  <c r="I29" i="47"/>
  <c r="F29" i="47"/>
  <c r="F25" i="47"/>
  <c r="I25" i="47"/>
  <c r="G25" i="47"/>
  <c r="C30" i="47"/>
  <c r="C26" i="47"/>
  <c r="H30" i="46"/>
  <c r="F30" i="46"/>
  <c r="F25" i="46"/>
  <c r="F27" i="44"/>
  <c r="H27" i="44"/>
  <c r="H22" i="44"/>
  <c r="I22" i="44"/>
  <c r="F22" i="44"/>
  <c r="C27" i="44"/>
  <c r="C23" i="44"/>
  <c r="D27" i="89"/>
  <c r="D24" i="89"/>
  <c r="C19" i="43"/>
  <c r="C19" i="42"/>
  <c r="C27" i="41"/>
  <c r="I26" i="41"/>
  <c r="F26" i="41"/>
  <c r="H28" i="41" s="1"/>
  <c r="C31" i="41"/>
  <c r="J31" i="41" s="1"/>
  <c r="C27" i="98"/>
  <c r="C30" i="98" s="1"/>
  <c r="C20" i="39"/>
  <c r="C28" i="38"/>
  <c r="C29" i="38"/>
  <c r="C27" i="38"/>
  <c r="C27" i="37"/>
  <c r="C26" i="37"/>
  <c r="C25" i="37"/>
  <c r="C26" i="36"/>
  <c r="C20" i="35"/>
  <c r="J20" i="35"/>
  <c r="F20" i="35"/>
  <c r="C42" i="34"/>
  <c r="C38" i="34"/>
  <c r="C34" i="34"/>
  <c r="C30" i="34"/>
  <c r="D30" i="94"/>
  <c r="D27" i="94"/>
  <c r="C20" i="29"/>
  <c r="C27" i="93"/>
  <c r="C24" i="93"/>
  <c r="C39" i="1"/>
  <c r="E41" i="1" s="1"/>
  <c r="C34" i="1"/>
  <c r="G36" i="1" s="1"/>
  <c r="C31" i="1"/>
  <c r="C27" i="1"/>
  <c r="C33" i="91"/>
  <c r="C30" i="91"/>
  <c r="C27" i="91"/>
  <c r="F19" i="115"/>
  <c r="F15" i="115"/>
  <c r="C33" i="111"/>
  <c r="C42" i="111" s="1"/>
  <c r="C30" i="111"/>
  <c r="C37" i="111" s="1"/>
  <c r="C26" i="110"/>
  <c r="C29" i="110"/>
  <c r="C27" i="108"/>
  <c r="C25" i="108"/>
  <c r="C28" i="107"/>
  <c r="C25" i="107"/>
  <c r="C28" i="105"/>
  <c r="D28" i="105" s="1"/>
  <c r="C27" i="104"/>
  <c r="C24" i="104"/>
  <c r="C27" i="102"/>
  <c r="C33" i="102" s="1"/>
  <c r="C36" i="102" s="1"/>
  <c r="C52" i="99"/>
  <c r="C49" i="99"/>
  <c r="C43" i="99"/>
  <c r="C40" i="99"/>
  <c r="C34" i="96"/>
  <c r="C37" i="96" s="1"/>
  <c r="C28" i="96"/>
  <c r="C31" i="96" s="1"/>
  <c r="C34" i="95"/>
  <c r="C31" i="95"/>
  <c r="C28" i="95"/>
  <c r="C32" i="110"/>
  <c r="E21" i="90"/>
  <c r="G41" i="34"/>
  <c r="E41" i="34"/>
  <c r="G37" i="34"/>
  <c r="E37" i="34"/>
  <c r="G33" i="34"/>
  <c r="E33" i="34"/>
  <c r="G29" i="34"/>
  <c r="E29" i="34"/>
  <c r="C33" i="74" l="1"/>
  <c r="F35" i="34"/>
  <c r="J32" i="63"/>
  <c r="H33" i="41"/>
  <c r="F39" i="34"/>
  <c r="H22" i="35"/>
  <c r="F31" i="34"/>
  <c r="G24" i="44"/>
  <c r="F43" i="34"/>
  <c r="F35" i="111"/>
  <c r="F41" i="111" s="1"/>
  <c r="I43" i="111" s="1"/>
  <c r="H27" i="76"/>
  <c r="G27" i="86"/>
  <c r="C29" i="86" s="1"/>
  <c r="F40" i="115"/>
  <c r="I53" i="114"/>
  <c r="C30" i="114"/>
  <c r="I48" i="114"/>
  <c r="F26" i="108"/>
  <c r="F29" i="108" s="1"/>
  <c r="F30" i="107"/>
  <c r="J28" i="63"/>
  <c r="C29" i="63"/>
  <c r="C36" i="63" s="1"/>
  <c r="H41" i="58"/>
  <c r="H28" i="58"/>
  <c r="J44" i="58" s="1"/>
  <c r="H46" i="58" s="1"/>
  <c r="G27" i="55"/>
  <c r="C23" i="55" s="1"/>
  <c r="G23" i="51"/>
  <c r="C21" i="51" s="1"/>
  <c r="C33" i="48"/>
  <c r="H32" i="48"/>
  <c r="I24" i="82"/>
  <c r="G26" i="82" s="1"/>
  <c r="I28" i="82" s="1"/>
  <c r="C37" i="81"/>
  <c r="H32" i="81"/>
  <c r="J36" i="81" s="1"/>
  <c r="H38" i="81" s="1"/>
  <c r="H31" i="76"/>
  <c r="F31" i="111"/>
  <c r="F37" i="111" s="1"/>
  <c r="I39" i="111" s="1"/>
  <c r="G25" i="73"/>
  <c r="C27" i="73" s="1"/>
  <c r="H27" i="110"/>
  <c r="C29" i="109"/>
  <c r="F23" i="68"/>
  <c r="F26" i="107"/>
  <c r="J23" i="66"/>
  <c r="C27" i="65"/>
  <c r="I25" i="55"/>
  <c r="E30" i="105"/>
  <c r="I27" i="54"/>
  <c r="I23" i="54"/>
  <c r="G27" i="101"/>
  <c r="C26" i="101" s="1"/>
  <c r="G32" i="88"/>
  <c r="C35" i="88" s="1"/>
  <c r="I40" i="88"/>
  <c r="G44" i="88"/>
  <c r="C48" i="88" s="1"/>
  <c r="J27" i="66"/>
  <c r="H23" i="53"/>
  <c r="J25" i="53" s="1"/>
  <c r="H27" i="53" s="1"/>
  <c r="H31" i="47"/>
  <c r="H27" i="47"/>
  <c r="I32" i="46"/>
  <c r="G27" i="46"/>
  <c r="C26" i="46" s="1"/>
  <c r="J27" i="44"/>
  <c r="G29" i="44" s="1"/>
  <c r="C46" i="99"/>
  <c r="C55" i="99"/>
  <c r="H28" i="81"/>
  <c r="C34" i="103"/>
  <c r="C37" i="103"/>
  <c r="C40" i="103" s="1"/>
  <c r="F42" i="115"/>
  <c r="C53" i="115"/>
  <c r="G26" i="115"/>
  <c r="G27" i="115"/>
  <c r="G34" i="115"/>
  <c r="G28" i="115"/>
  <c r="G33" i="115"/>
  <c r="E38" i="115"/>
  <c r="G37" i="115" s="1"/>
  <c r="G19" i="115"/>
  <c r="G29" i="115"/>
  <c r="G21" i="115"/>
  <c r="G15" i="115"/>
  <c r="F28" i="114"/>
  <c r="G30" i="114" s="1"/>
  <c r="I32" i="114" s="1"/>
  <c r="C31" i="114" s="1"/>
  <c r="I46" i="88"/>
  <c r="H48" i="88" s="1"/>
  <c r="F30" i="108"/>
  <c r="I27" i="61"/>
  <c r="C28" i="58"/>
  <c r="F28" i="105"/>
  <c r="C29" i="105" s="1"/>
  <c r="E29" i="105"/>
  <c r="H25" i="90"/>
  <c r="C22" i="90"/>
  <c r="C30" i="102"/>
  <c r="C32" i="41"/>
  <c r="C35" i="41" s="1"/>
  <c r="C39" i="40"/>
  <c r="C28" i="97"/>
  <c r="C40" i="97"/>
  <c r="G29" i="86" l="1"/>
  <c r="H31" i="86" s="1"/>
  <c r="C37" i="63"/>
  <c r="J36" i="63"/>
  <c r="I38" i="63" s="1"/>
  <c r="C21" i="68"/>
  <c r="F25" i="68"/>
  <c r="G40" i="115"/>
  <c r="G42" i="115" s="1"/>
  <c r="I34" i="88"/>
  <c r="H36" i="88" s="1"/>
  <c r="C24" i="73"/>
  <c r="G48" i="58"/>
  <c r="H51" i="58" s="1"/>
  <c r="I53" i="58" s="1"/>
  <c r="J30" i="58"/>
  <c r="I32" i="58" s="1"/>
  <c r="C22" i="55"/>
  <c r="C32" i="101"/>
  <c r="C29" i="101"/>
  <c r="C29" i="46"/>
  <c r="H34" i="114"/>
  <c r="C51" i="88"/>
  <c r="G55" i="88"/>
  <c r="I57" i="88" s="1"/>
  <c r="G51" i="88"/>
  <c r="I53" i="88" s="1"/>
  <c r="C55" i="88"/>
  <c r="D29" i="105"/>
  <c r="F29" i="105" s="1"/>
  <c r="C30" i="105" s="1"/>
  <c r="C56" i="115" l="1"/>
  <c r="G37" i="114"/>
  <c r="I39" i="114" s="1"/>
  <c r="C41" i="114"/>
  <c r="C37" i="114"/>
  <c r="G41" i="114"/>
  <c r="I43" i="114" s="1"/>
  <c r="D30" i="105"/>
  <c r="F30" i="105" s="1"/>
  <c r="C31" i="105" s="1"/>
  <c r="D31" i="105" l="1"/>
  <c r="F31" i="105" s="1"/>
  <c r="C32" i="105" s="1"/>
</calcChain>
</file>

<file path=xl/sharedStrings.xml><?xml version="1.0" encoding="utf-8"?>
<sst xmlns="http://schemas.openxmlformats.org/spreadsheetml/2006/main" count="2255" uniqueCount="631">
  <si>
    <t xml:space="preserve"> </t>
  </si>
  <si>
    <t>Solution and Explanation:</t>
  </si>
  <si>
    <t xml:space="preserve">   </t>
  </si>
  <si>
    <t>  </t>
  </si>
  <si>
    <t>a.</t>
  </si>
  <si>
    <t>b.</t>
  </si>
  <si>
    <t>c.</t>
  </si>
  <si>
    <t>d.</t>
  </si>
  <si>
    <t>e.</t>
  </si>
  <si>
    <t xml:space="preserve">a. </t>
  </si>
  <si>
    <t>Year 1900</t>
  </si>
  <si>
    <t>Initial Investment</t>
  </si>
  <si>
    <t>Number of Years</t>
  </si>
  <si>
    <t>N</t>
  </si>
  <si>
    <t>PV</t>
  </si>
  <si>
    <t>I</t>
  </si>
  <si>
    <t>PMT</t>
  </si>
  <si>
    <t>FV</t>
  </si>
  <si>
    <t>Calc or Excel Solution:</t>
  </si>
  <si>
    <r>
      <t>PV of Cashflows</t>
    </r>
    <r>
      <rPr>
        <sz val="8"/>
        <color theme="1"/>
        <rFont val="Calibri"/>
        <family val="2"/>
        <scheme val="minor"/>
      </rPr>
      <t xml:space="preserve"> 1-3</t>
    </r>
  </si>
  <si>
    <t>Present Value</t>
  </si>
  <si>
    <t>Years</t>
  </si>
  <si>
    <t>Future Value</t>
  </si>
  <si>
    <t>Who is better paid?</t>
  </si>
  <si>
    <r>
      <t>PV</t>
    </r>
    <r>
      <rPr>
        <sz val="8"/>
        <color theme="1"/>
        <rFont val="Calibri"/>
        <family val="2"/>
        <scheme val="minor"/>
      </rPr>
      <t>QB</t>
    </r>
  </si>
  <si>
    <r>
      <t>PV</t>
    </r>
    <r>
      <rPr>
        <sz val="8"/>
        <color theme="1"/>
        <rFont val="Calibri"/>
        <family val="2"/>
        <scheme val="minor"/>
      </rPr>
      <t>RC</t>
    </r>
  </si>
  <si>
    <r>
      <t>PV</t>
    </r>
    <r>
      <rPr>
        <sz val="8"/>
        <color theme="1"/>
        <rFont val="Calibri"/>
        <family val="2"/>
        <scheme val="minor"/>
      </rPr>
      <t>outflows</t>
    </r>
  </si>
  <si>
    <r>
      <t>PV</t>
    </r>
    <r>
      <rPr>
        <sz val="8"/>
        <color theme="1"/>
        <rFont val="Calibri"/>
        <family val="2"/>
        <scheme val="minor"/>
      </rPr>
      <t>Inflows</t>
    </r>
  </si>
  <si>
    <t>Interest rate</t>
  </si>
  <si>
    <r>
      <t>PV</t>
    </r>
    <r>
      <rPr>
        <sz val="8"/>
        <color theme="1"/>
        <rFont val="Calibri"/>
        <family val="2"/>
        <scheme val="minor"/>
      </rPr>
      <t>b</t>
    </r>
  </si>
  <si>
    <r>
      <t>PV</t>
    </r>
    <r>
      <rPr>
        <sz val="8"/>
        <color theme="1"/>
        <rFont val="Calibri"/>
        <family val="2"/>
        <scheme val="minor"/>
      </rPr>
      <t>a</t>
    </r>
  </si>
  <si>
    <t>Monthly rate on annuity</t>
  </si>
  <si>
    <t>Effective annual rate</t>
  </si>
  <si>
    <t> Monthly annuity payment</t>
  </si>
  <si>
    <t>Maximum Price</t>
  </si>
  <si>
    <t>Present value</t>
  </si>
  <si>
    <t>months</t>
  </si>
  <si>
    <t>Annual payment</t>
  </si>
  <si>
    <t>EAR</t>
  </si>
  <si>
    <t>Number of months</t>
  </si>
  <si>
    <t>APR</t>
  </si>
  <si>
    <t>Effective Annual Rate</t>
  </si>
  <si>
    <t>Inflation rate</t>
  </si>
  <si>
    <t>Real Value</t>
  </si>
  <si>
    <t>Real Interest rate</t>
  </si>
  <si>
    <t>Account</t>
  </si>
  <si>
    <t>Number of years</t>
  </si>
  <si>
    <t>Real value</t>
  </si>
  <si>
    <t>Real annuity</t>
  </si>
  <si>
    <t>f.</t>
  </si>
  <si>
    <t>Save each year</t>
  </si>
  <si>
    <t xml:space="preserve">Cost of bread at retirement </t>
  </si>
  <si>
    <t xml:space="preserve">Payment </t>
  </si>
  <si>
    <t>`</t>
  </si>
  <si>
    <t>years</t>
  </si>
  <si>
    <t>Loan amt</t>
  </si>
  <si>
    <t>Input variables:</t>
  </si>
  <si>
    <t>First year interest</t>
  </si>
  <si>
    <t> t = 10 years</t>
  </si>
  <si>
    <t> t = 20 years</t>
  </si>
  <si>
    <t>Rate</t>
  </si>
  <si>
    <t>Claim date</t>
  </si>
  <si>
    <t>Claim amount</t>
  </si>
  <si>
    <t>Investment</t>
  </si>
  <si>
    <t>Time</t>
  </si>
  <si>
    <t>a-1.</t>
  </si>
  <si>
    <t>b-1.</t>
  </si>
  <si>
    <t>million</t>
  </si>
  <si>
    <t>Factory Cost</t>
  </si>
  <si>
    <t>Discount rate</t>
  </si>
  <si>
    <t>What is the cost of leasing</t>
  </si>
  <si>
    <t>Loan Balance, $</t>
  </si>
  <si>
    <t>Year-End Interest Due on Loan Balance, $</t>
  </si>
  <si>
    <t>Total Year-End Payment, $</t>
  </si>
  <si>
    <t>Amortization of Loan, $</t>
  </si>
  <si>
    <t>Inheritance</t>
  </si>
  <si>
    <t>Discount Basis (a)</t>
  </si>
  <si>
    <t>Car loan</t>
  </si>
  <si>
    <t>Previous Cost Apples</t>
  </si>
  <si>
    <t>Previous Cost Orange</t>
  </si>
  <si>
    <t>Current year</t>
  </si>
  <si>
    <t>Projection year</t>
  </si>
  <si>
    <t>Growth Apples</t>
  </si>
  <si>
    <t>Growth Oranges</t>
  </si>
  <si>
    <t>Proj. Price apples</t>
  </si>
  <si>
    <t>Proj. Price oranges</t>
  </si>
  <si>
    <t>Nominal Savings (first year)</t>
  </si>
  <si>
    <t>Nominal savings (last year)</t>
  </si>
  <si>
    <t>Nominal exp. (ret year 1)</t>
  </si>
  <si>
    <t>Nominal exp. (final ret year)</t>
  </si>
  <si>
    <t>Car Expense</t>
  </si>
  <si>
    <t>Average salary</t>
  </si>
  <si>
    <t>a. Present value</t>
  </si>
  <si>
    <t>b. Future value</t>
  </si>
  <si>
    <t>Calculator solution:</t>
  </si>
  <si>
    <t>Enter</t>
  </si>
  <si>
    <t xml:space="preserve">Enter </t>
  </si>
  <si>
    <t>Solve for</t>
  </si>
  <si>
    <t>I/Y</t>
  </si>
  <si>
    <t>Investment year</t>
  </si>
  <si>
    <t>Input as a decimal</t>
  </si>
  <si>
    <t>A$</t>
  </si>
  <si>
    <t>a. Interest rate</t>
  </si>
  <si>
    <t>b. Interest rate</t>
  </si>
  <si>
    <t>b. Annual rent</t>
  </si>
  <si>
    <t>Cash Flow 1</t>
  </si>
  <si>
    <t>Cash Flow 2</t>
  </si>
  <si>
    <t>Cash Flow 3</t>
  </si>
  <si>
    <t>NPV</t>
  </si>
  <si>
    <t>Quarterback:</t>
  </si>
  <si>
    <t>Current payment</t>
  </si>
  <si>
    <t>Payment</t>
  </si>
  <si>
    <t>Payment to bank</t>
  </si>
  <si>
    <t>Payment from bank</t>
  </si>
  <si>
    <t>Deferral years</t>
  </si>
  <si>
    <r>
      <t>PV</t>
    </r>
    <r>
      <rPr>
        <vertAlign val="subscript"/>
        <sz val="11"/>
        <color theme="1"/>
        <rFont val="Calibri"/>
        <family val="2"/>
        <scheme val="minor"/>
      </rPr>
      <t>10</t>
    </r>
  </si>
  <si>
    <t>Deposit</t>
  </si>
  <si>
    <t>a. Annual interest amount</t>
  </si>
  <si>
    <t>b. Annual interest amount</t>
  </si>
  <si>
    <t>£</t>
  </si>
  <si>
    <t>Annuity payment</t>
  </si>
  <si>
    <t>Additional years to wait</t>
  </si>
  <si>
    <t>Annuity years</t>
  </si>
  <si>
    <t>c. Monthly interest rate</t>
  </si>
  <si>
    <t>Monthly payment</t>
  </si>
  <si>
    <t>a. Number of months</t>
  </si>
  <si>
    <t>b. Number of months</t>
  </si>
  <si>
    <t>a. Payment</t>
  </si>
  <si>
    <t>a. Rebate</t>
  </si>
  <si>
    <t>b. Monthly payment</t>
  </si>
  <si>
    <t>b. Number of years</t>
  </si>
  <si>
    <t>Monthly interest rate</t>
  </si>
  <si>
    <t>Amount borrowed</t>
  </si>
  <si>
    <t>Loan payment</t>
  </si>
  <si>
    <t>Current savings</t>
  </si>
  <si>
    <t>Monthly savings</t>
  </si>
  <si>
    <t>Down payment needed</t>
  </si>
  <si>
    <t>Time needed</t>
  </si>
  <si>
    <t>First payment  year</t>
  </si>
  <si>
    <t>Annuity present value (in future year)</t>
  </si>
  <si>
    <t>Annuity present value - time 0</t>
  </si>
  <si>
    <t>Annual lease</t>
  </si>
  <si>
    <t>Purchase price</t>
  </si>
  <si>
    <t>Down payment</t>
  </si>
  <si>
    <t xml:space="preserve">Annual payment </t>
  </si>
  <si>
    <t>Better deal</t>
  </si>
  <si>
    <t>Number of payments</t>
  </si>
  <si>
    <t>OA payment</t>
  </si>
  <si>
    <t>AD payment</t>
  </si>
  <si>
    <r>
      <t>PV</t>
    </r>
    <r>
      <rPr>
        <vertAlign val="subscript"/>
        <sz val="10"/>
        <color rgb="FF000000"/>
        <rFont val="Arial"/>
        <family val="2"/>
      </rPr>
      <t>OA</t>
    </r>
  </si>
  <si>
    <r>
      <t>PV</t>
    </r>
    <r>
      <rPr>
        <vertAlign val="subscript"/>
        <sz val="10"/>
        <color rgb="FF000000"/>
        <rFont val="Arial"/>
        <family val="2"/>
      </rPr>
      <t>AD</t>
    </r>
  </si>
  <si>
    <t>Pay off at the end of year ___</t>
  </si>
  <si>
    <t>Loan amount</t>
  </si>
  <si>
    <t>Amount received</t>
  </si>
  <si>
    <t>Number of points</t>
  </si>
  <si>
    <t xml:space="preserve"> Loan payment</t>
  </si>
  <si>
    <t>Monthly rate</t>
  </si>
  <si>
    <t>Years until retirement</t>
  </si>
  <si>
    <t>Annual retirement spending</t>
  </si>
  <si>
    <t>Years in retirement</t>
  </si>
  <si>
    <t>b. Years until college</t>
  </si>
  <si>
    <t>College cost</t>
  </si>
  <si>
    <t>Funds needed at retirement</t>
  </si>
  <si>
    <t>Annual savings needed</t>
  </si>
  <si>
    <t>PV of college:</t>
  </si>
  <si>
    <t>PV of Total savings</t>
  </si>
  <si>
    <t>PV of retirement:</t>
  </si>
  <si>
    <t>Total PV need:</t>
  </si>
  <si>
    <t>Annual savings needed:</t>
  </si>
  <si>
    <t>Retirement savings need</t>
  </si>
  <si>
    <t>Retirement savings goal</t>
  </si>
  <si>
    <t>Time period</t>
  </si>
  <si>
    <t>Years until inheritance</t>
  </si>
  <si>
    <t>FV of inheritance</t>
  </si>
  <si>
    <t>Additional savings need</t>
  </si>
  <si>
    <t>Notes:</t>
  </si>
  <si>
    <t>The additional savings need should always = $0.</t>
  </si>
  <si>
    <t>The FV of the inheritance should always exceed the retirement savings goal.</t>
  </si>
  <si>
    <t>Number of years in retirement</t>
  </si>
  <si>
    <t>Number of years until retirement</t>
  </si>
  <si>
    <t>Annual savings</t>
  </si>
  <si>
    <t>Annual savings amount</t>
  </si>
  <si>
    <t>Gift amount</t>
  </si>
  <si>
    <t>Number of years until gift received</t>
  </si>
  <si>
    <t>Combined FV</t>
  </si>
  <si>
    <t>Additional annual savings</t>
  </si>
  <si>
    <t>Accumulated savings</t>
  </si>
  <si>
    <t>FV of gift</t>
  </si>
  <si>
    <t>FV of current annual savings</t>
  </si>
  <si>
    <t>FV of additional savings need</t>
  </si>
  <si>
    <t>Full price  month</t>
  </si>
  <si>
    <t>working</t>
  </si>
  <si>
    <t>year</t>
  </si>
  <si>
    <t>Add-on interest rate</t>
  </si>
  <si>
    <t>Payment amount</t>
  </si>
  <si>
    <t>Fee</t>
  </si>
  <si>
    <t>First Bank interest rate</t>
  </si>
  <si>
    <t>Second Bank Interest rate</t>
  </si>
  <si>
    <t>First National Bank:</t>
  </si>
  <si>
    <t>Second National Bank:</t>
  </si>
  <si>
    <t>Amount</t>
  </si>
  <si>
    <t>a. Rate</t>
  </si>
  <si>
    <t>a. Number of years</t>
  </si>
  <si>
    <t>b. Rate</t>
  </si>
  <si>
    <t xml:space="preserve">t = </t>
  </si>
  <si>
    <t>t =</t>
  </si>
  <si>
    <t>Weekly rate</t>
  </si>
  <si>
    <t>Current cost apples</t>
  </si>
  <si>
    <t>Current cost oranges</t>
  </si>
  <si>
    <t>Today's nominal income</t>
  </si>
  <si>
    <t>Original nominal and real income</t>
  </si>
  <si>
    <t>Today's real income</t>
  </si>
  <si>
    <t>Cash flow</t>
  </si>
  <si>
    <t>b. Inflation rate</t>
  </si>
  <si>
    <t>a.Inflation rate</t>
  </si>
  <si>
    <t>c. Inflation rate</t>
  </si>
  <si>
    <t>Real interest rate</t>
  </si>
  <si>
    <t>Nominal interest rate</t>
  </si>
  <si>
    <t>a. Inflation rate</t>
  </si>
  <si>
    <t>Bond value</t>
  </si>
  <si>
    <t>Years until maturity</t>
  </si>
  <si>
    <t>First number of years</t>
  </si>
  <si>
    <t>First interest rate</t>
  </si>
  <si>
    <t>Current age</t>
  </si>
  <si>
    <t>Second interest rate</t>
  </si>
  <si>
    <t>Payment interval</t>
  </si>
  <si>
    <t>times</t>
  </si>
  <si>
    <t>a. Nominal interest rate</t>
  </si>
  <si>
    <t>a. Money multiplier</t>
  </si>
  <si>
    <t>Retirement amount</t>
  </si>
  <si>
    <t>Annual inflation rate</t>
  </si>
  <si>
    <t>c. Current cost of bread</t>
  </si>
  <si>
    <t>f.  First year number</t>
  </si>
  <si>
    <t>f. Second year number</t>
  </si>
  <si>
    <t>Real rate</t>
  </si>
  <si>
    <t>Do NOT round</t>
  </si>
  <si>
    <t>House cost</t>
  </si>
  <si>
    <t>House purchased end of year</t>
  </si>
  <si>
    <t>Pre-retirement annual living expenses</t>
  </si>
  <si>
    <t>Number of years renting</t>
  </si>
  <si>
    <t>End of year rent payment</t>
  </si>
  <si>
    <t>1)</t>
  </si>
  <si>
    <t>2)</t>
  </si>
  <si>
    <t>3)</t>
  </si>
  <si>
    <t>4)</t>
  </si>
  <si>
    <t>Car purchase year</t>
  </si>
  <si>
    <t>5)</t>
  </si>
  <si>
    <t>6)</t>
  </si>
  <si>
    <t>7)</t>
  </si>
  <si>
    <t>8)</t>
  </si>
  <si>
    <t>9)</t>
  </si>
  <si>
    <t>Years to first college cost</t>
  </si>
  <si>
    <t>Years to second college cost</t>
  </si>
  <si>
    <t>10)</t>
  </si>
  <si>
    <t>11)</t>
  </si>
  <si>
    <t>Annual retirement cash need</t>
  </si>
  <si>
    <t>(All $ are in real terms)</t>
  </si>
  <si>
    <t>A.</t>
  </si>
  <si>
    <t>B.</t>
  </si>
  <si>
    <t>Total PV of cash needs</t>
  </si>
  <si>
    <t>Salary needed to fund cash needs</t>
  </si>
  <si>
    <t>Future value</t>
  </si>
  <si>
    <t>Cash discount price</t>
  </si>
  <si>
    <t>b. Real interest rate</t>
  </si>
  <si>
    <t>b. Annuity life in years</t>
  </si>
  <si>
    <t>All input values are shown in yellow. Only these values need changed to review algo versions.</t>
  </si>
  <si>
    <t xml:space="preserve">Answers are displayed in red. </t>
  </si>
  <si>
    <t>Assumptions and other problem notes are displayed at the very bottom.</t>
  </si>
  <si>
    <t>Connect static version:</t>
  </si>
  <si>
    <t xml:space="preserve">Compute the future value of a $100 cash flow for the following combinations of rates and times. </t>
  </si>
  <si>
    <t xml:space="preserve">How long will it take for $400 to grow to $1,000 at the following interest rates?  </t>
  </si>
  <si>
    <t>You can buy property today for $3 million and sell it in 5 years for $4 million. (You earn no rental income on the property.)</t>
  </si>
  <si>
    <t xml:space="preserve"> Compute the present value of a $100 cash flow for the following combinations of discount rates and times: </t>
  </si>
  <si>
    <t xml:space="preserve">You will require $700 in 5 years. If you earn 5% interest on your funds, how much will you need to invest today in order to reach your savings goal?  </t>
  </si>
  <si>
    <t xml:space="preserve">What is the present value of the following cash-flow stream if the interest rate is 6%? </t>
  </si>
  <si>
    <t>A factory costs $400,000. You forecast that it will produce cash inflows of $120,000 in year 1, $180,000 in year 2, and $300,000 in year 3. The discount rate is 12%.</t>
  </si>
  <si>
    <t xml:space="preserve"> A local bank will pay you $100 at the end of each year for your lifetime if you deposit $2,500 in the bank today. If you plan to live forever, what interest rate is the bank paying? </t>
  </si>
  <si>
    <t>You want to buy a new car, but you can make an initial payment of only $2,000 and can afford monthly payments of at most $400.</t>
  </si>
  <si>
    <t>You can buy a car that is advertised for $24,000 on the following terms: (a) pay $24,000 and receive a $2,000 rebate from the manufacturer; (b) pay $500 a month for 4 years for total payments of $24,000, implying zero percent financing.</t>
  </si>
  <si>
    <t>You just borrowed $100,000 to buy a condo. You will repay the loan in equal monthly payments of $804.62 over the next 30 years.</t>
  </si>
  <si>
    <t>A retiree wants level consumption in real terms over a 30-year retirement. If the inflation rate equals the interest rate she earns on her $450,000 of savings, how much can she spend in real terms each year over the rest of her life?</t>
  </si>
  <si>
    <t>Consider a 4-year amortizing loan. You borrow $1,000 initially and repay it in four equal annual year-end payments.</t>
  </si>
  <si>
    <t xml:space="preserve">You believe you will need to have saved $500,000 by the time you retire in 40 years in order to live comfortably. If the interest rate is 6% per year, how much must you save each year to meet your retirement goal?  </t>
  </si>
  <si>
    <t>A couple thinking about retirement decide to put aside $3,000 each year in a savings plan that earns 8% interest. In 5 years they will receive a gift of $10,000 that also can be invested.</t>
  </si>
  <si>
    <t xml:space="preserve"> A store will give you a 3% discount on the cost of your purchase if you pay cash today. Otherwise, you will be billed the full price with payment due in 1 month. What is the implicit annualized borrowing rate being paid by customers who choose to defer payment for the month? </t>
  </si>
  <si>
    <t xml:space="preserve">
You’ve borrowed $4,248.68 and agreed to pay back the loan with monthly payments of $200. Assume the interest rate is 12% stated as an APR.</t>
  </si>
  <si>
    <t xml:space="preserve">If a bank pays 6% interest with continuous compounding, what is the effective annual rate?  </t>
  </si>
  <si>
    <t>First National Bank pays 6.2% interest compounded semiannually. Second National Bank pays 6% interest compounded monthly.</t>
  </si>
  <si>
    <t xml:space="preserve">Find the APR (the stated interest rate) for each case. </t>
  </si>
  <si>
    <t xml:space="preserve">Lenny Loanshark charges “1 point” per week (that is, 1% per week) on his loans. What APR must he report to consumers? Assume exactly 52 weeks in a year. What is the effective annual rate?  </t>
  </si>
  <si>
    <t>Your consulting firm will produce cash flows of $100,000 this year, and you expect cash flow to keep pace with any increase in the general level of prices. The interest rate currently is 6%, and you anticipate inflation of about 2%.</t>
  </si>
  <si>
    <t xml:space="preserve">Your wealthy uncle established a $1,000 bank account for you when you were born. For the first 8 years of your life, the interest rate earned on the account was 6%. Since then, rates have been only 4%. Now you are 21 years old and ready to cash in. How much is in your account? </t>
  </si>
  <si>
    <t xml:space="preserve">What is the value of a perpetuity that pays $100 every 3 months forever? The interest rate quoted on an APR basis is 6%. </t>
  </si>
  <si>
    <t>Good news: You will almost certainly be a millionaire by the time you retire in 50 years. Bad news: The inflation rate over your lifetime will average about 3%.</t>
  </si>
  <si>
    <t xml:space="preserve">What will be the real value of $1 million by the time you retire in terms of today’s dollars?  </t>
  </si>
  <si>
    <t xml:space="preserve">What real annuity (in today’s dollars) will $1 million support if the real interest rate at retirement is 2% and the annuity must last for 20 years? </t>
  </si>
  <si>
    <t xml:space="preserve"> Old Time Savings Bank pays 4% interest on its savings accounts. If you deposit $1,000 in the bank and leave it there:</t>
  </si>
  <si>
    <r>
      <t xml:space="preserve">a. </t>
    </r>
    <r>
      <rPr>
        <sz val="11"/>
        <color theme="1"/>
        <rFont val="Calibri"/>
        <family val="2"/>
        <scheme val="minor"/>
      </rPr>
      <t>How much interest will you earn in the first year?</t>
    </r>
  </si>
  <si>
    <r>
      <t xml:space="preserve">b. </t>
    </r>
    <r>
      <rPr>
        <sz val="11"/>
        <color theme="1"/>
        <rFont val="Calibri"/>
        <family val="2"/>
        <scheme val="minor"/>
      </rPr>
      <t>How much interest will you earn in the second year?</t>
    </r>
  </si>
  <si>
    <r>
      <t xml:space="preserve">c. </t>
    </r>
    <r>
      <rPr>
        <sz val="11"/>
        <color theme="1"/>
        <rFont val="Calibri"/>
        <family val="2"/>
        <scheme val="minor"/>
      </rPr>
      <t>How much interest will you earn in the tenth year?</t>
    </r>
  </si>
  <si>
    <t>Deposit amount</t>
  </si>
  <si>
    <t>Second year interest</t>
  </si>
  <si>
    <t>Tenth year interest</t>
  </si>
  <si>
    <r>
      <rPr>
        <b/>
        <sz val="11"/>
        <color theme="1"/>
        <rFont val="Calibri"/>
        <family val="2"/>
        <scheme val="minor"/>
      </rPr>
      <t xml:space="preserve">a. </t>
    </r>
    <r>
      <rPr>
        <sz val="11"/>
        <color theme="1"/>
        <rFont val="Calibri"/>
        <family val="2"/>
        <scheme val="minor"/>
      </rPr>
      <t>Interest for Year</t>
    </r>
  </si>
  <si>
    <r>
      <rPr>
        <b/>
        <sz val="11"/>
        <color theme="1"/>
        <rFont val="Calibri"/>
        <family val="2"/>
        <scheme val="minor"/>
      </rPr>
      <t xml:space="preserve">b. </t>
    </r>
    <r>
      <rPr>
        <sz val="11"/>
        <color theme="1"/>
        <rFont val="Calibri"/>
        <family val="2"/>
        <scheme val="minor"/>
      </rPr>
      <t>Interest for Year</t>
    </r>
  </si>
  <si>
    <r>
      <rPr>
        <b/>
        <sz val="11"/>
        <color theme="1"/>
        <rFont val="Calibri"/>
        <family val="2"/>
        <scheme val="minor"/>
      </rPr>
      <t xml:space="preserve">c. </t>
    </r>
    <r>
      <rPr>
        <sz val="11"/>
        <color theme="1"/>
        <rFont val="Calibri"/>
        <family val="2"/>
        <scheme val="minor"/>
      </rPr>
      <t>Interest for Year</t>
    </r>
  </si>
  <si>
    <t>Investment value</t>
  </si>
  <si>
    <r>
      <t xml:space="preserve">a. </t>
    </r>
    <r>
      <rPr>
        <sz val="11"/>
        <color theme="1"/>
        <rFont val="Calibri"/>
        <family val="2"/>
        <scheme val="minor"/>
      </rPr>
      <t>r = 8%, t = 10 years</t>
    </r>
  </si>
  <si>
    <r>
      <t xml:space="preserve">b. </t>
    </r>
    <r>
      <rPr>
        <sz val="11"/>
        <color theme="1"/>
        <rFont val="Calibri"/>
        <family val="2"/>
        <scheme val="minor"/>
      </rPr>
      <t>r = 8%, t = 20 years</t>
    </r>
  </si>
  <si>
    <r>
      <t xml:space="preserve">c. </t>
    </r>
    <r>
      <rPr>
        <sz val="11"/>
        <color theme="1"/>
        <rFont val="Calibri"/>
        <family val="2"/>
        <scheme val="minor"/>
      </rPr>
      <t>r = 4%, t = 10 years</t>
    </r>
  </si>
  <si>
    <r>
      <t xml:space="preserve">d. </t>
    </r>
    <r>
      <rPr>
        <sz val="11"/>
        <color theme="1"/>
        <rFont val="Calibri"/>
        <family val="2"/>
        <scheme val="minor"/>
      </rPr>
      <t>r = 4%, t = 20 years</t>
    </r>
  </si>
  <si>
    <t>Rate (%)</t>
  </si>
  <si>
    <t>You deposit $1,000 in your bank account.</t>
  </si>
  <si>
    <r>
      <rPr>
        <b/>
        <sz val="11"/>
        <color theme="1"/>
        <rFont val="Calibri"/>
        <family val="2"/>
        <scheme val="minor"/>
      </rPr>
      <t xml:space="preserve">a. </t>
    </r>
    <r>
      <rPr>
        <sz val="11"/>
        <color theme="1"/>
        <rFont val="Calibri"/>
        <family val="2"/>
        <scheme val="minor"/>
      </rPr>
      <t>If the bank pays 4% simple interest, how much will you accumulate in your account after 10 years?</t>
    </r>
  </si>
  <si>
    <r>
      <rPr>
        <b/>
        <sz val="11"/>
        <color theme="1"/>
        <rFont val="Calibri"/>
        <family val="2"/>
        <scheme val="minor"/>
      </rPr>
      <t xml:space="preserve">b. </t>
    </r>
    <r>
      <rPr>
        <sz val="11"/>
        <color theme="1"/>
        <rFont val="Calibri"/>
        <family val="2"/>
        <scheme val="minor"/>
      </rPr>
      <t xml:space="preserve">How much will you accumulate if the bank pays compound interest?  </t>
    </r>
  </si>
  <si>
    <t xml:space="preserve">If you earn 6% per year on your bank account, how long will it take an account with $100 to double to $200?   </t>
  </si>
  <si>
    <t>In 1880 five aboriginal trackers were each promised the equivalent of 100 Australian dollars for helping to capture the notorious outlaw Ned Kelley. In 1993 the granddaughters of two of the trackers claimed that this reward had not been paid. The Victorian prime minister stated that if this was true, the government would be happy to pay the $100. However, the granddaughters also claimed that they were entitled to compound interest.</t>
  </si>
  <si>
    <r>
      <rPr>
        <b/>
        <sz val="11"/>
        <color theme="1"/>
        <rFont val="Calibri"/>
        <family val="2"/>
        <scheme val="minor"/>
      </rPr>
      <t xml:space="preserve">a. </t>
    </r>
    <r>
      <rPr>
        <sz val="11"/>
        <color theme="1"/>
        <rFont val="Calibri"/>
        <family val="2"/>
        <scheme val="minor"/>
      </rPr>
      <t xml:space="preserve">How much was each granddaughter entitled to if the interest rate was 4%?  </t>
    </r>
  </si>
  <si>
    <r>
      <rPr>
        <b/>
        <sz val="11"/>
        <color theme="1"/>
        <rFont val="Calibri"/>
        <family val="2"/>
        <scheme val="minor"/>
      </rPr>
      <t xml:space="preserve">b. </t>
    </r>
    <r>
      <rPr>
        <sz val="11"/>
        <color theme="1"/>
        <rFont val="Calibri"/>
        <family val="2"/>
        <scheme val="minor"/>
      </rPr>
      <t xml:space="preserve">How much was each entitled to if the interest rate was 8%?  </t>
    </r>
  </si>
  <si>
    <t>Promise date</t>
  </si>
  <si>
    <t>a. interest rate</t>
  </si>
  <si>
    <r>
      <t xml:space="preserve">a. </t>
    </r>
    <r>
      <rPr>
        <sz val="11"/>
        <color theme="1"/>
        <rFont val="Calibri"/>
        <family val="2"/>
        <scheme val="minor"/>
      </rPr>
      <t>4%</t>
    </r>
  </si>
  <si>
    <r>
      <t xml:space="preserve">b. </t>
    </r>
    <r>
      <rPr>
        <sz val="11"/>
        <color theme="1"/>
        <rFont val="Calibri"/>
        <family val="2"/>
        <scheme val="minor"/>
      </rPr>
      <t>8%</t>
    </r>
  </si>
  <si>
    <r>
      <t xml:space="preserve">c. </t>
    </r>
    <r>
      <rPr>
        <sz val="11"/>
        <color theme="1"/>
        <rFont val="Calibri"/>
        <family val="2"/>
        <scheme val="minor"/>
      </rPr>
      <t>16%</t>
    </r>
  </si>
  <si>
    <r>
      <rPr>
        <b/>
        <sz val="10"/>
        <color rgb="FF000000"/>
        <rFont val="Arial"/>
        <family val="2"/>
      </rPr>
      <t>b-2.</t>
    </r>
    <r>
      <rPr>
        <sz val="10"/>
        <color rgb="FF000000"/>
        <rFont val="Arial"/>
        <family val="2"/>
      </rPr>
      <t xml:space="preserve"> Is this a good deal?</t>
    </r>
  </si>
  <si>
    <r>
      <rPr>
        <b/>
        <sz val="10"/>
        <color rgb="FF000000"/>
        <rFont val="Arial"/>
        <family val="2"/>
      </rPr>
      <t>a-2</t>
    </r>
    <r>
      <rPr>
        <sz val="10"/>
        <color rgb="FF000000"/>
        <rFont val="Arial"/>
        <family val="2"/>
      </rPr>
      <t>. Is this a good deal?</t>
    </r>
  </si>
  <si>
    <r>
      <rPr>
        <b/>
        <sz val="11"/>
        <color theme="1"/>
        <rFont val="Calibri"/>
        <family val="2"/>
        <scheme val="minor"/>
      </rPr>
      <t xml:space="preserve">a-1. </t>
    </r>
    <r>
      <rPr>
        <sz val="11"/>
        <color theme="1"/>
        <rFont val="Calibri"/>
        <family val="2"/>
        <scheme val="minor"/>
      </rPr>
      <t xml:space="preserve">Calculate the present value of the future payoff, if the interest rate is 6%.  </t>
    </r>
  </si>
  <si>
    <r>
      <rPr>
        <b/>
        <sz val="11"/>
        <color theme="1"/>
        <rFont val="Calibri"/>
        <family val="2"/>
        <scheme val="minor"/>
      </rPr>
      <t>b-1</t>
    </r>
    <r>
      <rPr>
        <sz val="11"/>
        <color theme="1"/>
        <rFont val="Calibri"/>
        <family val="2"/>
        <scheme val="minor"/>
      </rPr>
      <t xml:space="preserve">. Calculate the present value, if the interest rate is 10%.  </t>
    </r>
  </si>
  <si>
    <t>You invest $1,000 today and expect to sell your investment for $2,000 in 10 years.</t>
  </si>
  <si>
    <t>Expected sale value</t>
  </si>
  <si>
    <t>Good deal?</t>
  </si>
  <si>
    <t>Time in years</t>
  </si>
  <si>
    <r>
      <rPr>
        <b/>
        <sz val="11"/>
        <color theme="1"/>
        <rFont val="Calibri"/>
        <family val="2"/>
        <scheme val="minor"/>
      </rPr>
      <t>a.</t>
    </r>
    <r>
      <rPr>
        <sz val="11"/>
        <color theme="1"/>
        <rFont val="Calibri"/>
        <family val="2"/>
        <scheme val="minor"/>
      </rPr>
      <t xml:space="preserve"> If the interest rate is 8%, what is the present value of the sales price?  </t>
    </r>
  </si>
  <si>
    <t>Sale price</t>
  </si>
  <si>
    <t>Attractive?</t>
  </si>
  <si>
    <r>
      <rPr>
        <b/>
        <sz val="11"/>
        <color theme="1"/>
        <rFont val="Calibri"/>
        <family val="2"/>
        <scheme val="minor"/>
      </rPr>
      <t>b.</t>
    </r>
    <r>
      <rPr>
        <sz val="11"/>
        <color theme="1"/>
        <rFont val="Calibri"/>
        <family val="2"/>
        <scheme val="minor"/>
      </rPr>
      <t xml:space="preserve"> Is the property investment attractive to you?</t>
    </r>
  </si>
  <si>
    <r>
      <rPr>
        <b/>
        <sz val="11"/>
        <color theme="1"/>
        <rFont val="Calibri"/>
        <family val="2"/>
        <scheme val="minor"/>
      </rPr>
      <t>c-1.</t>
    </r>
    <r>
      <rPr>
        <sz val="11"/>
        <color theme="1"/>
        <rFont val="Calibri"/>
        <family val="2"/>
        <scheme val="minor"/>
      </rPr>
      <t xml:space="preserve"> What is the present value of the future cash flows, if you also could earn $200,000 per year rent on the property? The rent is paid at the end of each year.  </t>
    </r>
  </si>
  <si>
    <r>
      <rPr>
        <b/>
        <sz val="11"/>
        <color rgb="FF000000"/>
        <rFont val="Calibri"/>
        <family val="2"/>
        <scheme val="minor"/>
      </rPr>
      <t>c-2</t>
    </r>
    <r>
      <rPr>
        <sz val="11"/>
        <color rgb="FF000000"/>
        <rFont val="Calibri"/>
        <family val="2"/>
        <scheme val="minor"/>
      </rPr>
      <t>. Is the property investment attractive to you now?</t>
    </r>
  </si>
  <si>
    <r>
      <t xml:space="preserve">a. </t>
    </r>
    <r>
      <rPr>
        <sz val="11"/>
        <color theme="1"/>
        <rFont val="Calibri"/>
        <family val="2"/>
        <scheme val="minor"/>
      </rPr>
      <t>r=8%, t=10 years</t>
    </r>
  </si>
  <si>
    <r>
      <t xml:space="preserve">d. </t>
    </r>
    <r>
      <rPr>
        <sz val="11"/>
        <color theme="1"/>
        <rFont val="Calibri"/>
        <family val="2"/>
        <scheme val="minor"/>
      </rPr>
      <t>r = 45, t = 20 years</t>
    </r>
  </si>
  <si>
    <t>Year</t>
  </si>
  <si>
    <t>Cash Flow</t>
  </si>
  <si>
    <t xml:space="preserve">Find the interest rate implied by the following combinations of present and future values:  </t>
  </si>
  <si>
    <t xml:space="preserve">Find the annual interest rate. </t>
  </si>
  <si>
    <t>Time Period (Years)</t>
  </si>
  <si>
    <r>
      <rPr>
        <b/>
        <sz val="11"/>
        <color theme="1"/>
        <rFont val="Calibri"/>
        <family val="2"/>
        <scheme val="minor"/>
      </rPr>
      <t xml:space="preserve">a. </t>
    </r>
    <r>
      <rPr>
        <sz val="11"/>
        <color theme="1"/>
        <rFont val="Calibri"/>
        <family val="2"/>
        <scheme val="minor"/>
      </rPr>
      <t xml:space="preserve">What is the value of the factory? </t>
    </r>
  </si>
  <si>
    <r>
      <rPr>
        <b/>
        <sz val="10"/>
        <color rgb="FF000000"/>
        <rFont val="Arial"/>
        <family val="2"/>
      </rPr>
      <t>b.</t>
    </r>
    <r>
      <rPr>
        <sz val="10"/>
        <color rgb="FF000000"/>
        <rFont val="Arial"/>
        <family val="2"/>
      </rPr>
      <t xml:space="preserve"> Is the factory a good investment?</t>
    </r>
  </si>
  <si>
    <t>Year 1 Cash inflow</t>
  </si>
  <si>
    <t>Year 2 Cash inflow</t>
  </si>
  <si>
    <t>Year 3 Cash inflow</t>
  </si>
  <si>
    <t>Good investment?</t>
  </si>
  <si>
    <r>
      <rPr>
        <b/>
        <sz val="11"/>
        <color theme="1"/>
        <rFont val="Calibri"/>
        <family val="2"/>
        <scheme val="minor"/>
      </rPr>
      <t>c.</t>
    </r>
    <r>
      <rPr>
        <sz val="11"/>
        <color theme="1"/>
        <rFont val="Calibri"/>
        <family val="2"/>
        <scheme val="minor"/>
      </rPr>
      <t xml:space="preserve"> Who is better paid?</t>
    </r>
  </si>
  <si>
    <t>A famous quarterback just signed a $15 million contract providing $3 million a year for 5 years. A less famous receiver signed a $14 million 5-year contract providing $4 million now and $2 million a year for 5 years. The interest rate is 10%.</t>
  </si>
  <si>
    <r>
      <t xml:space="preserve">a. </t>
    </r>
    <r>
      <rPr>
        <sz val="11"/>
        <color theme="1"/>
        <rFont val="Calibri"/>
        <family val="2"/>
        <scheme val="minor"/>
      </rPr>
      <t>What is the PV of the quarterback's contract?</t>
    </r>
  </si>
  <si>
    <r>
      <t xml:space="preserve">b. </t>
    </r>
    <r>
      <rPr>
        <sz val="11"/>
        <color theme="1"/>
        <rFont val="Calibri"/>
        <family val="2"/>
        <scheme val="minor"/>
      </rPr>
      <t xml:space="preserve"> What is the PV of the receiver's contract?</t>
    </r>
  </si>
  <si>
    <t>Receiver:</t>
  </si>
  <si>
    <t>a-1. Annual payment</t>
  </si>
  <si>
    <t>a-1. Number of years</t>
  </si>
  <si>
    <t>a-1. Interest rate</t>
  </si>
  <si>
    <t>a-2. Annual payment</t>
  </si>
  <si>
    <t>a-2. Number of years</t>
  </si>
  <si>
    <t>a-2. Interest rate</t>
  </si>
  <si>
    <t>b-1. Annual payment</t>
  </si>
  <si>
    <t>b-1. Number of years</t>
  </si>
  <si>
    <t>b-1. Interest rate</t>
  </si>
  <si>
    <t>b-2. Annual payment</t>
  </si>
  <si>
    <t>b-2. Number of years</t>
  </si>
  <si>
    <t>b-2. Interest rate</t>
  </si>
  <si>
    <r>
      <rPr>
        <b/>
        <sz val="11"/>
        <color rgb="FF000000"/>
        <rFont val="Calibri"/>
        <family val="2"/>
        <scheme val="minor"/>
      </rPr>
      <t>a-3.</t>
    </r>
    <r>
      <rPr>
        <sz val="11"/>
        <color rgb="FF000000"/>
        <rFont val="Calibri"/>
        <family val="2"/>
        <scheme val="minor"/>
      </rPr>
      <t xml:space="preserve"> Which option would you prefer?</t>
    </r>
  </si>
  <si>
    <r>
      <rPr>
        <b/>
        <sz val="11"/>
        <color rgb="FF000000"/>
        <rFont val="Calibri"/>
        <family val="2"/>
        <scheme val="minor"/>
      </rPr>
      <t>b-3.</t>
    </r>
    <r>
      <rPr>
        <sz val="11"/>
        <color rgb="FF000000"/>
        <rFont val="Calibri"/>
        <family val="2"/>
        <scheme val="minor"/>
      </rPr>
      <t xml:space="preserve"> Which option would you prefer?</t>
    </r>
  </si>
  <si>
    <t>Calculate the present value of the following:</t>
  </si>
  <si>
    <r>
      <rPr>
        <b/>
        <sz val="11"/>
        <color theme="1"/>
        <rFont val="Calibri"/>
        <family val="2"/>
        <scheme val="minor"/>
      </rPr>
      <t>a-1.</t>
    </r>
    <r>
      <rPr>
        <sz val="11"/>
        <color theme="1"/>
        <rFont val="Calibri"/>
        <family val="2"/>
        <scheme val="minor"/>
      </rPr>
      <t xml:space="preserve"> Annual payment of $1,000 for 10 years at 5% interest.</t>
    </r>
  </si>
  <si>
    <r>
      <rPr>
        <b/>
        <sz val="11"/>
        <color rgb="FF000000"/>
        <rFont val="Calibri"/>
        <family val="2"/>
        <scheme val="minor"/>
      </rPr>
      <t>a-2.</t>
    </r>
    <r>
      <rPr>
        <sz val="11"/>
        <color rgb="FF000000"/>
        <rFont val="Calibri"/>
        <family val="2"/>
        <scheme val="minor"/>
      </rPr>
      <t xml:space="preserve"> Annual payment of $800 for 15 years at 5% interest.</t>
    </r>
  </si>
  <si>
    <r>
      <rPr>
        <b/>
        <sz val="11"/>
        <color rgb="FF000000"/>
        <rFont val="Calibri"/>
        <family val="2"/>
        <scheme val="minor"/>
      </rPr>
      <t>b-1</t>
    </r>
    <r>
      <rPr>
        <sz val="11"/>
        <color rgb="FF000000"/>
        <rFont val="Calibri"/>
        <family val="2"/>
        <scheme val="minor"/>
      </rPr>
      <t>. Annual payment of $1,000 for 10 years at 20% interest.</t>
    </r>
  </si>
  <si>
    <r>
      <rPr>
        <b/>
        <sz val="11"/>
        <color rgb="FF000000"/>
        <rFont val="Calibri"/>
        <family val="2"/>
        <scheme val="minor"/>
      </rPr>
      <t xml:space="preserve">b-2. </t>
    </r>
    <r>
      <rPr>
        <sz val="11"/>
        <color rgb="FF000000"/>
        <rFont val="Calibri"/>
        <family val="2"/>
        <scheme val="minor"/>
      </rPr>
      <t>Annual payment of $800 for 15 years at 20% interest.</t>
    </r>
  </si>
  <si>
    <t>a-2.</t>
  </si>
  <si>
    <t>a-3.</t>
  </si>
  <si>
    <t>Preferred option</t>
  </si>
  <si>
    <t>b-2.</t>
  </si>
  <si>
    <t>b-3.</t>
  </si>
  <si>
    <r>
      <t xml:space="preserve">a. </t>
    </r>
    <r>
      <rPr>
        <sz val="11"/>
        <color theme="1"/>
        <rFont val="Calibri"/>
        <family val="2"/>
        <scheme val="minor"/>
      </rPr>
      <t xml:space="preserve">Calculate the present value of your payments to the bank if the interest rate available on other deposits is 6%.  </t>
    </r>
  </si>
  <si>
    <r>
      <t xml:space="preserve">b. </t>
    </r>
    <r>
      <rPr>
        <sz val="11"/>
        <color theme="1"/>
        <rFont val="Calibri"/>
        <family val="2"/>
        <scheme val="minor"/>
      </rPr>
      <t xml:space="preserve">What is the present value of a $100 perpetuity deferred for 10 years if the interest rate available on other deposits is 6%.  </t>
    </r>
  </si>
  <si>
    <r>
      <rPr>
        <b/>
        <sz val="11"/>
        <color theme="1"/>
        <rFont val="Calibri"/>
        <family val="2"/>
        <scheme val="minor"/>
      </rPr>
      <t>c.</t>
    </r>
    <r>
      <rPr>
        <sz val="11"/>
        <color theme="1"/>
        <rFont val="Calibri"/>
        <family val="2"/>
        <scheme val="minor"/>
      </rPr>
      <t xml:space="preserve"> Is this a good deal?</t>
    </r>
  </si>
  <si>
    <t>A local bank advertises the following deal: Pay us $100 at the end of each year for 10 years and then we will pay you (or your beneficiaries) $100 at the end of each year forever.</t>
  </si>
  <si>
    <t>Calculator Solutions:</t>
  </si>
  <si>
    <t>A property will provide $10,000 at the end of each year forever. If its value is $125,000, what must be the discount rate?</t>
  </si>
  <si>
    <r>
      <t xml:space="preserve">a. </t>
    </r>
    <r>
      <rPr>
        <sz val="11"/>
        <color theme="1"/>
        <rFont val="Calibri"/>
        <family val="2"/>
        <scheme val="minor"/>
      </rPr>
      <t xml:space="preserve">What is the value of 4% perpetuities if the long-term interest rate is 6%?  </t>
    </r>
  </si>
  <si>
    <r>
      <t xml:space="preserve">b. </t>
    </r>
    <r>
      <rPr>
        <sz val="11"/>
        <color theme="1"/>
        <rFont val="Calibri"/>
        <family val="2"/>
        <scheme val="minor"/>
      </rPr>
      <t xml:space="preserve">What is the value of 2½% perpetuities?  </t>
    </r>
  </si>
  <si>
    <t>British government 4% perpetuities pay £4 interest at the end of each year forever. Another bond, 2½% perpetuities, pays £2.50 a year forever.</t>
  </si>
  <si>
    <t>a. Long-term interest rate</t>
  </si>
  <si>
    <t>Perpetuity value</t>
  </si>
  <si>
    <r>
      <t>a.</t>
    </r>
    <r>
      <rPr>
        <sz val="11"/>
        <color theme="1"/>
        <rFont val="Calibri"/>
        <family val="2"/>
        <scheme val="minor"/>
      </rPr>
      <t xml:space="preserve"> What is the present value of a 3-year annuity of $100 if the discount rate is 6%?  </t>
    </r>
  </si>
  <si>
    <r>
      <t xml:space="preserve">b. </t>
    </r>
    <r>
      <rPr>
        <sz val="11"/>
        <color theme="1"/>
        <rFont val="Calibri"/>
        <family val="2"/>
        <scheme val="minor"/>
      </rPr>
      <t>What is the present value of the annuity in (a) if you have to wait an additional year for the first payment?</t>
    </r>
  </si>
  <si>
    <r>
      <t xml:space="preserve">a. </t>
    </r>
    <r>
      <rPr>
        <sz val="11"/>
        <color theme="1"/>
        <rFont val="Calibri"/>
        <family val="2"/>
        <scheme val="minor"/>
      </rPr>
      <t xml:space="preserve">If the professor’s remaining life expectancy is 20 years, what is the monthly rate on this annuity? </t>
    </r>
  </si>
  <si>
    <t>Professor’s Annuity Corp. offers a lifetime annuity to retiring professors. For a payment of $80,000 at age 65, the firm will pay the retiring professor $600 a month until death.</t>
  </si>
  <si>
    <t xml:space="preserve">b. </t>
  </si>
  <si>
    <r>
      <rPr>
        <b/>
        <sz val="11"/>
        <color theme="1"/>
        <rFont val="Calibri"/>
        <family val="2"/>
        <scheme val="minor"/>
      </rPr>
      <t xml:space="preserve">c. </t>
    </r>
    <r>
      <rPr>
        <sz val="11"/>
        <color theme="1"/>
        <rFont val="Calibri"/>
        <family val="2"/>
        <scheme val="minor"/>
      </rPr>
      <t xml:space="preserve">If the monthly interest rate is .5%, what monthly annuity payment can the firm offer to the retiring professor? </t>
    </r>
  </si>
  <si>
    <r>
      <rPr>
        <sz val="11"/>
        <color theme="1"/>
        <rFont val="Calibri"/>
        <family val="2"/>
        <scheme val="minor"/>
      </rPr>
      <t>b.</t>
    </r>
    <r>
      <rPr>
        <b/>
        <sz val="11"/>
        <color theme="1"/>
        <rFont val="Calibri"/>
        <family val="2"/>
        <scheme val="minor"/>
      </rPr>
      <t xml:space="preserve"> </t>
    </r>
    <r>
      <rPr>
        <sz val="11"/>
        <color theme="1"/>
        <rFont val="Calibri"/>
        <family val="2"/>
        <scheme val="minor"/>
      </rPr>
      <t xml:space="preserve">What is the effective annual interest rate? </t>
    </r>
  </si>
  <si>
    <t>a. Life expectancy in years</t>
  </si>
  <si>
    <t>r</t>
  </si>
  <si>
    <t>Caculator Solution:</t>
  </si>
  <si>
    <t xml:space="preserve">Principal balance on the loan </t>
  </si>
  <si>
    <t>Value of perpetuity</t>
  </si>
  <si>
    <r>
      <rPr>
        <b/>
        <sz val="11"/>
        <color theme="1"/>
        <rFont val="Calibri"/>
        <family val="2"/>
        <scheme val="minor"/>
      </rPr>
      <t xml:space="preserve">a. </t>
    </r>
    <r>
      <rPr>
        <sz val="11"/>
        <color theme="1"/>
        <rFont val="Calibri"/>
        <family val="2"/>
        <scheme val="minor"/>
      </rPr>
      <t xml:space="preserve">If the APR on auto loans is 12% and you finance the purchase over 48 months, what is the maximum price you can pay for the car? </t>
    </r>
  </si>
  <si>
    <r>
      <rPr>
        <b/>
        <sz val="11"/>
        <color theme="1"/>
        <rFont val="Calibri"/>
        <family val="2"/>
        <scheme val="minor"/>
      </rPr>
      <t xml:space="preserve">b. </t>
    </r>
    <r>
      <rPr>
        <sz val="11"/>
        <color theme="1"/>
        <rFont val="Calibri"/>
        <family val="2"/>
        <scheme val="minor"/>
      </rPr>
      <t xml:space="preserve">How much can you afford if you finance the purchase over 60 months?  </t>
    </r>
  </si>
  <si>
    <t>Initial payment</t>
  </si>
  <si>
    <t>a. Annual interest rate</t>
  </si>
  <si>
    <r>
      <rPr>
        <b/>
        <sz val="11"/>
        <color theme="1"/>
        <rFont val="Calibri"/>
        <family val="2"/>
        <scheme val="minor"/>
      </rPr>
      <t xml:space="preserve">a. </t>
    </r>
    <r>
      <rPr>
        <sz val="11"/>
        <color theme="1"/>
        <rFont val="Calibri"/>
        <family val="2"/>
        <scheme val="minor"/>
      </rPr>
      <t xml:space="preserve">Calculate the present value of the payments for option (a) if the interest rate is 1% per month. </t>
    </r>
  </si>
  <si>
    <r>
      <rPr>
        <b/>
        <sz val="11"/>
        <color theme="1"/>
        <rFont val="Calibri"/>
        <family val="2"/>
        <scheme val="minor"/>
      </rPr>
      <t xml:space="preserve">b. </t>
    </r>
    <r>
      <rPr>
        <sz val="11"/>
        <color theme="1"/>
        <rFont val="Calibri"/>
        <family val="2"/>
        <scheme val="minor"/>
      </rPr>
      <t xml:space="preserve">Calculate the present value of the payments for option (b) if the interest rate is 1% per month. </t>
    </r>
  </si>
  <si>
    <r>
      <rPr>
        <b/>
        <sz val="11"/>
        <color theme="1"/>
        <rFont val="Calibri"/>
        <family val="2"/>
        <scheme val="minor"/>
      </rPr>
      <t xml:space="preserve">c. </t>
    </r>
    <r>
      <rPr>
        <sz val="11"/>
        <color theme="1"/>
        <rFont val="Calibri"/>
        <family val="2"/>
        <scheme val="minor"/>
      </rPr>
      <t>Which is the better deal?</t>
    </r>
  </si>
  <si>
    <r>
      <rPr>
        <b/>
        <sz val="11"/>
        <color theme="1"/>
        <rFont val="Calibri"/>
        <family val="2"/>
        <scheme val="minor"/>
      </rPr>
      <t xml:space="preserve">a-1. </t>
    </r>
    <r>
      <rPr>
        <sz val="11"/>
        <color theme="1"/>
        <rFont val="Calibri"/>
        <family val="2"/>
        <scheme val="minor"/>
      </rPr>
      <t xml:space="preserve">What monthly interest rate are you paying on the loan? </t>
    </r>
    <r>
      <rPr>
        <sz val="11"/>
        <color rgb="FFFF0000"/>
        <rFont val="Calibri"/>
        <family val="2"/>
        <scheme val="minor"/>
      </rPr>
      <t xml:space="preserve">  </t>
    </r>
  </si>
  <si>
    <r>
      <t>a-2.</t>
    </r>
    <r>
      <rPr>
        <sz val="11"/>
        <color theme="1"/>
        <rFont val="Calibri"/>
        <family val="2"/>
        <scheme val="minor"/>
      </rPr>
      <t xml:space="preserve"> What is the APR?</t>
    </r>
  </si>
  <si>
    <r>
      <rPr>
        <b/>
        <sz val="11"/>
        <color theme="1"/>
        <rFont val="Calibri"/>
        <family val="2"/>
        <scheme val="minor"/>
      </rPr>
      <t xml:space="preserve">b. </t>
    </r>
    <r>
      <rPr>
        <sz val="11"/>
        <color theme="1"/>
        <rFont val="Calibri"/>
        <family val="2"/>
        <scheme val="minor"/>
      </rPr>
      <t xml:space="preserve">What is the effective annual rate on that loan?  </t>
    </r>
  </si>
  <si>
    <r>
      <rPr>
        <b/>
        <sz val="11"/>
        <color theme="1"/>
        <rFont val="Calibri"/>
        <family val="2"/>
        <scheme val="minor"/>
      </rPr>
      <t xml:space="preserve">c. </t>
    </r>
    <r>
      <rPr>
        <sz val="11"/>
        <color theme="1"/>
        <rFont val="Calibri"/>
        <family val="2"/>
        <scheme val="minor"/>
      </rPr>
      <t xml:space="preserve">What rate is the lender more likely to quote on the loan?  </t>
    </r>
  </si>
  <si>
    <t>Rate most likely quoted</t>
  </si>
  <si>
    <t>Calculator Solution:</t>
  </si>
  <si>
    <t xml:space="preserve">
I now have $20,000 in the bank earning interest of .5% per month. I need $30,000 to make a down payment on a house. I can save an additional $100 per month. How long will it take me to accumulate the $30,000?  </t>
  </si>
  <si>
    <t>Available real annual spending</t>
  </si>
  <si>
    <t xml:space="preserve">Suppose that you will receive annual payments of $10,000 for a period of 10 years. The first payment will be made 4 years from now. If the interest rate is 5%, what is the present value of this stream of payments? </t>
  </si>
  <si>
    <t>Your landscaping company can lease a truck for $8,000 a year (paid at year-end) for 6 years. It can instead buy the truck for $40,000. The truck will be valueless after 6 years. The interest rate your company can earn on its funds is 7%.</t>
  </si>
  <si>
    <r>
      <rPr>
        <b/>
        <sz val="11"/>
        <color theme="1"/>
        <rFont val="Calibri"/>
        <family val="2"/>
        <scheme val="minor"/>
      </rPr>
      <t xml:space="preserve">b. </t>
    </r>
    <r>
      <rPr>
        <sz val="11"/>
        <color theme="1"/>
        <rFont val="Calibri"/>
        <family val="2"/>
        <scheme val="minor"/>
      </rPr>
      <t xml:space="preserve"> Is it cheaper to buy or lease?</t>
    </r>
  </si>
  <si>
    <t>A store offers two payment plans. Under the installment plan, you pay 25% down and 25% of the purchase price in each of the next 3 years. If you pay the entire bill immediately, you can take a 10% discount from the purchase price. Assume the product sells for $100.</t>
  </si>
  <si>
    <r>
      <rPr>
        <b/>
        <sz val="11"/>
        <color theme="1"/>
        <rFont val="Calibri"/>
        <family val="2"/>
        <scheme val="minor"/>
      </rPr>
      <t xml:space="preserve">a-2. </t>
    </r>
    <r>
      <rPr>
        <sz val="11"/>
        <color theme="1"/>
        <rFont val="Calibri"/>
        <family val="2"/>
        <scheme val="minor"/>
      </rPr>
      <t>Which is a better deal?</t>
    </r>
  </si>
  <si>
    <r>
      <rPr>
        <b/>
        <sz val="11"/>
        <color theme="1"/>
        <rFont val="Calibri"/>
        <family val="2"/>
        <scheme val="minor"/>
      </rPr>
      <t xml:space="preserve">b-2. </t>
    </r>
    <r>
      <rPr>
        <sz val="11"/>
        <color theme="1"/>
        <rFont val="Calibri"/>
        <family val="2"/>
        <scheme val="minor"/>
      </rPr>
      <t>Which is a better deal?</t>
    </r>
  </si>
  <si>
    <r>
      <rPr>
        <b/>
        <sz val="11"/>
        <color theme="1"/>
        <rFont val="Calibri"/>
        <family val="2"/>
        <scheme val="minor"/>
      </rPr>
      <t>a-1 .</t>
    </r>
    <r>
      <rPr>
        <sz val="11"/>
        <color theme="1"/>
        <rFont val="Calibri"/>
        <family val="2"/>
        <scheme val="minor"/>
      </rPr>
      <t xml:space="preserve">Calculate the present value of the payments, if you can borrow or lend funds at an interest rate of 5 percent? </t>
    </r>
  </si>
  <si>
    <r>
      <rPr>
        <b/>
        <sz val="11"/>
        <color theme="1"/>
        <rFont val="Calibri"/>
        <family val="2"/>
        <scheme val="minor"/>
      </rPr>
      <t xml:space="preserve">b-1. </t>
    </r>
    <r>
      <rPr>
        <sz val="11"/>
        <color theme="1"/>
        <rFont val="Calibri"/>
        <family val="2"/>
        <scheme val="minor"/>
      </rPr>
      <t>Calculate the present value, if the payments on the 4-year installment plan do not start for a full year.</t>
    </r>
  </si>
  <si>
    <t>The 25% and next 3 years must be constant.</t>
  </si>
  <si>
    <t>Full payment discount</t>
  </si>
  <si>
    <t>Selling price</t>
  </si>
  <si>
    <t>PV of installment plan</t>
  </si>
  <si>
    <r>
      <rPr>
        <b/>
        <sz val="11"/>
        <color theme="1"/>
        <rFont val="Calibri"/>
        <family val="2"/>
        <scheme val="minor"/>
      </rPr>
      <t xml:space="preserve">a. </t>
    </r>
    <r>
      <rPr>
        <sz val="11"/>
        <color theme="1"/>
        <rFont val="Calibri"/>
        <family val="2"/>
        <scheme val="minor"/>
      </rPr>
      <t xml:space="preserve">If you borrow $1,000 and agree to repay the loan in five equal annual payments at an interest rate of 12%, what will your payment be? </t>
    </r>
  </si>
  <si>
    <r>
      <rPr>
        <b/>
        <sz val="11"/>
        <color theme="1"/>
        <rFont val="Calibri"/>
        <family val="2"/>
        <scheme val="minor"/>
      </rPr>
      <t>b.</t>
    </r>
    <r>
      <rPr>
        <sz val="11"/>
        <color theme="1"/>
        <rFont val="Calibri"/>
        <family val="2"/>
        <scheme val="minor"/>
      </rPr>
      <t xml:space="preserve">What will your payment be if you make the first payment on the loan immediately instead of at the end of the first year? </t>
    </r>
  </si>
  <si>
    <t>The $40 million lottery payment that you have just won actually pays $2 million per year for 20 years. The interest rate is 8%.</t>
  </si>
  <si>
    <r>
      <rPr>
        <b/>
        <sz val="11"/>
        <color theme="1"/>
        <rFont val="Calibri"/>
        <family val="2"/>
        <scheme val="minor"/>
      </rPr>
      <t xml:space="preserve">b. </t>
    </r>
    <r>
      <rPr>
        <sz val="11"/>
        <color theme="1"/>
        <rFont val="Calibri"/>
        <family val="2"/>
        <scheme val="minor"/>
      </rPr>
      <t xml:space="preserve">What is the present value if the first payment comes immediately?  </t>
    </r>
  </si>
  <si>
    <r>
      <rPr>
        <b/>
        <sz val="11"/>
        <color theme="1"/>
        <rFont val="Calibri"/>
        <family val="2"/>
        <scheme val="minor"/>
      </rPr>
      <t>a.</t>
    </r>
    <r>
      <rPr>
        <sz val="11"/>
        <color theme="1"/>
        <rFont val="Calibri"/>
        <family val="2"/>
        <scheme val="minor"/>
      </rPr>
      <t xml:space="preserve"> If the first payment comes in 1 year, what is the present value of the winnings? </t>
    </r>
  </si>
  <si>
    <t>Lottery payment</t>
  </si>
  <si>
    <t xml:space="preserve">You take out a 30-year $100,000 mortgage loan with an APR of 6% and monthly payments. In 12 years you decide to sell your house and pay off the mortgage. What is the principal balance on the loan?  </t>
  </si>
  <si>
    <r>
      <rPr>
        <b/>
        <sz val="11"/>
        <color theme="1"/>
        <rFont val="Calibri"/>
        <family val="2"/>
        <scheme val="minor"/>
      </rPr>
      <t xml:space="preserve">b. </t>
    </r>
    <r>
      <rPr>
        <sz val="11"/>
        <color theme="1"/>
        <rFont val="Calibri"/>
        <family val="2"/>
        <scheme val="minor"/>
      </rPr>
      <t xml:space="preserve">Prepare an amortization schedule.  </t>
    </r>
  </si>
  <si>
    <r>
      <rPr>
        <b/>
        <sz val="11"/>
        <color theme="1"/>
        <rFont val="Calibri"/>
        <family val="2"/>
        <scheme val="minor"/>
      </rPr>
      <t xml:space="preserve">a. </t>
    </r>
    <r>
      <rPr>
        <sz val="11"/>
        <color theme="1"/>
        <rFont val="Calibri"/>
        <family val="2"/>
        <scheme val="minor"/>
      </rPr>
      <t xml:space="preserve">If the interest rate is 8%, what is the annual payment?  </t>
    </r>
  </si>
  <si>
    <t>The number of years must be 4.</t>
  </si>
  <si>
    <t xml:space="preserve">Home loans typically involve “points,” which are fees charged by the lender. Each point charged means that the borrower must pay 1% of the loan amount as a fee. For example, if the loan is for $100,000 and 2 points are charged, the loan repayment schedule is calculated on a $100,000 loan but the net amount the borrower receives is only $98,000. Assume the interest rate is 1% per month. What is the effective annual interest rate charged on such a loan assuming loan repayment occurs over 360 months?  </t>
  </si>
  <si>
    <r>
      <rPr>
        <b/>
        <sz val="11"/>
        <color theme="1"/>
        <rFont val="Calibri"/>
        <family val="2"/>
        <scheme val="minor"/>
      </rPr>
      <t xml:space="preserve">a. </t>
    </r>
    <r>
      <rPr>
        <sz val="11"/>
        <color theme="1"/>
        <rFont val="Calibri"/>
        <family val="2"/>
        <scheme val="minor"/>
      </rPr>
      <t xml:space="preserve">If they make annual payments into a savings plan, how much will they need to save each year? Assume the first payment comes in 1 year.  </t>
    </r>
  </si>
  <si>
    <t>A couple will retire in 50 years; they plan to spend about $30,000 a year in retirement, which should last about 25 years. They believe that they can earn 8% interest on retirement savings.</t>
  </si>
  <si>
    <r>
      <rPr>
        <b/>
        <sz val="11"/>
        <color theme="1"/>
        <rFont val="Calibri"/>
        <family val="2"/>
        <scheme val="minor"/>
      </rPr>
      <t xml:space="preserve">b. </t>
    </r>
    <r>
      <rPr>
        <sz val="11"/>
        <color theme="1"/>
        <rFont val="Calibri"/>
        <family val="2"/>
        <scheme val="minor"/>
      </rPr>
      <t xml:space="preserve">How would the answer to part (a) change if the couple also realize that in 20 years they will need to spend $60,000 on their child’s college education?  </t>
    </r>
  </si>
  <si>
    <t> Annual savings</t>
  </si>
  <si>
    <t>If the interest rate is 6% per year, what is the future value of your inheritance at retirement?</t>
  </si>
  <si>
    <t>How much must you save each year to meet your retirement goal?</t>
  </si>
  <si>
    <t>You believe you will need to have saved $500,000 by the time you retire in 40 years in order to live comfortably. You also believe that you will inherit $100,000 in 10 years.</t>
  </si>
  <si>
    <t xml:space="preserve">You believe you will spend $40,000 a year for 20 years once you retire in 40 years. If the interest rate is 6% per year, how much must you save each year until retirement to meet your retirement goal?  </t>
  </si>
  <si>
    <r>
      <rPr>
        <b/>
        <sz val="11"/>
        <color theme="1"/>
        <rFont val="Calibri"/>
        <family val="2"/>
        <scheme val="minor"/>
      </rPr>
      <t xml:space="preserve">a. </t>
    </r>
    <r>
      <rPr>
        <sz val="11"/>
        <color theme="1"/>
        <rFont val="Calibri"/>
        <family val="2"/>
        <scheme val="minor"/>
      </rPr>
      <t xml:space="preserve">How much money will they have accumulated 30 years from now?  </t>
    </r>
  </si>
  <si>
    <t xml:space="preserve">b. If their goal is to retire with $800,000 of savings, how much extra do they need to save every year? </t>
  </si>
  <si>
    <r>
      <rPr>
        <b/>
        <sz val="11"/>
        <color theme="1"/>
        <rFont val="Calibri"/>
        <family val="2"/>
        <scheme val="minor"/>
      </rPr>
      <t xml:space="preserve">a. </t>
    </r>
    <r>
      <rPr>
        <sz val="11"/>
        <color theme="1"/>
        <rFont val="Calibri"/>
        <family val="2"/>
        <scheme val="minor"/>
      </rPr>
      <t xml:space="preserve">How long will it take you to pay back the loan?  </t>
    </r>
  </si>
  <si>
    <r>
      <rPr>
        <b/>
        <sz val="11"/>
        <color theme="1"/>
        <rFont val="Calibri"/>
        <family val="2"/>
        <scheme val="minor"/>
      </rPr>
      <t xml:space="preserve">b. </t>
    </r>
    <r>
      <rPr>
        <sz val="11"/>
        <color theme="1"/>
        <rFont val="Calibri"/>
        <family val="2"/>
        <scheme val="minor"/>
      </rPr>
      <t xml:space="preserve">What is the effective annual rate on the loan? </t>
    </r>
  </si>
  <si>
    <t>Working</t>
  </si>
  <si>
    <t>Calulator Solution:</t>
  </si>
  <si>
    <t>First time period in years</t>
  </si>
  <si>
    <t>Second time period in years</t>
  </si>
  <si>
    <t>Interest rate (APR)</t>
  </si>
  <si>
    <r>
      <rPr>
        <b/>
        <sz val="11"/>
        <color theme="1"/>
        <rFont val="Calibri"/>
        <family val="2"/>
        <scheme val="minor"/>
      </rPr>
      <t xml:space="preserve">a. </t>
    </r>
    <r>
      <rPr>
        <sz val="11"/>
        <color theme="1"/>
        <rFont val="Calibri"/>
        <family val="2"/>
        <scheme val="minor"/>
      </rPr>
      <t xml:space="preserve">What is the effective interest rate on this loan?  </t>
    </r>
  </si>
  <si>
    <r>
      <rPr>
        <b/>
        <sz val="11"/>
        <color theme="1"/>
        <rFont val="Calibri"/>
        <family val="2"/>
        <scheme val="minor"/>
      </rPr>
      <t>b.</t>
    </r>
    <r>
      <rPr>
        <sz val="11"/>
        <color theme="1"/>
        <rFont val="Calibri"/>
        <family val="2"/>
        <scheme val="minor"/>
      </rPr>
      <t xml:space="preserve">What is the effective annual rate on a 1-year loan with an interest rate quoted on a discount basis of 20%?  </t>
    </r>
  </si>
  <si>
    <t>In a discount interest loan, you pay the interest payment up front. For example, if a 1-year loan is stated as $10,000 and the interest rate is 10%, the borrower “pays” .10 × $10,000 = $1,000 immediately, thereby receiving net funds of $9,000 and repaying $10,000 in a year.</t>
  </si>
  <si>
    <r>
      <rPr>
        <b/>
        <sz val="11"/>
        <color theme="1"/>
        <rFont val="Calibri"/>
        <family val="2"/>
        <scheme val="minor"/>
      </rPr>
      <t xml:space="preserve">a. </t>
    </r>
    <r>
      <rPr>
        <sz val="11"/>
        <color theme="1"/>
        <rFont val="Calibri"/>
        <family val="2"/>
        <scheme val="minor"/>
      </rPr>
      <t xml:space="preserve">What is the true APR on this loan? </t>
    </r>
  </si>
  <si>
    <r>
      <t xml:space="preserve">b. </t>
    </r>
    <r>
      <rPr>
        <sz val="11"/>
        <color theme="1"/>
        <rFont val="Calibri"/>
        <family val="2"/>
        <scheme val="minor"/>
      </rPr>
      <t>What is the effective annual rate on the loan?</t>
    </r>
  </si>
  <si>
    <t>Banks sometimes quote interest rates in the form of “add-on interest.” In this case, if a 1-year loan is quoted with a 20% interest rate and you borrow $1,000, then you pay back $1,200. But you make these payments in monthly installments of $100 each.</t>
  </si>
  <si>
    <t>Time period in years</t>
  </si>
  <si>
    <t>You borrow $1,000 from the bank and agree to repay the loan over the next year in 12 equal monthly payments of $90. However, the bank also charges you a loan-initiation fee of $20, which is taken out of the initial proceeds of the loan. What is the effective annual interest rate on the loan, taking account of the impact of the initiation fee?</t>
  </si>
  <si>
    <t xml:space="preserve">EAR </t>
  </si>
  <si>
    <t>Calculate the effective annual rate for each bank.</t>
  </si>
  <si>
    <t>First Bank compounding  times per year</t>
  </si>
  <si>
    <t>Second Bank compounding times per year</t>
  </si>
  <si>
    <t>Higher effective rate</t>
  </si>
  <si>
    <t>You take out a car loan of $8,000 that calls for 48 monthly payments starting after 1 month at an APR of 10%.</t>
  </si>
  <si>
    <t>c. Number of years</t>
  </si>
  <si>
    <r>
      <rPr>
        <b/>
        <sz val="11"/>
        <color theme="1"/>
        <rFont val="Calibri"/>
        <family val="2"/>
        <scheme val="minor"/>
      </rPr>
      <t>a</t>
    </r>
    <r>
      <rPr>
        <sz val="11"/>
        <color theme="1"/>
        <rFont val="Calibri"/>
        <family val="2"/>
        <scheme val="minor"/>
      </rPr>
      <t xml:space="preserve">. What is your monthly payment?  </t>
    </r>
  </si>
  <si>
    <r>
      <rPr>
        <b/>
        <sz val="11"/>
        <color rgb="FF000000"/>
        <rFont val="Calibri"/>
        <family val="2"/>
        <scheme val="minor"/>
      </rPr>
      <t>b.</t>
    </r>
    <r>
      <rPr>
        <sz val="11"/>
        <color rgb="FF000000"/>
        <rFont val="Calibri"/>
        <family val="2"/>
        <scheme val="minor"/>
      </rPr>
      <t xml:space="preserve"> What is the effective annual interest rate on the loan? </t>
    </r>
  </si>
  <si>
    <r>
      <rPr>
        <b/>
        <sz val="11"/>
        <color theme="1"/>
        <rFont val="Calibri"/>
        <family val="2"/>
        <scheme val="minor"/>
      </rPr>
      <t xml:space="preserve">a. </t>
    </r>
    <r>
      <rPr>
        <sz val="11"/>
        <color theme="1"/>
        <rFont val="Calibri"/>
        <family val="2"/>
        <scheme val="minor"/>
      </rPr>
      <t xml:space="preserve">How much will $100 grow to if invested at a continuously compounded interest rate of 10% for 8 years?  </t>
    </r>
  </si>
  <si>
    <r>
      <rPr>
        <b/>
        <sz val="11"/>
        <color theme="1"/>
        <rFont val="Calibri"/>
        <family val="2"/>
        <scheme val="minor"/>
      </rPr>
      <t>b.</t>
    </r>
    <r>
      <rPr>
        <sz val="11"/>
        <color theme="1"/>
        <rFont val="Calibri"/>
        <family val="2"/>
        <scheme val="minor"/>
      </rPr>
      <t xml:space="preserve"> What if it is invested for 10 years at 8%?  </t>
    </r>
  </si>
  <si>
    <t xml:space="preserve">Find the effective annual interest rate for each case.  </t>
  </si>
  <si>
    <t>Compounding Period</t>
  </si>
  <si>
    <t>1  month</t>
  </si>
  <si>
    <t>3 months</t>
  </si>
  <si>
    <t>6 months</t>
  </si>
  <si>
    <t>Compounding period (in months)</t>
  </si>
  <si>
    <t>Effective Annual Interest Rate</t>
  </si>
  <si>
    <t>1 month</t>
  </si>
  <si>
    <t>Compounding Period (in months)</t>
  </si>
  <si>
    <t>Suppose you can borrow money at 8.6% per year (APR) compounded semiannually or 8.4% per year (APR) compounded monthly.</t>
  </si>
  <si>
    <t>b. Which is the better deal?</t>
  </si>
  <si>
    <r>
      <rPr>
        <b/>
        <sz val="11"/>
        <color theme="1"/>
        <rFont val="Calibri"/>
        <family val="2"/>
        <scheme val="minor"/>
      </rPr>
      <t xml:space="preserve">a. </t>
    </r>
    <r>
      <rPr>
        <sz val="11"/>
        <color theme="1"/>
        <rFont val="Calibri"/>
        <family val="2"/>
        <scheme val="minor"/>
      </rPr>
      <t xml:space="preserve"> Calculate the effective annual rates.  </t>
    </r>
  </si>
  <si>
    <t>Compounding periods</t>
  </si>
  <si>
    <t>Better deal?</t>
  </si>
  <si>
    <t>Assume you take out a car loan of $8,000 that calls for 48 monthly payments of $240 each.</t>
  </si>
  <si>
    <r>
      <rPr>
        <b/>
        <sz val="11"/>
        <color theme="1"/>
        <rFont val="Calibri"/>
        <family val="2"/>
        <scheme val="minor"/>
      </rPr>
      <t xml:space="preserve">b. </t>
    </r>
    <r>
      <rPr>
        <sz val="11"/>
        <color theme="1"/>
        <rFont val="Calibri"/>
        <family val="2"/>
        <scheme val="minor"/>
      </rPr>
      <t xml:space="preserve">What is the effective annual interest rate on the loan?  </t>
    </r>
  </si>
  <si>
    <r>
      <rPr>
        <b/>
        <sz val="11"/>
        <color theme="1"/>
        <rFont val="Calibri"/>
        <family val="2"/>
        <scheme val="minor"/>
      </rPr>
      <t xml:space="preserve">a. </t>
    </r>
    <r>
      <rPr>
        <sz val="11"/>
        <color theme="1"/>
        <rFont val="Calibri"/>
        <family val="2"/>
        <scheme val="minor"/>
      </rPr>
      <t xml:space="preserve">What is the APR of the loan?  </t>
    </r>
    <r>
      <rPr>
        <sz val="11"/>
        <color rgb="FFFF0000"/>
        <rFont val="Calibri"/>
        <family val="2"/>
        <scheme val="minor"/>
      </rPr>
      <t xml:space="preserve"> </t>
    </r>
  </si>
  <si>
    <t xml:space="preserve">a. What was the annual compound rate of growth in the price of apples?  </t>
  </si>
  <si>
    <t xml:space="preserve">b. What was the annual compound rate of growth in the price of oranges? </t>
  </si>
  <si>
    <t xml:space="preserve">c. If the same rates of growth persist in the future, what will be the price of apples in 2030?  </t>
  </si>
  <si>
    <t xml:space="preserve">d. If the same rates of growth persist in the future, what will be the price of oranges in 2030? </t>
  </si>
  <si>
    <r>
      <rPr>
        <b/>
        <sz val="11"/>
        <color theme="1"/>
        <rFont val="Calibri"/>
        <family val="2"/>
        <scheme val="minor"/>
      </rPr>
      <t xml:space="preserve">a. </t>
    </r>
    <r>
      <rPr>
        <sz val="11"/>
        <color theme="1"/>
        <rFont val="Calibri"/>
        <family val="2"/>
        <scheme val="minor"/>
      </rPr>
      <t xml:space="preserve">What is the present value of your firm’s cash flows for years 1 through 5?  </t>
    </r>
  </si>
  <si>
    <r>
      <rPr>
        <b/>
        <sz val="11"/>
        <color theme="1"/>
        <rFont val="Calibri"/>
        <family val="2"/>
        <scheme val="minor"/>
      </rPr>
      <t xml:space="preserve">b. </t>
    </r>
    <r>
      <rPr>
        <sz val="11"/>
        <color theme="1"/>
        <rFont val="Calibri"/>
        <family val="2"/>
        <scheme val="minor"/>
      </rPr>
      <t xml:space="preserve">How would your answer to (a) change if you anticipated no growth in cash flow? </t>
    </r>
  </si>
  <si>
    <t xml:space="preserve">If investors are to earn a 3% real interest rate, what nominal interest rate must they earn if the inflation rate is : </t>
  </si>
  <si>
    <r>
      <t xml:space="preserve">a. </t>
    </r>
    <r>
      <rPr>
        <sz val="11"/>
        <color theme="1"/>
        <rFont val="Calibri"/>
        <family val="2"/>
        <scheme val="minor"/>
      </rPr>
      <t>Zero</t>
    </r>
  </si>
  <si>
    <r>
      <rPr>
        <b/>
        <sz val="11"/>
        <color theme="1"/>
        <rFont val="Calibri"/>
        <family val="2"/>
        <scheme val="minor"/>
      </rPr>
      <t xml:space="preserve">b. </t>
    </r>
    <r>
      <rPr>
        <sz val="11"/>
        <color theme="1"/>
        <rFont val="Calibri"/>
        <family val="2"/>
        <scheme val="minor"/>
      </rPr>
      <t>4%</t>
    </r>
  </si>
  <si>
    <r>
      <t xml:space="preserve">c. </t>
    </r>
    <r>
      <rPr>
        <sz val="11"/>
        <color theme="1"/>
        <rFont val="Calibri"/>
        <family val="2"/>
        <scheme val="minor"/>
      </rPr>
      <t xml:space="preserve"> 6%</t>
    </r>
  </si>
  <si>
    <t xml:space="preserve"> If investors receive a 6% interest rate on their bank deposits, what real interest rate will they earn if the inflation rate over the year is: </t>
  </si>
  <si>
    <r>
      <t>b.</t>
    </r>
    <r>
      <rPr>
        <sz val="11"/>
        <color theme="1"/>
        <rFont val="Calibri"/>
        <family val="2"/>
        <scheme val="minor"/>
      </rPr>
      <t xml:space="preserve"> 3%</t>
    </r>
  </si>
  <si>
    <r>
      <t xml:space="preserve">c. </t>
    </r>
    <r>
      <rPr>
        <sz val="11"/>
        <color theme="1"/>
        <rFont val="Calibri"/>
        <family val="2"/>
        <scheme val="minor"/>
      </rPr>
      <t>6%</t>
    </r>
  </si>
  <si>
    <r>
      <rPr>
        <b/>
        <sz val="11"/>
        <color theme="1"/>
        <rFont val="Calibri"/>
        <family val="2"/>
        <scheme val="minor"/>
      </rPr>
      <t xml:space="preserve">a. </t>
    </r>
    <r>
      <rPr>
        <sz val="11"/>
        <color theme="1"/>
        <rFont val="Calibri"/>
        <family val="2"/>
        <scheme val="minor"/>
      </rPr>
      <t xml:space="preserve">What is the present value of the proceeds from the bond?  </t>
    </r>
  </si>
  <si>
    <r>
      <rPr>
        <b/>
        <sz val="11"/>
        <color theme="1"/>
        <rFont val="Calibri"/>
        <family val="2"/>
        <scheme val="minor"/>
      </rPr>
      <t xml:space="preserve">c. </t>
    </r>
    <r>
      <rPr>
        <sz val="11"/>
        <color theme="1"/>
        <rFont val="Calibri"/>
        <family val="2"/>
        <scheme val="minor"/>
      </rPr>
      <t xml:space="preserve">What is the real interest rate?  </t>
    </r>
  </si>
  <si>
    <r>
      <rPr>
        <b/>
        <sz val="11"/>
        <color theme="1"/>
        <rFont val="Calibri"/>
        <family val="2"/>
        <scheme val="minor"/>
      </rPr>
      <t xml:space="preserve">d. </t>
    </r>
    <r>
      <rPr>
        <sz val="11"/>
        <color theme="1"/>
        <rFont val="Calibri"/>
        <family val="2"/>
        <scheme val="minor"/>
      </rPr>
      <t xml:space="preserve">Show that the real payoff from the bond [from part (b)] discounted at the real interest rate [from part (c)] gives the same present value for the bond as you found in part (a).  </t>
    </r>
  </si>
  <si>
    <r>
      <rPr>
        <b/>
        <sz val="11"/>
        <color theme="1"/>
        <rFont val="Calibri"/>
        <family val="2"/>
        <scheme val="minor"/>
      </rPr>
      <t xml:space="preserve">b. </t>
    </r>
    <r>
      <rPr>
        <sz val="11"/>
        <color theme="1"/>
        <rFont val="Calibri"/>
        <family val="2"/>
        <scheme val="minor"/>
      </rPr>
      <t xml:space="preserve">If the inflation rate over the next few years is expected to be 3%, what will the real value of the $100 payoff be in terms of today’s dollars?  </t>
    </r>
  </si>
  <si>
    <r>
      <rPr>
        <b/>
        <sz val="11"/>
        <color theme="1"/>
        <rFont val="Calibri"/>
        <family val="2"/>
        <scheme val="minor"/>
      </rPr>
      <t xml:space="preserve">a. </t>
    </r>
    <r>
      <rPr>
        <sz val="11"/>
        <color theme="1"/>
        <rFont val="Calibri"/>
        <family val="2"/>
        <scheme val="minor"/>
      </rPr>
      <t>If the interest rate is 6% per year, approximately how long will it take for your money to quadruple in value? (Use the Rule of 72.)</t>
    </r>
  </si>
  <si>
    <r>
      <rPr>
        <b/>
        <sz val="11"/>
        <color theme="1"/>
        <rFont val="Calibri"/>
        <family val="2"/>
        <scheme val="minor"/>
      </rPr>
      <t xml:space="preserve">b. </t>
    </r>
    <r>
      <rPr>
        <sz val="11"/>
        <color theme="1"/>
        <rFont val="Calibri"/>
        <family val="2"/>
        <scheme val="minor"/>
      </rPr>
      <t>If the inflation rate is 4% per year, what will be the change in the purchasing power of your money over this period? (Use the Rule of 72.)</t>
    </r>
  </si>
  <si>
    <t xml:space="preserve">Purchasing power </t>
  </si>
  <si>
    <r>
      <rPr>
        <b/>
        <sz val="11"/>
        <color theme="1"/>
        <rFont val="Calibri"/>
        <family val="2"/>
        <scheme val="minor"/>
      </rPr>
      <t xml:space="preserve">a. </t>
    </r>
    <r>
      <rPr>
        <sz val="11"/>
        <color theme="1"/>
        <rFont val="Calibri"/>
        <family val="2"/>
        <scheme val="minor"/>
      </rPr>
      <t xml:space="preserve">You plan to retire in 30 years and want to accumulate enough by then to provide yourself with $30,000 a year for 15 years. If the interest rate is 10%, how much must you accumulate by the time you retire?  </t>
    </r>
  </si>
  <si>
    <t xml:space="preserve">b. How much must you save each year until retirement in order to finance your retirement consumption? </t>
  </si>
  <si>
    <r>
      <rPr>
        <b/>
        <sz val="11"/>
        <color theme="1"/>
        <rFont val="Calibri"/>
        <family val="2"/>
        <scheme val="minor"/>
      </rPr>
      <t xml:space="preserve">c. </t>
    </r>
    <r>
      <rPr>
        <sz val="11"/>
        <color theme="1"/>
        <rFont val="Calibri"/>
        <family val="2"/>
        <scheme val="minor"/>
      </rPr>
      <t xml:space="preserve">Now you remember that the annual inflation rate is 4%. If a loaf of bread costs $1 today, what will it cost by the time you retire? </t>
    </r>
  </si>
  <si>
    <r>
      <rPr>
        <b/>
        <sz val="11"/>
        <color theme="1"/>
        <rFont val="Calibri"/>
        <family val="2"/>
        <scheme val="minor"/>
      </rPr>
      <t xml:space="preserve">d. </t>
    </r>
    <r>
      <rPr>
        <sz val="11"/>
        <color theme="1"/>
        <rFont val="Calibri"/>
        <family val="2"/>
        <scheme val="minor"/>
      </rPr>
      <t xml:space="preserve">You really want to consume $30,000 a year in real dollars during retirement and wish to save an equal real amount each year until then. What is the real amount of savings that you need to accumulate by the time you retire? </t>
    </r>
  </si>
  <si>
    <r>
      <rPr>
        <b/>
        <sz val="11"/>
        <color theme="1"/>
        <rFont val="Calibri"/>
        <family val="2"/>
        <scheme val="minor"/>
      </rPr>
      <t xml:space="preserve">e. </t>
    </r>
    <r>
      <rPr>
        <sz val="11"/>
        <color theme="1"/>
        <rFont val="Calibri"/>
        <family val="2"/>
        <scheme val="minor"/>
      </rPr>
      <t xml:space="preserve">Calculate the required preretirement real annual savings necessary to meet your consumption goals. Compare with your answer to (b).  </t>
    </r>
  </si>
  <si>
    <r>
      <rPr>
        <b/>
        <sz val="11"/>
        <color theme="1"/>
        <rFont val="Calibri"/>
        <family val="2"/>
        <scheme val="minor"/>
      </rPr>
      <t xml:space="preserve">f. </t>
    </r>
    <r>
      <rPr>
        <sz val="11"/>
        <color theme="1"/>
        <rFont val="Calibri"/>
        <family val="2"/>
        <scheme val="minor"/>
      </rPr>
      <t xml:space="preserve">What is the nominal value of the amount you need to save during the first year? (Assume the savings are put aside at the end of each year.) The thirtieth year?  </t>
    </r>
  </si>
  <si>
    <t>Nominal savings - Year 1</t>
  </si>
  <si>
    <t>Nominal savings - Year 30</t>
  </si>
  <si>
    <t>A couple will retire in 50 years; they plan to spend (in today's dollars) about $30,000 a year in retirement, which should last about 25 years. They believe that they can earn 8% interest on retirement savings. The inflation rate over the next 75 years is expected to average 5%.</t>
  </si>
  <si>
    <r>
      <t xml:space="preserve">b. </t>
    </r>
    <r>
      <rPr>
        <sz val="11"/>
        <color theme="1"/>
        <rFont val="Calibri"/>
        <family val="2"/>
        <scheme val="minor"/>
      </rPr>
      <t xml:space="preserve"> How much do they need to save in nominal terms in the first year?</t>
    </r>
  </si>
  <si>
    <r>
      <t xml:space="preserve">c. </t>
    </r>
    <r>
      <rPr>
        <sz val="11"/>
        <color theme="1"/>
        <rFont val="Calibri"/>
        <family val="2"/>
        <scheme val="minor"/>
      </rPr>
      <t>How much do they need to save in nominal terms in the last year?</t>
    </r>
  </si>
  <si>
    <r>
      <t xml:space="preserve">d. </t>
    </r>
    <r>
      <rPr>
        <sz val="11"/>
        <color theme="1"/>
        <rFont val="Calibri"/>
        <family val="2"/>
        <scheme val="minor"/>
      </rPr>
      <t>What will be their nominal expenditures in the first year of retirement?</t>
    </r>
  </si>
  <si>
    <r>
      <t xml:space="preserve">a. </t>
    </r>
    <r>
      <rPr>
        <sz val="11"/>
        <color theme="1"/>
        <rFont val="Calibri"/>
        <family val="2"/>
        <scheme val="minor"/>
      </rPr>
      <t>What is the real annual savings the couple must set aside? Assume they will discontinue saving when they retire.</t>
    </r>
  </si>
  <si>
    <r>
      <t xml:space="preserve">e. </t>
    </r>
    <r>
      <rPr>
        <sz val="11"/>
        <color theme="1"/>
        <rFont val="Calibri"/>
        <family val="2"/>
        <scheme val="minor"/>
      </rPr>
      <t>What will be their nominal expenditures in the last year of retirement?</t>
    </r>
  </si>
  <si>
    <t>Retirement annual spending (real dollars)</t>
  </si>
  <si>
    <t>Real annual savings</t>
  </si>
  <si>
    <t>PV of savings on retirement date</t>
  </si>
  <si>
    <t>New estimate</t>
  </si>
  <si>
    <r>
      <rPr>
        <b/>
        <sz val="11"/>
        <color theme="1"/>
        <rFont val="Calibri"/>
        <family val="2"/>
        <scheme val="minor"/>
      </rPr>
      <t xml:space="preserve">b. </t>
    </r>
    <r>
      <rPr>
        <sz val="11"/>
        <color theme="1"/>
        <rFont val="Calibri"/>
        <family val="2"/>
        <scheme val="minor"/>
      </rPr>
      <t xml:space="preserve">Whoops! You just realized that the inflation rate over your lifetime is likely to average about 3% per year, and you need to redo your calculations. As a rough cut, it seems reasonable to assume that all relevant prices and wages will increase at around the rate of inflation. What is your new estimate of the required salary (in today’s dollars)?  </t>
    </r>
  </si>
  <si>
    <t>12)</t>
  </si>
  <si>
    <r>
      <t xml:space="preserve">c. </t>
    </r>
    <r>
      <rPr>
        <sz val="11"/>
        <color theme="1"/>
        <rFont val="Calibri"/>
        <family val="2"/>
        <scheme val="minor"/>
      </rPr>
      <t>What is the present value of the cost of leasing if the lease payments are an annuity due,
so the first payment comes immediately?</t>
    </r>
  </si>
  <si>
    <r>
      <rPr>
        <b/>
        <sz val="11"/>
        <color theme="1"/>
        <rFont val="Calibri"/>
        <family val="2"/>
        <scheme val="minor"/>
      </rPr>
      <t xml:space="preserve">a. </t>
    </r>
    <r>
      <rPr>
        <sz val="11"/>
        <color theme="1"/>
        <rFont val="Calibri"/>
        <family val="2"/>
        <scheme val="minor"/>
      </rPr>
      <t xml:space="preserve">What is the present value of the cost of leasing?  </t>
    </r>
  </si>
  <si>
    <r>
      <rPr>
        <b/>
        <sz val="11"/>
        <color theme="1"/>
        <rFont val="Calibri"/>
        <family val="2"/>
        <scheme val="minor"/>
      </rPr>
      <t xml:space="preserve">d. </t>
    </r>
    <r>
      <rPr>
        <sz val="11"/>
        <color theme="1"/>
        <rFont val="Calibri"/>
        <family val="2"/>
        <scheme val="minor"/>
      </rPr>
      <t xml:space="preserve"> Is it now cheaper to buy or lease?</t>
    </r>
  </si>
  <si>
    <t>Is it cheaper to buy or lease?</t>
  </si>
  <si>
    <t>Is it now cheaper to buy or lease?</t>
  </si>
  <si>
    <r>
      <t xml:space="preserve">a. </t>
    </r>
    <r>
      <rPr>
        <sz val="11"/>
        <rFont val="Calibri"/>
        <family val="2"/>
        <scheme val="minor"/>
      </rPr>
      <t>Annual Payment</t>
    </r>
  </si>
  <si>
    <r>
      <rPr>
        <b/>
        <sz val="11"/>
        <color theme="1"/>
        <rFont val="Calibri"/>
        <family val="2"/>
        <scheme val="minor"/>
      </rPr>
      <t>c.</t>
    </r>
    <r>
      <rPr>
        <sz val="11"/>
        <color theme="1"/>
        <rFont val="Calibri"/>
        <family val="2"/>
        <scheme val="minor"/>
      </rPr>
      <t xml:space="preserve"> Now assume the payments are made in four annual year-end installments. What annual payment would have the same present value as the monthly payment you calculated?</t>
    </r>
  </si>
  <si>
    <t>Inflation multiple (From Table 5.8)</t>
  </si>
  <si>
    <t>Investments in the stock market have increased at an average compound rate of about 5% since 1900. It is now 2019.</t>
  </si>
  <si>
    <t xml:space="preserve">A U.S. Treasury strip that will pay $1,000 in 10 years is selling today for $422.41. What interest rate does the bond offer?  </t>
  </si>
  <si>
    <t>In October 2017 a pound of apples cost $1.32, while oranges cost $1.59. Three years earlier the price of apples was only $1.36 a pound and that of oranges was $1.51 a pound.</t>
  </si>
  <si>
    <t xml:space="preserve">a.  You’ve just graduated college, and you are contemplating your lifetime budget. You think your general pre-retirement living expenses will average around $50,000 a year. For the next 8 years, you will rent an apartment for $16,000 a year (assume end-of-period payments). At the end of Year 8, you will want to buy a house that should cost around $250,000. In addition, you will need to buy a new car roughly once every 10 years, starting now and continuing for the next 50 years, costing around $30,000 each. In 25 years, you will have to put aside around $150,000 to put a child through college, and in 30 years you’ll need to do the same for another child. In 50 years, you will retire and will need to have accumulated enough savings to support roughly 20 years of retirement spending of around $35,000 a year on top of your Social Security benefits. The interest rate is 5% per year. What average salary will you need to earn to support this lifetime consumption plan?  </t>
  </si>
  <si>
    <t>Brealey 11e Pr 5-1</t>
  </si>
  <si>
    <t>Brealey 11e Pr 5-17</t>
  </si>
  <si>
    <t xml:space="preserve">Brealey 11e Pr 5-16 </t>
  </si>
  <si>
    <t xml:space="preserve">Brealey 11e Pr 5-15 </t>
  </si>
  <si>
    <t>Brealey 11e Pr 5-14</t>
  </si>
  <si>
    <t xml:space="preserve">Brealey 11e Pr 5-13 </t>
  </si>
  <si>
    <t>Brealey 11e Pr 5-12</t>
  </si>
  <si>
    <t>Brealey 11e  Pr 5-11</t>
  </si>
  <si>
    <t>Brealey 11e Pr 5-10</t>
  </si>
  <si>
    <t xml:space="preserve">Brealey 11e Pr 5-9 </t>
  </si>
  <si>
    <t>Brealey 11e Pr 5-8</t>
  </si>
  <si>
    <t>Brealey 11e Pr 5-7</t>
  </si>
  <si>
    <t xml:space="preserve">Brealey 11e Pr 5-6 </t>
  </si>
  <si>
    <t>Brealey 11e Pr 5-5</t>
  </si>
  <si>
    <t>Brealey 11e Pr 5-4</t>
  </si>
  <si>
    <t xml:space="preserve">Brealey 11e Pr 5-3 </t>
  </si>
  <si>
    <t xml:space="preserve">Brealey 11e Pr 5-18 </t>
  </si>
  <si>
    <t>Brealey 11e Pr 5-32</t>
  </si>
  <si>
    <t>Brealey 11e Pr 5-31</t>
  </si>
  <si>
    <t xml:space="preserve">Brealey 11e Pr 5-30 </t>
  </si>
  <si>
    <t xml:space="preserve">Brealey 11e Pr 5-29 </t>
  </si>
  <si>
    <t xml:space="preserve">Brealey 11e Pr 5-28 </t>
  </si>
  <si>
    <t xml:space="preserve">Brealey 11e Pr 5-27 </t>
  </si>
  <si>
    <t xml:space="preserve">Brealey 11e Pr 5-26 </t>
  </si>
  <si>
    <t xml:space="preserve">Brealey 11e Pr 5-25 </t>
  </si>
  <si>
    <t xml:space="preserve">Brealey 11e Pr 5-24 </t>
  </si>
  <si>
    <t xml:space="preserve">Brealey 11e Pr 5-23 </t>
  </si>
  <si>
    <t>Brealey 11e Pr 5-22</t>
  </si>
  <si>
    <t xml:space="preserve">Brealey 11e Pr 5-21 </t>
  </si>
  <si>
    <t>Brealey 11e Pr 5-20</t>
  </si>
  <si>
    <t xml:space="preserve">Brealey 11e Pr 5-19 </t>
  </si>
  <si>
    <t xml:space="preserve">Brealey 11e Pr 5-75 </t>
  </si>
  <si>
    <t xml:space="preserve">Brealey 11e Pr 5-74 </t>
  </si>
  <si>
    <t xml:space="preserve">Brealey 11e Pr 5-73 </t>
  </si>
  <si>
    <t xml:space="preserve">Brealey 11e Pr 5-72 </t>
  </si>
  <si>
    <t>Brealey 11e Pr 5-71</t>
  </si>
  <si>
    <t>Brealey 11e Pr 5-70</t>
  </si>
  <si>
    <t xml:space="preserve">Brealey 11e Pr 5-68 </t>
  </si>
  <si>
    <t xml:space="preserve">Brealey 11e Pr 5-67 </t>
  </si>
  <si>
    <t xml:space="preserve">Brealey 11e Pr 5-66 </t>
  </si>
  <si>
    <t xml:space="preserve">Brealey 11e Pr 5-65 </t>
  </si>
  <si>
    <t xml:space="preserve">Brealey 11e Pr 5-64 </t>
  </si>
  <si>
    <t xml:space="preserve">Brealey 11e Pr 5-63 </t>
  </si>
  <si>
    <t xml:space="preserve">Brealey 11e Pr 5-62 </t>
  </si>
  <si>
    <t>Brealey 11e Pr 5-61</t>
  </si>
  <si>
    <t>Brealey 11e Pr 5-60</t>
  </si>
  <si>
    <t>Brealey 11e Pr 5-59</t>
  </si>
  <si>
    <t>Brealey 11e Pr 5-58</t>
  </si>
  <si>
    <t xml:space="preserve">Brealey 11e Pr 5-57 </t>
  </si>
  <si>
    <t xml:space="preserve">Brealey 11e Pr 5-56 </t>
  </si>
  <si>
    <t>Brealey 11e Pr 5-55</t>
  </si>
  <si>
    <t>Brealey 11e Pr 5-54</t>
  </si>
  <si>
    <t xml:space="preserve">Brealey 11e Pr 5-53 </t>
  </si>
  <si>
    <t>Brealey 11e Pr 5-52</t>
  </si>
  <si>
    <t>Brealey 11e Pr 5-51</t>
  </si>
  <si>
    <t xml:space="preserve">Brealey 11e Pr 5-50 </t>
  </si>
  <si>
    <t>Brealey 11e Pr 5-49</t>
  </si>
  <si>
    <t>Brealey 11e Pr 5-45</t>
  </si>
  <si>
    <t xml:space="preserve">Brealey 11e Pr 5-44 </t>
  </si>
  <si>
    <t xml:space="preserve">Brealey 11e Pr 5-43 </t>
  </si>
  <si>
    <t>Brealey 11e Pr 5-42</t>
  </si>
  <si>
    <t>Brealey 11e Pr 5-41</t>
  </si>
  <si>
    <t xml:space="preserve">Brealey 11e Pr 5-40 </t>
  </si>
  <si>
    <t>Brealey 11e Pr 5-39</t>
  </si>
  <si>
    <t xml:space="preserve">Brealey 11e Pr 5-38 </t>
  </si>
  <si>
    <t xml:space="preserve">Brealey 11e Pr 5-37 </t>
  </si>
  <si>
    <t xml:space="preserve">Brealey 11e Pr 5-36 </t>
  </si>
  <si>
    <t xml:space="preserve">Brealey 11e Pr 5-34 </t>
  </si>
  <si>
    <t xml:space="preserve">Brealey 11e Pr 5-33 </t>
  </si>
  <si>
    <t>Year 2019</t>
  </si>
  <si>
    <r>
      <t xml:space="preserve">a. </t>
    </r>
    <r>
      <rPr>
        <sz val="11"/>
        <color theme="1"/>
        <rFont val="Calibri"/>
        <family val="2"/>
        <scheme val="minor"/>
      </rPr>
      <t xml:space="preserve">If your great-grandfather invested $1,000 in the stock market in 1900, how much would that investment be worth today? </t>
    </r>
  </si>
  <si>
    <r>
      <t xml:space="preserve">b. </t>
    </r>
    <r>
      <rPr>
        <sz val="11"/>
        <color theme="1"/>
        <rFont val="Calibri"/>
        <family val="2"/>
        <scheme val="minor"/>
      </rPr>
      <t xml:space="preserve">If an investment in 1900 has grown to $1 million, how much was invested in 1900?  </t>
    </r>
  </si>
  <si>
    <t>The 2-year discount factor is .92. What is the present value of $1 to be received in Year 2? What is the present value of $2,000</t>
  </si>
  <si>
    <t>Value of $1.00</t>
  </si>
  <si>
    <t>2-year discount factor</t>
  </si>
  <si>
    <t>You invest $1,000 at an annual interest rate of 6%, stated as an APR. Interest is compounded monthly. How much will you have in 1 year? In 1.5 years?</t>
  </si>
  <si>
    <t>Discount Basis (b)</t>
  </si>
  <si>
    <t>An engineer in 1950 was earning $6,000 a year. In 2019 she earned $80,000 a year. However, on average, prices in 2019 were higher than in 1950. What was her real income in 2019 in terms of constant 1950 dollars? Use the data in Table 5.8.</t>
  </si>
  <si>
    <t xml:space="preserve">Brealey  11e Pr 5-69 </t>
  </si>
  <si>
    <t xml:space="preserve">What was the monthly inflation rate?  </t>
  </si>
  <si>
    <t xml:space="preserve">The annual inflation rate in Argentina in 2020 was about 40% annually.  
</t>
  </si>
  <si>
    <t>Monthly Inflation Rate</t>
  </si>
  <si>
    <t>You will receive $100 from a savings bond in 3 years. The nominal interest rate is 8%.</t>
  </si>
  <si>
    <t>Brealey 11e Pr 5-48</t>
  </si>
  <si>
    <t>Brealey 11e Pr 5-46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</si>
</sst>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000"/>
    <numFmt numFmtId="166" formatCode="0.0%"/>
    <numFmt numFmtId="167" formatCode="&quot;$&quot;#,##0.0000_);[Red]\(&quot;$&quot;#,##0.0000\)"/>
    <numFmt numFmtId="168" formatCode="&quot;$&quot;#,##0.00"/>
    <numFmt numFmtId="169" formatCode="0.000%"/>
    <numFmt numFmtId="170" formatCode="_(* #,##0_);_(* \(#,##0\);_(* &quot;-&quot;??_);_(@_)"/>
    <numFmt numFmtId="171" formatCode=".00"/>
    <numFmt numFmtId="172" formatCode=".0000"/>
    <numFmt numFmtId="173" formatCode="&quot;$&quot;#,##0.000"/>
    <numFmt numFmtId="174" formatCode=".00##"/>
    <numFmt numFmtId="175" formatCode=".00%"/>
    <numFmt numFmtId="176" formatCode=".0##"/>
    <numFmt numFmtId="177" formatCode="0.000000"/>
    <numFmt numFmtId="178" formatCode=".00000"/>
    <numFmt numFmtId="179" formatCode=".##"/>
    <numFmt numFmtId="180" formatCode=".00###"/>
    <numFmt numFmtId="181" formatCode="&quot;$&quot;#,###.00"/>
    <numFmt numFmtId="182" formatCode="&quot;$&quot;#,##0.0000"/>
    <numFmt numFmtId="183" formatCode=".####"/>
    <numFmt numFmtId="184" formatCode="&quot;$&quot;#,##0.00000_);[Red]\(&quot;$&quot;#,##0.00000\)"/>
    <numFmt numFmtId="185" formatCode=".000%"/>
    <numFmt numFmtId="186" formatCode=".000"/>
    <numFmt numFmtId="187" formatCode="[$$-C09]#,##0"/>
    <numFmt numFmtId="188" formatCode="0.0"/>
    <numFmt numFmtId="189" formatCode=".0%"/>
    <numFmt numFmtId="190" formatCode=".0"/>
    <numFmt numFmtId="191" formatCode=".0000000"/>
    <numFmt numFmtId="192" formatCode="&quot;$&quot;#,###"/>
  </numFmts>
  <fonts count="3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20"/>
      <color theme="1"/>
      <name val="Calibri"/>
      <family val="2"/>
      <scheme val="minor"/>
    </font>
    <font>
      <b/>
      <sz val="11"/>
      <name val="Calibri"/>
      <family val="2"/>
      <scheme val="minor"/>
    </font>
    <font>
      <b/>
      <sz val="11"/>
      <color rgb="FFFF0000"/>
      <name val="Calibri"/>
      <family val="2"/>
      <scheme val="minor"/>
    </font>
    <font>
      <sz val="11"/>
      <color rgb="FF00B0F0"/>
      <name val="Calibri"/>
      <family val="2"/>
      <scheme val="minor"/>
    </font>
    <font>
      <sz val="11"/>
      <name val="Calibri"/>
      <family val="2"/>
      <scheme val="minor"/>
    </font>
    <font>
      <sz val="11"/>
      <color rgb="FF0070C0"/>
      <name val="Calibri"/>
      <family val="2"/>
      <scheme val="minor"/>
    </font>
    <font>
      <u/>
      <sz val="11"/>
      <color theme="1"/>
      <name val="Calibri"/>
      <family val="2"/>
      <scheme val="minor"/>
    </font>
    <font>
      <sz val="10"/>
      <color rgb="FF000000"/>
      <name val="Arial"/>
      <family val="2"/>
    </font>
    <font>
      <b/>
      <sz val="10"/>
      <color rgb="FF000000"/>
      <name val="Arial"/>
      <family val="2"/>
    </font>
    <font>
      <sz val="8"/>
      <color theme="1"/>
      <name val="Calibri"/>
      <family val="2"/>
      <scheme val="minor"/>
    </font>
    <font>
      <i/>
      <sz val="11"/>
      <color rgb="FFFF0000"/>
      <name val="Calibri"/>
      <family val="2"/>
      <scheme val="minor"/>
    </font>
    <font>
      <b/>
      <strike/>
      <sz val="11"/>
      <color theme="1"/>
      <name val="Calibri"/>
      <family val="2"/>
      <scheme val="minor"/>
    </font>
    <font>
      <u/>
      <sz val="11"/>
      <name val="Calibri"/>
      <family val="2"/>
      <scheme val="minor"/>
    </font>
    <font>
      <sz val="11"/>
      <color theme="1"/>
      <name val="Calibri"/>
      <family val="2"/>
    </font>
    <font>
      <vertAlign val="subscript"/>
      <sz val="11"/>
      <color theme="1"/>
      <name val="Calibri"/>
      <family val="2"/>
      <scheme val="minor"/>
    </font>
    <font>
      <b/>
      <sz val="11"/>
      <name val="Calibri"/>
      <family val="2"/>
    </font>
    <font>
      <vertAlign val="subscript"/>
      <sz val="10"/>
      <color rgb="FF000000"/>
      <name val="Arial"/>
      <family val="2"/>
    </font>
    <font>
      <u val="double"/>
      <sz val="11"/>
      <name val="Calibri"/>
      <family val="2"/>
      <scheme val="minor"/>
    </font>
    <font>
      <b/>
      <sz val="11"/>
      <color rgb="FF0070C0"/>
      <name val="Calibri"/>
      <family val="2"/>
      <scheme val="minor"/>
    </font>
    <font>
      <b/>
      <sz val="12"/>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2"/>
      <color theme="1"/>
      <name val="Calibri"/>
      <family val="2"/>
      <scheme val="minor"/>
    </font>
    <font>
      <sz val="12"/>
      <color rgb="FF000000"/>
      <name val="Calibri"/>
      <family val="2"/>
      <scheme val="minor"/>
    </font>
    <font>
      <i/>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rgb="FFF7F7F7"/>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s>
  <borders count="4">
    <border>
      <left/>
      <right/>
      <top/>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95">
    <xf numFmtId="0" fontId="0" fillId="0" borderId="0" xfId="0"/>
    <xf numFmtId="0" fontId="4" fillId="0" borderId="0" xfId="0" applyFont="1"/>
    <xf numFmtId="0" fontId="0" fillId="0" borderId="0" xfId="0" applyAlignment="1">
      <alignment wrapText="1"/>
    </xf>
    <xf numFmtId="0" fontId="0" fillId="0" borderId="0" xfId="0" applyAlignment="1">
      <alignment horizontal="left" vertical="center" wrapText="1"/>
    </xf>
    <xf numFmtId="0" fontId="3" fillId="0" borderId="0" xfId="0" applyFont="1" applyAlignment="1">
      <alignment horizontal="left" vertical="top" wrapText="1"/>
    </xf>
    <xf numFmtId="0" fontId="3" fillId="0" borderId="0" xfId="0" applyFont="1"/>
    <xf numFmtId="0" fontId="5" fillId="0" borderId="0" xfId="0" applyFont="1"/>
    <xf numFmtId="0" fontId="3" fillId="2" borderId="0" xfId="0" applyFont="1" applyFill="1"/>
    <xf numFmtId="0" fontId="5" fillId="2" borderId="0" xfId="0" applyFont="1" applyFill="1"/>
    <xf numFmtId="2" fontId="0" fillId="0" borderId="0" xfId="0" applyNumberFormat="1"/>
    <xf numFmtId="0" fontId="0" fillId="0" borderId="0" xfId="0" applyFont="1"/>
    <xf numFmtId="164" fontId="0" fillId="0" borderId="0" xfId="0" applyNumberFormat="1"/>
    <xf numFmtId="3" fontId="0" fillId="0" borderId="0" xfId="1" applyNumberFormat="1" applyFont="1"/>
    <xf numFmtId="3" fontId="1" fillId="0" borderId="0" xfId="1" applyNumberFormat="1" applyFont="1"/>
    <xf numFmtId="164" fontId="2" fillId="0" borderId="0" xfId="1" applyNumberFormat="1" applyFont="1"/>
    <xf numFmtId="2" fontId="5" fillId="0" borderId="0" xfId="0" applyNumberFormat="1" applyFont="1"/>
    <xf numFmtId="0" fontId="7" fillId="0" borderId="0" xfId="0" applyFont="1"/>
    <xf numFmtId="2" fontId="8" fillId="0" borderId="0" xfId="0" applyNumberFormat="1" applyFont="1"/>
    <xf numFmtId="0" fontId="8" fillId="0" borderId="0" xfId="0" applyFont="1"/>
    <xf numFmtId="0" fontId="9" fillId="0" borderId="0" xfId="0" applyFont="1"/>
    <xf numFmtId="0" fontId="9" fillId="0" borderId="0" xfId="0" quotePrefix="1" applyFont="1" applyAlignment="1">
      <alignment horizontal="right"/>
    </xf>
    <xf numFmtId="0" fontId="0" fillId="2" borderId="0" xfId="0" applyFill="1"/>
    <xf numFmtId="0" fontId="3" fillId="0" borderId="0" xfId="0" applyFont="1" applyAlignment="1">
      <alignment horizontal="left" vertical="center" wrapText="1"/>
    </xf>
    <xf numFmtId="0" fontId="0" fillId="0" borderId="0" xfId="0" applyAlignment="1">
      <alignment horizontal="right"/>
    </xf>
    <xf numFmtId="0" fontId="0" fillId="0" borderId="0" xfId="0"/>
    <xf numFmtId="0" fontId="0" fillId="0" borderId="0" xfId="0" applyFill="1"/>
    <xf numFmtId="0" fontId="0" fillId="0" borderId="0" xfId="0" applyAlignment="1">
      <alignment horizontal="left" vertical="top" wrapText="1"/>
    </xf>
    <xf numFmtId="0" fontId="0" fillId="0" borderId="0" xfId="0" applyAlignment="1">
      <alignment horizontal="left" vertical="center" wrapText="1"/>
    </xf>
    <xf numFmtId="0" fontId="0" fillId="0" borderId="0" xfId="0"/>
    <xf numFmtId="0" fontId="0" fillId="0" borderId="0" xfId="0" applyAlignment="1">
      <alignment horizontal="center"/>
    </xf>
    <xf numFmtId="0" fontId="0" fillId="0" borderId="0" xfId="0" applyAlignment="1">
      <alignment horizontal="left" vertical="center" wrapText="1"/>
    </xf>
    <xf numFmtId="44" fontId="0" fillId="0" borderId="0" xfId="2" applyNumberFormat="1" applyFont="1"/>
    <xf numFmtId="44" fontId="8" fillId="0" borderId="0" xfId="2" applyFont="1"/>
    <xf numFmtId="0" fontId="11" fillId="0" borderId="0" xfId="0" applyFont="1"/>
    <xf numFmtId="0" fontId="0" fillId="0" borderId="0" xfId="0" applyAlignment="1">
      <alignment horizontal="center" vertical="center"/>
    </xf>
    <xf numFmtId="9" fontId="0" fillId="0" borderId="0" xfId="3" applyFont="1" applyAlignment="1">
      <alignment horizontal="center" vertical="center"/>
    </xf>
    <xf numFmtId="2" fontId="0" fillId="0" borderId="0" xfId="0" applyNumberFormat="1" applyAlignment="1">
      <alignment horizontal="center" vertical="center"/>
    </xf>
    <xf numFmtId="8" fontId="0" fillId="0" borderId="0" xfId="0" applyNumberFormat="1" applyAlignment="1">
      <alignment horizontal="center" vertical="center"/>
    </xf>
    <xf numFmtId="0" fontId="0" fillId="0" borderId="0" xfId="0" applyAlignment="1">
      <alignment vertical="top" wrapText="1"/>
    </xf>
    <xf numFmtId="0" fontId="5" fillId="2" borderId="0" xfId="0" applyFont="1" applyFill="1" applyAlignment="1">
      <alignment horizontal="center"/>
    </xf>
    <xf numFmtId="0" fontId="3" fillId="0" borderId="0" xfId="0" applyFont="1" applyFill="1"/>
    <xf numFmtId="0" fontId="5" fillId="0" borderId="0" xfId="0" applyFont="1" applyFill="1"/>
    <xf numFmtId="0" fontId="11" fillId="0" borderId="0" xfId="0" applyFont="1" applyAlignment="1">
      <alignment horizontal="left" vertical="center"/>
    </xf>
    <xf numFmtId="10" fontId="0" fillId="0" borderId="0" xfId="3" applyNumberFormat="1" applyFont="1" applyAlignment="1">
      <alignment horizontal="left"/>
    </xf>
    <xf numFmtId="8" fontId="0" fillId="0" borderId="0" xfId="0" applyNumberFormat="1" applyAlignment="1">
      <alignment horizontal="center"/>
    </xf>
    <xf numFmtId="10" fontId="0" fillId="0" borderId="0" xfId="3" applyNumberFormat="1" applyFont="1"/>
    <xf numFmtId="166" fontId="0" fillId="0" borderId="0" xfId="3" applyNumberFormat="1" applyFont="1" applyAlignment="1">
      <alignment horizontal="center" vertical="center"/>
    </xf>
    <xf numFmtId="10" fontId="0" fillId="0" borderId="0" xfId="3" applyNumberFormat="1" applyFont="1" applyAlignment="1">
      <alignment horizontal="center" vertical="center"/>
    </xf>
    <xf numFmtId="10" fontId="0" fillId="0" borderId="0" xfId="0" applyNumberFormat="1"/>
    <xf numFmtId="10" fontId="14" fillId="0" borderId="0" xfId="3" applyNumberFormat="1" applyFont="1"/>
    <xf numFmtId="0" fontId="15" fillId="0" borderId="0" xfId="0" applyFont="1"/>
    <xf numFmtId="0" fontId="3" fillId="0" borderId="0" xfId="0" applyFont="1" applyAlignment="1">
      <alignment vertical="top"/>
    </xf>
    <xf numFmtId="10" fontId="0" fillId="0" borderId="0" xfId="3" applyNumberFormat="1" applyFont="1" applyAlignment="1">
      <alignment horizontal="right"/>
    </xf>
    <xf numFmtId="0" fontId="5" fillId="0" borderId="0" xfId="0" quotePrefix="1" applyFont="1"/>
    <xf numFmtId="8" fontId="0" fillId="0" borderId="0" xfId="3" applyNumberFormat="1" applyFont="1" applyAlignment="1">
      <alignment horizontal="center" vertical="center"/>
    </xf>
    <xf numFmtId="2" fontId="0" fillId="0" borderId="0" xfId="0" applyNumberFormat="1" applyBorder="1" applyAlignment="1">
      <alignment horizontal="center" vertical="center"/>
    </xf>
    <xf numFmtId="1" fontId="0" fillId="0" borderId="0" xfId="0" applyNumberFormat="1" applyAlignment="1">
      <alignment horizontal="center" vertical="center"/>
    </xf>
    <xf numFmtId="10" fontId="8" fillId="0" borderId="0" xfId="3" applyNumberFormat="1" applyFont="1" applyAlignment="1">
      <alignment horizontal="left"/>
    </xf>
    <xf numFmtId="10" fontId="8" fillId="0" borderId="0" xfId="0" applyNumberFormat="1" applyFont="1"/>
    <xf numFmtId="166" fontId="8" fillId="0" borderId="0" xfId="3" applyNumberFormat="1" applyFont="1" applyAlignment="1">
      <alignment horizontal="center" vertical="center"/>
    </xf>
    <xf numFmtId="0" fontId="11" fillId="0" borderId="0" xfId="0" applyFont="1" applyAlignment="1">
      <alignment horizontal="left" vertical="top" wrapText="1"/>
    </xf>
    <xf numFmtId="10" fontId="8" fillId="0" borderId="0" xfId="3" applyNumberFormat="1" applyFont="1"/>
    <xf numFmtId="0" fontId="3" fillId="0" borderId="0" xfId="0" applyFont="1" applyAlignment="1">
      <alignment vertical="top" wrapText="1"/>
    </xf>
    <xf numFmtId="2" fontId="8" fillId="0" borderId="0" xfId="3" applyNumberFormat="1" applyFont="1" applyAlignment="1">
      <alignment horizontal="left"/>
    </xf>
    <xf numFmtId="10" fontId="0" fillId="0" borderId="0" xfId="3" applyNumberFormat="1" applyFont="1" applyAlignment="1">
      <alignment horizontal="center"/>
    </xf>
    <xf numFmtId="0" fontId="0" fillId="0" borderId="0" xfId="3" applyNumberFormat="1" applyFont="1" applyAlignment="1">
      <alignment horizontal="center" vertical="center"/>
    </xf>
    <xf numFmtId="0" fontId="8" fillId="0" borderId="0" xfId="0" applyFont="1" applyAlignment="1">
      <alignment horizontal="center"/>
    </xf>
    <xf numFmtId="0" fontId="12" fillId="0" borderId="0" xfId="0" applyFont="1"/>
    <xf numFmtId="1" fontId="0" fillId="0" borderId="0" xfId="0" applyNumberFormat="1" applyAlignment="1">
      <alignment horizontal="center"/>
    </xf>
    <xf numFmtId="1" fontId="0" fillId="0" borderId="0" xfId="3" applyNumberFormat="1" applyFont="1" applyAlignment="1">
      <alignment horizontal="center" vertical="center"/>
    </xf>
    <xf numFmtId="1" fontId="0" fillId="0" borderId="0" xfId="0" applyNumberFormat="1"/>
    <xf numFmtId="1" fontId="8" fillId="0" borderId="0" xfId="0" applyNumberFormat="1" applyFont="1"/>
    <xf numFmtId="167" fontId="0" fillId="0" borderId="0" xfId="0" applyNumberFormat="1" applyAlignment="1">
      <alignment horizontal="center"/>
    </xf>
    <xf numFmtId="0" fontId="0" fillId="0" borderId="0" xfId="0" applyNumberFormat="1" applyAlignment="1">
      <alignment horizontal="center"/>
    </xf>
    <xf numFmtId="0" fontId="10" fillId="0" borderId="0" xfId="0" applyFont="1"/>
    <xf numFmtId="0" fontId="0" fillId="0" borderId="0" xfId="0" applyAlignment="1">
      <alignment horizontal="left" vertical="center" wrapText="1"/>
    </xf>
    <xf numFmtId="0" fontId="8" fillId="0" borderId="0" xfId="0" applyFont="1" applyFill="1"/>
    <xf numFmtId="0" fontId="0" fillId="0" borderId="0" xfId="0" applyFont="1" applyFill="1"/>
    <xf numFmtId="0" fontId="8" fillId="4" borderId="0" xfId="0" applyFont="1" applyFill="1"/>
    <xf numFmtId="9" fontId="8" fillId="4" borderId="0" xfId="3" applyFont="1" applyFill="1"/>
    <xf numFmtId="1" fontId="8" fillId="4" borderId="0" xfId="3" applyNumberFormat="1" applyFont="1" applyFill="1"/>
    <xf numFmtId="0" fontId="0" fillId="0" borderId="0" xfId="0" applyAlignment="1">
      <alignment vertic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Font="1" applyAlignment="1">
      <alignment horizontal="left" vertical="top" wrapText="1"/>
    </xf>
    <xf numFmtId="0" fontId="3" fillId="0" borderId="0" xfId="0" applyFont="1" applyAlignment="1">
      <alignment horizontal="left"/>
    </xf>
    <xf numFmtId="0" fontId="10" fillId="0" borderId="0" xfId="0" applyFont="1" applyFill="1"/>
    <xf numFmtId="0" fontId="0" fillId="0" borderId="0" xfId="3" applyNumberFormat="1" applyFont="1" applyFill="1" applyAlignment="1">
      <alignment horizontal="left"/>
    </xf>
    <xf numFmtId="2" fontId="0" fillId="5" borderId="0" xfId="0" applyNumberFormat="1" applyFill="1"/>
    <xf numFmtId="0" fontId="0" fillId="5" borderId="0" xfId="0" applyFill="1"/>
    <xf numFmtId="0" fontId="0" fillId="5" borderId="0" xfId="0" applyFill="1" applyAlignment="1">
      <alignment horizontal="left"/>
    </xf>
    <xf numFmtId="0" fontId="0" fillId="5" borderId="0" xfId="3" applyNumberFormat="1" applyFont="1" applyFill="1" applyAlignment="1">
      <alignment horizontal="center"/>
    </xf>
    <xf numFmtId="0" fontId="1" fillId="5" borderId="0" xfId="3" applyNumberFormat="1" applyFont="1" applyFill="1" applyAlignment="1">
      <alignment horizontal="left"/>
    </xf>
    <xf numFmtId="0" fontId="11" fillId="0" borderId="0" xfId="0" applyFont="1" applyFill="1" applyAlignment="1">
      <alignment horizontal="left" vertical="center" wrapText="1"/>
    </xf>
    <xf numFmtId="0" fontId="0" fillId="4" borderId="0" xfId="0" applyFill="1"/>
    <xf numFmtId="0" fontId="11" fillId="0" borderId="0" xfId="0" applyFont="1" applyAlignment="1">
      <alignment horizontal="left" vertical="top"/>
    </xf>
    <xf numFmtId="0" fontId="11" fillId="0" borderId="0" xfId="0" applyFont="1" applyAlignment="1">
      <alignment horizontal="left" vertical="center" wrapText="1"/>
    </xf>
    <xf numFmtId="1" fontId="3" fillId="0" borderId="0" xfId="0" applyNumberFormat="1" applyFont="1"/>
    <xf numFmtId="2" fontId="6" fillId="0" borderId="0" xfId="0" applyNumberFormat="1" applyFont="1"/>
    <xf numFmtId="0" fontId="0" fillId="0" borderId="0" xfId="0" applyAlignment="1">
      <alignment vertical="top"/>
    </xf>
    <xf numFmtId="1" fontId="0" fillId="0" borderId="0" xfId="0" applyNumberFormat="1" applyFill="1"/>
    <xf numFmtId="2" fontId="0" fillId="0" borderId="0" xfId="0" applyNumberFormat="1" applyFill="1"/>
    <xf numFmtId="0" fontId="0" fillId="0" borderId="0" xfId="0" applyFont="1" applyAlignment="1">
      <alignment horizontal="left" vertical="top"/>
    </xf>
    <xf numFmtId="43" fontId="0" fillId="0" borderId="0" xfId="1" applyFont="1"/>
    <xf numFmtId="43" fontId="0" fillId="0" borderId="0" xfId="0" applyNumberFormat="1" applyAlignment="1">
      <alignment horizontal="center" vertical="center"/>
    </xf>
    <xf numFmtId="44" fontId="0" fillId="0" borderId="0" xfId="0" applyNumberFormat="1" applyAlignment="1">
      <alignment horizontal="center" vertical="center"/>
    </xf>
    <xf numFmtId="8" fontId="0" fillId="0" borderId="0" xfId="0" applyNumberFormat="1"/>
    <xf numFmtId="8" fontId="0" fillId="0" borderId="0" xfId="0" applyNumberFormat="1" applyFont="1" applyAlignment="1">
      <alignment horizontal="center" vertical="center"/>
    </xf>
    <xf numFmtId="10" fontId="0" fillId="0" borderId="0" xfId="0" applyNumberFormat="1" applyAlignment="1">
      <alignment horizontal="center"/>
    </xf>
    <xf numFmtId="0" fontId="5" fillId="0" borderId="0" xfId="0" quotePrefix="1" applyFont="1" applyFill="1"/>
    <xf numFmtId="43" fontId="0" fillId="0" borderId="0" xfId="0" applyNumberFormat="1" applyFont="1" applyAlignment="1">
      <alignment horizontal="center" vertical="center"/>
    </xf>
    <xf numFmtId="2" fontId="1" fillId="0" borderId="0" xfId="3" applyNumberFormat="1" applyFont="1" applyAlignment="1">
      <alignment horizontal="center"/>
    </xf>
    <xf numFmtId="43" fontId="0" fillId="0" borderId="0" xfId="1" applyFont="1" applyAlignment="1">
      <alignment horizontal="center"/>
    </xf>
    <xf numFmtId="9" fontId="5" fillId="0" borderId="0" xfId="3" applyFont="1" applyFill="1"/>
    <xf numFmtId="169" fontId="0" fillId="0" borderId="0" xfId="0" applyNumberFormat="1" applyAlignment="1">
      <alignment horizontal="center"/>
    </xf>
    <xf numFmtId="170" fontId="5" fillId="0" borderId="0" xfId="1" applyNumberFormat="1" applyFont="1" applyFill="1"/>
    <xf numFmtId="0" fontId="3" fillId="0" borderId="0" xfId="0" applyFont="1" applyAlignment="1">
      <alignment horizontal="center"/>
    </xf>
    <xf numFmtId="9" fontId="0" fillId="0" borderId="0" xfId="3" applyFont="1" applyAlignment="1">
      <alignment horizontal="right"/>
    </xf>
    <xf numFmtId="10" fontId="5" fillId="0" borderId="0" xfId="3" applyNumberFormat="1" applyFont="1" applyFill="1"/>
    <xf numFmtId="8" fontId="5" fillId="0" borderId="0" xfId="0" applyNumberFormat="1" applyFont="1" applyFill="1"/>
    <xf numFmtId="6" fontId="0" fillId="0" borderId="0" xfId="3" applyNumberFormat="1" applyFont="1" applyAlignment="1">
      <alignment horizontal="right"/>
    </xf>
    <xf numFmtId="0" fontId="17" fillId="0" borderId="0" xfId="0" applyFont="1" applyFill="1"/>
    <xf numFmtId="0" fontId="0" fillId="0" borderId="0" xfId="0" applyFill="1" applyAlignment="1">
      <alignment horizontal="right"/>
    </xf>
    <xf numFmtId="0" fontId="6" fillId="0" borderId="0" xfId="0" applyFont="1" applyFill="1"/>
    <xf numFmtId="171" fontId="8" fillId="4" borderId="0" xfId="0" applyNumberFormat="1" applyFont="1" applyFill="1"/>
    <xf numFmtId="164" fontId="8" fillId="4" borderId="0" xfId="0" applyNumberFormat="1" applyFont="1" applyFill="1"/>
    <xf numFmtId="4" fontId="8" fillId="0" borderId="0" xfId="1" applyNumberFormat="1" applyFont="1" applyAlignment="1">
      <alignment horizontal="center" vertical="center"/>
    </xf>
    <xf numFmtId="44" fontId="2" fillId="0" borderId="0" xfId="2" applyFont="1"/>
    <xf numFmtId="44" fontId="2" fillId="0" borderId="0" xfId="2" applyNumberFormat="1" applyFont="1"/>
    <xf numFmtId="0" fontId="2" fillId="0" borderId="0" xfId="0" applyFont="1"/>
    <xf numFmtId="168" fontId="2" fillId="0" borderId="0" xfId="2" applyNumberFormat="1" applyFont="1"/>
    <xf numFmtId="168" fontId="0" fillId="0" borderId="0" xfId="0" applyNumberFormat="1"/>
    <xf numFmtId="168" fontId="1" fillId="0" borderId="0" xfId="1" applyNumberFormat="1" applyFont="1"/>
    <xf numFmtId="168" fontId="2" fillId="0" borderId="0" xfId="1" applyNumberFormat="1" applyFont="1"/>
    <xf numFmtId="168" fontId="0" fillId="0" borderId="0" xfId="2" applyNumberFormat="1" applyFont="1"/>
    <xf numFmtId="1" fontId="0" fillId="0" borderId="0" xfId="1" applyNumberFormat="1" applyFont="1" applyAlignment="1">
      <alignment horizontal="center" vertical="center"/>
    </xf>
    <xf numFmtId="3" fontId="0" fillId="0" borderId="0" xfId="1" applyNumberFormat="1" applyFont="1" applyAlignment="1">
      <alignment horizontal="center" vertical="center"/>
    </xf>
    <xf numFmtId="164" fontId="0" fillId="4" borderId="0" xfId="2" applyNumberFormat="1" applyFont="1" applyFill="1" applyAlignment="1"/>
    <xf numFmtId="1" fontId="0" fillId="4" borderId="0" xfId="3" applyNumberFormat="1" applyFont="1" applyFill="1" applyAlignment="1"/>
    <xf numFmtId="1" fontId="0" fillId="4" borderId="0" xfId="3" applyNumberFormat="1" applyFont="1" applyFill="1" applyAlignment="1">
      <alignment horizontal="right"/>
    </xf>
    <xf numFmtId="4" fontId="2" fillId="0" borderId="0" xfId="1" applyNumberFormat="1" applyFont="1" applyAlignment="1">
      <alignment horizontal="center" vertical="center"/>
    </xf>
    <xf numFmtId="4" fontId="2" fillId="0" borderId="0" xfId="0" applyNumberFormat="1" applyFont="1" applyAlignment="1">
      <alignment horizontal="center" vertical="center"/>
    </xf>
    <xf numFmtId="1" fontId="8" fillId="4" borderId="0" xfId="0" applyNumberFormat="1" applyFont="1" applyFill="1"/>
    <xf numFmtId="168" fontId="2" fillId="0" borderId="0" xfId="0" applyNumberFormat="1" applyFont="1"/>
    <xf numFmtId="1" fontId="11" fillId="4" borderId="0" xfId="3" applyNumberFormat="1" applyFont="1" applyFill="1" applyAlignment="1">
      <alignment horizontal="right" vertical="center" wrapText="1"/>
    </xf>
    <xf numFmtId="168" fontId="2" fillId="0" borderId="0" xfId="0" applyNumberFormat="1" applyFont="1" applyFill="1"/>
    <xf numFmtId="2" fontId="2" fillId="0" borderId="0" xfId="0" applyNumberFormat="1" applyFont="1" applyAlignment="1">
      <alignment horizontal="right"/>
    </xf>
    <xf numFmtId="1" fontId="2" fillId="0" borderId="0" xfId="0" applyNumberFormat="1" applyFont="1"/>
    <xf numFmtId="43" fontId="2" fillId="0" borderId="0" xfId="1" applyFont="1"/>
    <xf numFmtId="2" fontId="2" fillId="0" borderId="0" xfId="2" applyNumberFormat="1" applyFont="1"/>
    <xf numFmtId="2" fontId="2" fillId="0" borderId="0" xfId="0" applyNumberFormat="1" applyFont="1"/>
    <xf numFmtId="2" fontId="2" fillId="0" borderId="0" xfId="2" applyNumberFormat="1" applyFont="1" applyAlignment="1">
      <alignment horizontal="right"/>
    </xf>
    <xf numFmtId="168" fontId="2" fillId="0" borderId="0" xfId="2" applyNumberFormat="1" applyFont="1" applyAlignment="1">
      <alignment horizontal="right"/>
    </xf>
    <xf numFmtId="10" fontId="11" fillId="4" borderId="0" xfId="3" applyNumberFormat="1" applyFont="1" applyFill="1" applyAlignment="1">
      <alignment horizontal="right" vertical="center" wrapText="1"/>
    </xf>
    <xf numFmtId="171" fontId="11" fillId="4" borderId="0" xfId="2" applyNumberFormat="1" applyFont="1" applyFill="1" applyAlignment="1">
      <alignment horizontal="right" vertical="center" wrapText="1"/>
    </xf>
    <xf numFmtId="173" fontId="2" fillId="0" borderId="0" xfId="2" applyNumberFormat="1" applyFont="1" applyAlignment="1">
      <alignment horizontal="right"/>
    </xf>
    <xf numFmtId="9" fontId="0" fillId="4" borderId="0" xfId="3" applyFont="1" applyFill="1" applyAlignment="1">
      <alignment horizontal="right" vertical="top" wrapText="1"/>
    </xf>
    <xf numFmtId="0" fontId="0" fillId="4" borderId="0" xfId="0" applyFill="1" applyAlignment="1">
      <alignment horizontal="right" vertical="center" wrapText="1"/>
    </xf>
    <xf numFmtId="0" fontId="0" fillId="4" borderId="0" xfId="0" applyFill="1" applyAlignment="1">
      <alignment horizontal="right" vertical="top" wrapText="1"/>
    </xf>
    <xf numFmtId="164" fontId="0" fillId="4" borderId="0" xfId="0" applyNumberFormat="1" applyFill="1" applyAlignment="1">
      <alignment horizontal="right" vertical="center" wrapText="1"/>
    </xf>
    <xf numFmtId="164" fontId="0" fillId="0" borderId="0" xfId="0" applyNumberFormat="1" applyAlignment="1">
      <alignment horizontal="center" vertical="center"/>
    </xf>
    <xf numFmtId="168" fontId="2" fillId="0" borderId="0" xfId="0" applyNumberFormat="1" applyFont="1" applyAlignment="1">
      <alignment horizontal="right"/>
    </xf>
    <xf numFmtId="8" fontId="2" fillId="0" borderId="0" xfId="0" applyNumberFormat="1" applyFont="1" applyAlignment="1">
      <alignment horizontal="center" vertical="center"/>
    </xf>
    <xf numFmtId="10" fontId="8" fillId="4" borderId="0" xfId="0" applyNumberFormat="1" applyFont="1" applyFill="1"/>
    <xf numFmtId="164" fontId="8" fillId="4" borderId="0" xfId="0" applyNumberFormat="1" applyFont="1" applyFill="1" applyAlignment="1">
      <alignment horizontal="right"/>
    </xf>
    <xf numFmtId="9" fontId="8" fillId="4" borderId="0" xfId="3" applyFont="1" applyFill="1" applyAlignment="1">
      <alignment horizontal="right"/>
    </xf>
    <xf numFmtId="0" fontId="0" fillId="0" borderId="0" xfId="0" applyAlignment="1">
      <alignment horizontal="left"/>
    </xf>
    <xf numFmtId="10" fontId="2" fillId="0" borderId="0" xfId="3" applyNumberFormat="1" applyFont="1"/>
    <xf numFmtId="168" fontId="8" fillId="0" borderId="0" xfId="0" applyNumberFormat="1" applyFont="1"/>
    <xf numFmtId="0" fontId="2" fillId="0" borderId="0" xfId="0" applyFont="1" applyAlignment="1">
      <alignment horizontal="right"/>
    </xf>
    <xf numFmtId="10" fontId="2" fillId="0" borderId="0" xfId="3" applyNumberFormat="1" applyFont="1" applyAlignment="1">
      <alignment horizontal="right"/>
    </xf>
    <xf numFmtId="164" fontId="8" fillId="4" borderId="0" xfId="2" applyNumberFormat="1" applyFont="1" applyFill="1"/>
    <xf numFmtId="0" fontId="5" fillId="0" borderId="0" xfId="0" applyFont="1" applyFill="1" applyAlignment="1">
      <alignment horizontal="right"/>
    </xf>
    <xf numFmtId="0" fontId="19" fillId="0" borderId="0" xfId="0" applyFont="1" applyFill="1" applyAlignment="1">
      <alignment horizontal="right"/>
    </xf>
    <xf numFmtId="2" fontId="8" fillId="0" borderId="0" xfId="0" applyNumberFormat="1" applyFont="1" applyFill="1"/>
    <xf numFmtId="164" fontId="8" fillId="0" borderId="0" xfId="0" applyNumberFormat="1" applyFont="1" applyFill="1"/>
    <xf numFmtId="168" fontId="0" fillId="0" borderId="0" xfId="0" applyNumberFormat="1" applyAlignment="1">
      <alignment horizontal="center" vertical="center"/>
    </xf>
    <xf numFmtId="2" fontId="0" fillId="0" borderId="0" xfId="3" applyNumberFormat="1" applyFont="1" applyAlignment="1">
      <alignment horizontal="center" vertical="center"/>
    </xf>
    <xf numFmtId="164" fontId="8" fillId="0" borderId="0" xfId="0" applyNumberFormat="1" applyFont="1"/>
    <xf numFmtId="171" fontId="0" fillId="0" borderId="0" xfId="0" applyNumberFormat="1"/>
    <xf numFmtId="171" fontId="0" fillId="0" borderId="0" xfId="3" applyNumberFormat="1" applyFont="1" applyAlignment="1">
      <alignment horizontal="center" vertical="center"/>
    </xf>
    <xf numFmtId="171" fontId="2" fillId="0" borderId="0" xfId="0" applyNumberFormat="1" applyFont="1"/>
    <xf numFmtId="164" fontId="2" fillId="0" borderId="0" xfId="2" applyNumberFormat="1" applyFont="1" applyFill="1" applyAlignment="1"/>
    <xf numFmtId="2" fontId="2" fillId="0" borderId="0" xfId="0" applyNumberFormat="1" applyFont="1" applyFill="1" applyAlignment="1"/>
    <xf numFmtId="44" fontId="2" fillId="0" borderId="0" xfId="2" applyNumberFormat="1" applyFont="1" applyFill="1" applyAlignment="1"/>
    <xf numFmtId="0" fontId="2" fillId="0" borderId="0" xfId="0" applyFont="1" applyFill="1" applyAlignment="1"/>
    <xf numFmtId="0" fontId="2" fillId="0" borderId="0" xfId="0" applyFont="1" applyFill="1" applyAlignment="1">
      <alignment horizontal="right"/>
    </xf>
    <xf numFmtId="10" fontId="2" fillId="0" borderId="0" xfId="3" applyNumberFormat="1" applyFont="1" applyFill="1" applyAlignment="1">
      <alignment horizontal="right"/>
    </xf>
    <xf numFmtId="175" fontId="2" fillId="0" borderId="0" xfId="0" applyNumberFormat="1" applyFont="1"/>
    <xf numFmtId="164" fontId="0" fillId="4" borderId="0" xfId="0" applyNumberFormat="1" applyFill="1"/>
    <xf numFmtId="168" fontId="0" fillId="4" borderId="0" xfId="0" applyNumberFormat="1" applyFill="1"/>
    <xf numFmtId="4" fontId="0" fillId="0" borderId="0" xfId="1" applyNumberFormat="1" applyFont="1" applyAlignment="1">
      <alignment horizontal="center" vertical="center"/>
    </xf>
    <xf numFmtId="176" fontId="0" fillId="0" borderId="0" xfId="1" applyNumberFormat="1" applyFont="1" applyAlignment="1">
      <alignment horizontal="center" vertical="center"/>
    </xf>
    <xf numFmtId="2" fontId="2" fillId="0" borderId="0" xfId="0" applyNumberFormat="1" applyFont="1" applyAlignment="1">
      <alignment horizontal="center" vertical="center"/>
    </xf>
    <xf numFmtId="43" fontId="8" fillId="0" borderId="0" xfId="1" applyFont="1" applyAlignment="1">
      <alignment horizontal="center" vertical="center"/>
    </xf>
    <xf numFmtId="4" fontId="2" fillId="0" borderId="0" xfId="1" applyNumberFormat="1" applyFont="1"/>
    <xf numFmtId="168" fontId="8" fillId="0" borderId="0" xfId="0" applyNumberFormat="1" applyFont="1" applyAlignment="1">
      <alignment horizontal="right"/>
    </xf>
    <xf numFmtId="4" fontId="0" fillId="0" borderId="0" xfId="0" applyNumberFormat="1" applyAlignment="1">
      <alignment horizontal="center" vertical="center"/>
    </xf>
    <xf numFmtId="0" fontId="0" fillId="0" borderId="0" xfId="0" applyAlignment="1">
      <alignment horizontal="left"/>
    </xf>
    <xf numFmtId="164" fontId="2" fillId="0" borderId="0" xfId="0" applyNumberFormat="1" applyFont="1" applyAlignment="1">
      <alignment horizontal="right"/>
    </xf>
    <xf numFmtId="168" fontId="2" fillId="0" borderId="0" xfId="1" applyNumberFormat="1" applyFont="1" applyFill="1" applyAlignment="1">
      <alignment horizontal="right"/>
    </xf>
    <xf numFmtId="164" fontId="8" fillId="4" borderId="0" xfId="3" applyNumberFormat="1" applyFont="1" applyFill="1"/>
    <xf numFmtId="43" fontId="2" fillId="0" borderId="0" xfId="1" applyFont="1" applyFill="1" applyAlignment="1">
      <alignment horizontal="right"/>
    </xf>
    <xf numFmtId="171" fontId="8" fillId="0" borderId="0" xfId="3" applyNumberFormat="1" applyFont="1" applyFill="1"/>
    <xf numFmtId="164" fontId="8" fillId="4" borderId="0" xfId="1" applyNumberFormat="1" applyFont="1" applyFill="1"/>
    <xf numFmtId="43" fontId="2" fillId="0" borderId="0" xfId="0" applyNumberFormat="1" applyFont="1" applyFill="1" applyAlignment="1">
      <alignment horizontal="right"/>
    </xf>
    <xf numFmtId="43" fontId="2" fillId="0" borderId="0" xfId="0" applyNumberFormat="1" applyFont="1" applyAlignment="1">
      <alignment horizontal="right"/>
    </xf>
    <xf numFmtId="43" fontId="2" fillId="0" borderId="0" xfId="0" applyNumberFormat="1" applyFont="1" applyAlignment="1">
      <alignment horizontal="center" vertical="center"/>
    </xf>
    <xf numFmtId="2" fontId="2" fillId="0" borderId="0" xfId="3" applyNumberFormat="1" applyFont="1" applyAlignment="1">
      <alignment horizontal="center" vertical="center"/>
    </xf>
    <xf numFmtId="0" fontId="8" fillId="0" borderId="0" xfId="0" quotePrefix="1" applyFont="1"/>
    <xf numFmtId="4" fontId="0" fillId="0" borderId="0" xfId="3" applyNumberFormat="1" applyFont="1" applyAlignment="1">
      <alignment horizontal="center" vertical="center"/>
    </xf>
    <xf numFmtId="3" fontId="0" fillId="0" borderId="0" xfId="3" applyNumberFormat="1" applyFont="1" applyAlignment="1">
      <alignment horizontal="center" vertical="center"/>
    </xf>
    <xf numFmtId="168" fontId="8" fillId="0" borderId="0" xfId="3" applyNumberFormat="1" applyFont="1"/>
    <xf numFmtId="10" fontId="2" fillId="0" borderId="0" xfId="0" applyNumberFormat="1" applyFont="1"/>
    <xf numFmtId="3" fontId="0" fillId="0" borderId="0" xfId="0" applyNumberFormat="1" applyAlignment="1">
      <alignment horizontal="center" vertical="center"/>
    </xf>
    <xf numFmtId="0" fontId="0" fillId="0" borderId="0" xfId="0" applyAlignment="1">
      <alignment horizontal="left" vertical="center"/>
    </xf>
    <xf numFmtId="6" fontId="8" fillId="4" borderId="0" xfId="1" applyNumberFormat="1" applyFont="1" applyFill="1"/>
    <xf numFmtId="164" fontId="2" fillId="0" borderId="0" xfId="0" applyNumberFormat="1" applyFont="1"/>
    <xf numFmtId="0" fontId="0" fillId="0" borderId="0" xfId="0" applyAlignment="1">
      <alignment horizontal="left"/>
    </xf>
    <xf numFmtId="8" fontId="2" fillId="0" borderId="0" xfId="0" applyNumberFormat="1" applyFont="1" applyAlignment="1">
      <alignment horizontal="center"/>
    </xf>
    <xf numFmtId="4" fontId="0" fillId="0" borderId="0" xfId="0" applyNumberFormat="1" applyBorder="1" applyAlignment="1">
      <alignment horizontal="center" vertical="center"/>
    </xf>
    <xf numFmtId="168" fontId="0" fillId="0" borderId="0" xfId="2" applyNumberFormat="1" applyFont="1" applyAlignment="1">
      <alignment horizontal="right"/>
    </xf>
    <xf numFmtId="43" fontId="2" fillId="0" borderId="0" xfId="1" applyFont="1" applyAlignment="1">
      <alignment horizontal="center" vertical="center"/>
    </xf>
    <xf numFmtId="168" fontId="8" fillId="4" borderId="0" xfId="0" applyNumberFormat="1" applyFont="1" applyFill="1"/>
    <xf numFmtId="1" fontId="2" fillId="0" borderId="0" xfId="0" applyNumberFormat="1" applyFont="1" applyAlignment="1">
      <alignment horizontal="center" vertical="center"/>
    </xf>
    <xf numFmtId="177" fontId="0" fillId="0" borderId="0" xfId="2" applyNumberFormat="1" applyFont="1" applyAlignment="1">
      <alignment horizontal="right"/>
    </xf>
    <xf numFmtId="178" fontId="0" fillId="0" borderId="0" xfId="2" applyNumberFormat="1" applyFont="1"/>
    <xf numFmtId="178" fontId="8" fillId="0" borderId="0" xfId="0" applyNumberFormat="1" applyFont="1"/>
    <xf numFmtId="179" fontId="0" fillId="0" borderId="0" xfId="3" applyNumberFormat="1" applyFont="1" applyAlignment="1">
      <alignment horizontal="center" vertical="center"/>
    </xf>
    <xf numFmtId="4" fontId="2" fillId="0" borderId="0" xfId="0" applyNumberFormat="1" applyFont="1" applyBorder="1" applyAlignment="1">
      <alignment horizontal="center" vertical="center"/>
    </xf>
    <xf numFmtId="10" fontId="2" fillId="0" borderId="0" xfId="0" applyNumberFormat="1" applyFont="1" applyAlignment="1">
      <alignment horizontal="center"/>
    </xf>
    <xf numFmtId="0" fontId="7" fillId="0" borderId="0" xfId="0" applyFont="1" applyAlignment="1">
      <alignment horizontal="center"/>
    </xf>
    <xf numFmtId="170" fontId="8" fillId="0" borderId="0" xfId="1" applyNumberFormat="1" applyFont="1" applyAlignment="1">
      <alignment horizontal="center"/>
    </xf>
    <xf numFmtId="3" fontId="0" fillId="0" borderId="0" xfId="1" applyNumberFormat="1" applyFont="1" applyAlignment="1">
      <alignment horizontal="center"/>
    </xf>
    <xf numFmtId="2" fontId="2" fillId="0" borderId="0" xfId="0" applyNumberFormat="1" applyFont="1" applyAlignment="1">
      <alignment horizontal="center"/>
    </xf>
    <xf numFmtId="10" fontId="0" fillId="0" borderId="0" xfId="0" applyNumberFormat="1" applyAlignment="1">
      <alignment horizontal="left"/>
    </xf>
    <xf numFmtId="169" fontId="2" fillId="0" borderId="0" xfId="0" applyNumberFormat="1" applyFont="1" applyAlignment="1">
      <alignment horizontal="center"/>
    </xf>
    <xf numFmtId="172" fontId="8" fillId="0" borderId="0" xfId="0" applyNumberFormat="1" applyFont="1" applyAlignment="1">
      <alignment horizontal="center"/>
    </xf>
    <xf numFmtId="170" fontId="8" fillId="4" borderId="0" xfId="1" applyNumberFormat="1" applyFont="1" applyFill="1"/>
    <xf numFmtId="1" fontId="8" fillId="4" borderId="0" xfId="1" applyNumberFormat="1" applyFont="1" applyFill="1"/>
    <xf numFmtId="168" fontId="2" fillId="0" borderId="0" xfId="1" applyNumberFormat="1" applyFont="1" applyAlignment="1">
      <alignment horizontal="right"/>
    </xf>
    <xf numFmtId="43" fontId="2" fillId="0" borderId="0" xfId="1" applyNumberFormat="1" applyFont="1"/>
    <xf numFmtId="43" fontId="2" fillId="0" borderId="0" xfId="1" applyFont="1" applyAlignment="1">
      <alignment horizontal="center"/>
    </xf>
    <xf numFmtId="1" fontId="8" fillId="0" borderId="0" xfId="0" applyNumberFormat="1" applyFont="1" applyAlignment="1">
      <alignment horizontal="center"/>
    </xf>
    <xf numFmtId="171" fontId="8" fillId="0" borderId="0" xfId="0" applyNumberFormat="1" applyFont="1" applyAlignment="1">
      <alignment horizontal="center"/>
    </xf>
    <xf numFmtId="164" fontId="8" fillId="6" borderId="0" xfId="0" applyNumberFormat="1" applyFont="1" applyFill="1"/>
    <xf numFmtId="0" fontId="0" fillId="6" borderId="0" xfId="0" applyFont="1" applyFill="1"/>
    <xf numFmtId="0" fontId="8" fillId="6" borderId="0" xfId="0" applyFont="1" applyFill="1"/>
    <xf numFmtId="0" fontId="7" fillId="0" borderId="0" xfId="0" applyFont="1" applyBorder="1"/>
    <xf numFmtId="0" fontId="0" fillId="6" borderId="1" xfId="0" applyFont="1" applyFill="1" applyBorder="1"/>
    <xf numFmtId="0" fontId="8" fillId="6" borderId="2" xfId="0" applyFont="1" applyFill="1" applyBorder="1"/>
    <xf numFmtId="0" fontId="8" fillId="6" borderId="2" xfId="0" applyFont="1" applyFill="1" applyBorder="1" applyAlignment="1">
      <alignment horizontal="right"/>
    </xf>
    <xf numFmtId="0" fontId="0" fillId="6" borderId="2" xfId="0" applyFont="1" applyFill="1" applyBorder="1"/>
    <xf numFmtId="0" fontId="0" fillId="4" borderId="2" xfId="0" applyFill="1" applyBorder="1"/>
    <xf numFmtId="10" fontId="16" fillId="0" borderId="0" xfId="3" applyNumberFormat="1" applyFont="1" applyAlignment="1">
      <alignment horizontal="right"/>
    </xf>
    <xf numFmtId="180" fontId="8" fillId="0" borderId="0" xfId="0" applyNumberFormat="1" applyFont="1"/>
    <xf numFmtId="181" fontId="8" fillId="4" borderId="0" xfId="1" applyNumberFormat="1" applyFont="1" applyFill="1"/>
    <xf numFmtId="170" fontId="8" fillId="0" borderId="0" xfId="0" applyNumberFormat="1" applyFont="1" applyAlignment="1">
      <alignment horizontal="center"/>
    </xf>
    <xf numFmtId="171" fontId="2" fillId="0" borderId="0" xfId="0" applyNumberFormat="1" applyFont="1" applyAlignment="1">
      <alignment horizontal="center"/>
    </xf>
    <xf numFmtId="181" fontId="8" fillId="0" borderId="0" xfId="0" applyNumberFormat="1" applyFont="1" applyAlignment="1">
      <alignment horizontal="center"/>
    </xf>
    <xf numFmtId="181" fontId="2" fillId="0" borderId="0" xfId="0" applyNumberFormat="1" applyFont="1" applyAlignment="1">
      <alignment horizontal="center"/>
    </xf>
    <xf numFmtId="168" fontId="2" fillId="0" borderId="0" xfId="3" applyNumberFormat="1" applyFont="1" applyAlignment="1">
      <alignment horizontal="right"/>
    </xf>
    <xf numFmtId="2" fontId="8" fillId="0" borderId="0" xfId="3" applyNumberFormat="1" applyFont="1" applyAlignment="1">
      <alignment horizontal="center" vertical="center"/>
    </xf>
    <xf numFmtId="179" fontId="8" fillId="0" borderId="0" xfId="3" applyNumberFormat="1" applyFont="1" applyAlignment="1">
      <alignment horizontal="center" vertical="center"/>
    </xf>
    <xf numFmtId="1" fontId="8" fillId="0" borderId="0" xfId="3" applyNumberFormat="1" applyFont="1" applyAlignment="1">
      <alignment horizontal="center" vertical="center"/>
    </xf>
    <xf numFmtId="168" fontId="2" fillId="0" borderId="0" xfId="3" applyNumberFormat="1" applyFont="1"/>
    <xf numFmtId="0" fontId="8" fillId="0" borderId="0" xfId="0" quotePrefix="1" applyFont="1" applyFill="1"/>
    <xf numFmtId="1" fontId="0" fillId="0" borderId="0" xfId="3" applyNumberFormat="1" applyFont="1" applyAlignment="1">
      <alignment horizontal="center"/>
    </xf>
    <xf numFmtId="0" fontId="0" fillId="0" borderId="0" xfId="0" applyFont="1" applyAlignment="1">
      <alignment horizontal="left" vertical="top" wrapText="1"/>
    </xf>
    <xf numFmtId="182" fontId="2" fillId="0" borderId="0" xfId="3" applyNumberFormat="1" applyFont="1" applyAlignment="1">
      <alignment horizontal="left"/>
    </xf>
    <xf numFmtId="2" fontId="8" fillId="0" borderId="0" xfId="0" applyNumberFormat="1" applyFont="1" applyAlignment="1">
      <alignment horizontal="center"/>
    </xf>
    <xf numFmtId="2" fontId="2" fillId="0" borderId="0" xfId="3" applyNumberFormat="1" applyFont="1" applyAlignment="1">
      <alignment horizontal="right"/>
    </xf>
    <xf numFmtId="4" fontId="0" fillId="0" borderId="0" xfId="0" applyNumberFormat="1" applyAlignment="1">
      <alignment horizontal="center"/>
    </xf>
    <xf numFmtId="4" fontId="8" fillId="0" borderId="0" xfId="3" applyNumberFormat="1" applyFont="1" applyAlignment="1">
      <alignment horizontal="center" vertical="center"/>
    </xf>
    <xf numFmtId="4" fontId="2" fillId="0" borderId="0" xfId="1" applyNumberFormat="1" applyFont="1" applyAlignment="1">
      <alignment horizontal="center"/>
    </xf>
    <xf numFmtId="4" fontId="2" fillId="0" borderId="0" xfId="0" applyNumberFormat="1" applyFont="1" applyAlignment="1">
      <alignment horizontal="center"/>
    </xf>
    <xf numFmtId="10" fontId="8" fillId="0" borderId="0" xfId="0" applyNumberFormat="1" applyFont="1" applyFill="1"/>
    <xf numFmtId="0" fontId="0" fillId="0" borderId="0" xfId="0" applyFont="1" applyAlignment="1">
      <alignment wrapText="1"/>
    </xf>
    <xf numFmtId="0" fontId="0" fillId="0" borderId="0" xfId="0" applyFont="1" applyAlignment="1">
      <alignment vertical="top" wrapText="1"/>
    </xf>
    <xf numFmtId="0" fontId="0" fillId="0" borderId="0" xfId="0" applyFont="1" applyAlignment="1">
      <alignment horizontal="right" vertical="top" wrapText="1"/>
    </xf>
    <xf numFmtId="0" fontId="0" fillId="4" borderId="0" xfId="0" applyFont="1" applyFill="1" applyAlignment="1">
      <alignment horizontal="right" vertical="top" wrapText="1"/>
    </xf>
    <xf numFmtId="164" fontId="0" fillId="4" borderId="0" xfId="0" applyNumberFormat="1" applyFont="1" applyFill="1" applyAlignment="1">
      <alignment horizontal="right" vertical="top" wrapText="1"/>
    </xf>
    <xf numFmtId="1" fontId="0" fillId="4" borderId="0" xfId="0" applyNumberFormat="1" applyFont="1" applyFill="1" applyAlignment="1">
      <alignment horizontal="right" vertical="top" wrapText="1"/>
    </xf>
    <xf numFmtId="174" fontId="0" fillId="4" borderId="0" xfId="0" applyNumberFormat="1" applyFont="1" applyFill="1" applyAlignment="1">
      <alignment horizontal="right" vertical="top" wrapText="1"/>
    </xf>
    <xf numFmtId="184" fontId="0" fillId="0" borderId="0" xfId="0" applyNumberFormat="1" applyAlignment="1">
      <alignment horizontal="center"/>
    </xf>
    <xf numFmtId="166" fontId="8" fillId="0" borderId="0" xfId="3" applyNumberFormat="1" applyFont="1" applyFill="1"/>
    <xf numFmtId="0" fontId="0" fillId="0" borderId="0" xfId="0" applyFont="1" applyAlignment="1">
      <alignment horizontal="center"/>
    </xf>
    <xf numFmtId="10" fontId="0" fillId="0" borderId="0" xfId="0" applyNumberFormat="1" applyFont="1" applyAlignment="1">
      <alignment horizontal="center"/>
    </xf>
    <xf numFmtId="8" fontId="0" fillId="0" borderId="0" xfId="0" applyNumberFormat="1" applyFont="1" applyAlignment="1">
      <alignment horizontal="center"/>
    </xf>
    <xf numFmtId="0" fontId="0" fillId="0" borderId="0" xfId="0" applyFont="1" applyAlignment="1">
      <alignment horizontal="left"/>
    </xf>
    <xf numFmtId="183" fontId="8" fillId="0" borderId="0" xfId="0" applyNumberFormat="1" applyFont="1" applyAlignment="1">
      <alignment horizontal="center"/>
    </xf>
    <xf numFmtId="0" fontId="8" fillId="0" borderId="0" xfId="0" applyNumberFormat="1" applyFont="1" applyAlignment="1">
      <alignment horizontal="center"/>
    </xf>
    <xf numFmtId="4" fontId="8" fillId="0" borderId="0" xfId="0" applyNumberFormat="1" applyFont="1" applyAlignment="1">
      <alignment horizontal="center"/>
    </xf>
    <xf numFmtId="3" fontId="8" fillId="0" borderId="0" xfId="0" applyNumberFormat="1" applyFont="1" applyAlignment="1">
      <alignment horizontal="center"/>
    </xf>
    <xf numFmtId="10" fontId="0" fillId="0" borderId="0" xfId="0" applyNumberFormat="1" applyFont="1" applyAlignment="1">
      <alignment horizontal="right"/>
    </xf>
    <xf numFmtId="8" fontId="2" fillId="0" borderId="0" xfId="0" applyNumberFormat="1" applyFont="1" applyAlignment="1">
      <alignment horizontal="right"/>
    </xf>
    <xf numFmtId="2" fontId="0" fillId="0" borderId="0" xfId="0" applyNumberFormat="1" applyFont="1" applyAlignment="1">
      <alignment horizontal="right"/>
    </xf>
    <xf numFmtId="10" fontId="2" fillId="0" borderId="0" xfId="3" applyNumberFormat="1" applyFont="1" applyFill="1" applyAlignment="1">
      <alignment wrapText="1"/>
    </xf>
    <xf numFmtId="0" fontId="0" fillId="0" borderId="0" xfId="0" applyAlignment="1">
      <alignment horizontal="left" vertical="center" wrapText="1"/>
    </xf>
    <xf numFmtId="0" fontId="0" fillId="0" borderId="0" xfId="0" applyFill="1" applyAlignment="1">
      <alignment wrapText="1"/>
    </xf>
    <xf numFmtId="0" fontId="0" fillId="0" borderId="0" xfId="0" applyFill="1" applyAlignment="1">
      <alignment horizontal="left" vertical="top" wrapText="1"/>
    </xf>
    <xf numFmtId="0" fontId="0" fillId="0" borderId="0" xfId="0" applyFont="1" applyFill="1" applyAlignment="1">
      <alignment horizontal="left" vertical="top" wrapText="1"/>
    </xf>
    <xf numFmtId="0" fontId="0" fillId="0" borderId="0" xfId="0" applyFont="1" applyFill="1" applyAlignment="1">
      <alignment horizontal="center" vertical="top" wrapText="1"/>
    </xf>
    <xf numFmtId="0" fontId="8" fillId="0" borderId="0" xfId="0" applyFont="1" applyFill="1" applyBorder="1"/>
    <xf numFmtId="164" fontId="8" fillId="4" borderId="0" xfId="1" applyNumberFormat="1" applyFont="1" applyFill="1" applyBorder="1"/>
    <xf numFmtId="170" fontId="8" fillId="4" borderId="0" xfId="1" applyNumberFormat="1" applyFont="1" applyFill="1" applyBorder="1"/>
    <xf numFmtId="0" fontId="8" fillId="2" borderId="0" xfId="0" applyFont="1" applyFill="1"/>
    <xf numFmtId="0" fontId="2" fillId="0" borderId="0" xfId="0" applyFont="1" applyFill="1" applyBorder="1"/>
    <xf numFmtId="0" fontId="8" fillId="0" borderId="0" xfId="0" applyFont="1" applyFill="1" applyAlignment="1">
      <alignment horizontal="center"/>
    </xf>
    <xf numFmtId="170" fontId="8" fillId="0" borderId="0" xfId="1" applyNumberFormat="1" applyFont="1" applyFill="1" applyBorder="1"/>
    <xf numFmtId="0" fontId="8" fillId="0" borderId="0" xfId="0" applyFont="1" applyFill="1" applyAlignment="1">
      <alignment horizontal="right"/>
    </xf>
    <xf numFmtId="6" fontId="8" fillId="0" borderId="0" xfId="0" applyNumberFormat="1" applyFont="1" applyFill="1" applyBorder="1"/>
    <xf numFmtId="6" fontId="8" fillId="0" borderId="0" xfId="0" applyNumberFormat="1" applyFont="1" applyFill="1"/>
    <xf numFmtId="6" fontId="2" fillId="0" borderId="0" xfId="0" applyNumberFormat="1" applyFont="1" applyFill="1"/>
    <xf numFmtId="6" fontId="0" fillId="0" borderId="0" xfId="0" applyNumberFormat="1"/>
    <xf numFmtId="6" fontId="0" fillId="2" borderId="0" xfId="0" applyNumberFormat="1" applyFill="1"/>
    <xf numFmtId="6" fontId="5" fillId="0" borderId="0" xfId="0" applyNumberFormat="1" applyFont="1"/>
    <xf numFmtId="6" fontId="3" fillId="0" borderId="0" xfId="0" applyNumberFormat="1" applyFont="1"/>
    <xf numFmtId="6" fontId="8" fillId="0" borderId="0" xfId="0" applyNumberFormat="1" applyFont="1" applyAlignment="1">
      <alignment horizontal="center"/>
    </xf>
    <xf numFmtId="6" fontId="7" fillId="0" borderId="0" xfId="0" applyNumberFormat="1" applyFont="1"/>
    <xf numFmtId="0" fontId="8" fillId="0" borderId="0" xfId="0" applyFont="1" applyFill="1" applyBorder="1" applyAlignment="1">
      <alignment horizontal="center"/>
    </xf>
    <xf numFmtId="6" fontId="16" fillId="0" borderId="0" xfId="0" applyNumberFormat="1" applyFont="1" applyFill="1" applyBorder="1"/>
    <xf numFmtId="6" fontId="21" fillId="0" borderId="0" xfId="0" applyNumberFormat="1" applyFont="1" applyFill="1"/>
    <xf numFmtId="8" fontId="8" fillId="0" borderId="0" xfId="0" applyNumberFormat="1" applyFont="1" applyFill="1" applyBorder="1" applyAlignment="1">
      <alignment horizontal="center"/>
    </xf>
    <xf numFmtId="6" fontId="0" fillId="0" borderId="0" xfId="0" applyNumberFormat="1" applyFill="1"/>
    <xf numFmtId="6" fontId="8" fillId="0" borderId="0" xfId="1" applyNumberFormat="1" applyFont="1" applyFill="1" applyBorder="1"/>
    <xf numFmtId="164" fontId="0" fillId="4" borderId="0" xfId="2" applyNumberFormat="1" applyFont="1" applyFill="1" applyAlignment="1">
      <alignment horizontal="right"/>
    </xf>
    <xf numFmtId="164" fontId="0" fillId="0" borderId="0" xfId="0" applyNumberFormat="1" applyFill="1"/>
    <xf numFmtId="164" fontId="11" fillId="4" borderId="0" xfId="0" applyNumberFormat="1" applyFont="1" applyFill="1" applyBorder="1" applyAlignment="1">
      <alignment horizontal="right" vertical="center" wrapText="1"/>
    </xf>
    <xf numFmtId="0" fontId="11" fillId="4" borderId="0" xfId="0" applyFont="1" applyFill="1" applyBorder="1" applyAlignment="1">
      <alignment horizontal="right" vertical="center" wrapText="1"/>
    </xf>
    <xf numFmtId="168" fontId="11" fillId="4" borderId="0" xfId="0" applyNumberFormat="1" applyFont="1" applyFill="1" applyBorder="1" applyAlignment="1">
      <alignment horizontal="right" vertical="center" wrapText="1"/>
    </xf>
    <xf numFmtId="164" fontId="11" fillId="0" borderId="0" xfId="0" applyNumberFormat="1" applyFont="1" applyFill="1" applyBorder="1" applyAlignment="1">
      <alignment horizontal="right" vertical="center" wrapText="1"/>
    </xf>
    <xf numFmtId="0" fontId="11" fillId="0" borderId="0" xfId="0" applyFont="1" applyFill="1" applyBorder="1" applyAlignment="1">
      <alignment horizontal="right" vertical="center" wrapText="1"/>
    </xf>
    <xf numFmtId="175" fontId="2" fillId="0" borderId="0" xfId="3" applyNumberFormat="1" applyFont="1"/>
    <xf numFmtId="175" fontId="8" fillId="4" borderId="0" xfId="3" applyNumberFormat="1" applyFont="1" applyFill="1"/>
    <xf numFmtId="168" fontId="8" fillId="0" borderId="0" xfId="2" applyNumberFormat="1" applyFont="1" applyAlignment="1">
      <alignment horizontal="right"/>
    </xf>
    <xf numFmtId="166" fontId="8" fillId="4" borderId="0" xfId="3" applyNumberFormat="1" applyFont="1" applyFill="1"/>
    <xf numFmtId="10" fontId="8" fillId="4" borderId="0" xfId="3" applyNumberFormat="1" applyFont="1" applyFill="1"/>
    <xf numFmtId="185" fontId="0" fillId="0" borderId="0" xfId="0" applyNumberFormat="1"/>
    <xf numFmtId="171" fontId="0" fillId="0" borderId="0" xfId="0" applyNumberFormat="1" applyAlignment="1">
      <alignment horizontal="center"/>
    </xf>
    <xf numFmtId="0" fontId="0" fillId="0" borderId="0" xfId="0" applyAlignment="1"/>
    <xf numFmtId="0" fontId="7" fillId="0" borderId="0" xfId="0" applyFont="1" applyAlignment="1"/>
    <xf numFmtId="10" fontId="0" fillId="0" borderId="0" xfId="3" applyNumberFormat="1" applyFont="1" applyAlignment="1"/>
    <xf numFmtId="186" fontId="8" fillId="0" borderId="0" xfId="0" applyNumberFormat="1" applyFont="1" applyAlignment="1">
      <alignment horizontal="center"/>
    </xf>
    <xf numFmtId="2" fontId="0" fillId="0" borderId="0" xfId="0" applyNumberFormat="1" applyAlignment="1">
      <alignment horizontal="center"/>
    </xf>
    <xf numFmtId="10" fontId="8" fillId="0" borderId="0" xfId="0" applyNumberFormat="1" applyFont="1" applyAlignment="1">
      <alignment horizontal="right"/>
    </xf>
    <xf numFmtId="0" fontId="8" fillId="0" borderId="0" xfId="0" applyFont="1" applyAlignment="1">
      <alignment horizontal="right"/>
    </xf>
    <xf numFmtId="165" fontId="0" fillId="0" borderId="0" xfId="0" applyNumberFormat="1"/>
    <xf numFmtId="10" fontId="0" fillId="4" borderId="0" xfId="3" applyNumberFormat="1" applyFont="1" applyFill="1" applyAlignment="1">
      <alignment horizontal="right"/>
    </xf>
    <xf numFmtId="0" fontId="0" fillId="4" borderId="0" xfId="0" applyFill="1" applyAlignment="1">
      <alignment horizontal="right"/>
    </xf>
    <xf numFmtId="10" fontId="0" fillId="4" borderId="2" xfId="3" applyNumberFormat="1" applyFont="1" applyFill="1" applyBorder="1"/>
    <xf numFmtId="10" fontId="8" fillId="4" borderId="0" xfId="3" applyNumberFormat="1" applyFont="1" applyFill="1" applyAlignment="1">
      <alignment wrapText="1"/>
    </xf>
    <xf numFmtId="10" fontId="8" fillId="0" borderId="0" xfId="3" applyNumberFormat="1" applyFont="1" applyFill="1"/>
    <xf numFmtId="2" fontId="0" fillId="0" borderId="0" xfId="3" applyNumberFormat="1" applyFont="1" applyAlignment="1">
      <alignment horizontal="center"/>
    </xf>
    <xf numFmtId="0" fontId="0" fillId="0" borderId="0" xfId="0" applyAlignment="1">
      <alignment vertical="center" wrapText="1"/>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vertical="center" wrapText="1"/>
    </xf>
    <xf numFmtId="0" fontId="0" fillId="5" borderId="0" xfId="0" applyFill="1" applyAlignment="1">
      <alignment wrapText="1"/>
    </xf>
    <xf numFmtId="0" fontId="3" fillId="5" borderId="0" xfId="0" applyFont="1" applyFill="1" applyAlignment="1">
      <alignment horizontal="left" vertical="top" wrapText="1"/>
    </xf>
    <xf numFmtId="0" fontId="0" fillId="5" borderId="0" xfId="0" applyFill="1" applyAlignment="1">
      <alignment horizontal="left" vertical="top" wrapText="1"/>
    </xf>
    <xf numFmtId="0" fontId="22" fillId="0" borderId="0" xfId="0" applyFont="1" applyAlignment="1">
      <alignment horizontal="left" vertical="top" wrapText="1"/>
    </xf>
    <xf numFmtId="0" fontId="0" fillId="0" borderId="0" xfId="0" applyAlignment="1">
      <alignment vertical="center" wrapText="1"/>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xf>
    <xf numFmtId="0" fontId="0" fillId="0" borderId="0" xfId="0" applyFont="1" applyAlignment="1">
      <alignment horizontal="left" vertical="top" wrapText="1"/>
    </xf>
    <xf numFmtId="0" fontId="0" fillId="0" borderId="0" xfId="0" applyAlignment="1">
      <alignment vertical="top" wrapText="1"/>
    </xf>
    <xf numFmtId="0" fontId="3" fillId="5" borderId="0" xfId="0" applyFont="1" applyFill="1"/>
    <xf numFmtId="0" fontId="23" fillId="0" borderId="0" xfId="0" applyFont="1"/>
    <xf numFmtId="0" fontId="23" fillId="5" borderId="0" xfId="0" applyFont="1" applyFill="1"/>
    <xf numFmtId="0" fontId="0" fillId="5" borderId="0" xfId="0" applyFont="1" applyFill="1"/>
    <xf numFmtId="0" fontId="0" fillId="0" borderId="0" xfId="0" applyAlignment="1">
      <alignment vertical="center" wrapText="1"/>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center" wrapText="1"/>
    </xf>
    <xf numFmtId="9" fontId="0" fillId="4" borderId="0" xfId="3" applyFont="1" applyFill="1" applyAlignment="1"/>
    <xf numFmtId="1" fontId="0" fillId="0" borderId="0" xfId="3" applyNumberFormat="1" applyFont="1" applyFill="1" applyAlignment="1">
      <alignment horizontal="right"/>
    </xf>
    <xf numFmtId="0" fontId="3" fillId="0" borderId="0" xfId="0" applyFont="1" applyAlignment="1">
      <alignment vertical="top" wrapText="1"/>
    </xf>
    <xf numFmtId="0" fontId="10" fillId="0" borderId="0" xfId="0" applyFont="1" applyAlignment="1">
      <alignment horizontal="right" vertical="top" wrapText="1"/>
    </xf>
    <xf numFmtId="9" fontId="0" fillId="4" borderId="0" xfId="3" applyFont="1" applyFill="1" applyAlignment="1">
      <alignment horizontal="right"/>
    </xf>
    <xf numFmtId="1" fontId="11" fillId="0" borderId="0" xfId="3" applyNumberFormat="1" applyFont="1" applyFill="1" applyAlignment="1">
      <alignment horizontal="right" vertical="center" wrapText="1"/>
    </xf>
    <xf numFmtId="9" fontId="0" fillId="4" borderId="0" xfId="3" applyFont="1" applyFill="1"/>
    <xf numFmtId="0" fontId="0" fillId="0" borderId="0" xfId="0" applyFont="1" applyAlignment="1">
      <alignment vertical="center" wrapText="1"/>
    </xf>
    <xf numFmtId="0" fontId="0" fillId="0" borderId="0" xfId="0" applyFont="1" applyAlignment="1">
      <alignment horizontal="left" vertical="center" wrapText="1"/>
    </xf>
    <xf numFmtId="2" fontId="0" fillId="0" borderId="0" xfId="0" applyNumberFormat="1" applyFont="1"/>
    <xf numFmtId="2" fontId="0" fillId="5" borderId="0" xfId="0" applyNumberFormat="1" applyFont="1" applyFill="1"/>
    <xf numFmtId="0" fontId="24" fillId="0" borderId="0" xfId="0" applyFont="1" applyAlignment="1">
      <alignment horizontal="left" vertical="top"/>
    </xf>
    <xf numFmtId="0" fontId="24" fillId="0" borderId="0" xfId="0" applyFont="1" applyAlignment="1">
      <alignment horizontal="center" vertical="center" wrapText="1"/>
    </xf>
    <xf numFmtId="0" fontId="25" fillId="0" borderId="0" xfId="0" applyFont="1" applyAlignment="1">
      <alignment horizontal="left" vertical="center" wrapText="1"/>
    </xf>
    <xf numFmtId="1" fontId="24" fillId="4" borderId="0" xfId="3" applyNumberFormat="1" applyFont="1" applyFill="1" applyAlignment="1">
      <alignment horizontal="right" vertical="center" wrapText="1"/>
    </xf>
    <xf numFmtId="171" fontId="24" fillId="0" borderId="0" xfId="3" applyNumberFormat="1" applyFont="1" applyFill="1" applyAlignment="1">
      <alignment horizontal="right" vertical="center" wrapText="1"/>
    </xf>
    <xf numFmtId="187" fontId="24" fillId="4" borderId="0" xfId="3" applyNumberFormat="1" applyFont="1" applyFill="1" applyAlignment="1">
      <alignment horizontal="right" vertical="center" wrapText="1"/>
    </xf>
    <xf numFmtId="1" fontId="0" fillId="4" borderId="0" xfId="2" applyNumberFormat="1" applyFont="1" applyFill="1" applyAlignment="1">
      <alignment horizontal="right"/>
    </xf>
    <xf numFmtId="9" fontId="24" fillId="4" borderId="0" xfId="3" applyFont="1" applyFill="1" applyAlignment="1">
      <alignment horizontal="right" vertical="center" wrapText="1"/>
    </xf>
    <xf numFmtId="166" fontId="0" fillId="4" borderId="0" xfId="3" applyNumberFormat="1" applyFont="1" applyFill="1" applyAlignment="1">
      <alignment horizontal="right"/>
    </xf>
    <xf numFmtId="0" fontId="24" fillId="0" borderId="0" xfId="0" applyFont="1" applyAlignment="1">
      <alignment horizontal="left" vertical="center" wrapText="1"/>
    </xf>
    <xf numFmtId="164" fontId="24" fillId="4" borderId="0" xfId="3" applyNumberFormat="1" applyFont="1" applyFill="1" applyAlignment="1">
      <alignment horizontal="right" vertical="center" wrapText="1"/>
    </xf>
    <xf numFmtId="0" fontId="24" fillId="3" borderId="0" xfId="0" applyFont="1" applyFill="1" applyAlignment="1">
      <alignment horizontal="left" vertical="center" wrapText="1"/>
    </xf>
    <xf numFmtId="166" fontId="24" fillId="4" borderId="0" xfId="3" applyNumberFormat="1" applyFont="1" applyFill="1" applyAlignment="1">
      <alignment horizontal="right" vertical="center" wrapText="1"/>
    </xf>
    <xf numFmtId="164" fontId="0" fillId="4" borderId="0" xfId="3" applyNumberFormat="1" applyFont="1" applyFill="1" applyAlignment="1">
      <alignment horizontal="right"/>
    </xf>
    <xf numFmtId="0" fontId="24" fillId="4" borderId="0" xfId="3" applyNumberFormat="1" applyFont="1" applyFill="1" applyAlignment="1">
      <alignment horizontal="right" vertical="center" wrapText="1"/>
    </xf>
    <xf numFmtId="1" fontId="0" fillId="0" borderId="0" xfId="0" applyNumberFormat="1" applyFont="1"/>
    <xf numFmtId="168" fontId="0" fillId="4" borderId="0" xfId="3" applyNumberFormat="1" applyFont="1" applyFill="1" applyAlignment="1">
      <alignment horizontal="right"/>
    </xf>
    <xf numFmtId="1" fontId="0" fillId="0" borderId="0" xfId="0" applyNumberFormat="1" applyFont="1" applyFill="1"/>
    <xf numFmtId="0" fontId="24" fillId="0" borderId="0" xfId="0" applyFont="1" applyAlignment="1">
      <alignment horizontal="left" vertical="top" wrapText="1"/>
    </xf>
    <xf numFmtId="0" fontId="24" fillId="0" borderId="0" xfId="0" applyFont="1" applyFill="1" applyAlignment="1">
      <alignment horizontal="left" vertical="center" wrapText="1"/>
    </xf>
    <xf numFmtId="168" fontId="24" fillId="4" borderId="0" xfId="3" applyNumberFormat="1" applyFont="1" applyFill="1" applyAlignment="1">
      <alignment horizontal="right" vertical="center" wrapText="1"/>
    </xf>
    <xf numFmtId="171" fontId="11" fillId="0" borderId="0" xfId="2" applyNumberFormat="1" applyFont="1" applyFill="1" applyAlignment="1">
      <alignment horizontal="right" vertical="center" wrapText="1"/>
    </xf>
    <xf numFmtId="166" fontId="24" fillId="0" borderId="0" xfId="3" applyNumberFormat="1" applyFont="1" applyFill="1" applyAlignment="1">
      <alignment horizontal="right" vertical="center" wrapText="1"/>
    </xf>
    <xf numFmtId="0" fontId="8" fillId="5" borderId="0" xfId="0" applyFont="1" applyFill="1"/>
    <xf numFmtId="0" fontId="6" fillId="0" borderId="0" xfId="0" applyFont="1" applyAlignment="1">
      <alignment horizontal="left" vertical="top" wrapText="1"/>
    </xf>
    <xf numFmtId="0" fontId="22" fillId="0" borderId="0" xfId="0" applyFont="1" applyAlignment="1">
      <alignment horizontal="left" vertical="top" wrapText="1"/>
    </xf>
    <xf numFmtId="0" fontId="0" fillId="0" borderId="0" xfId="0" applyAlignment="1">
      <alignment vertical="center" wrapText="1"/>
    </xf>
    <xf numFmtId="0" fontId="3" fillId="0" borderId="0" xfId="0" applyFont="1" applyAlignment="1">
      <alignment horizontal="left" vertical="top" wrapText="1"/>
    </xf>
    <xf numFmtId="0" fontId="3" fillId="0" borderId="0" xfId="0" applyFont="1" applyAlignment="1">
      <alignment vertical="top" wrapText="1"/>
    </xf>
    <xf numFmtId="0" fontId="0" fillId="0" borderId="0" xfId="0" applyAlignment="1">
      <alignment horizontal="left" vertical="center" wrapText="1"/>
    </xf>
    <xf numFmtId="0" fontId="0" fillId="0" borderId="0" xfId="0" applyAlignment="1">
      <alignment horizontal="left"/>
    </xf>
    <xf numFmtId="0" fontId="0" fillId="0" borderId="0" xfId="0" applyFont="1" applyAlignment="1">
      <alignment horizontal="left" vertical="top" wrapText="1"/>
    </xf>
    <xf numFmtId="0" fontId="0" fillId="0" borderId="0" xfId="0" applyAlignment="1">
      <alignment horizontal="left" vertical="top" wrapText="1"/>
    </xf>
    <xf numFmtId="0" fontId="8" fillId="0" borderId="0" xfId="0" applyFont="1" applyAlignment="1">
      <alignment vertical="center" wrapText="1"/>
    </xf>
    <xf numFmtId="0" fontId="0" fillId="0" borderId="0" xfId="0" applyAlignment="1">
      <alignment horizontal="left" vertical="top"/>
    </xf>
    <xf numFmtId="0" fontId="0" fillId="0" borderId="0" xfId="0" applyAlignment="1">
      <alignment vertical="top" wrapText="1"/>
    </xf>
    <xf numFmtId="0" fontId="0" fillId="5" borderId="0" xfId="0" applyFill="1" applyAlignment="1">
      <alignment horizontal="left" vertical="center" wrapText="1"/>
    </xf>
    <xf numFmtId="0" fontId="0" fillId="5" borderId="0" xfId="0" applyFill="1" applyAlignment="1">
      <alignment vertical="center" wrapText="1"/>
    </xf>
    <xf numFmtId="0" fontId="10" fillId="0" borderId="0" xfId="0" applyFont="1" applyAlignment="1">
      <alignment horizontal="right"/>
    </xf>
    <xf numFmtId="164" fontId="10" fillId="0" borderId="0" xfId="0" applyNumberFormat="1" applyFont="1" applyFill="1" applyAlignment="1">
      <alignment horizontal="right" vertical="center" wrapText="1"/>
    </xf>
    <xf numFmtId="0" fontId="3" fillId="0" borderId="0" xfId="0" applyFont="1" applyFill="1" applyAlignment="1">
      <alignment vertical="top" wrapText="1"/>
    </xf>
    <xf numFmtId="164" fontId="0" fillId="0" borderId="0" xfId="0" applyNumberFormat="1" applyAlignment="1">
      <alignment vertical="center" wrapText="1"/>
    </xf>
    <xf numFmtId="164" fontId="11" fillId="0" borderId="0" xfId="0" applyNumberFormat="1" applyFont="1" applyFill="1" applyBorder="1" applyAlignment="1">
      <alignment horizontal="left" vertical="center" wrapText="1"/>
    </xf>
    <xf numFmtId="0" fontId="11" fillId="0" borderId="0" xfId="0" applyFont="1" applyFill="1" applyAlignment="1">
      <alignment horizontal="right" vertical="center" wrapText="1"/>
    </xf>
    <xf numFmtId="0" fontId="11" fillId="0" borderId="0" xfId="0" applyFont="1" applyFill="1" applyAlignment="1">
      <alignment horizontal="right" vertical="center"/>
    </xf>
    <xf numFmtId="0" fontId="0" fillId="0" borderId="0" xfId="0" applyFont="1" applyAlignment="1">
      <alignment horizontal="right"/>
    </xf>
    <xf numFmtId="164" fontId="0" fillId="0" borderId="0" xfId="0" applyNumberFormat="1" applyFont="1" applyAlignment="1">
      <alignment horizontal="right"/>
    </xf>
    <xf numFmtId="164" fontId="0" fillId="0" borderId="0" xfId="0" applyNumberFormat="1" applyAlignment="1">
      <alignment horizontal="right"/>
    </xf>
    <xf numFmtId="0" fontId="3" fillId="5" borderId="0" xfId="0" applyFont="1" applyFill="1" applyAlignment="1">
      <alignment horizontal="left"/>
    </xf>
    <xf numFmtId="0" fontId="8" fillId="5" borderId="0" xfId="0" applyFont="1" applyFill="1" applyAlignment="1">
      <alignment horizontal="center"/>
    </xf>
    <xf numFmtId="0" fontId="0" fillId="0" borderId="0" xfId="0" applyAlignment="1">
      <alignment horizontal="right" vertical="center" wrapText="1"/>
    </xf>
    <xf numFmtId="168" fontId="0" fillId="0" borderId="0" xfId="0" applyNumberFormat="1" applyAlignment="1">
      <alignment horizontal="right" vertical="center" wrapText="1"/>
    </xf>
    <xf numFmtId="164" fontId="0" fillId="0" borderId="0" xfId="0" applyNumberFormat="1" applyAlignment="1">
      <alignment horizontal="right" vertical="center" wrapText="1"/>
    </xf>
    <xf numFmtId="164" fontId="0" fillId="5" borderId="0" xfId="0" applyNumberFormat="1" applyFill="1" applyAlignment="1">
      <alignment horizontal="right" vertical="center" wrapText="1"/>
    </xf>
    <xf numFmtId="168" fontId="0" fillId="5" borderId="0" xfId="0" applyNumberFormat="1" applyFill="1" applyAlignment="1">
      <alignment horizontal="right" vertical="center" wrapText="1"/>
    </xf>
    <xf numFmtId="0" fontId="0" fillId="5" borderId="0" xfId="0" applyFill="1" applyAlignment="1">
      <alignment horizontal="right" vertical="center" wrapText="1"/>
    </xf>
    <xf numFmtId="168" fontId="11" fillId="0" borderId="0" xfId="0" applyNumberFormat="1" applyFont="1" applyFill="1" applyBorder="1" applyAlignment="1">
      <alignment horizontal="right" vertical="center" wrapText="1"/>
    </xf>
    <xf numFmtId="0" fontId="0" fillId="0" borderId="0" xfId="0" applyAlignment="1">
      <alignment vertical="center" wrapText="1"/>
    </xf>
    <xf numFmtId="0" fontId="3" fillId="0" borderId="0" xfId="0" applyFont="1" applyAlignment="1">
      <alignment horizontal="left" vertical="top" wrapText="1"/>
    </xf>
    <xf numFmtId="0" fontId="0" fillId="0" borderId="0" xfId="0" applyFont="1" applyAlignment="1">
      <alignment horizontal="left" vertical="top" wrapText="1"/>
    </xf>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top" wrapText="1"/>
    </xf>
    <xf numFmtId="0" fontId="3" fillId="0" borderId="0" xfId="0" applyFont="1" applyAlignment="1">
      <alignment vertical="center" wrapText="1"/>
    </xf>
    <xf numFmtId="0" fontId="0" fillId="5" borderId="0" xfId="0" applyFont="1" applyFill="1" applyAlignment="1">
      <alignment horizontal="left"/>
    </xf>
    <xf numFmtId="164" fontId="24" fillId="4" borderId="0" xfId="2" applyNumberFormat="1" applyFont="1" applyFill="1" applyAlignment="1">
      <alignment horizontal="right" vertical="center" wrapText="1"/>
    </xf>
    <xf numFmtId="9" fontId="24" fillId="0" borderId="0" xfId="3" applyFont="1" applyFill="1" applyAlignment="1">
      <alignment horizontal="right" vertical="center" wrapText="1"/>
    </xf>
    <xf numFmtId="168" fontId="0" fillId="0" borderId="0" xfId="0" applyNumberFormat="1" applyFont="1"/>
    <xf numFmtId="8" fontId="0" fillId="0" borderId="0" xfId="0" applyNumberFormat="1" applyFont="1" applyAlignment="1">
      <alignment horizontal="right" vertical="center"/>
    </xf>
    <xf numFmtId="0" fontId="24" fillId="4" borderId="0" xfId="2" applyNumberFormat="1" applyFont="1" applyFill="1" applyBorder="1" applyAlignment="1">
      <alignment horizontal="right" vertical="center" wrapText="1"/>
    </xf>
    <xf numFmtId="9" fontId="24" fillId="0" borderId="0" xfId="3" applyFont="1" applyFill="1" applyAlignment="1">
      <alignment horizontal="left" vertical="center" wrapText="1"/>
    </xf>
    <xf numFmtId="164" fontId="0" fillId="4" borderId="0" xfId="3" applyNumberFormat="1" applyFont="1" applyFill="1" applyBorder="1" applyAlignment="1">
      <alignment horizontal="right"/>
    </xf>
    <xf numFmtId="9" fontId="24" fillId="4" borderId="0" xfId="3" applyFont="1" applyFill="1" applyBorder="1" applyAlignment="1">
      <alignment horizontal="right" vertical="center" wrapText="1"/>
    </xf>
    <xf numFmtId="0" fontId="0" fillId="0" borderId="0" xfId="0" applyBorder="1"/>
    <xf numFmtId="0" fontId="0" fillId="0" borderId="0" xfId="0" applyBorder="1" applyAlignment="1">
      <alignment vertical="center"/>
    </xf>
    <xf numFmtId="0" fontId="24" fillId="0" borderId="0" xfId="0" applyFont="1" applyAlignment="1">
      <alignment horizontal="left" vertical="top"/>
    </xf>
    <xf numFmtId="9" fontId="24" fillId="0" borderId="0" xfId="3" applyFont="1" applyFill="1" applyBorder="1" applyAlignment="1">
      <alignment horizontal="right" vertical="center" wrapText="1"/>
    </xf>
    <xf numFmtId="43" fontId="2" fillId="0" borderId="0" xfId="1" applyFont="1" applyAlignment="1">
      <alignment horizontal="right"/>
    </xf>
    <xf numFmtId="0" fontId="3" fillId="6" borderId="0" xfId="0" applyFont="1" applyFill="1"/>
    <xf numFmtId="0" fontId="5" fillId="6" borderId="0" xfId="0" applyFont="1" applyFill="1"/>
    <xf numFmtId="0" fontId="0" fillId="6" borderId="0" xfId="0" applyFill="1"/>
    <xf numFmtId="10" fontId="8" fillId="5" borderId="0" xfId="3" applyNumberFormat="1" applyFont="1" applyFill="1"/>
    <xf numFmtId="0" fontId="5" fillId="5" borderId="0" xfId="0" applyFont="1" applyFill="1"/>
    <xf numFmtId="188" fontId="0" fillId="0" borderId="0" xfId="0" applyNumberFormat="1" applyAlignment="1">
      <alignment horizontal="center" vertical="center"/>
    </xf>
    <xf numFmtId="0" fontId="0" fillId="2" borderId="0" xfId="0" applyFont="1" applyFill="1"/>
    <xf numFmtId="2" fontId="0" fillId="4" borderId="0" xfId="0" applyNumberFormat="1" applyFill="1"/>
    <xf numFmtId="10" fontId="0" fillId="4" borderId="0" xfId="3" applyNumberFormat="1" applyFont="1" applyFill="1"/>
    <xf numFmtId="0" fontId="8" fillId="5" borderId="0" xfId="0" applyFont="1" applyFill="1" applyAlignment="1">
      <alignment horizontal="right"/>
    </xf>
    <xf numFmtId="2" fontId="8" fillId="0" borderId="0" xfId="0" applyNumberFormat="1" applyFont="1" applyAlignment="1">
      <alignment horizontal="center" vertical="center"/>
    </xf>
    <xf numFmtId="189" fontId="8" fillId="4" borderId="0" xfId="3" applyNumberFormat="1" applyFont="1" applyFill="1"/>
    <xf numFmtId="189" fontId="8" fillId="0" borderId="0" xfId="3" applyNumberFormat="1" applyFont="1" applyFill="1"/>
    <xf numFmtId="164" fontId="8" fillId="5" borderId="0" xfId="0" applyNumberFormat="1" applyFont="1" applyFill="1"/>
    <xf numFmtId="189" fontId="8" fillId="5" borderId="0" xfId="3" applyNumberFormat="1" applyFont="1" applyFill="1"/>
    <xf numFmtId="0" fontId="0" fillId="0" borderId="0" xfId="0" applyFont="1" applyAlignment="1">
      <alignment horizontal="center" vertical="center"/>
    </xf>
    <xf numFmtId="2" fontId="0" fillId="0" borderId="0" xfId="0" applyNumberFormat="1" applyFont="1" applyAlignment="1">
      <alignment horizontal="center" vertical="center"/>
    </xf>
    <xf numFmtId="0" fontId="24" fillId="0" borderId="0" xfId="0" applyFont="1"/>
    <xf numFmtId="190" fontId="0" fillId="0" borderId="0" xfId="3" applyNumberFormat="1" applyFont="1" applyAlignment="1">
      <alignment horizontal="center" vertical="center"/>
    </xf>
    <xf numFmtId="1" fontId="0" fillId="0" borderId="0" xfId="0" applyNumberFormat="1" applyFont="1" applyAlignment="1">
      <alignment horizontal="center" vertical="center"/>
    </xf>
    <xf numFmtId="3" fontId="0" fillId="0" borderId="0" xfId="0" applyNumberFormat="1" applyFont="1" applyAlignment="1">
      <alignment horizontal="center" vertical="center"/>
    </xf>
    <xf numFmtId="0" fontId="0" fillId="6" borderId="0" xfId="0" applyFill="1" applyAlignment="1">
      <alignment wrapText="1"/>
    </xf>
    <xf numFmtId="0" fontId="3" fillId="6" borderId="0" xfId="0" applyFont="1" applyFill="1" applyAlignment="1">
      <alignment vertical="top"/>
    </xf>
    <xf numFmtId="0" fontId="0" fillId="6" borderId="0" xfId="0" applyFill="1" applyAlignment="1">
      <alignment horizontal="left" vertical="top" wrapText="1"/>
    </xf>
    <xf numFmtId="0" fontId="3" fillId="5" borderId="0" xfId="0" applyFont="1" applyFill="1" applyAlignment="1">
      <alignment vertical="top"/>
    </xf>
    <xf numFmtId="1" fontId="8" fillId="5" borderId="0" xfId="3" applyNumberFormat="1" applyFont="1" applyFill="1"/>
    <xf numFmtId="1" fontId="8" fillId="0" borderId="0" xfId="3" applyNumberFormat="1" applyFont="1" applyFill="1"/>
    <xf numFmtId="0" fontId="24" fillId="0" borderId="0" xfId="0" applyFont="1" applyAlignment="1">
      <alignment horizontal="left"/>
    </xf>
    <xf numFmtId="0" fontId="24" fillId="0" borderId="0" xfId="0" applyFont="1" applyAlignment="1"/>
    <xf numFmtId="0" fontId="0" fillId="0" borderId="0" xfId="0" applyFont="1" applyAlignment="1"/>
    <xf numFmtId="0" fontId="0" fillId="5" borderId="0" xfId="0" applyFill="1" applyAlignment="1">
      <alignment vertical="top" wrapText="1"/>
    </xf>
    <xf numFmtId="170" fontId="8" fillId="6" borderId="0" xfId="1" applyNumberFormat="1" applyFont="1" applyFill="1"/>
    <xf numFmtId="0" fontId="4" fillId="5" borderId="0" xfId="0" applyFont="1" applyFill="1"/>
    <xf numFmtId="0" fontId="0" fillId="5" borderId="0" xfId="0" applyFill="1" applyAlignment="1">
      <alignment horizontal="left" vertical="top"/>
    </xf>
    <xf numFmtId="0" fontId="0" fillId="0" borderId="0" xfId="0" applyFill="1" applyBorder="1"/>
    <xf numFmtId="2" fontId="0" fillId="0" borderId="0" xfId="0" applyNumberFormat="1" applyFill="1" applyBorder="1"/>
    <xf numFmtId="0" fontId="27" fillId="5" borderId="0" xfId="0" applyFont="1" applyFill="1"/>
    <xf numFmtId="0" fontId="0" fillId="5" borderId="0" xfId="0" applyFont="1" applyFill="1" applyAlignment="1">
      <alignment wrapText="1"/>
    </xf>
    <xf numFmtId="0" fontId="0" fillId="5" borderId="0" xfId="0" applyFont="1" applyFill="1" applyAlignment="1">
      <alignment vertical="top" wrapText="1"/>
    </xf>
    <xf numFmtId="0" fontId="0" fillId="5" borderId="0" xfId="0" applyFont="1" applyFill="1" applyAlignment="1">
      <alignment horizontal="right" vertical="top" wrapText="1"/>
    </xf>
    <xf numFmtId="0" fontId="0" fillId="5" borderId="0" xfId="0" applyFont="1" applyFill="1" applyAlignment="1">
      <alignment horizontal="left" vertical="top" wrapText="1"/>
    </xf>
    <xf numFmtId="0" fontId="3" fillId="0" borderId="0" xfId="0" applyFont="1" applyFill="1" applyAlignment="1">
      <alignment horizontal="left" vertical="top" wrapText="1"/>
    </xf>
    <xf numFmtId="0" fontId="0" fillId="0" borderId="0" xfId="0" applyFill="1" applyAlignment="1">
      <alignment horizontal="left"/>
    </xf>
    <xf numFmtId="168" fontId="2" fillId="0" borderId="0" xfId="2" applyNumberFormat="1" applyFont="1" applyFill="1" applyAlignment="1"/>
    <xf numFmtId="0" fontId="28" fillId="0" borderId="0" xfId="0" applyFont="1"/>
    <xf numFmtId="2" fontId="0" fillId="0" borderId="0" xfId="0" applyNumberFormat="1" applyFont="1" applyFill="1"/>
    <xf numFmtId="8" fontId="0" fillId="0" borderId="0" xfId="0" applyNumberFormat="1" applyFont="1"/>
    <xf numFmtId="10" fontId="0" fillId="0" borderId="0" xfId="0" applyNumberFormat="1" applyFont="1"/>
    <xf numFmtId="0" fontId="3" fillId="0" borderId="0" xfId="0" applyFont="1" applyFill="1" applyAlignment="1">
      <alignment vertical="top"/>
    </xf>
    <xf numFmtId="9" fontId="8" fillId="0" borderId="0" xfId="3" applyFont="1" applyFill="1"/>
    <xf numFmtId="190" fontId="0" fillId="0" borderId="0" xfId="1" applyNumberFormat="1" applyFont="1" applyAlignment="1">
      <alignment horizontal="center" vertical="center"/>
    </xf>
    <xf numFmtId="0" fontId="0" fillId="0" borderId="0" xfId="0" applyAlignment="1">
      <alignment horizontal="center" wrapText="1"/>
    </xf>
    <xf numFmtId="164" fontId="0" fillId="5" borderId="0" xfId="0" applyNumberFormat="1" applyFont="1" applyFill="1"/>
    <xf numFmtId="0" fontId="9" fillId="0" borderId="0" xfId="0" applyFont="1" applyFill="1"/>
    <xf numFmtId="8" fontId="2" fillId="0" borderId="0" xfId="1" applyNumberFormat="1" applyFont="1" applyAlignment="1">
      <alignment horizontal="center" vertical="center"/>
    </xf>
    <xf numFmtId="0" fontId="29" fillId="0" borderId="0" xfId="0" applyFont="1"/>
    <xf numFmtId="3" fontId="8" fillId="0" borderId="0" xfId="1" applyNumberFormat="1" applyFont="1" applyAlignment="1">
      <alignment horizontal="center"/>
    </xf>
    <xf numFmtId="3" fontId="0" fillId="0" borderId="0" xfId="0" applyNumberFormat="1" applyAlignment="1">
      <alignment horizontal="center"/>
    </xf>
    <xf numFmtId="10" fontId="2" fillId="0" borderId="0" xfId="0" applyNumberFormat="1" applyFont="1" applyAlignment="1">
      <alignment horizontal="right"/>
    </xf>
    <xf numFmtId="0" fontId="0" fillId="0" borderId="0" xfId="0" applyFont="1" applyFill="1" applyAlignment="1">
      <alignment wrapText="1"/>
    </xf>
    <xf numFmtId="0" fontId="0" fillId="0" borderId="0" xfId="0" applyFont="1" applyAlignment="1">
      <alignment horizontal="left" vertical="center" wrapText="1"/>
    </xf>
    <xf numFmtId="10" fontId="0" fillId="0" borderId="0" xfId="0" applyNumberFormat="1" applyFont="1" applyAlignment="1">
      <alignment horizontal="left"/>
    </xf>
    <xf numFmtId="9" fontId="0" fillId="0" borderId="0" xfId="3" applyFont="1" applyAlignment="1">
      <alignment horizontal="left" vertical="top" wrapText="1"/>
    </xf>
    <xf numFmtId="0" fontId="0" fillId="0" borderId="0" xfId="0" applyAlignment="1">
      <alignment horizontal="right" wrapText="1"/>
    </xf>
    <xf numFmtId="0" fontId="0" fillId="0" borderId="0" xfId="0" applyAlignment="1">
      <alignment horizontal="right" vertical="top" wrapText="1"/>
    </xf>
    <xf numFmtId="0" fontId="8" fillId="0" borderId="2" xfId="0" applyFont="1" applyBorder="1"/>
    <xf numFmtId="0" fontId="7" fillId="0" borderId="2" xfId="0" applyFont="1" applyBorder="1"/>
    <xf numFmtId="0" fontId="0" fillId="0" borderId="3" xfId="0" applyBorder="1"/>
    <xf numFmtId="0" fontId="0" fillId="0" borderId="2" xfId="0" applyFont="1" applyBorder="1"/>
    <xf numFmtId="0" fontId="0" fillId="4" borderId="0" xfId="0" applyFont="1" applyFill="1" applyAlignment="1">
      <alignment horizontal="right"/>
    </xf>
    <xf numFmtId="0" fontId="24" fillId="0" borderId="0" xfId="0" applyFont="1" applyFill="1" applyAlignment="1">
      <alignment horizontal="center" vertical="center" wrapText="1"/>
    </xf>
    <xf numFmtId="0" fontId="24" fillId="0" borderId="0" xfId="0" applyFont="1" applyFill="1" applyAlignment="1">
      <alignment horizontal="right" vertical="center" wrapText="1"/>
    </xf>
    <xf numFmtId="0" fontId="0" fillId="0" borderId="0" xfId="0" applyAlignment="1">
      <alignment horizontal="right" vertical="top"/>
    </xf>
    <xf numFmtId="10" fontId="0" fillId="0" borderId="0" xfId="3" applyNumberFormat="1" applyFont="1" applyAlignment="1">
      <alignment vertical="top" wrapText="1"/>
    </xf>
    <xf numFmtId="10" fontId="0" fillId="5" borderId="0" xfId="3" applyNumberFormat="1" applyFont="1" applyFill="1"/>
    <xf numFmtId="0" fontId="9" fillId="5" borderId="0" xfId="0" applyFont="1" applyFill="1"/>
    <xf numFmtId="0" fontId="7" fillId="5" borderId="0" xfId="0" applyFont="1" applyFill="1"/>
    <xf numFmtId="0" fontId="11" fillId="0" borderId="2" xfId="0" applyFont="1" applyFill="1" applyBorder="1" applyAlignment="1">
      <alignment horizontal="right" vertical="center" wrapText="1"/>
    </xf>
    <xf numFmtId="10" fontId="3" fillId="0" borderId="0" xfId="3" applyNumberFormat="1" applyFont="1"/>
    <xf numFmtId="2" fontId="3" fillId="0" borderId="0" xfId="0" applyNumberFormat="1" applyFont="1" applyAlignment="1">
      <alignment horizontal="left"/>
    </xf>
    <xf numFmtId="0" fontId="26" fillId="0" borderId="0" xfId="0" applyFont="1"/>
    <xf numFmtId="0" fontId="11" fillId="0" borderId="0" xfId="0" applyFont="1" applyAlignment="1">
      <alignment horizontal="right"/>
    </xf>
    <xf numFmtId="0" fontId="2" fillId="0" borderId="0" xfId="0" applyFont="1" applyAlignment="1">
      <alignment horizontal="center"/>
    </xf>
    <xf numFmtId="164" fontId="0" fillId="0" borderId="0" xfId="0" applyNumberFormat="1" applyFont="1" applyAlignment="1">
      <alignment horizontal="right" vertical="top" wrapText="1"/>
    </xf>
    <xf numFmtId="191" fontId="0" fillId="0" borderId="0" xfId="0" applyNumberFormat="1"/>
    <xf numFmtId="4" fontId="0" fillId="0" borderId="0" xfId="0" applyNumberFormat="1" applyFont="1" applyAlignment="1">
      <alignment horizontal="center"/>
    </xf>
    <xf numFmtId="10" fontId="3" fillId="0" borderId="0" xfId="0" applyNumberFormat="1" applyFont="1" applyAlignment="1">
      <alignment horizontal="left"/>
    </xf>
    <xf numFmtId="0" fontId="8" fillId="0" borderId="0" xfId="0" applyFont="1" applyFill="1" applyAlignment="1">
      <alignment horizontal="left"/>
    </xf>
    <xf numFmtId="6" fontId="2" fillId="0" borderId="0" xfId="3" applyNumberFormat="1" applyFont="1" applyAlignment="1">
      <alignment horizontal="right"/>
    </xf>
    <xf numFmtId="9" fontId="8" fillId="4" borderId="0" xfId="3" applyFont="1" applyFill="1" applyBorder="1"/>
    <xf numFmtId="10" fontId="8" fillId="0" borderId="0" xfId="3" applyNumberFormat="1" applyFont="1" applyFill="1" applyBorder="1"/>
    <xf numFmtId="0" fontId="11" fillId="0" borderId="0" xfId="0" applyFont="1" applyFill="1" applyAlignment="1">
      <alignment horizontal="center" wrapText="1"/>
    </xf>
    <xf numFmtId="0" fontId="11" fillId="0" borderId="0" xfId="0" applyFont="1" applyFill="1" applyAlignment="1">
      <alignment horizontal="center"/>
    </xf>
    <xf numFmtId="0" fontId="0" fillId="0" borderId="0" xfId="0" applyFont="1" applyFill="1" applyAlignment="1">
      <alignment horizontal="center"/>
    </xf>
    <xf numFmtId="0" fontId="5" fillId="0" borderId="0" xfId="0" applyFont="1" applyFill="1" applyAlignment="1">
      <alignment vertical="top" wrapText="1"/>
    </xf>
    <xf numFmtId="9" fontId="8" fillId="5" borderId="0" xfId="3" applyFont="1" applyFill="1"/>
    <xf numFmtId="0" fontId="5" fillId="5" borderId="0" xfId="0" applyFont="1" applyFill="1" applyAlignment="1">
      <alignment horizontal="center"/>
    </xf>
    <xf numFmtId="10" fontId="8" fillId="5" borderId="0" xfId="0" applyNumberFormat="1" applyFont="1" applyFill="1"/>
    <xf numFmtId="8" fontId="5" fillId="0" borderId="0" xfId="0" applyNumberFormat="1" applyFont="1"/>
    <xf numFmtId="43" fontId="8" fillId="4" borderId="0" xfId="1" applyFont="1" applyFill="1"/>
    <xf numFmtId="181" fontId="2" fillId="0" borderId="0" xfId="3" applyNumberFormat="1" applyFont="1" applyAlignment="1">
      <alignment horizontal="right"/>
    </xf>
    <xf numFmtId="192" fontId="2" fillId="0" borderId="0" xfId="3" applyNumberFormat="1" applyFont="1" applyAlignment="1">
      <alignment horizontal="right"/>
    </xf>
    <xf numFmtId="0" fontId="6" fillId="0" borderId="0" xfId="0" applyFont="1" applyAlignment="1">
      <alignment horizontal="left" vertical="top" wrapText="1"/>
    </xf>
    <xf numFmtId="0" fontId="22" fillId="0" borderId="0" xfId="0" applyFont="1" applyAlignment="1">
      <alignment horizontal="left" vertical="top" wrapText="1"/>
    </xf>
    <xf numFmtId="0" fontId="0" fillId="0" borderId="0" xfId="0" applyAlignment="1">
      <alignment vertical="center" wrapText="1"/>
    </xf>
    <xf numFmtId="0" fontId="3" fillId="4" borderId="0" xfId="0" applyFont="1" applyFill="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center" wrapText="1"/>
    </xf>
    <xf numFmtId="0" fontId="3" fillId="0" borderId="0" xfId="0" applyFont="1" applyAlignment="1">
      <alignment vertical="top" wrapText="1"/>
    </xf>
    <xf numFmtId="0" fontId="0" fillId="0" borderId="0" xfId="0" applyFont="1" applyAlignment="1">
      <alignment horizontal="left" vertical="top" wrapText="1"/>
    </xf>
    <xf numFmtId="0" fontId="0" fillId="0" borderId="0" xfId="0" applyAlignment="1">
      <alignment horizontal="left"/>
    </xf>
    <xf numFmtId="0" fontId="0" fillId="0" borderId="0" xfId="0" applyAlignment="1">
      <alignment horizontal="left" vertical="top" wrapText="1"/>
    </xf>
    <xf numFmtId="0" fontId="3" fillId="4" borderId="0" xfId="0" applyFont="1" applyFill="1" applyAlignment="1">
      <alignment horizontal="center" vertical="top" wrapText="1"/>
    </xf>
    <xf numFmtId="0" fontId="3" fillId="0" borderId="0" xfId="0" applyFont="1" applyAlignment="1">
      <alignment horizontal="left" vertical="center" wrapText="1"/>
    </xf>
    <xf numFmtId="0" fontId="24" fillId="0" borderId="0" xfId="0" applyFont="1" applyAlignment="1">
      <alignment horizontal="left" vertical="top"/>
    </xf>
    <xf numFmtId="0" fontId="24" fillId="0" borderId="0" xfId="0" applyFont="1" applyAlignment="1">
      <alignment horizontal="left" vertical="top" wrapText="1"/>
    </xf>
    <xf numFmtId="0" fontId="8" fillId="0" borderId="0" xfId="0" applyFont="1" applyAlignment="1">
      <alignment horizontal="left" vertical="center" wrapText="1"/>
    </xf>
    <xf numFmtId="0" fontId="5" fillId="4" borderId="0" xfId="0" applyFont="1" applyFill="1" applyAlignment="1">
      <alignment horizontal="left" vertical="top" wrapText="1"/>
    </xf>
    <xf numFmtId="0" fontId="0" fillId="0" borderId="0" xfId="0" applyAlignment="1">
      <alignment vertical="top" wrapText="1"/>
    </xf>
    <xf numFmtId="0" fontId="0" fillId="0" borderId="0" xfId="0" applyAlignment="1">
      <alignment horizontal="left" wrapText="1"/>
    </xf>
    <xf numFmtId="0" fontId="0" fillId="0" borderId="0" xfId="0" applyFont="1" applyAlignment="1">
      <alignment horizontal="left" vertical="center" wrapText="1"/>
    </xf>
    <xf numFmtId="0" fontId="0" fillId="0" borderId="0" xfId="0" applyFont="1" applyFill="1" applyAlignment="1">
      <alignment horizontal="left" vertical="top" wrapText="1"/>
    </xf>
    <xf numFmtId="0" fontId="0" fillId="0" borderId="0" xfId="0" applyAlignment="1">
      <alignment horizontal="left" vertical="top"/>
    </xf>
    <xf numFmtId="0" fontId="9" fillId="0" borderId="0" xfId="0" applyFont="1" applyFill="1" applyAlignment="1">
      <alignment horizontal="left" vertical="top" wrapText="1"/>
    </xf>
    <xf numFmtId="0" fontId="3" fillId="0" borderId="0" xfId="0" applyFont="1" applyAlignment="1">
      <alignment vertical="center" wrapText="1"/>
    </xf>
    <xf numFmtId="0" fontId="3" fillId="0" borderId="0" xfId="0" applyFont="1" applyAlignment="1">
      <alignment horizontal="center"/>
    </xf>
    <xf numFmtId="0" fontId="8" fillId="0" borderId="0" xfId="0" applyFont="1" applyAlignment="1">
      <alignment vertical="top" wrapText="1"/>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A-5CC6-11CF-8D67-00AA00BDCE1D}" ax:persistence="persistStream" r:id="rId1"/>
</file>

<file path=xl/activeX/activeX8.xml><?xml version="1.0" encoding="utf-8"?>
<ax:ocx xmlns:ax="http://schemas.microsoft.com/office/2006/activeX" xmlns:r="http://schemas.openxmlformats.org/officeDocument/2006/relationships" ax:classid="{5512D11A-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activeX/activeX10.xml><?xml version="1.0" encoding="utf-8"?>
<ax:ocx xmlns:ax="http://schemas.microsoft.com/office/2006/activeX" xmlns:r="http://schemas.openxmlformats.org/officeDocument/2006/relationships" ax:classid="{5512D11A-5CC6-11CF-8D67-00AA00BDCE1D}" ax:persistence="persistStream" r:id="rId1"/>
</file>

<file path=xl/activeX/activeX11.xml><?xml version="1.0" encoding="utf-8"?>
<ax:ocx xmlns:ax="http://schemas.microsoft.com/office/2006/activeX" xmlns:r="http://schemas.openxmlformats.org/officeDocument/2006/relationships" ax:classid="{5512D11A-5CC6-11CF-8D67-00AA00BDCE1D}" ax:persistence="persistStream" r:id="rId1"/>
</file>

<file path=xl/activeX/activeX12.xml><?xml version="1.0" encoding="utf-8"?>
<ax:ocx xmlns:ax="http://schemas.microsoft.com/office/2006/activeX" xmlns:r="http://schemas.openxmlformats.org/officeDocument/2006/relationships" ax:classid="{5512D11A-5CC6-11CF-8D67-00AA00BDCE1D}" ax:persistence="persistStream" r:id="rId1"/>
</file>

<file path=xl/activeX/activeX13.xml><?xml version="1.0" encoding="utf-8"?>
<ax:ocx xmlns:ax="http://schemas.microsoft.com/office/2006/activeX" xmlns:r="http://schemas.openxmlformats.org/officeDocument/2006/relationships" ax:classid="{5512D11A-5CC6-11CF-8D67-00AA00BDCE1D}" ax:persistence="persistStream" r:id="rId1"/>
</file>

<file path=xl/activeX/activeX14.xml><?xml version="1.0" encoding="utf-8"?>
<ax:ocx xmlns:ax="http://schemas.microsoft.com/office/2006/activeX" xmlns:r="http://schemas.openxmlformats.org/officeDocument/2006/relationships" ax:classid="{5512D11A-5CC6-11CF-8D67-00AA00BDCE1D}" ax:persistence="persistStream" r:id="rId1"/>
</file>

<file path=xl/activeX/activeX15.xml><?xml version="1.0" encoding="utf-8"?>
<ax:ocx xmlns:ax="http://schemas.microsoft.com/office/2006/activeX" xmlns:r="http://schemas.openxmlformats.org/officeDocument/2006/relationships" ax:classid="{5512D11A-5CC6-11CF-8D67-00AA00BDCE1D}" ax:persistence="persistStream" r:id="rId1"/>
</file>

<file path=xl/activeX/activeX16.xml><?xml version="1.0" encoding="utf-8"?>
<ax:ocx xmlns:ax="http://schemas.microsoft.com/office/2006/activeX" xmlns:r="http://schemas.openxmlformats.org/officeDocument/2006/relationships" ax:classid="{5512D11A-5CC6-11CF-8D67-00AA00BDCE1D}" ax:persistence="persistStream" r:id="rId1"/>
</file>

<file path=xl/activeX/activeX17.xml><?xml version="1.0" encoding="utf-8"?>
<ax:ocx xmlns:ax="http://schemas.microsoft.com/office/2006/activeX" xmlns:r="http://schemas.openxmlformats.org/officeDocument/2006/relationships" ax:classid="{5512D11A-5CC6-11CF-8D67-00AA00BDCE1D}" ax:persistence="persistStream" r:id="rId1"/>
</file>

<file path=xl/activeX/activeX18.xml><?xml version="1.0" encoding="utf-8"?>
<ax:ocx xmlns:ax="http://schemas.microsoft.com/office/2006/activeX" xmlns:r="http://schemas.openxmlformats.org/officeDocument/2006/relationships" ax:classid="{5512D11A-5CC6-11CF-8D67-00AA00BDCE1D}" ax:persistence="persistStream" r:id="rId1"/>
</file>

<file path=xl/activeX/activeX19.xml><?xml version="1.0" encoding="utf-8"?>
<ax:ocx xmlns:ax="http://schemas.microsoft.com/office/2006/activeX" xmlns:r="http://schemas.openxmlformats.org/officeDocument/2006/relationships" ax:classid="{5512D11A-5CC6-11CF-8D67-00AA00BDCE1D}" ax:persistence="persistStream" r:id="rId1"/>
</file>

<file path=xl/activeX/activeX20.xml><?xml version="1.0" encoding="utf-8"?>
<ax:ocx xmlns:ax="http://schemas.microsoft.com/office/2006/activeX" xmlns:r="http://schemas.openxmlformats.org/officeDocument/2006/relationships" ax:classid="{5512D11A-5CC6-11CF-8D67-00AA00BDCE1D}" ax:persistence="persistStream" r:id="rId1"/>
</file>

<file path=xl/activeX/activeX21.xml><?xml version="1.0" encoding="utf-8"?>
<ax:ocx xmlns:ax="http://schemas.microsoft.com/office/2006/activeX" xmlns:r="http://schemas.openxmlformats.org/officeDocument/2006/relationships" ax:classid="{5512D11A-5CC6-11CF-8D67-00AA00BDCE1D}" ax:persistence="persistStream" r:id="rId1"/>
</file>

<file path=xl/activeX/activeX22.xml><?xml version="1.0" encoding="utf-8"?>
<ax:ocx xmlns:ax="http://schemas.microsoft.com/office/2006/activeX" xmlns:r="http://schemas.openxmlformats.org/officeDocument/2006/relationships" ax:classid="{5512D11A-5CC6-11CF-8D67-00AA00BDCE1D}" ax:persistence="persistStream" r:id="rId1"/>
</file>

<file path=xl/activeX/activeX23.xml><?xml version="1.0" encoding="utf-8"?>
<ax:ocx xmlns:ax="http://schemas.microsoft.com/office/2006/activeX" xmlns:r="http://schemas.openxmlformats.org/officeDocument/2006/relationships" ax:classid="{5512D11A-5CC6-11CF-8D67-00AA00BDCE1D}" ax:persistence="persistStream" r:id="rId1"/>
</file>

<file path=xl/activeX/activeX24.xml><?xml version="1.0" encoding="utf-8"?>
<ax:ocx xmlns:ax="http://schemas.microsoft.com/office/2006/activeX" xmlns:r="http://schemas.openxmlformats.org/officeDocument/2006/relationships" ax:classid="{5512D11A-5CC6-11CF-8D67-00AA00BDCE1D}" ax:persistence="persistStream" r:id="rId1"/>
</file>

<file path=xl/activeX/activeX25.xml><?xml version="1.0" encoding="utf-8"?>
<ax:ocx xmlns:ax="http://schemas.microsoft.com/office/2006/activeX" xmlns:r="http://schemas.openxmlformats.org/officeDocument/2006/relationships" ax:classid="{5512D11A-5CC6-11CF-8D67-00AA00BDCE1D}" ax:persistence="persistStream" r:id="rId1"/>
</file>

<file path=xl/activeX/activeX26.xml><?xml version="1.0" encoding="utf-8"?>
<ax:ocx xmlns:ax="http://schemas.microsoft.com/office/2006/activeX" xmlns:r="http://schemas.openxmlformats.org/officeDocument/2006/relationships" ax:classid="{5512D11A-5CC6-11CF-8D67-00AA00BDCE1D}" ax:persistence="persistStream" r:id="rId1"/>
</file>

<file path=xl/activeX/activeX27.xml><?xml version="1.0" encoding="utf-8"?>
<ax:ocx xmlns:ax="http://schemas.microsoft.com/office/2006/activeX" xmlns:r="http://schemas.openxmlformats.org/officeDocument/2006/relationships" ax:classid="{5512D11A-5CC6-11CF-8D67-00AA00BDCE1D}" ax:persistence="persistStream" r:id="rId1"/>
</file>

<file path=xl/activeX/activeX28.xml><?xml version="1.0" encoding="utf-8"?>
<ax:ocx xmlns:ax="http://schemas.microsoft.com/office/2006/activeX" xmlns:r="http://schemas.openxmlformats.org/officeDocument/2006/relationships" ax:classid="{5512D11A-5CC6-11CF-8D67-00AA00BDCE1D}" ax:persistence="persistStream" r:id="rId1"/>
</file>

<file path=xl/activeX/activeX29.xml><?xml version="1.0" encoding="utf-8"?>
<ax:ocx xmlns:ax="http://schemas.microsoft.com/office/2006/activeX" xmlns:r="http://schemas.openxmlformats.org/officeDocument/2006/relationships" ax:classid="{5512D11A-5CC6-11CF-8D67-00AA00BDCE1D}" ax:persistence="persistStream" r:id="rId1"/>
</file>

<file path=xl/activeX/activeX30.xml><?xml version="1.0" encoding="utf-8"?>
<ax:ocx xmlns:ax="http://schemas.microsoft.com/office/2006/activeX" xmlns:r="http://schemas.openxmlformats.org/officeDocument/2006/relationships" ax:classid="{5512D11A-5CC6-11CF-8D67-00AA00BDCE1D}" ax:persistence="persistStream" r:id="rId1"/>
</file>

<file path=xl/activeX/activeX31.xml><?xml version="1.0" encoding="utf-8"?>
<ax:ocx xmlns:ax="http://schemas.microsoft.com/office/2006/activeX" xmlns:r="http://schemas.openxmlformats.org/officeDocument/2006/relationships" ax:classid="{5512D118-5CC6-11CF-8D67-00AA00BDCE1D}" ax:persistence="persistStream" r:id="rId1"/>
</file>

<file path=xl/activeX/activeX32.xml><?xml version="1.0" encoding="utf-8"?>
<ax:ocx xmlns:ax="http://schemas.microsoft.com/office/2006/activeX" xmlns:r="http://schemas.openxmlformats.org/officeDocument/2006/relationships" ax:classid="{5512D118-5CC6-11CF-8D67-00AA00BDCE1D}" ax:persistence="persistStream" r:id="rId1"/>
</file>

<file path=xl/activeX/activeX33.xml><?xml version="1.0" encoding="utf-8"?>
<ax:ocx xmlns:ax="http://schemas.microsoft.com/office/2006/activeX" xmlns:r="http://schemas.openxmlformats.org/officeDocument/2006/relationships" ax:classid="{5512D118-5CC6-11CF-8D67-00AA00BDCE1D}" ax:persistence="persistStream" r:id="rId1"/>
</file>

<file path=xl/activeX/activeX34.xml><?xml version="1.0" encoding="utf-8"?>
<ax:ocx xmlns:ax="http://schemas.microsoft.com/office/2006/activeX" xmlns:r="http://schemas.openxmlformats.org/officeDocument/2006/relationships" ax:classid="{5512D118-5CC6-11CF-8D67-00AA00BDCE1D}" ax:persistence="persistStream" r:id="rId1"/>
</file>

<file path=xl/activeX/activeX35.xml><?xml version="1.0" encoding="utf-8"?>
<ax:ocx xmlns:ax="http://schemas.microsoft.com/office/2006/activeX" xmlns:r="http://schemas.openxmlformats.org/officeDocument/2006/relationships" ax:classid="{5512D118-5CC6-11CF-8D67-00AA00BDCE1D}" ax:persistence="persistStream" r:id="rId1"/>
</file>

<file path=xl/activeX/activeX36.xml><?xml version="1.0" encoding="utf-8"?>
<ax:ocx xmlns:ax="http://schemas.microsoft.com/office/2006/activeX" xmlns:r="http://schemas.openxmlformats.org/officeDocument/2006/relationships" ax:classid="{5512D118-5CC6-11CF-8D67-00AA00BDCE1D}" ax:persistence="persistStream" r:id="rId1"/>
</file>

<file path=xl/activeX/activeX37.xml><?xml version="1.0" encoding="utf-8"?>
<ax:ocx xmlns:ax="http://schemas.microsoft.com/office/2006/activeX" xmlns:r="http://schemas.openxmlformats.org/officeDocument/2006/relationships" ax:classid="{5512D118-5CC6-11CF-8D67-00AA00BDCE1D}" ax:persistence="persistStream" r:id="rId1"/>
</file>

<file path=xl/activeX/activeX38.xml><?xml version="1.0" encoding="utf-8"?>
<ax:ocx xmlns:ax="http://schemas.microsoft.com/office/2006/activeX" xmlns:r="http://schemas.openxmlformats.org/officeDocument/2006/relationships" ax:classid="{5512D118-5CC6-11CF-8D67-00AA00BDCE1D}" ax:persistence="persistStream" r:id="rId1"/>
</file>

<file path=xl/activeX/activeX39.xml><?xml version="1.0" encoding="utf-8"?>
<ax:ocx xmlns:ax="http://schemas.microsoft.com/office/2006/activeX" xmlns:r="http://schemas.openxmlformats.org/officeDocument/2006/relationships" ax:classid="{5512D118-5CC6-11CF-8D67-00AA00BDCE1D}" ax:persistence="persistStream" r:id="rId1"/>
</file>

<file path=xl/activeX/activeX40.xml><?xml version="1.0" encoding="utf-8"?>
<ax:ocx xmlns:ax="http://schemas.microsoft.com/office/2006/activeX" xmlns:r="http://schemas.openxmlformats.org/officeDocument/2006/relationships" ax:classid="{5512D118-5CC6-11CF-8D67-00AA00BDCE1D}" ax:persistence="persistStream" r:id="rId1"/>
</file>

<file path=xl/activeX/activeX41.xml><?xml version="1.0" encoding="utf-8"?>
<ax:ocx xmlns:ax="http://schemas.microsoft.com/office/2006/activeX" xmlns:r="http://schemas.openxmlformats.org/officeDocument/2006/relationships" ax:classid="{5512D118-5CC6-11CF-8D67-00AA00BDCE1D}" ax:persistence="persistStream" r:id="rId1"/>
</file>

<file path=xl/activeX/activeX42.xml><?xml version="1.0" encoding="utf-8"?>
<ax:ocx xmlns:ax="http://schemas.microsoft.com/office/2006/activeX" xmlns:r="http://schemas.openxmlformats.org/officeDocument/2006/relationships" ax:classid="{5512D118-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vmlDrawing9.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13.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33</xdr:col>
          <xdr:colOff>720090</xdr:colOff>
          <xdr:row>22</xdr:row>
          <xdr:rowOff>26670</xdr:rowOff>
        </xdr:from>
        <xdr:to>
          <xdr:col>35</xdr:col>
          <xdr:colOff>0</xdr:colOff>
          <xdr:row>23</xdr:row>
          <xdr:rowOff>74295</xdr:rowOff>
        </xdr:to>
        <xdr:sp macro="" textlink="">
          <xdr:nvSpPr>
            <xdr:cNvPr id="97281" name="Control 1" hidden="1">
              <a:extLst>
                <a:ext uri="{63B3BB69-23CF-44E3-9099-C40C66FF867C}">
                  <a14:compatExt spid="_x0000_s97281"/>
                </a:ext>
                <a:ext uri="{FF2B5EF4-FFF2-40B4-BE49-F238E27FC236}">
                  <a16:creationId xmlns:a16="http://schemas.microsoft.com/office/drawing/2014/main" id="{00000000-0008-0000-0200-0000017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720090</xdr:colOff>
          <xdr:row>23</xdr:row>
          <xdr:rowOff>28575</xdr:rowOff>
        </xdr:from>
        <xdr:to>
          <xdr:col>35</xdr:col>
          <xdr:colOff>0</xdr:colOff>
          <xdr:row>24</xdr:row>
          <xdr:rowOff>76200</xdr:rowOff>
        </xdr:to>
        <xdr:sp macro="" textlink="">
          <xdr:nvSpPr>
            <xdr:cNvPr id="97282" name="Control 2" hidden="1">
              <a:extLst>
                <a:ext uri="{63B3BB69-23CF-44E3-9099-C40C66FF867C}">
                  <a14:compatExt spid="_x0000_s97282"/>
                </a:ext>
                <a:ext uri="{FF2B5EF4-FFF2-40B4-BE49-F238E27FC236}">
                  <a16:creationId xmlns:a16="http://schemas.microsoft.com/office/drawing/2014/main" id="{00000000-0008-0000-0200-0000027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720090</xdr:colOff>
          <xdr:row>24</xdr:row>
          <xdr:rowOff>30480</xdr:rowOff>
        </xdr:from>
        <xdr:to>
          <xdr:col>35</xdr:col>
          <xdr:colOff>0</xdr:colOff>
          <xdr:row>25</xdr:row>
          <xdr:rowOff>78105</xdr:rowOff>
        </xdr:to>
        <xdr:sp macro="" textlink="">
          <xdr:nvSpPr>
            <xdr:cNvPr id="97283" name="Control 3" hidden="1">
              <a:extLst>
                <a:ext uri="{63B3BB69-23CF-44E3-9099-C40C66FF867C}">
                  <a14:compatExt spid="_x0000_s97283"/>
                </a:ext>
                <a:ext uri="{FF2B5EF4-FFF2-40B4-BE49-F238E27FC236}">
                  <a16:creationId xmlns:a16="http://schemas.microsoft.com/office/drawing/2014/main" id="{00000000-0008-0000-0200-0000037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30</xdr:col>
          <xdr:colOff>0</xdr:colOff>
          <xdr:row>17</xdr:row>
          <xdr:rowOff>32385</xdr:rowOff>
        </xdr:from>
        <xdr:to>
          <xdr:col>30</xdr:col>
          <xdr:colOff>495300</xdr:colOff>
          <xdr:row>18</xdr:row>
          <xdr:rowOff>80010</xdr:rowOff>
        </xdr:to>
        <xdr:sp macro="" textlink="">
          <xdr:nvSpPr>
            <xdr:cNvPr id="98305" name="Control 1" hidden="1">
              <a:extLst>
                <a:ext uri="{63B3BB69-23CF-44E3-9099-C40C66FF867C}">
                  <a14:compatExt spid="_x0000_s98305"/>
                </a:ext>
                <a:ext uri="{FF2B5EF4-FFF2-40B4-BE49-F238E27FC236}">
                  <a16:creationId xmlns:a16="http://schemas.microsoft.com/office/drawing/2014/main" id="{00000000-0008-0000-0300-000001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0</xdr:colOff>
          <xdr:row>19</xdr:row>
          <xdr:rowOff>43815</xdr:rowOff>
        </xdr:from>
        <xdr:to>
          <xdr:col>30</xdr:col>
          <xdr:colOff>495300</xdr:colOff>
          <xdr:row>20</xdr:row>
          <xdr:rowOff>91440</xdr:rowOff>
        </xdr:to>
        <xdr:sp macro="" textlink="">
          <xdr:nvSpPr>
            <xdr:cNvPr id="98306" name="Control 2" hidden="1">
              <a:extLst>
                <a:ext uri="{63B3BB69-23CF-44E3-9099-C40C66FF867C}">
                  <a14:compatExt spid="_x0000_s98306"/>
                </a:ext>
                <a:ext uri="{FF2B5EF4-FFF2-40B4-BE49-F238E27FC236}">
                  <a16:creationId xmlns:a16="http://schemas.microsoft.com/office/drawing/2014/main" id="{00000000-0008-0000-0300-000002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0</xdr:colOff>
          <xdr:row>19</xdr:row>
          <xdr:rowOff>43815</xdr:rowOff>
        </xdr:from>
        <xdr:to>
          <xdr:col>30</xdr:col>
          <xdr:colOff>495300</xdr:colOff>
          <xdr:row>20</xdr:row>
          <xdr:rowOff>91440</xdr:rowOff>
        </xdr:to>
        <xdr:sp macro="" textlink="">
          <xdr:nvSpPr>
            <xdr:cNvPr id="98307" name="Control 3" hidden="1">
              <a:extLst>
                <a:ext uri="{63B3BB69-23CF-44E3-9099-C40C66FF867C}">
                  <a14:compatExt spid="_x0000_s98307"/>
                </a:ext>
                <a:ext uri="{FF2B5EF4-FFF2-40B4-BE49-F238E27FC236}">
                  <a16:creationId xmlns:a16="http://schemas.microsoft.com/office/drawing/2014/main" id="{00000000-0008-0000-0300-0000038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30</xdr:col>
          <xdr:colOff>622935</xdr:colOff>
          <xdr:row>17</xdr:row>
          <xdr:rowOff>30480</xdr:rowOff>
        </xdr:from>
        <xdr:to>
          <xdr:col>31</xdr:col>
          <xdr:colOff>489585</xdr:colOff>
          <xdr:row>18</xdr:row>
          <xdr:rowOff>78105</xdr:rowOff>
        </xdr:to>
        <xdr:sp macro="" textlink="">
          <xdr:nvSpPr>
            <xdr:cNvPr id="99329" name="Control 1" hidden="1">
              <a:extLst>
                <a:ext uri="{63B3BB69-23CF-44E3-9099-C40C66FF867C}">
                  <a14:compatExt spid="_x0000_s99329"/>
                </a:ext>
                <a:ext uri="{FF2B5EF4-FFF2-40B4-BE49-F238E27FC236}">
                  <a16:creationId xmlns:a16="http://schemas.microsoft.com/office/drawing/2014/main" id="{00000000-0008-0000-0500-000001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622935</xdr:colOff>
          <xdr:row>22</xdr:row>
          <xdr:rowOff>47625</xdr:rowOff>
        </xdr:from>
        <xdr:to>
          <xdr:col>31</xdr:col>
          <xdr:colOff>489585</xdr:colOff>
          <xdr:row>23</xdr:row>
          <xdr:rowOff>95250</xdr:rowOff>
        </xdr:to>
        <xdr:sp macro="" textlink="">
          <xdr:nvSpPr>
            <xdr:cNvPr id="99330" name="Control 2" hidden="1">
              <a:extLst>
                <a:ext uri="{63B3BB69-23CF-44E3-9099-C40C66FF867C}">
                  <a14:compatExt spid="_x0000_s99330"/>
                </a:ext>
                <a:ext uri="{FF2B5EF4-FFF2-40B4-BE49-F238E27FC236}">
                  <a16:creationId xmlns:a16="http://schemas.microsoft.com/office/drawing/2014/main" id="{00000000-0008-0000-0500-000002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622935</xdr:colOff>
          <xdr:row>22</xdr:row>
          <xdr:rowOff>47625</xdr:rowOff>
        </xdr:from>
        <xdr:to>
          <xdr:col>31</xdr:col>
          <xdr:colOff>489585</xdr:colOff>
          <xdr:row>23</xdr:row>
          <xdr:rowOff>95250</xdr:rowOff>
        </xdr:to>
        <xdr:sp macro="" textlink="">
          <xdr:nvSpPr>
            <xdr:cNvPr id="99331" name="Control 3" hidden="1">
              <a:extLst>
                <a:ext uri="{63B3BB69-23CF-44E3-9099-C40C66FF867C}">
                  <a14:compatExt spid="_x0000_s99331"/>
                </a:ext>
                <a:ext uri="{FF2B5EF4-FFF2-40B4-BE49-F238E27FC236}">
                  <a16:creationId xmlns:a16="http://schemas.microsoft.com/office/drawing/2014/main" id="{00000000-0008-0000-0500-0000038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34</xdr:col>
          <xdr:colOff>1905</xdr:colOff>
          <xdr:row>19</xdr:row>
          <xdr:rowOff>41910</xdr:rowOff>
        </xdr:from>
        <xdr:to>
          <xdr:col>34</xdr:col>
          <xdr:colOff>497205</xdr:colOff>
          <xdr:row>20</xdr:row>
          <xdr:rowOff>89535</xdr:rowOff>
        </xdr:to>
        <xdr:sp macro="" textlink="">
          <xdr:nvSpPr>
            <xdr:cNvPr id="100353" name="Control 1" hidden="1">
              <a:extLst>
                <a:ext uri="{63B3BB69-23CF-44E3-9099-C40C66FF867C}">
                  <a14:compatExt spid="_x0000_s100353"/>
                </a:ext>
                <a:ext uri="{FF2B5EF4-FFF2-40B4-BE49-F238E27FC236}">
                  <a16:creationId xmlns:a16="http://schemas.microsoft.com/office/drawing/2014/main" id="{00000000-0008-0000-0600-000001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1905</xdr:colOff>
          <xdr:row>23</xdr:row>
          <xdr:rowOff>57150</xdr:rowOff>
        </xdr:from>
        <xdr:to>
          <xdr:col>34</xdr:col>
          <xdr:colOff>497205</xdr:colOff>
          <xdr:row>24</xdr:row>
          <xdr:rowOff>104775</xdr:rowOff>
        </xdr:to>
        <xdr:sp macro="" textlink="">
          <xdr:nvSpPr>
            <xdr:cNvPr id="100354" name="Control 2" hidden="1">
              <a:extLst>
                <a:ext uri="{63B3BB69-23CF-44E3-9099-C40C66FF867C}">
                  <a14:compatExt spid="_x0000_s100354"/>
                </a:ext>
                <a:ext uri="{FF2B5EF4-FFF2-40B4-BE49-F238E27FC236}">
                  <a16:creationId xmlns:a16="http://schemas.microsoft.com/office/drawing/2014/main" id="{00000000-0008-0000-0600-000002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1905</xdr:colOff>
          <xdr:row>23</xdr:row>
          <xdr:rowOff>57150</xdr:rowOff>
        </xdr:from>
        <xdr:to>
          <xdr:col>34</xdr:col>
          <xdr:colOff>497205</xdr:colOff>
          <xdr:row>24</xdr:row>
          <xdr:rowOff>104775</xdr:rowOff>
        </xdr:to>
        <xdr:sp macro="" textlink="">
          <xdr:nvSpPr>
            <xdr:cNvPr id="100355" name="Control 3" hidden="1">
              <a:extLst>
                <a:ext uri="{63B3BB69-23CF-44E3-9099-C40C66FF867C}">
                  <a14:compatExt spid="_x0000_s100355"/>
                </a:ext>
                <a:ext uri="{FF2B5EF4-FFF2-40B4-BE49-F238E27FC236}">
                  <a16:creationId xmlns:a16="http://schemas.microsoft.com/office/drawing/2014/main" id="{00000000-0008-0000-0600-0000038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35</xdr:col>
          <xdr:colOff>11430</xdr:colOff>
          <xdr:row>19</xdr:row>
          <xdr:rowOff>28575</xdr:rowOff>
        </xdr:from>
        <xdr:to>
          <xdr:col>35</xdr:col>
          <xdr:colOff>506730</xdr:colOff>
          <xdr:row>20</xdr:row>
          <xdr:rowOff>76200</xdr:rowOff>
        </xdr:to>
        <xdr:sp macro="" textlink="">
          <xdr:nvSpPr>
            <xdr:cNvPr id="101377" name="Control 1" hidden="1">
              <a:extLst>
                <a:ext uri="{63B3BB69-23CF-44E3-9099-C40C66FF867C}">
                  <a14:compatExt spid="_x0000_s101377"/>
                </a:ext>
                <a:ext uri="{FF2B5EF4-FFF2-40B4-BE49-F238E27FC236}">
                  <a16:creationId xmlns:a16="http://schemas.microsoft.com/office/drawing/2014/main" id="{00000000-0008-0000-0700-000001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11430</xdr:colOff>
          <xdr:row>23</xdr:row>
          <xdr:rowOff>43815</xdr:rowOff>
        </xdr:from>
        <xdr:to>
          <xdr:col>35</xdr:col>
          <xdr:colOff>506730</xdr:colOff>
          <xdr:row>24</xdr:row>
          <xdr:rowOff>91440</xdr:rowOff>
        </xdr:to>
        <xdr:sp macro="" textlink="">
          <xdr:nvSpPr>
            <xdr:cNvPr id="101378" name="Control 2" hidden="1">
              <a:extLst>
                <a:ext uri="{63B3BB69-23CF-44E3-9099-C40C66FF867C}">
                  <a14:compatExt spid="_x0000_s101378"/>
                </a:ext>
                <a:ext uri="{FF2B5EF4-FFF2-40B4-BE49-F238E27FC236}">
                  <a16:creationId xmlns:a16="http://schemas.microsoft.com/office/drawing/2014/main" id="{00000000-0008-0000-0700-000002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11430</xdr:colOff>
          <xdr:row>23</xdr:row>
          <xdr:rowOff>43815</xdr:rowOff>
        </xdr:from>
        <xdr:to>
          <xdr:col>35</xdr:col>
          <xdr:colOff>506730</xdr:colOff>
          <xdr:row>24</xdr:row>
          <xdr:rowOff>91440</xdr:rowOff>
        </xdr:to>
        <xdr:sp macro="" textlink="">
          <xdr:nvSpPr>
            <xdr:cNvPr id="101379" name="Control 3" hidden="1">
              <a:extLst>
                <a:ext uri="{63B3BB69-23CF-44E3-9099-C40C66FF867C}">
                  <a14:compatExt spid="_x0000_s101379"/>
                </a:ext>
                <a:ext uri="{FF2B5EF4-FFF2-40B4-BE49-F238E27FC236}">
                  <a16:creationId xmlns:a16="http://schemas.microsoft.com/office/drawing/2014/main" id="{00000000-0008-0000-0700-0000038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33</xdr:col>
          <xdr:colOff>624840</xdr:colOff>
          <xdr:row>19</xdr:row>
          <xdr:rowOff>30480</xdr:rowOff>
        </xdr:from>
        <xdr:to>
          <xdr:col>34</xdr:col>
          <xdr:colOff>491490</xdr:colOff>
          <xdr:row>20</xdr:row>
          <xdr:rowOff>78105</xdr:rowOff>
        </xdr:to>
        <xdr:sp macro="" textlink="">
          <xdr:nvSpPr>
            <xdr:cNvPr id="102401" name="Control 1" hidden="1">
              <a:extLst>
                <a:ext uri="{63B3BB69-23CF-44E3-9099-C40C66FF867C}">
                  <a14:compatExt spid="_x0000_s102401"/>
                </a:ext>
                <a:ext uri="{FF2B5EF4-FFF2-40B4-BE49-F238E27FC236}">
                  <a16:creationId xmlns:a16="http://schemas.microsoft.com/office/drawing/2014/main" id="{00000000-0008-0000-0900-000001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624840</xdr:colOff>
          <xdr:row>23</xdr:row>
          <xdr:rowOff>45720</xdr:rowOff>
        </xdr:from>
        <xdr:to>
          <xdr:col>34</xdr:col>
          <xdr:colOff>491490</xdr:colOff>
          <xdr:row>24</xdr:row>
          <xdr:rowOff>93345</xdr:rowOff>
        </xdr:to>
        <xdr:sp macro="" textlink="">
          <xdr:nvSpPr>
            <xdr:cNvPr id="102402" name="Control 2" hidden="1">
              <a:extLst>
                <a:ext uri="{63B3BB69-23CF-44E3-9099-C40C66FF867C}">
                  <a14:compatExt spid="_x0000_s102402"/>
                </a:ext>
                <a:ext uri="{FF2B5EF4-FFF2-40B4-BE49-F238E27FC236}">
                  <a16:creationId xmlns:a16="http://schemas.microsoft.com/office/drawing/2014/main" id="{00000000-0008-0000-0900-000002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624840</xdr:colOff>
          <xdr:row>23</xdr:row>
          <xdr:rowOff>45720</xdr:rowOff>
        </xdr:from>
        <xdr:to>
          <xdr:col>34</xdr:col>
          <xdr:colOff>491490</xdr:colOff>
          <xdr:row>24</xdr:row>
          <xdr:rowOff>93345</xdr:rowOff>
        </xdr:to>
        <xdr:sp macro="" textlink="">
          <xdr:nvSpPr>
            <xdr:cNvPr id="102403" name="Control 3" hidden="1">
              <a:extLst>
                <a:ext uri="{63B3BB69-23CF-44E3-9099-C40C66FF867C}">
                  <a14:compatExt spid="_x0000_s102403"/>
                </a:ext>
                <a:ext uri="{FF2B5EF4-FFF2-40B4-BE49-F238E27FC236}">
                  <a16:creationId xmlns:a16="http://schemas.microsoft.com/office/drawing/2014/main" id="{00000000-0008-0000-0900-0000039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25</xdr:col>
          <xdr:colOff>483870</xdr:colOff>
          <xdr:row>5</xdr:row>
          <xdr:rowOff>17145</xdr:rowOff>
        </xdr:from>
        <xdr:to>
          <xdr:col>26</xdr:col>
          <xdr:colOff>419100</xdr:colOff>
          <xdr:row>6</xdr:row>
          <xdr:rowOff>55245</xdr:rowOff>
        </xdr:to>
        <xdr:sp macro="" textlink="">
          <xdr:nvSpPr>
            <xdr:cNvPr id="37889" name="Control 1" hidden="1">
              <a:extLst>
                <a:ext uri="{63B3BB69-23CF-44E3-9099-C40C66FF867C}">
                  <a14:compatExt spid="_x0000_s37889"/>
                </a:ext>
                <a:ext uri="{FF2B5EF4-FFF2-40B4-BE49-F238E27FC236}">
                  <a16:creationId xmlns:a16="http://schemas.microsoft.com/office/drawing/2014/main" id="{00000000-0008-0000-0D00-0000019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483870</xdr:colOff>
          <xdr:row>6</xdr:row>
          <xdr:rowOff>17145</xdr:rowOff>
        </xdr:from>
        <xdr:to>
          <xdr:col>26</xdr:col>
          <xdr:colOff>419100</xdr:colOff>
          <xdr:row>7</xdr:row>
          <xdr:rowOff>55245</xdr:rowOff>
        </xdr:to>
        <xdr:sp macro="" textlink="">
          <xdr:nvSpPr>
            <xdr:cNvPr id="37890" name="Control 2" hidden="1">
              <a:extLst>
                <a:ext uri="{63B3BB69-23CF-44E3-9099-C40C66FF867C}">
                  <a14:compatExt spid="_x0000_s37890"/>
                </a:ext>
                <a:ext uri="{FF2B5EF4-FFF2-40B4-BE49-F238E27FC236}">
                  <a16:creationId xmlns:a16="http://schemas.microsoft.com/office/drawing/2014/main" id="{00000000-0008-0000-0D00-0000029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499110</xdr:colOff>
          <xdr:row>20</xdr:row>
          <xdr:rowOff>60960</xdr:rowOff>
        </xdr:from>
        <xdr:to>
          <xdr:col>23</xdr:col>
          <xdr:colOff>365760</xdr:colOff>
          <xdr:row>21</xdr:row>
          <xdr:rowOff>118110</xdr:rowOff>
        </xdr:to>
        <xdr:sp macro="" textlink="">
          <xdr:nvSpPr>
            <xdr:cNvPr id="38913" name="Control 1" hidden="1">
              <a:extLst>
                <a:ext uri="{63B3BB69-23CF-44E3-9099-C40C66FF867C}">
                  <a14:compatExt spid="_x0000_s38913"/>
                </a:ext>
                <a:ext uri="{FF2B5EF4-FFF2-40B4-BE49-F238E27FC236}">
                  <a16:creationId xmlns:a16="http://schemas.microsoft.com/office/drawing/2014/main" id="{00000000-0008-0000-0E00-0000019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518160</xdr:colOff>
          <xdr:row>23</xdr:row>
          <xdr:rowOff>87630</xdr:rowOff>
        </xdr:from>
        <xdr:to>
          <xdr:col>20</xdr:col>
          <xdr:colOff>384810</xdr:colOff>
          <xdr:row>24</xdr:row>
          <xdr:rowOff>135255</xdr:rowOff>
        </xdr:to>
        <xdr:sp macro="" textlink="">
          <xdr:nvSpPr>
            <xdr:cNvPr id="38914" name="Control 2" hidden="1">
              <a:extLst>
                <a:ext uri="{63B3BB69-23CF-44E3-9099-C40C66FF867C}">
                  <a14:compatExt spid="_x0000_s38914"/>
                </a:ext>
                <a:ext uri="{FF2B5EF4-FFF2-40B4-BE49-F238E27FC236}">
                  <a16:creationId xmlns:a16="http://schemas.microsoft.com/office/drawing/2014/main" id="{00000000-0008-0000-0E00-0000029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20</xdr:col>
          <xdr:colOff>560070</xdr:colOff>
          <xdr:row>12</xdr:row>
          <xdr:rowOff>59055</xdr:rowOff>
        </xdr:from>
        <xdr:to>
          <xdr:col>21</xdr:col>
          <xdr:colOff>426720</xdr:colOff>
          <xdr:row>13</xdr:row>
          <xdr:rowOff>97155</xdr:rowOff>
        </xdr:to>
        <xdr:sp macro="" textlink="">
          <xdr:nvSpPr>
            <xdr:cNvPr id="39937" name="Control 1" hidden="1">
              <a:extLst>
                <a:ext uri="{63B3BB69-23CF-44E3-9099-C40C66FF867C}">
                  <a14:compatExt spid="_x0000_s39937"/>
                </a:ext>
                <a:ext uri="{FF2B5EF4-FFF2-40B4-BE49-F238E27FC236}">
                  <a16:creationId xmlns:a16="http://schemas.microsoft.com/office/drawing/2014/main" id="{00000000-0008-0000-0F00-000001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563880</xdr:colOff>
          <xdr:row>14</xdr:row>
          <xdr:rowOff>59055</xdr:rowOff>
        </xdr:from>
        <xdr:to>
          <xdr:col>20</xdr:col>
          <xdr:colOff>430530</xdr:colOff>
          <xdr:row>15</xdr:row>
          <xdr:rowOff>97155</xdr:rowOff>
        </xdr:to>
        <xdr:sp macro="" textlink="">
          <xdr:nvSpPr>
            <xdr:cNvPr id="39938" name="Control 2" hidden="1">
              <a:extLst>
                <a:ext uri="{63B3BB69-23CF-44E3-9099-C40C66FF867C}">
                  <a14:compatExt spid="_x0000_s39938"/>
                </a:ext>
                <a:ext uri="{FF2B5EF4-FFF2-40B4-BE49-F238E27FC236}">
                  <a16:creationId xmlns:a16="http://schemas.microsoft.com/office/drawing/2014/main" id="{00000000-0008-0000-0F00-0000029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31</xdr:col>
          <xdr:colOff>626745</xdr:colOff>
          <xdr:row>17</xdr:row>
          <xdr:rowOff>62865</xdr:rowOff>
        </xdr:from>
        <xdr:to>
          <xdr:col>32</xdr:col>
          <xdr:colOff>493395</xdr:colOff>
          <xdr:row>18</xdr:row>
          <xdr:rowOff>100965</xdr:rowOff>
        </xdr:to>
        <xdr:sp macro="" textlink="">
          <xdr:nvSpPr>
            <xdr:cNvPr id="103425" name="Control 1" hidden="1">
              <a:extLst>
                <a:ext uri="{63B3BB69-23CF-44E3-9099-C40C66FF867C}">
                  <a14:compatExt spid="_x0000_s103425"/>
                </a:ext>
                <a:ext uri="{FF2B5EF4-FFF2-40B4-BE49-F238E27FC236}">
                  <a16:creationId xmlns:a16="http://schemas.microsoft.com/office/drawing/2014/main" id="{00000000-0008-0000-1000-000001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626745</xdr:colOff>
          <xdr:row>21</xdr:row>
          <xdr:rowOff>62865</xdr:rowOff>
        </xdr:from>
        <xdr:to>
          <xdr:col>32</xdr:col>
          <xdr:colOff>493395</xdr:colOff>
          <xdr:row>22</xdr:row>
          <xdr:rowOff>110490</xdr:rowOff>
        </xdr:to>
        <xdr:sp macro="" textlink="">
          <xdr:nvSpPr>
            <xdr:cNvPr id="103426" name="Control 2" hidden="1">
              <a:extLst>
                <a:ext uri="{63B3BB69-23CF-44E3-9099-C40C66FF867C}">
                  <a14:compatExt spid="_x0000_s103426"/>
                </a:ext>
                <a:ext uri="{FF2B5EF4-FFF2-40B4-BE49-F238E27FC236}">
                  <a16:creationId xmlns:a16="http://schemas.microsoft.com/office/drawing/2014/main" id="{00000000-0008-0000-1000-000002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626745</xdr:colOff>
          <xdr:row>21</xdr:row>
          <xdr:rowOff>62865</xdr:rowOff>
        </xdr:from>
        <xdr:to>
          <xdr:col>32</xdr:col>
          <xdr:colOff>493395</xdr:colOff>
          <xdr:row>22</xdr:row>
          <xdr:rowOff>110490</xdr:rowOff>
        </xdr:to>
        <xdr:sp macro="" textlink="">
          <xdr:nvSpPr>
            <xdr:cNvPr id="103427" name="Control 3" hidden="1">
              <a:extLst>
                <a:ext uri="{63B3BB69-23CF-44E3-9099-C40C66FF867C}">
                  <a14:compatExt spid="_x0000_s103427"/>
                </a:ext>
                <a:ext uri="{FF2B5EF4-FFF2-40B4-BE49-F238E27FC236}">
                  <a16:creationId xmlns:a16="http://schemas.microsoft.com/office/drawing/2014/main" id="{00000000-0008-0000-1000-0000039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32</xdr:col>
          <xdr:colOff>0</xdr:colOff>
          <xdr:row>21</xdr:row>
          <xdr:rowOff>57150</xdr:rowOff>
        </xdr:from>
        <xdr:to>
          <xdr:col>32</xdr:col>
          <xdr:colOff>495300</xdr:colOff>
          <xdr:row>22</xdr:row>
          <xdr:rowOff>104775</xdr:rowOff>
        </xdr:to>
        <xdr:sp macro="" textlink="">
          <xdr:nvSpPr>
            <xdr:cNvPr id="104449" name="Control 1" hidden="1">
              <a:extLst>
                <a:ext uri="{63B3BB69-23CF-44E3-9099-C40C66FF867C}">
                  <a14:compatExt spid="_x0000_s104449"/>
                </a:ext>
                <a:ext uri="{FF2B5EF4-FFF2-40B4-BE49-F238E27FC236}">
                  <a16:creationId xmlns:a16="http://schemas.microsoft.com/office/drawing/2014/main" id="{00000000-0008-0000-1300-0000019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0</xdr:colOff>
          <xdr:row>35</xdr:row>
          <xdr:rowOff>93345</xdr:rowOff>
        </xdr:from>
        <xdr:to>
          <xdr:col>32</xdr:col>
          <xdr:colOff>495300</xdr:colOff>
          <xdr:row>36</xdr:row>
          <xdr:rowOff>140970</xdr:rowOff>
        </xdr:to>
        <xdr:sp macro="" textlink="">
          <xdr:nvSpPr>
            <xdr:cNvPr id="104450" name="Control 2" hidden="1">
              <a:extLst>
                <a:ext uri="{63B3BB69-23CF-44E3-9099-C40C66FF867C}">
                  <a14:compatExt spid="_x0000_s104450"/>
                </a:ext>
                <a:ext uri="{FF2B5EF4-FFF2-40B4-BE49-F238E27FC236}">
                  <a16:creationId xmlns:a16="http://schemas.microsoft.com/office/drawing/2014/main" id="{00000000-0008-0000-1300-0000029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0</xdr:colOff>
          <xdr:row>35</xdr:row>
          <xdr:rowOff>93345</xdr:rowOff>
        </xdr:from>
        <xdr:to>
          <xdr:col>32</xdr:col>
          <xdr:colOff>495300</xdr:colOff>
          <xdr:row>36</xdr:row>
          <xdr:rowOff>140970</xdr:rowOff>
        </xdr:to>
        <xdr:sp macro="" textlink="">
          <xdr:nvSpPr>
            <xdr:cNvPr id="104451" name="Control 3" hidden="1">
              <a:extLst>
                <a:ext uri="{63B3BB69-23CF-44E3-9099-C40C66FF867C}">
                  <a14:compatExt spid="_x0000_s104451"/>
                </a:ext>
                <a:ext uri="{FF2B5EF4-FFF2-40B4-BE49-F238E27FC236}">
                  <a16:creationId xmlns:a16="http://schemas.microsoft.com/office/drawing/2014/main" id="{00000000-0008-0000-1300-0000039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xdr:colOff>
          <xdr:row>31</xdr:row>
          <xdr:rowOff>123825</xdr:rowOff>
        </xdr:from>
        <xdr:to>
          <xdr:col>1</xdr:col>
          <xdr:colOff>230505</xdr:colOff>
          <xdr:row>33</xdr:row>
          <xdr:rowOff>5715</xdr:rowOff>
        </xdr:to>
        <xdr:sp macro="" textlink="">
          <xdr:nvSpPr>
            <xdr:cNvPr id="73729" name="Control 1" hidden="1">
              <a:extLst>
                <a:ext uri="{63B3BB69-23CF-44E3-9099-C40C66FF867C}">
                  <a14:compatExt spid="_x0000_s73729"/>
                </a:ext>
                <a:ext uri="{FF2B5EF4-FFF2-40B4-BE49-F238E27FC236}">
                  <a16:creationId xmlns:a16="http://schemas.microsoft.com/office/drawing/2014/main" id="{00000000-0008-0000-3900-0000012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xdr:colOff>
          <xdr:row>31</xdr:row>
          <xdr:rowOff>123825</xdr:rowOff>
        </xdr:from>
        <xdr:to>
          <xdr:col>1</xdr:col>
          <xdr:colOff>230505</xdr:colOff>
          <xdr:row>33</xdr:row>
          <xdr:rowOff>5715</xdr:rowOff>
        </xdr:to>
        <xdr:sp macro="" textlink="">
          <xdr:nvSpPr>
            <xdr:cNvPr id="73730" name="Control 2" hidden="1">
              <a:extLst>
                <a:ext uri="{63B3BB69-23CF-44E3-9099-C40C66FF867C}">
                  <a14:compatExt spid="_x0000_s73730"/>
                </a:ext>
                <a:ext uri="{FF2B5EF4-FFF2-40B4-BE49-F238E27FC236}">
                  <a16:creationId xmlns:a16="http://schemas.microsoft.com/office/drawing/2014/main" id="{00000000-0008-0000-3900-0000022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xdr:colOff>
          <xdr:row>77</xdr:row>
          <xdr:rowOff>104775</xdr:rowOff>
        </xdr:from>
        <xdr:to>
          <xdr:col>1</xdr:col>
          <xdr:colOff>230505</xdr:colOff>
          <xdr:row>78</xdr:row>
          <xdr:rowOff>167640</xdr:rowOff>
        </xdr:to>
        <xdr:sp macro="" textlink="">
          <xdr:nvSpPr>
            <xdr:cNvPr id="75777" name="Control 1" hidden="1">
              <a:extLst>
                <a:ext uri="{63B3BB69-23CF-44E3-9099-C40C66FF867C}">
                  <a14:compatExt spid="_x0000_s75777"/>
                </a:ext>
                <a:ext uri="{FF2B5EF4-FFF2-40B4-BE49-F238E27FC236}">
                  <a16:creationId xmlns:a16="http://schemas.microsoft.com/office/drawing/2014/main" id="{00000000-0008-0000-3A00-0000012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xdr:colOff>
          <xdr:row>77</xdr:row>
          <xdr:rowOff>104775</xdr:rowOff>
        </xdr:from>
        <xdr:to>
          <xdr:col>1</xdr:col>
          <xdr:colOff>230505</xdr:colOff>
          <xdr:row>78</xdr:row>
          <xdr:rowOff>167640</xdr:rowOff>
        </xdr:to>
        <xdr:sp macro="" textlink="">
          <xdr:nvSpPr>
            <xdr:cNvPr id="75778" name="Control 2" hidden="1">
              <a:extLst>
                <a:ext uri="{63B3BB69-23CF-44E3-9099-C40C66FF867C}">
                  <a14:compatExt spid="_x0000_s75778"/>
                </a:ext>
                <a:ext uri="{FF2B5EF4-FFF2-40B4-BE49-F238E27FC236}">
                  <a16:creationId xmlns:a16="http://schemas.microsoft.com/office/drawing/2014/main" id="{00000000-0008-0000-3A00-0000022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30</xdr:row>
          <xdr:rowOff>104775</xdr:rowOff>
        </xdr:from>
        <xdr:to>
          <xdr:col>0</xdr:col>
          <xdr:colOff>228600</xdr:colOff>
          <xdr:row>31</xdr:row>
          <xdr:rowOff>167640</xdr:rowOff>
        </xdr:to>
        <xdr:sp macro="" textlink="">
          <xdr:nvSpPr>
            <xdr:cNvPr id="77825" name="Control 1" hidden="1">
              <a:extLst>
                <a:ext uri="{63B3BB69-23CF-44E3-9099-C40C66FF867C}">
                  <a14:compatExt spid="_x0000_s77825"/>
                </a:ext>
                <a:ext uri="{FF2B5EF4-FFF2-40B4-BE49-F238E27FC236}">
                  <a16:creationId xmlns:a16="http://schemas.microsoft.com/office/drawing/2014/main" id="{00000000-0008-0000-3F00-0000013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102870</xdr:rowOff>
        </xdr:from>
        <xdr:to>
          <xdr:col>0</xdr:col>
          <xdr:colOff>228600</xdr:colOff>
          <xdr:row>30</xdr:row>
          <xdr:rowOff>165735</xdr:rowOff>
        </xdr:to>
        <xdr:sp macro="" textlink="">
          <xdr:nvSpPr>
            <xdr:cNvPr id="77826" name="Control 2" hidden="1">
              <a:extLst>
                <a:ext uri="{63B3BB69-23CF-44E3-9099-C40C66FF867C}">
                  <a14:compatExt spid="_x0000_s77826"/>
                </a:ext>
                <a:ext uri="{FF2B5EF4-FFF2-40B4-BE49-F238E27FC236}">
                  <a16:creationId xmlns:a16="http://schemas.microsoft.com/office/drawing/2014/main" id="{00000000-0008-0000-3F00-0000023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29</xdr:row>
          <xdr:rowOff>104775</xdr:rowOff>
        </xdr:from>
        <xdr:to>
          <xdr:col>0</xdr:col>
          <xdr:colOff>228600</xdr:colOff>
          <xdr:row>30</xdr:row>
          <xdr:rowOff>167640</xdr:rowOff>
        </xdr:to>
        <xdr:sp macro="" textlink="">
          <xdr:nvSpPr>
            <xdr:cNvPr id="88065" name="Control 1" hidden="1">
              <a:extLst>
                <a:ext uri="{63B3BB69-23CF-44E3-9099-C40C66FF867C}">
                  <a14:compatExt spid="_x0000_s88065"/>
                </a:ext>
                <a:ext uri="{FF2B5EF4-FFF2-40B4-BE49-F238E27FC236}">
                  <a16:creationId xmlns:a16="http://schemas.microsoft.com/office/drawing/2014/main" id="{00000000-0008-0000-4200-0000015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102870</xdr:rowOff>
        </xdr:from>
        <xdr:to>
          <xdr:col>0</xdr:col>
          <xdr:colOff>228600</xdr:colOff>
          <xdr:row>29</xdr:row>
          <xdr:rowOff>165735</xdr:rowOff>
        </xdr:to>
        <xdr:sp macro="" textlink="">
          <xdr:nvSpPr>
            <xdr:cNvPr id="88066" name="Control 2" hidden="1">
              <a:extLst>
                <a:ext uri="{63B3BB69-23CF-44E3-9099-C40C66FF867C}">
                  <a14:compatExt spid="_x0000_s88066"/>
                </a:ext>
                <a:ext uri="{FF2B5EF4-FFF2-40B4-BE49-F238E27FC236}">
                  <a16:creationId xmlns:a16="http://schemas.microsoft.com/office/drawing/2014/main" id="{00000000-0008-0000-4200-0000025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36</xdr:row>
          <xdr:rowOff>30480</xdr:rowOff>
        </xdr:from>
        <xdr:to>
          <xdr:col>0</xdr:col>
          <xdr:colOff>228600</xdr:colOff>
          <xdr:row>37</xdr:row>
          <xdr:rowOff>83820</xdr:rowOff>
        </xdr:to>
        <xdr:sp macro="" textlink="">
          <xdr:nvSpPr>
            <xdr:cNvPr id="90113" name="Control 1" hidden="1">
              <a:extLst>
                <a:ext uri="{63B3BB69-23CF-44E3-9099-C40C66FF867C}">
                  <a14:compatExt spid="_x0000_s90113"/>
                </a:ext>
                <a:ext uri="{FF2B5EF4-FFF2-40B4-BE49-F238E27FC236}">
                  <a16:creationId xmlns:a16="http://schemas.microsoft.com/office/drawing/2014/main" id="{00000000-0008-0000-4400-000001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30480</xdr:rowOff>
        </xdr:from>
        <xdr:to>
          <xdr:col>0</xdr:col>
          <xdr:colOff>228600</xdr:colOff>
          <xdr:row>35</xdr:row>
          <xdr:rowOff>83820</xdr:rowOff>
        </xdr:to>
        <xdr:sp macro="" textlink="">
          <xdr:nvSpPr>
            <xdr:cNvPr id="90114" name="Control 2" hidden="1">
              <a:extLst>
                <a:ext uri="{63B3BB69-23CF-44E3-9099-C40C66FF867C}">
                  <a14:compatExt spid="_x0000_s90114"/>
                </a:ext>
                <a:ext uri="{FF2B5EF4-FFF2-40B4-BE49-F238E27FC236}">
                  <a16:creationId xmlns:a16="http://schemas.microsoft.com/office/drawing/2014/main" id="{00000000-0008-0000-4400-0000026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31</xdr:row>
          <xdr:rowOff>76200</xdr:rowOff>
        </xdr:from>
        <xdr:to>
          <xdr:col>0</xdr:col>
          <xdr:colOff>228600</xdr:colOff>
          <xdr:row>32</xdr:row>
          <xdr:rowOff>139065</xdr:rowOff>
        </xdr:to>
        <xdr:sp macro="" textlink="">
          <xdr:nvSpPr>
            <xdr:cNvPr id="82945" name="Control 1" hidden="1">
              <a:extLst>
                <a:ext uri="{63B3BB69-23CF-44E3-9099-C40C66FF867C}">
                  <a14:compatExt spid="_x0000_s82945"/>
                </a:ext>
                <a:ext uri="{FF2B5EF4-FFF2-40B4-BE49-F238E27FC236}">
                  <a16:creationId xmlns:a16="http://schemas.microsoft.com/office/drawing/2014/main" id="{00000000-0008-0000-4700-0000014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74295</xdr:rowOff>
        </xdr:from>
        <xdr:to>
          <xdr:col>0</xdr:col>
          <xdr:colOff>228600</xdr:colOff>
          <xdr:row>31</xdr:row>
          <xdr:rowOff>137160</xdr:rowOff>
        </xdr:to>
        <xdr:sp macro="" textlink="">
          <xdr:nvSpPr>
            <xdr:cNvPr id="82946" name="Control 2" hidden="1">
              <a:extLst>
                <a:ext uri="{63B3BB69-23CF-44E3-9099-C40C66FF867C}">
                  <a14:compatExt spid="_x0000_s82946"/>
                </a:ext>
                <a:ext uri="{FF2B5EF4-FFF2-40B4-BE49-F238E27FC236}">
                  <a16:creationId xmlns:a16="http://schemas.microsoft.com/office/drawing/2014/main" id="{00000000-0008-0000-4700-0000024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ontrol" Target="../activeX/activeX3.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vmlDrawing" Target="../drawings/vmlDrawing2.vml"/><Relationship Id="rId7" Type="http://schemas.openxmlformats.org/officeDocument/2006/relationships/control" Target="../activeX/activeX6.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ontrol" Target="../activeX/activeX5.xml"/><Relationship Id="rId5" Type="http://schemas.openxmlformats.org/officeDocument/2006/relationships/image" Target="../media/image2.emf"/><Relationship Id="rId4" Type="http://schemas.openxmlformats.org/officeDocument/2006/relationships/control" Target="../activeX/activeX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ontrol" Target="../activeX/activeX9.xml"/><Relationship Id="rId2" Type="http://schemas.openxmlformats.org/officeDocument/2006/relationships/drawing" Target="../drawings/drawing3.xml"/><Relationship Id="rId1" Type="http://schemas.openxmlformats.org/officeDocument/2006/relationships/printerSettings" Target="../printerSettings/printerSettings6.bin"/><Relationship Id="rId6" Type="http://schemas.openxmlformats.org/officeDocument/2006/relationships/control" Target="../activeX/activeX8.xml"/><Relationship Id="rId5" Type="http://schemas.openxmlformats.org/officeDocument/2006/relationships/image" Target="../media/image4.emf"/><Relationship Id="rId4" Type="http://schemas.openxmlformats.org/officeDocument/2006/relationships/control" Target="../activeX/activeX7.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ontrol" Target="../activeX/activeX12.xml"/><Relationship Id="rId2" Type="http://schemas.openxmlformats.org/officeDocument/2006/relationships/drawing" Target="../drawings/drawing4.xml"/><Relationship Id="rId1" Type="http://schemas.openxmlformats.org/officeDocument/2006/relationships/printerSettings" Target="../printerSettings/printerSettings7.bin"/><Relationship Id="rId6" Type="http://schemas.openxmlformats.org/officeDocument/2006/relationships/control" Target="../activeX/activeX11.xml"/><Relationship Id="rId5" Type="http://schemas.openxmlformats.org/officeDocument/2006/relationships/image" Target="../media/image2.emf"/><Relationship Id="rId4" Type="http://schemas.openxmlformats.org/officeDocument/2006/relationships/control" Target="../activeX/activeX10.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control" Target="../activeX/activeX15.xml"/><Relationship Id="rId2" Type="http://schemas.openxmlformats.org/officeDocument/2006/relationships/drawing" Target="../drawings/drawing5.xml"/><Relationship Id="rId1" Type="http://schemas.openxmlformats.org/officeDocument/2006/relationships/printerSettings" Target="../printerSettings/printerSettings8.bin"/><Relationship Id="rId6" Type="http://schemas.openxmlformats.org/officeDocument/2006/relationships/control" Target="../activeX/activeX14.xml"/><Relationship Id="rId5" Type="http://schemas.openxmlformats.org/officeDocument/2006/relationships/image" Target="../media/image2.emf"/><Relationship Id="rId4" Type="http://schemas.openxmlformats.org/officeDocument/2006/relationships/control" Target="../activeX/activeX1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control" Target="../activeX/activeX18.xml"/><Relationship Id="rId2" Type="http://schemas.openxmlformats.org/officeDocument/2006/relationships/drawing" Target="../drawings/drawing6.xml"/><Relationship Id="rId1" Type="http://schemas.openxmlformats.org/officeDocument/2006/relationships/printerSettings" Target="../printerSettings/printerSettings10.bin"/><Relationship Id="rId6" Type="http://schemas.openxmlformats.org/officeDocument/2006/relationships/control" Target="../activeX/activeX17.xml"/><Relationship Id="rId5" Type="http://schemas.openxmlformats.org/officeDocument/2006/relationships/image" Target="../media/image2.emf"/><Relationship Id="rId4" Type="http://schemas.openxmlformats.org/officeDocument/2006/relationships/control" Target="../activeX/activeX1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14.bin"/><Relationship Id="rId6" Type="http://schemas.openxmlformats.org/officeDocument/2006/relationships/control" Target="../activeX/activeX20.xml"/><Relationship Id="rId5" Type="http://schemas.openxmlformats.org/officeDocument/2006/relationships/image" Target="../media/image5.emf"/><Relationship Id="rId4" Type="http://schemas.openxmlformats.org/officeDocument/2006/relationships/control" Target="../activeX/activeX1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image" Target="../media/image7.emf"/><Relationship Id="rId2" Type="http://schemas.openxmlformats.org/officeDocument/2006/relationships/drawing" Target="../drawings/drawing8.xml"/><Relationship Id="rId1" Type="http://schemas.openxmlformats.org/officeDocument/2006/relationships/printerSettings" Target="../printerSettings/printerSettings15.bin"/><Relationship Id="rId6" Type="http://schemas.openxmlformats.org/officeDocument/2006/relationships/control" Target="../activeX/activeX22.xml"/><Relationship Id="rId5" Type="http://schemas.openxmlformats.org/officeDocument/2006/relationships/image" Target="../media/image6.emf"/><Relationship Id="rId4" Type="http://schemas.openxmlformats.org/officeDocument/2006/relationships/control" Target="../activeX/activeX21.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7" Type="http://schemas.openxmlformats.org/officeDocument/2006/relationships/image" Target="../media/image8.emf"/><Relationship Id="rId2" Type="http://schemas.openxmlformats.org/officeDocument/2006/relationships/drawing" Target="../drawings/drawing9.xml"/><Relationship Id="rId1" Type="http://schemas.openxmlformats.org/officeDocument/2006/relationships/printerSettings" Target="../printerSettings/printerSettings16.bin"/><Relationship Id="rId6" Type="http://schemas.openxmlformats.org/officeDocument/2006/relationships/control" Target="../activeX/activeX24.xml"/><Relationship Id="rId5" Type="http://schemas.openxmlformats.org/officeDocument/2006/relationships/image" Target="../media/image2.emf"/><Relationship Id="rId4" Type="http://schemas.openxmlformats.org/officeDocument/2006/relationships/control" Target="../activeX/activeX23.xm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vmlDrawing" Target="../drawings/vmlDrawing10.vml"/><Relationship Id="rId7" Type="http://schemas.openxmlformats.org/officeDocument/2006/relationships/control" Target="../activeX/activeX27.xml"/><Relationship Id="rId2" Type="http://schemas.openxmlformats.org/officeDocument/2006/relationships/drawing" Target="../drawings/drawing10.xml"/><Relationship Id="rId1" Type="http://schemas.openxmlformats.org/officeDocument/2006/relationships/printerSettings" Target="../printerSettings/printerSettings17.bin"/><Relationship Id="rId6" Type="http://schemas.openxmlformats.org/officeDocument/2006/relationships/control" Target="../activeX/activeX26.xml"/><Relationship Id="rId5" Type="http://schemas.openxmlformats.org/officeDocument/2006/relationships/image" Target="../media/image3.emf"/><Relationship Id="rId4" Type="http://schemas.openxmlformats.org/officeDocument/2006/relationships/control" Target="../activeX/activeX2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1.vml"/><Relationship Id="rId7" Type="http://schemas.openxmlformats.org/officeDocument/2006/relationships/control" Target="../activeX/activeX30.xml"/><Relationship Id="rId2" Type="http://schemas.openxmlformats.org/officeDocument/2006/relationships/drawing" Target="../drawings/drawing11.xml"/><Relationship Id="rId1" Type="http://schemas.openxmlformats.org/officeDocument/2006/relationships/printerSettings" Target="../printerSettings/printerSettings20.bin"/><Relationship Id="rId6" Type="http://schemas.openxmlformats.org/officeDocument/2006/relationships/control" Target="../activeX/activeX29.xml"/><Relationship Id="rId5" Type="http://schemas.openxmlformats.org/officeDocument/2006/relationships/image" Target="../media/image2.emf"/><Relationship Id="rId4" Type="http://schemas.openxmlformats.org/officeDocument/2006/relationships/control" Target="../activeX/activeX28.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8.bin"/><Relationship Id="rId6" Type="http://schemas.openxmlformats.org/officeDocument/2006/relationships/control" Target="../activeX/activeX32.xml"/><Relationship Id="rId5" Type="http://schemas.openxmlformats.org/officeDocument/2006/relationships/image" Target="../media/image9.emf"/><Relationship Id="rId4" Type="http://schemas.openxmlformats.org/officeDocument/2006/relationships/control" Target="../activeX/activeX31.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3.vml"/><Relationship Id="rId7" Type="http://schemas.openxmlformats.org/officeDocument/2006/relationships/image" Target="../media/image10.emf"/><Relationship Id="rId2" Type="http://schemas.openxmlformats.org/officeDocument/2006/relationships/drawing" Target="../drawings/drawing13.xml"/><Relationship Id="rId1" Type="http://schemas.openxmlformats.org/officeDocument/2006/relationships/printerSettings" Target="../printerSettings/printerSettings59.bin"/><Relationship Id="rId6" Type="http://schemas.openxmlformats.org/officeDocument/2006/relationships/control" Target="../activeX/activeX34.xml"/><Relationship Id="rId5" Type="http://schemas.openxmlformats.org/officeDocument/2006/relationships/image" Target="../media/image9.emf"/><Relationship Id="rId4" Type="http://schemas.openxmlformats.org/officeDocument/2006/relationships/control" Target="../activeX/activeX33.xml"/></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64.bin"/><Relationship Id="rId6" Type="http://schemas.openxmlformats.org/officeDocument/2006/relationships/control" Target="../activeX/activeX36.xml"/><Relationship Id="rId5" Type="http://schemas.openxmlformats.org/officeDocument/2006/relationships/image" Target="../media/image9.emf"/><Relationship Id="rId4" Type="http://schemas.openxmlformats.org/officeDocument/2006/relationships/control" Target="../activeX/activeX35.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67.bin"/><Relationship Id="rId6" Type="http://schemas.openxmlformats.org/officeDocument/2006/relationships/control" Target="../activeX/activeX38.xml"/><Relationship Id="rId5" Type="http://schemas.openxmlformats.org/officeDocument/2006/relationships/image" Target="../media/image9.emf"/><Relationship Id="rId4" Type="http://schemas.openxmlformats.org/officeDocument/2006/relationships/control" Target="../activeX/activeX37.xm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9.bin"/><Relationship Id="rId6" Type="http://schemas.openxmlformats.org/officeDocument/2006/relationships/control" Target="../activeX/activeX40.xml"/><Relationship Id="rId5" Type="http://schemas.openxmlformats.org/officeDocument/2006/relationships/image" Target="../media/image9.emf"/><Relationship Id="rId4" Type="http://schemas.openxmlformats.org/officeDocument/2006/relationships/control" Target="../activeX/activeX39.xml"/></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72.bin"/><Relationship Id="rId6" Type="http://schemas.openxmlformats.org/officeDocument/2006/relationships/control" Target="../activeX/activeX42.xml"/><Relationship Id="rId5" Type="http://schemas.openxmlformats.org/officeDocument/2006/relationships/image" Target="../media/image11.emf"/><Relationship Id="rId4" Type="http://schemas.openxmlformats.org/officeDocument/2006/relationships/control" Target="../activeX/activeX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4" width="10.5546875" style="28" bestFit="1" customWidth="1"/>
    <col min="5" max="5" width="9.109375" style="28"/>
    <col min="6" max="6" width="10.5546875" style="28" bestFit="1" customWidth="1"/>
    <col min="7" max="16384" width="9.109375" style="28"/>
  </cols>
  <sheetData>
    <row r="1" spans="1:8" x14ac:dyDescent="0.3">
      <c r="A1" s="5" t="s">
        <v>546</v>
      </c>
      <c r="B1" s="5"/>
    </row>
    <row r="2" spans="1:8" s="89" customFormat="1" x14ac:dyDescent="0.3">
      <c r="A2" s="370"/>
      <c r="B2" s="370"/>
    </row>
    <row r="3" spans="1:8" x14ac:dyDescent="0.3">
      <c r="A3" s="5" t="s">
        <v>0</v>
      </c>
      <c r="B3" s="5" t="s">
        <v>268</v>
      </c>
    </row>
    <row r="4" spans="1:8" ht="36.75" customHeight="1" x14ac:dyDescent="0.3">
      <c r="A4" s="2"/>
      <c r="B4" s="572" t="s">
        <v>296</v>
      </c>
      <c r="C4" s="572"/>
      <c r="D4" s="572"/>
      <c r="E4" s="572"/>
      <c r="F4" s="572"/>
      <c r="G4" s="572"/>
      <c r="H4" s="572"/>
    </row>
    <row r="5" spans="1:8" ht="15" customHeight="1" x14ac:dyDescent="0.3">
      <c r="A5" s="2"/>
      <c r="B5" s="28" t="s">
        <v>3</v>
      </c>
      <c r="D5" s="83"/>
      <c r="E5" s="83"/>
      <c r="F5" s="83"/>
      <c r="G5" s="83"/>
      <c r="H5" s="83"/>
    </row>
    <row r="6" spans="1:8" ht="15" customHeight="1" x14ac:dyDescent="0.3">
      <c r="A6" s="2"/>
      <c r="B6" s="574" t="s">
        <v>297</v>
      </c>
      <c r="C6" s="574"/>
      <c r="D6" s="574"/>
      <c r="E6" s="574"/>
      <c r="F6" s="574"/>
      <c r="G6" s="574"/>
      <c r="H6" s="574"/>
    </row>
    <row r="7" spans="1:8" ht="15" customHeight="1" x14ac:dyDescent="0.3">
      <c r="A7" s="2"/>
      <c r="B7" s="574" t="s">
        <v>298</v>
      </c>
      <c r="C7" s="574"/>
      <c r="D7" s="574"/>
      <c r="E7" s="574"/>
      <c r="F7" s="574"/>
      <c r="G7" s="574"/>
      <c r="H7" s="574"/>
    </row>
    <row r="8" spans="1:8" ht="15" customHeight="1" x14ac:dyDescent="0.3">
      <c r="A8" s="2"/>
      <c r="B8" s="574" t="s">
        <v>299</v>
      </c>
      <c r="C8" s="574"/>
      <c r="D8" s="574"/>
      <c r="E8" s="574"/>
      <c r="F8" s="369"/>
      <c r="G8" s="369"/>
      <c r="H8" s="369"/>
    </row>
    <row r="9" spans="1:8" ht="15" customHeight="1" x14ac:dyDescent="0.3">
      <c r="A9" s="2"/>
      <c r="B9" s="4"/>
      <c r="C9" s="355"/>
      <c r="D9" s="355"/>
      <c r="E9" s="355"/>
      <c r="F9" s="355"/>
      <c r="G9" s="355"/>
      <c r="H9" s="355"/>
    </row>
    <row r="10" spans="1:8" s="89" customFormat="1" ht="15" customHeight="1" x14ac:dyDescent="0.3">
      <c r="A10" s="358"/>
      <c r="B10" s="359"/>
      <c r="C10" s="360"/>
      <c r="D10" s="360"/>
      <c r="E10" s="360"/>
      <c r="F10" s="360"/>
      <c r="G10" s="360"/>
      <c r="H10" s="360"/>
    </row>
    <row r="11" spans="1:8" ht="15" customHeight="1" x14ac:dyDescent="0.3">
      <c r="A11" s="2"/>
      <c r="B11" s="4"/>
      <c r="C11" s="355"/>
      <c r="D11" s="355"/>
      <c r="E11" s="355"/>
      <c r="F11" s="355"/>
      <c r="G11" s="355"/>
      <c r="H11" s="355"/>
    </row>
    <row r="12" spans="1:8" ht="15" customHeight="1" x14ac:dyDescent="0.3">
      <c r="A12" s="2"/>
      <c r="B12" s="573" t="s">
        <v>265</v>
      </c>
      <c r="C12" s="573"/>
      <c r="D12" s="573"/>
      <c r="E12" s="573"/>
      <c r="F12" s="573"/>
      <c r="G12" s="573"/>
      <c r="H12" s="573"/>
    </row>
    <row r="13" spans="1:8" ht="15" customHeight="1" x14ac:dyDescent="0.3">
      <c r="A13" s="2"/>
      <c r="B13" s="570" t="s">
        <v>266</v>
      </c>
      <c r="C13" s="570"/>
      <c r="D13" s="570"/>
      <c r="E13" s="570"/>
      <c r="F13" s="570"/>
      <c r="G13" s="570"/>
      <c r="H13" s="570"/>
    </row>
    <row r="14" spans="1:8" ht="15" customHeight="1" x14ac:dyDescent="0.3">
      <c r="A14" s="2"/>
      <c r="B14" s="571" t="s">
        <v>267</v>
      </c>
      <c r="C14" s="571"/>
      <c r="D14" s="571"/>
      <c r="E14" s="571"/>
      <c r="F14" s="571"/>
      <c r="G14" s="571"/>
      <c r="H14" s="571"/>
    </row>
    <row r="15" spans="1:8" ht="15" customHeight="1" x14ac:dyDescent="0.3">
      <c r="A15" s="2"/>
      <c r="B15" s="4"/>
      <c r="C15" s="355"/>
      <c r="D15" s="355"/>
      <c r="E15" s="355"/>
      <c r="F15" s="355"/>
      <c r="G15" s="355"/>
      <c r="H15" s="355"/>
    </row>
    <row r="16" spans="1:8" ht="15" customHeight="1" x14ac:dyDescent="0.3">
      <c r="A16" s="2"/>
      <c r="B16" s="4" t="s">
        <v>56</v>
      </c>
      <c r="D16" s="355"/>
      <c r="E16" s="355"/>
      <c r="F16" s="355"/>
      <c r="G16" s="355"/>
      <c r="H16" s="355"/>
    </row>
    <row r="17" spans="1:11" x14ac:dyDescent="0.3">
      <c r="A17" s="9"/>
      <c r="B17" s="367" t="s">
        <v>28</v>
      </c>
      <c r="C17" s="378">
        <v>0.04</v>
      </c>
      <c r="E17" s="87" t="s">
        <v>0</v>
      </c>
      <c r="F17" s="25"/>
      <c r="G17" s="25"/>
      <c r="K17" s="25"/>
    </row>
    <row r="18" spans="1:11" x14ac:dyDescent="0.3">
      <c r="A18" s="9"/>
      <c r="B18" s="367" t="s">
        <v>300</v>
      </c>
      <c r="C18" s="137">
        <v>1000</v>
      </c>
      <c r="E18" s="87"/>
      <c r="F18" s="25"/>
      <c r="G18" s="25"/>
    </row>
    <row r="19" spans="1:11" x14ac:dyDescent="0.3">
      <c r="A19" s="9"/>
      <c r="B19" s="367" t="s">
        <v>303</v>
      </c>
      <c r="C19" s="138">
        <v>1</v>
      </c>
      <c r="E19" s="87"/>
      <c r="F19" s="25"/>
      <c r="G19" s="25"/>
    </row>
    <row r="20" spans="1:11" x14ac:dyDescent="0.3">
      <c r="A20" s="9"/>
      <c r="B20" s="367" t="s">
        <v>304</v>
      </c>
      <c r="C20" s="138">
        <v>2</v>
      </c>
      <c r="E20" s="87"/>
      <c r="F20" s="25"/>
      <c r="G20" s="25"/>
    </row>
    <row r="21" spans="1:11" x14ac:dyDescent="0.3">
      <c r="A21" s="9"/>
      <c r="B21" s="367" t="s">
        <v>305</v>
      </c>
      <c r="C21" s="139">
        <v>10</v>
      </c>
      <c r="E21" s="87"/>
      <c r="F21" s="25"/>
      <c r="G21" s="25"/>
    </row>
    <row r="22" spans="1:11" x14ac:dyDescent="0.3">
      <c r="A22" s="9"/>
      <c r="C22" s="356"/>
      <c r="D22" s="379" t="s">
        <v>0</v>
      </c>
      <c r="E22" s="87"/>
      <c r="F22" s="25"/>
      <c r="G22" s="25"/>
    </row>
    <row r="23" spans="1:11" s="89" customFormat="1" x14ac:dyDescent="0.3">
      <c r="A23" s="88"/>
      <c r="C23" s="90"/>
      <c r="D23" s="91"/>
      <c r="E23" s="92"/>
    </row>
    <row r="24" spans="1:11" x14ac:dyDescent="0.3">
      <c r="A24" s="5"/>
      <c r="B24" s="6"/>
      <c r="C24" s="6"/>
      <c r="D24" s="6"/>
      <c r="E24" s="6"/>
      <c r="F24" s="6"/>
      <c r="G24" s="6"/>
      <c r="H24" s="6"/>
    </row>
    <row r="25" spans="1:11" x14ac:dyDescent="0.3">
      <c r="A25" s="9"/>
      <c r="B25" s="5" t="s">
        <v>1</v>
      </c>
      <c r="E25" s="5"/>
    </row>
    <row r="26" spans="1:11" x14ac:dyDescent="0.3">
      <c r="A26" s="9"/>
      <c r="B26" s="5" t="s">
        <v>9</v>
      </c>
      <c r="E26" s="34"/>
      <c r="F26" s="34"/>
      <c r="G26" s="34"/>
      <c r="H26" s="34"/>
    </row>
    <row r="27" spans="1:11" x14ac:dyDescent="0.3">
      <c r="A27"/>
      <c r="B27" s="93" t="s">
        <v>57</v>
      </c>
      <c r="C27" s="130">
        <f>$C$18*(1+$C$17)^C19-$C18*(1+$C17)^(C19-1)</f>
        <v>40</v>
      </c>
      <c r="E27" s="36"/>
      <c r="F27" s="37"/>
      <c r="G27" s="34"/>
      <c r="H27" s="34"/>
    </row>
    <row r="28" spans="1:11" x14ac:dyDescent="0.3">
      <c r="A28"/>
      <c r="B28" s="25" t="s">
        <v>0</v>
      </c>
      <c r="C28" s="131" t="s">
        <v>0</v>
      </c>
    </row>
    <row r="29" spans="1:11" x14ac:dyDescent="0.3">
      <c r="A29"/>
      <c r="B29" s="40" t="s">
        <v>5</v>
      </c>
      <c r="C29" s="132" t="s">
        <v>0</v>
      </c>
      <c r="E29" s="34"/>
      <c r="F29" s="34"/>
      <c r="G29" s="34"/>
      <c r="H29" s="34"/>
    </row>
    <row r="30" spans="1:11" x14ac:dyDescent="0.3">
      <c r="A30"/>
      <c r="B30" s="93" t="s">
        <v>301</v>
      </c>
      <c r="C30" s="130">
        <f>$C$18*(1+$C$17)^C20-$C$18*(1+$C$17)^(C20-1)</f>
        <v>41.600000000000136</v>
      </c>
      <c r="E30" s="36"/>
      <c r="F30" s="37"/>
      <c r="G30" s="34"/>
      <c r="H30" s="34"/>
    </row>
    <row r="31" spans="1:11" x14ac:dyDescent="0.3">
      <c r="A31"/>
      <c r="B31" s="93"/>
      <c r="C31" s="134"/>
      <c r="E31" s="36"/>
      <c r="F31" s="37"/>
      <c r="G31" s="34"/>
      <c r="H31" s="34"/>
    </row>
    <row r="32" spans="1:11" x14ac:dyDescent="0.3">
      <c r="A32"/>
      <c r="B32" s="40" t="s">
        <v>5</v>
      </c>
      <c r="C32" s="132" t="s">
        <v>0</v>
      </c>
      <c r="E32" s="34"/>
      <c r="F32" s="34"/>
      <c r="G32" s="34"/>
      <c r="H32" s="34"/>
    </row>
    <row r="33" spans="1:8" x14ac:dyDescent="0.3">
      <c r="A33"/>
      <c r="B33" s="93" t="s">
        <v>302</v>
      </c>
      <c r="C33" s="130">
        <f>$C$18*(1+$C$17)^C21-$C$18*(1+$C$17)^(C21-1)</f>
        <v>56.932472496859418</v>
      </c>
      <c r="E33" s="36"/>
      <c r="F33" s="37"/>
      <c r="G33" s="34"/>
      <c r="H33" s="34"/>
    </row>
    <row r="34" spans="1:8" x14ac:dyDescent="0.3">
      <c r="A34"/>
      <c r="B34" s="25"/>
    </row>
    <row r="35" spans="1:8" x14ac:dyDescent="0.3">
      <c r="B35" s="18"/>
      <c r="C35" s="18"/>
      <c r="D35" s="18"/>
      <c r="E35" s="18"/>
      <c r="F35" s="18"/>
    </row>
  </sheetData>
  <mergeCells count="7">
    <mergeCell ref="B13:H13"/>
    <mergeCell ref="B14:H14"/>
    <mergeCell ref="B4:H4"/>
    <mergeCell ref="B12:H12"/>
    <mergeCell ref="B6:H6"/>
    <mergeCell ref="B7:H7"/>
    <mergeCell ref="B8:E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workbookViewId="0">
      <selection activeCell="B6" sqref="B6:H6"/>
    </sheetView>
  </sheetViews>
  <sheetFormatPr defaultRowHeight="14.4" x14ac:dyDescent="0.3"/>
  <cols>
    <col min="1" max="1" width="16.5546875" customWidth="1"/>
    <col min="2" max="2" width="24.33203125" customWidth="1"/>
    <col min="3" max="3" width="12.6640625" bestFit="1" customWidth="1"/>
    <col min="5" max="5" width="10.109375" bestFit="1" customWidth="1"/>
    <col min="6" max="6" width="10.5546875" bestFit="1" customWidth="1"/>
    <col min="7" max="7" width="12.5546875" customWidth="1"/>
    <col min="8" max="8" width="4.33203125" customWidth="1"/>
    <col min="9" max="9" width="13.33203125" customWidth="1"/>
  </cols>
  <sheetData>
    <row r="1" spans="1:9" x14ac:dyDescent="0.3">
      <c r="A1" s="5" t="s">
        <v>561</v>
      </c>
      <c r="B1" s="5"/>
    </row>
    <row r="2" spans="1:9" s="89" customFormat="1" x14ac:dyDescent="0.3">
      <c r="A2" s="370"/>
      <c r="B2" s="370"/>
    </row>
    <row r="3" spans="1:9" x14ac:dyDescent="0.3">
      <c r="A3" s="5" t="s">
        <v>0</v>
      </c>
      <c r="B3" s="5" t="s">
        <v>268</v>
      </c>
    </row>
    <row r="4" spans="1:9" ht="36.75" customHeight="1" x14ac:dyDescent="0.3">
      <c r="A4" s="2"/>
      <c r="B4" s="575" t="s">
        <v>542</v>
      </c>
      <c r="C4" s="575"/>
      <c r="D4" s="575"/>
      <c r="E4" s="575"/>
      <c r="F4" s="575"/>
      <c r="G4" s="575"/>
      <c r="H4" s="575"/>
      <c r="I4" s="362"/>
    </row>
    <row r="5" spans="1:9" ht="15" customHeight="1" x14ac:dyDescent="0.3">
      <c r="A5" s="2"/>
      <c r="B5" t="s">
        <v>3</v>
      </c>
      <c r="D5" s="3"/>
      <c r="E5" s="3"/>
      <c r="F5" s="3"/>
      <c r="G5" s="3"/>
      <c r="H5" s="3"/>
    </row>
    <row r="6" spans="1:9" ht="30.75" customHeight="1" x14ac:dyDescent="0.3">
      <c r="A6" s="2"/>
      <c r="B6" s="574" t="s">
        <v>616</v>
      </c>
      <c r="C6" s="574"/>
      <c r="D6" s="574"/>
      <c r="E6" s="574"/>
      <c r="F6" s="574"/>
      <c r="G6" s="574"/>
      <c r="H6" s="574"/>
      <c r="I6" s="369"/>
    </row>
    <row r="7" spans="1:9" ht="20.25" customHeight="1" x14ac:dyDescent="0.3">
      <c r="A7" s="2"/>
      <c r="B7" s="576" t="s">
        <v>617</v>
      </c>
      <c r="C7" s="576"/>
      <c r="D7" s="576"/>
      <c r="E7" s="576"/>
      <c r="F7" s="576"/>
      <c r="G7" s="576"/>
      <c r="H7" s="576"/>
      <c r="I7" s="369"/>
    </row>
    <row r="8" spans="1:9" ht="15" customHeight="1" x14ac:dyDescent="0.3">
      <c r="A8" s="2"/>
      <c r="B8" s="3"/>
      <c r="C8" s="3"/>
      <c r="D8" s="3"/>
      <c r="E8" s="3"/>
      <c r="F8" s="3"/>
      <c r="G8" s="3"/>
      <c r="H8" s="3"/>
    </row>
    <row r="9" spans="1:9" s="373" customFormat="1" x14ac:dyDescent="0.3">
      <c r="B9" s="412"/>
      <c r="C9" s="412"/>
      <c r="D9" s="412"/>
      <c r="E9" s="412"/>
      <c r="F9" s="412"/>
      <c r="G9" s="412"/>
      <c r="H9" s="412"/>
    </row>
    <row r="10" spans="1:9" s="25" customFormat="1" x14ac:dyDescent="0.3">
      <c r="A10" s="40"/>
      <c r="B10" s="41"/>
      <c r="C10" s="41"/>
      <c r="D10" s="41"/>
      <c r="E10" s="41"/>
      <c r="F10" s="41"/>
      <c r="G10" s="41"/>
      <c r="H10" s="41"/>
    </row>
    <row r="11" spans="1:9" s="28" customFormat="1" ht="15" customHeight="1" x14ac:dyDescent="0.3">
      <c r="A11" s="2"/>
      <c r="B11" s="573" t="s">
        <v>265</v>
      </c>
      <c r="C11" s="573"/>
      <c r="D11" s="573"/>
      <c r="E11" s="573"/>
      <c r="F11" s="573"/>
      <c r="G11" s="573"/>
      <c r="H11" s="573"/>
      <c r="I11" s="355"/>
    </row>
    <row r="12" spans="1:9" s="28" customFormat="1" ht="15" customHeight="1" x14ac:dyDescent="0.3">
      <c r="A12" s="2"/>
      <c r="B12" s="570" t="s">
        <v>266</v>
      </c>
      <c r="C12" s="570"/>
      <c r="D12" s="570"/>
      <c r="E12" s="570"/>
      <c r="F12" s="570"/>
      <c r="G12" s="570"/>
      <c r="H12" s="570"/>
      <c r="I12" s="355"/>
    </row>
    <row r="13" spans="1:9" s="28" customFormat="1" ht="15" customHeight="1" x14ac:dyDescent="0.3">
      <c r="A13" s="2"/>
      <c r="B13" s="571" t="s">
        <v>267</v>
      </c>
      <c r="C13" s="571"/>
      <c r="D13" s="571"/>
      <c r="E13" s="571"/>
      <c r="F13" s="571"/>
      <c r="G13" s="571"/>
      <c r="H13" s="571"/>
      <c r="I13" s="355"/>
    </row>
    <row r="14" spans="1:9" s="25" customFormat="1" x14ac:dyDescent="0.3">
      <c r="A14" s="40"/>
      <c r="B14" s="41"/>
      <c r="C14" s="41"/>
      <c r="D14" s="41"/>
      <c r="E14" s="41"/>
      <c r="F14" s="41"/>
      <c r="G14" s="41"/>
      <c r="H14" s="41"/>
    </row>
    <row r="15" spans="1:9" s="25" customFormat="1" x14ac:dyDescent="0.3">
      <c r="A15" s="40"/>
      <c r="B15" s="41" t="s">
        <v>56</v>
      </c>
      <c r="C15" s="41"/>
      <c r="D15" s="41"/>
      <c r="E15" s="41"/>
      <c r="F15" s="41"/>
      <c r="G15" s="41"/>
      <c r="H15" s="41"/>
    </row>
    <row r="16" spans="1:9" s="77" customFormat="1" x14ac:dyDescent="0.3">
      <c r="B16" s="76" t="s">
        <v>28</v>
      </c>
      <c r="C16" s="79">
        <v>0.05</v>
      </c>
      <c r="D16" s="76" t="s">
        <v>0</v>
      </c>
      <c r="E16" s="76"/>
      <c r="F16" s="76"/>
      <c r="G16" s="76"/>
      <c r="H16" s="76"/>
    </row>
    <row r="17" spans="1:9" s="77" customFormat="1" ht="15.75" customHeight="1" x14ac:dyDescent="0.3">
      <c r="B17" s="76" t="s">
        <v>99</v>
      </c>
      <c r="C17" s="78">
        <v>1900</v>
      </c>
      <c r="D17" s="76"/>
      <c r="E17" s="76"/>
      <c r="F17" s="76"/>
      <c r="G17" s="76"/>
      <c r="H17" s="76"/>
    </row>
    <row r="18" spans="1:9" s="77" customFormat="1" x14ac:dyDescent="0.3">
      <c r="B18" s="76" t="s">
        <v>80</v>
      </c>
      <c r="C18" s="142">
        <v>2019</v>
      </c>
      <c r="D18" s="76"/>
      <c r="E18" s="76"/>
      <c r="F18" s="76"/>
      <c r="G18" s="76"/>
      <c r="H18" s="76"/>
    </row>
    <row r="19" spans="1:9" s="77" customFormat="1" ht="15.75" customHeight="1" x14ac:dyDescent="0.3">
      <c r="B19" s="76" t="s">
        <v>92</v>
      </c>
      <c r="C19" s="125">
        <v>1000</v>
      </c>
      <c r="D19" s="76"/>
    </row>
    <row r="20" spans="1:9" s="77" customFormat="1" ht="12.75" customHeight="1" x14ac:dyDescent="0.3">
      <c r="B20" s="76" t="s">
        <v>93</v>
      </c>
      <c r="C20" s="125">
        <v>1000000</v>
      </c>
      <c r="D20" s="76"/>
    </row>
    <row r="21" spans="1:9" s="10" customFormat="1" x14ac:dyDescent="0.3">
      <c r="B21" s="18"/>
      <c r="C21" s="18"/>
      <c r="D21" s="18"/>
      <c r="E21" s="18"/>
      <c r="F21" s="18"/>
      <c r="G21" s="18"/>
      <c r="H21" s="18"/>
    </row>
    <row r="22" spans="1:9" s="373" customFormat="1" x14ac:dyDescent="0.3">
      <c r="B22" s="412"/>
      <c r="C22" s="412"/>
      <c r="D22" s="412"/>
      <c r="E22" s="412"/>
      <c r="F22" s="412"/>
      <c r="G22" s="412"/>
      <c r="H22" s="412"/>
    </row>
    <row r="23" spans="1:9" s="10" customFormat="1" x14ac:dyDescent="0.3">
      <c r="B23" s="18"/>
      <c r="C23" s="18"/>
      <c r="D23" s="18"/>
      <c r="E23" s="18"/>
      <c r="F23" s="18"/>
      <c r="G23" s="18"/>
      <c r="H23" s="18"/>
    </row>
    <row r="24" spans="1:9" x14ac:dyDescent="0.3">
      <c r="A24" s="9"/>
      <c r="B24" s="5" t="s">
        <v>1</v>
      </c>
    </row>
    <row r="25" spans="1:9" x14ac:dyDescent="0.3">
      <c r="A25" s="9"/>
      <c r="B25" s="5" t="s">
        <v>9</v>
      </c>
    </row>
    <row r="26" spans="1:9" s="24" customFormat="1" x14ac:dyDescent="0.3">
      <c r="A26" s="9"/>
      <c r="B26" s="28" t="s">
        <v>615</v>
      </c>
    </row>
    <row r="27" spans="1:9" x14ac:dyDescent="0.3">
      <c r="A27" s="9" t="s">
        <v>0</v>
      </c>
      <c r="B27" s="28" t="s">
        <v>306</v>
      </c>
      <c r="C27" s="130">
        <f>ROUND(C19*((1+C16)^(C18-C17)),2)</f>
        <v>332297.13</v>
      </c>
      <c r="D27" s="24"/>
    </row>
    <row r="28" spans="1:9" x14ac:dyDescent="0.3">
      <c r="A28" s="9"/>
      <c r="B28" t="s">
        <v>0</v>
      </c>
      <c r="C28" s="11" t="s">
        <v>0</v>
      </c>
    </row>
    <row r="29" spans="1:9" x14ac:dyDescent="0.3">
      <c r="A29" s="9"/>
      <c r="B29" s="5" t="s">
        <v>5</v>
      </c>
      <c r="C29" s="13" t="s">
        <v>0</v>
      </c>
    </row>
    <row r="30" spans="1:9" x14ac:dyDescent="0.3">
      <c r="A30" s="9"/>
      <c r="B30" s="24" t="s">
        <v>10</v>
      </c>
      <c r="C30" s="14" t="s">
        <v>2</v>
      </c>
    </row>
    <row r="31" spans="1:9" x14ac:dyDescent="0.3">
      <c r="A31" s="9"/>
      <c r="B31" s="24" t="s">
        <v>11</v>
      </c>
      <c r="C31" s="130">
        <f>ROUND(C20/((1+C16)^(C18-C17)),2)</f>
        <v>3009.35</v>
      </c>
    </row>
    <row r="32" spans="1:9" s="28" customFormat="1" x14ac:dyDescent="0.3">
      <c r="A32" s="9"/>
      <c r="C32" s="128"/>
      <c r="F32" s="36"/>
      <c r="H32" s="126"/>
      <c r="I32" s="37"/>
    </row>
    <row r="33" spans="1:9" s="28" customFormat="1" x14ac:dyDescent="0.3">
      <c r="A33" s="9"/>
      <c r="B33" s="5" t="s">
        <v>94</v>
      </c>
      <c r="G33"/>
      <c r="H33" s="126"/>
      <c r="I33" s="37"/>
    </row>
    <row r="34" spans="1:9" s="28" customFormat="1" x14ac:dyDescent="0.3">
      <c r="A34" s="9"/>
      <c r="B34" s="28" t="s">
        <v>95</v>
      </c>
      <c r="C34" s="56">
        <f>C18-C17</f>
        <v>119</v>
      </c>
      <c r="D34" s="135">
        <v>5</v>
      </c>
      <c r="E34" s="136">
        <v>-1000</v>
      </c>
      <c r="F34" s="34" t="s">
        <v>0</v>
      </c>
      <c r="G34" s="34" t="s">
        <v>0</v>
      </c>
      <c r="H34" s="126"/>
      <c r="I34" s="37"/>
    </row>
    <row r="35" spans="1:9" s="28" customFormat="1" x14ac:dyDescent="0.3">
      <c r="A35" s="9"/>
      <c r="B35" s="24"/>
      <c r="C35" s="34" t="s">
        <v>13</v>
      </c>
      <c r="D35" s="34" t="s">
        <v>98</v>
      </c>
      <c r="E35" s="34" t="s">
        <v>14</v>
      </c>
      <c r="F35" s="34" t="s">
        <v>16</v>
      </c>
      <c r="G35" s="34" t="s">
        <v>17</v>
      </c>
      <c r="H35" s="126"/>
      <c r="I35" s="37"/>
    </row>
    <row r="36" spans="1:9" s="28" customFormat="1" x14ac:dyDescent="0.3">
      <c r="A36" s="9"/>
      <c r="B36" s="28" t="s">
        <v>97</v>
      </c>
      <c r="C36" s="36"/>
      <c r="D36" s="37"/>
      <c r="E36" s="34"/>
      <c r="F36" s="34"/>
      <c r="G36" s="141">
        <f>FV(D34%,C34,,E34)</f>
        <v>332297.12920685927</v>
      </c>
      <c r="H36" s="126"/>
      <c r="I36" s="37"/>
    </row>
    <row r="37" spans="1:9" s="28" customFormat="1" x14ac:dyDescent="0.3">
      <c r="A37" s="9"/>
      <c r="B37"/>
      <c r="C37"/>
      <c r="D37"/>
      <c r="E37"/>
      <c r="F37"/>
      <c r="G37"/>
      <c r="H37" s="126"/>
      <c r="I37" s="37"/>
    </row>
    <row r="38" spans="1:9" s="28" customFormat="1" x14ac:dyDescent="0.3">
      <c r="A38" s="9"/>
      <c r="B38"/>
      <c r="C38"/>
      <c r="D38"/>
      <c r="E38"/>
      <c r="F38"/>
      <c r="G38"/>
      <c r="H38" s="126"/>
      <c r="I38" s="37"/>
    </row>
    <row r="39" spans="1:9" s="28" customFormat="1" x14ac:dyDescent="0.3">
      <c r="A39" s="9"/>
      <c r="B39" s="28" t="s">
        <v>96</v>
      </c>
      <c r="C39" s="56">
        <f>C18-C17</f>
        <v>119</v>
      </c>
      <c r="D39" s="34">
        <v>5</v>
      </c>
      <c r="E39" s="35" t="s">
        <v>0</v>
      </c>
      <c r="F39" s="34" t="s">
        <v>0</v>
      </c>
      <c r="G39" s="136">
        <v>-1000000</v>
      </c>
      <c r="H39" s="126"/>
      <c r="I39" s="37"/>
    </row>
    <row r="40" spans="1:9" s="28" customFormat="1" x14ac:dyDescent="0.3">
      <c r="A40" s="9"/>
      <c r="B40"/>
      <c r="C40" s="34" t="s">
        <v>13</v>
      </c>
      <c r="D40" s="34" t="s">
        <v>98</v>
      </c>
      <c r="E40" s="34" t="s">
        <v>14</v>
      </c>
      <c r="F40" s="34" t="s">
        <v>16</v>
      </c>
      <c r="G40" s="34" t="s">
        <v>17</v>
      </c>
      <c r="H40" s="126"/>
      <c r="I40" s="37"/>
    </row>
    <row r="41" spans="1:9" s="28" customFormat="1" ht="16.5" customHeight="1" x14ac:dyDescent="0.3">
      <c r="A41" s="9"/>
      <c r="B41" s="28" t="s">
        <v>97</v>
      </c>
      <c r="C41" s="36"/>
      <c r="D41"/>
      <c r="E41" s="140">
        <f>PV(D39%,C39,,G39)</f>
        <v>3009.3549179520205</v>
      </c>
      <c r="F41" s="34"/>
      <c r="G41" s="37"/>
      <c r="H41" s="126"/>
      <c r="I41" s="37"/>
    </row>
    <row r="42" spans="1:9" s="28" customFormat="1" x14ac:dyDescent="0.3">
      <c r="A42" s="9"/>
      <c r="C42" s="128"/>
      <c r="F42" s="36"/>
      <c r="H42" s="126"/>
      <c r="I42" s="37"/>
    </row>
    <row r="43" spans="1:9" s="28" customFormat="1" x14ac:dyDescent="0.3">
      <c r="A43" s="9"/>
      <c r="C43" s="128"/>
      <c r="F43" s="36"/>
      <c r="H43" s="126"/>
      <c r="I43" s="37"/>
    </row>
    <row r="44" spans="1:9" s="28" customFormat="1" x14ac:dyDescent="0.3">
      <c r="A44" s="9"/>
      <c r="C44" s="128"/>
      <c r="F44" s="36"/>
      <c r="H44" s="126"/>
      <c r="I44" s="37"/>
    </row>
    <row r="45" spans="1:9" s="24" customFormat="1" x14ac:dyDescent="0.3">
      <c r="A45" s="9"/>
    </row>
  </sheetData>
  <mergeCells count="6">
    <mergeCell ref="B4:H4"/>
    <mergeCell ref="B13:H13"/>
    <mergeCell ref="B11:H11"/>
    <mergeCell ref="B12:H12"/>
    <mergeCell ref="B6:H6"/>
    <mergeCell ref="B7: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AL41"/>
  <sheetViews>
    <sheetView workbookViewId="0"/>
  </sheetViews>
  <sheetFormatPr defaultColWidth="9.109375" defaultRowHeight="14.4" x14ac:dyDescent="0.3"/>
  <cols>
    <col min="1" max="1" width="16.5546875" style="28" customWidth="1"/>
    <col min="2" max="2" width="16" style="28" customWidth="1"/>
    <col min="3" max="4" width="12.88671875" style="28" customWidth="1"/>
    <col min="5" max="5" width="9.88671875" style="28" customWidth="1"/>
    <col min="6" max="6" width="2.5546875" style="28" bestFit="1" customWidth="1"/>
    <col min="7" max="7" width="3" style="28" bestFit="1" customWidth="1"/>
    <col min="8" max="8" width="29" style="28" customWidth="1"/>
    <col min="9" max="32" width="16.6640625" style="28" customWidth="1"/>
    <col min="33" max="33" width="9.109375" style="28"/>
    <col min="34" max="34" width="10.5546875" style="28" bestFit="1" customWidth="1"/>
    <col min="35" max="36" width="9.109375" style="28"/>
    <col min="37" max="37" width="11.88671875" style="28" bestFit="1" customWidth="1"/>
    <col min="38" max="16384" width="9.109375" style="28"/>
  </cols>
  <sheetData>
    <row r="1" spans="1:38" x14ac:dyDescent="0.3">
      <c r="A1" s="5" t="s">
        <v>560</v>
      </c>
      <c r="B1" s="5"/>
      <c r="C1" s="5"/>
    </row>
    <row r="2" spans="1:38" s="89" customFormat="1" x14ac:dyDescent="0.3">
      <c r="A2" s="370"/>
      <c r="B2" s="370"/>
      <c r="C2" s="370"/>
    </row>
    <row r="3" spans="1:38" x14ac:dyDescent="0.3">
      <c r="A3" s="5" t="s">
        <v>0</v>
      </c>
      <c r="B3" s="5" t="s">
        <v>268</v>
      </c>
      <c r="C3" s="5"/>
    </row>
    <row r="4" spans="1:38" ht="15" customHeight="1" x14ac:dyDescent="0.3">
      <c r="A4" s="2"/>
      <c r="B4" s="572" t="s">
        <v>269</v>
      </c>
      <c r="C4" s="572"/>
      <c r="D4" s="572"/>
      <c r="E4" s="572"/>
      <c r="F4" s="572"/>
      <c r="G4" s="572"/>
      <c r="H4" s="572"/>
      <c r="I4" s="572"/>
      <c r="J4" s="572"/>
      <c r="K4" s="572"/>
      <c r="L4" s="572"/>
      <c r="M4" s="572"/>
      <c r="N4" s="572"/>
      <c r="O4" s="572"/>
      <c r="P4" s="572"/>
      <c r="Q4" s="572"/>
      <c r="R4" s="572"/>
      <c r="S4" s="572"/>
      <c r="T4" s="572"/>
      <c r="U4" s="572"/>
      <c r="V4" s="572"/>
      <c r="W4" s="572"/>
      <c r="X4" s="572"/>
      <c r="Y4" s="572"/>
      <c r="Z4" s="572"/>
      <c r="AA4" s="572"/>
      <c r="AB4" s="572"/>
      <c r="AC4" s="572"/>
      <c r="AD4" s="572"/>
      <c r="AE4" s="572"/>
      <c r="AF4" s="572"/>
      <c r="AG4" s="572"/>
      <c r="AH4" s="572"/>
      <c r="AI4" s="572"/>
      <c r="AJ4" s="572"/>
      <c r="AK4" s="572"/>
      <c r="AL4" s="572"/>
    </row>
    <row r="5" spans="1:38" ht="15" customHeight="1" x14ac:dyDescent="0.3">
      <c r="A5" s="2"/>
      <c r="B5" s="28" t="s">
        <v>3</v>
      </c>
      <c r="D5" s="83"/>
      <c r="E5" s="83"/>
      <c r="F5" s="83"/>
      <c r="G5" s="83"/>
      <c r="H5" s="83"/>
      <c r="I5" s="83"/>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row>
    <row r="6" spans="1:38" ht="15" customHeight="1" x14ac:dyDescent="0.3">
      <c r="A6" s="2"/>
      <c r="B6" s="5" t="s">
        <v>307</v>
      </c>
      <c r="D6" s="366"/>
      <c r="E6" s="366"/>
      <c r="F6" s="366"/>
      <c r="G6" s="366"/>
      <c r="H6" s="366"/>
      <c r="I6" s="366"/>
      <c r="J6" s="366"/>
      <c r="K6" s="366"/>
      <c r="L6" s="366"/>
      <c r="M6" s="366"/>
      <c r="N6" s="366"/>
      <c r="O6" s="366"/>
      <c r="P6" s="366"/>
      <c r="Q6" s="366"/>
      <c r="R6" s="366"/>
      <c r="S6" s="366"/>
      <c r="T6" s="366"/>
      <c r="U6" s="366"/>
      <c r="V6" s="366"/>
      <c r="W6" s="366"/>
      <c r="X6" s="366"/>
      <c r="Y6" s="366"/>
      <c r="Z6" s="366"/>
      <c r="AA6" s="366"/>
      <c r="AB6" s="366"/>
      <c r="AC6" s="366"/>
      <c r="AD6" s="366"/>
      <c r="AE6" s="366"/>
      <c r="AF6" s="366"/>
      <c r="AG6" s="366"/>
      <c r="AH6" s="366"/>
      <c r="AI6" s="366"/>
      <c r="AJ6" s="366"/>
    </row>
    <row r="7" spans="1:38" ht="15" customHeight="1" x14ac:dyDescent="0.3">
      <c r="A7" s="2"/>
      <c r="B7" s="5" t="s">
        <v>308</v>
      </c>
      <c r="D7" s="366"/>
      <c r="E7" s="366"/>
      <c r="F7" s="366"/>
      <c r="G7" s="366"/>
      <c r="H7" s="366"/>
      <c r="I7" s="366"/>
      <c r="J7" s="366"/>
      <c r="K7" s="366"/>
      <c r="L7" s="366"/>
      <c r="M7" s="366"/>
      <c r="N7" s="366"/>
      <c r="O7" s="366"/>
      <c r="P7" s="366"/>
      <c r="Q7" s="366"/>
      <c r="R7" s="366"/>
      <c r="S7" s="366"/>
      <c r="T7" s="366"/>
      <c r="U7" s="366"/>
      <c r="V7" s="366"/>
      <c r="W7" s="366"/>
      <c r="X7" s="366"/>
      <c r="Y7" s="366"/>
      <c r="Z7" s="366"/>
      <c r="AA7" s="366"/>
      <c r="AB7" s="366"/>
      <c r="AC7" s="366"/>
      <c r="AD7" s="366"/>
      <c r="AE7" s="366"/>
      <c r="AF7" s="366"/>
      <c r="AG7" s="366"/>
      <c r="AH7" s="366"/>
      <c r="AI7" s="366"/>
      <c r="AJ7" s="366"/>
    </row>
    <row r="8" spans="1:38" ht="15" customHeight="1" x14ac:dyDescent="0.3">
      <c r="A8" s="2"/>
      <c r="B8" s="5" t="s">
        <v>309</v>
      </c>
      <c r="D8" s="366"/>
      <c r="E8" s="366"/>
      <c r="F8" s="366"/>
      <c r="G8" s="366"/>
      <c r="H8" s="366"/>
      <c r="I8" s="366"/>
      <c r="J8" s="366"/>
      <c r="K8" s="366"/>
      <c r="L8" s="366"/>
      <c r="M8" s="366"/>
      <c r="N8" s="366"/>
      <c r="O8" s="366"/>
      <c r="P8" s="366"/>
      <c r="Q8" s="366"/>
      <c r="R8" s="366"/>
      <c r="S8" s="366"/>
      <c r="T8" s="366"/>
      <c r="U8" s="366"/>
      <c r="V8" s="366"/>
      <c r="W8" s="366"/>
      <c r="X8" s="366"/>
      <c r="Y8" s="366"/>
      <c r="Z8" s="366"/>
      <c r="AA8" s="366"/>
      <c r="AB8" s="366"/>
      <c r="AC8" s="366"/>
      <c r="AD8" s="366"/>
      <c r="AE8" s="366"/>
      <c r="AF8" s="366"/>
      <c r="AG8" s="366"/>
      <c r="AH8" s="366"/>
      <c r="AI8" s="366"/>
      <c r="AJ8" s="366"/>
    </row>
    <row r="9" spans="1:38" ht="15" customHeight="1" x14ac:dyDescent="0.3">
      <c r="A9" s="2"/>
      <c r="B9" s="5" t="s">
        <v>310</v>
      </c>
      <c r="D9" s="366"/>
      <c r="E9" s="366"/>
      <c r="F9" s="366"/>
      <c r="G9" s="366"/>
      <c r="H9" s="366"/>
      <c r="I9" s="366"/>
      <c r="J9" s="366"/>
      <c r="K9" s="366"/>
      <c r="L9" s="366"/>
      <c r="M9" s="366"/>
      <c r="N9" s="366"/>
      <c r="O9" s="366"/>
      <c r="P9" s="366"/>
      <c r="Q9" s="366"/>
      <c r="R9" s="366"/>
      <c r="S9" s="366"/>
      <c r="T9" s="366"/>
      <c r="U9" s="366"/>
      <c r="V9" s="366"/>
      <c r="W9" s="366"/>
      <c r="X9" s="366"/>
      <c r="Y9" s="366"/>
      <c r="Z9" s="366"/>
      <c r="AA9" s="366"/>
      <c r="AB9" s="366"/>
      <c r="AC9" s="366"/>
      <c r="AD9" s="366"/>
      <c r="AE9" s="366"/>
      <c r="AF9" s="366"/>
      <c r="AG9" s="366"/>
      <c r="AH9" s="366"/>
      <c r="AI9" s="366"/>
      <c r="AJ9" s="366"/>
    </row>
    <row r="10" spans="1:38" ht="15" customHeight="1" x14ac:dyDescent="0.3">
      <c r="A10" s="2"/>
      <c r="B10" s="83"/>
      <c r="C10" s="83"/>
      <c r="D10" s="83"/>
      <c r="E10" s="83"/>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row>
    <row r="11" spans="1:38" s="21" customFormat="1" x14ac:dyDescent="0.3">
      <c r="A11" s="7"/>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row>
    <row r="12" spans="1:38" s="25" customFormat="1" x14ac:dyDescent="0.3">
      <c r="A12" s="40"/>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row>
    <row r="13" spans="1:38" ht="15" customHeight="1" x14ac:dyDescent="0.3">
      <c r="A13" s="2"/>
      <c r="B13" s="573" t="s">
        <v>265</v>
      </c>
      <c r="C13" s="573"/>
      <c r="D13" s="573"/>
      <c r="E13" s="573"/>
      <c r="F13" s="573"/>
      <c r="G13" s="573"/>
      <c r="H13" s="573"/>
    </row>
    <row r="14" spans="1:38" ht="15" customHeight="1" x14ac:dyDescent="0.3">
      <c r="A14" s="2"/>
      <c r="B14" s="570" t="s">
        <v>266</v>
      </c>
      <c r="C14" s="570"/>
      <c r="D14" s="570"/>
      <c r="E14" s="570"/>
      <c r="F14" s="570"/>
      <c r="G14" s="570"/>
      <c r="H14" s="570"/>
    </row>
    <row r="15" spans="1:38" ht="15" customHeight="1" x14ac:dyDescent="0.3">
      <c r="A15" s="2"/>
      <c r="B15" s="571" t="s">
        <v>267</v>
      </c>
      <c r="C15" s="571"/>
      <c r="D15" s="571"/>
      <c r="E15" s="571"/>
      <c r="F15" s="571"/>
      <c r="G15" s="571"/>
      <c r="H15" s="571"/>
    </row>
    <row r="16" spans="1:38" ht="15" customHeight="1" x14ac:dyDescent="0.3">
      <c r="A16" s="2"/>
      <c r="B16" s="361"/>
      <c r="C16" s="361"/>
      <c r="D16" s="361"/>
      <c r="E16" s="361"/>
      <c r="F16" s="361"/>
      <c r="G16" s="361"/>
      <c r="H16" s="361"/>
    </row>
    <row r="17" spans="1:37" ht="15" customHeight="1" x14ac:dyDescent="0.3">
      <c r="A17" s="2"/>
      <c r="B17" s="574" t="s">
        <v>56</v>
      </c>
      <c r="C17" s="574"/>
      <c r="D17" s="355"/>
      <c r="E17" s="355"/>
      <c r="F17" s="355"/>
      <c r="G17" s="355"/>
      <c r="H17" s="355"/>
    </row>
    <row r="18" spans="1:37" ht="15" customHeight="1" x14ac:dyDescent="0.3">
      <c r="A18" s="2"/>
      <c r="B18" s="363" t="s">
        <v>212</v>
      </c>
      <c r="C18" s="281">
        <v>100</v>
      </c>
      <c r="D18" s="363"/>
      <c r="E18" s="363"/>
      <c r="F18" s="363"/>
      <c r="G18" s="363"/>
      <c r="H18" s="363"/>
    </row>
    <row r="19" spans="1:37" ht="15" customHeight="1" x14ac:dyDescent="0.3">
      <c r="A19" s="2"/>
      <c r="B19" s="364"/>
      <c r="C19" s="364"/>
      <c r="D19" s="363"/>
      <c r="E19" s="363"/>
      <c r="F19" s="363"/>
      <c r="G19" s="363"/>
      <c r="H19" s="363"/>
    </row>
    <row r="20" spans="1:37" ht="15" customHeight="1" x14ac:dyDescent="0.3">
      <c r="A20" s="2"/>
      <c r="B20" s="364"/>
      <c r="C20" s="381" t="s">
        <v>311</v>
      </c>
      <c r="D20" s="381" t="s">
        <v>21</v>
      </c>
      <c r="E20" s="363"/>
      <c r="F20" s="363"/>
      <c r="G20" s="363"/>
      <c r="H20" s="363"/>
    </row>
    <row r="21" spans="1:37" ht="15" customHeight="1" x14ac:dyDescent="0.3">
      <c r="A21" s="2"/>
      <c r="B21" s="28" t="s">
        <v>4</v>
      </c>
      <c r="C21" s="349">
        <v>8</v>
      </c>
      <c r="D21" s="158">
        <v>10</v>
      </c>
      <c r="E21" s="355"/>
      <c r="F21" s="355"/>
      <c r="G21" s="355"/>
      <c r="H21" s="355"/>
    </row>
    <row r="22" spans="1:37" x14ac:dyDescent="0.3">
      <c r="B22" s="28" t="s">
        <v>5</v>
      </c>
      <c r="C22" s="349">
        <v>8</v>
      </c>
      <c r="D22" s="349">
        <v>20</v>
      </c>
      <c r="E22"/>
      <c r="F22"/>
      <c r="G22"/>
      <c r="H22"/>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86"/>
    </row>
    <row r="23" spans="1:37" x14ac:dyDescent="0.3">
      <c r="A23" s="9"/>
      <c r="B23" s="28" t="s">
        <v>6</v>
      </c>
      <c r="C23" s="349">
        <v>4</v>
      </c>
      <c r="D23" s="349">
        <v>10</v>
      </c>
      <c r="E23"/>
      <c r="F23"/>
      <c r="G23"/>
      <c r="H23"/>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t="s">
        <v>58</v>
      </c>
      <c r="AI23" s="25" t="s">
        <v>58</v>
      </c>
    </row>
    <row r="24" spans="1:37" x14ac:dyDescent="0.3">
      <c r="A24" s="9"/>
      <c r="B24" s="28" t="s">
        <v>7</v>
      </c>
      <c r="C24" s="349">
        <v>4</v>
      </c>
      <c r="D24" s="158">
        <v>20</v>
      </c>
      <c r="E24"/>
      <c r="F24"/>
      <c r="G24"/>
      <c r="H24"/>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t="s">
        <v>59</v>
      </c>
      <c r="AI24" s="25" t="s">
        <v>59</v>
      </c>
    </row>
    <row r="25" spans="1:37" x14ac:dyDescent="0.3">
      <c r="A25" s="9"/>
      <c r="C25" s="23"/>
      <c r="D25" s="23"/>
      <c r="E25"/>
      <c r="F25"/>
      <c r="G25"/>
      <c r="H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t="s">
        <v>58</v>
      </c>
      <c r="AI25" s="25" t="s">
        <v>58</v>
      </c>
    </row>
    <row r="26" spans="1:37" s="89" customFormat="1" x14ac:dyDescent="0.3">
      <c r="A26" s="88"/>
      <c r="C26" s="90"/>
      <c r="D26" s="91"/>
      <c r="E26" s="91" t="s">
        <v>0</v>
      </c>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2"/>
    </row>
    <row r="27" spans="1:37" x14ac:dyDescent="0.3">
      <c r="A27" s="5"/>
      <c r="B27" s="6"/>
      <c r="C27" s="6"/>
      <c r="D27" s="6"/>
      <c r="E27" s="6" t="s">
        <v>0</v>
      </c>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row>
    <row r="28" spans="1:37" x14ac:dyDescent="0.3">
      <c r="A28" s="9"/>
      <c r="B28" s="5" t="s">
        <v>1</v>
      </c>
      <c r="AG28" s="5"/>
    </row>
    <row r="29" spans="1:37" x14ac:dyDescent="0.3">
      <c r="A29" s="9"/>
      <c r="B29" s="5" t="s">
        <v>9</v>
      </c>
      <c r="AG29" s="34"/>
      <c r="AH29" s="34"/>
      <c r="AI29" s="34"/>
      <c r="AJ29" s="34"/>
      <c r="AK29" s="34"/>
    </row>
    <row r="30" spans="1:37" x14ac:dyDescent="0.3">
      <c r="A30" s="9"/>
      <c r="B30" s="10" t="s">
        <v>261</v>
      </c>
      <c r="C30" s="143">
        <f>C$18*(1+C21/100)^D21</f>
        <v>215.89249972727879</v>
      </c>
      <c r="AG30" s="34"/>
      <c r="AH30" s="34"/>
      <c r="AI30" s="34"/>
      <c r="AJ30" s="34"/>
      <c r="AK30" s="34"/>
    </row>
    <row r="31" spans="1:37" x14ac:dyDescent="0.3">
      <c r="A31" s="9"/>
      <c r="B31" s="5"/>
      <c r="C31" s="143"/>
      <c r="AG31" s="34"/>
      <c r="AH31" s="34"/>
      <c r="AI31" s="34"/>
      <c r="AJ31" s="34"/>
      <c r="AK31" s="34"/>
    </row>
    <row r="32" spans="1:37" x14ac:dyDescent="0.3">
      <c r="A32" s="9"/>
      <c r="B32" s="5" t="s">
        <v>5</v>
      </c>
      <c r="D32" s="9"/>
      <c r="E32" s="9"/>
      <c r="F32" s="9"/>
      <c r="G32" s="9"/>
      <c r="H32" s="9"/>
      <c r="AG32" s="34"/>
      <c r="AH32" s="34"/>
      <c r="AI32" s="35"/>
      <c r="AJ32" s="34"/>
      <c r="AK32" s="34"/>
    </row>
    <row r="33" spans="1:37" x14ac:dyDescent="0.3">
      <c r="A33" s="9"/>
      <c r="B33" s="10" t="s">
        <v>261</v>
      </c>
      <c r="C33" s="143">
        <f>C$18*(1+C22/100)^D22</f>
        <v>466.09571438493066</v>
      </c>
      <c r="D33" s="9"/>
      <c r="E33" s="9"/>
      <c r="F33" s="9"/>
      <c r="G33" s="9"/>
      <c r="H33" s="9"/>
      <c r="AG33" s="34"/>
      <c r="AH33" s="34"/>
      <c r="AI33" s="35"/>
      <c r="AJ33" s="34"/>
      <c r="AK33" s="34"/>
    </row>
    <row r="34" spans="1:37" x14ac:dyDescent="0.3">
      <c r="A34" s="9"/>
      <c r="B34" s="5"/>
      <c r="C34" s="143"/>
      <c r="D34" s="9"/>
      <c r="E34" s="9"/>
      <c r="F34" s="9"/>
      <c r="G34" s="9"/>
      <c r="H34" s="9"/>
      <c r="AG34" s="34"/>
      <c r="AH34" s="34"/>
      <c r="AI34" s="35"/>
      <c r="AJ34" s="34"/>
      <c r="AK34" s="34"/>
    </row>
    <row r="35" spans="1:37" x14ac:dyDescent="0.3">
      <c r="A35" s="70"/>
      <c r="B35" s="5" t="s">
        <v>6</v>
      </c>
      <c r="D35" s="70"/>
      <c r="E35" s="70"/>
      <c r="F35" s="70"/>
      <c r="G35" s="70"/>
      <c r="H35" s="70"/>
      <c r="AG35" s="36"/>
      <c r="AH35" s="37"/>
      <c r="AI35" s="34"/>
      <c r="AJ35" s="34"/>
      <c r="AK35" s="37"/>
    </row>
    <row r="36" spans="1:37" x14ac:dyDescent="0.3">
      <c r="A36" s="70"/>
      <c r="B36" s="10" t="s">
        <v>261</v>
      </c>
      <c r="C36" s="143">
        <f>C$18*(1+C23/100)^D23</f>
        <v>148.02442849183447</v>
      </c>
      <c r="D36" s="70"/>
      <c r="E36" s="70"/>
      <c r="F36" s="70"/>
      <c r="G36" s="70"/>
      <c r="H36" s="70"/>
      <c r="AG36" s="36"/>
      <c r="AH36" s="37"/>
      <c r="AI36" s="34"/>
      <c r="AJ36" s="34"/>
      <c r="AK36" s="37"/>
    </row>
    <row r="37" spans="1:37" x14ac:dyDescent="0.3">
      <c r="A37" s="70"/>
      <c r="B37" s="5"/>
      <c r="C37" s="143"/>
      <c r="D37" s="70"/>
      <c r="E37" s="70"/>
      <c r="F37" s="70"/>
      <c r="G37" s="70"/>
      <c r="H37" s="70"/>
      <c r="AG37" s="36"/>
      <c r="AH37" s="37"/>
      <c r="AI37" s="34"/>
      <c r="AJ37" s="34"/>
      <c r="AK37" s="37"/>
    </row>
    <row r="38" spans="1:37" x14ac:dyDescent="0.3">
      <c r="A38" s="70"/>
      <c r="B38" s="5" t="s">
        <v>7</v>
      </c>
      <c r="D38" s="70"/>
      <c r="E38" s="70"/>
      <c r="F38" s="70"/>
      <c r="G38" s="70"/>
      <c r="H38" s="70"/>
    </row>
    <row r="39" spans="1:37" x14ac:dyDescent="0.3">
      <c r="A39" s="70"/>
      <c r="B39" s="10" t="s">
        <v>261</v>
      </c>
      <c r="C39" s="143">
        <f>C$18*(1+C24/100)^D24</f>
        <v>219.11231430334212</v>
      </c>
      <c r="D39" s="70"/>
      <c r="E39" s="70"/>
      <c r="F39" s="70"/>
      <c r="G39" s="70"/>
      <c r="H39" s="70"/>
    </row>
    <row r="40" spans="1:37" x14ac:dyDescent="0.3">
      <c r="A40" s="70"/>
      <c r="B40" s="70"/>
      <c r="C40" s="70"/>
      <c r="D40" s="70"/>
      <c r="E40" s="70"/>
      <c r="F40" s="70"/>
      <c r="G40" s="70"/>
      <c r="H40" s="70"/>
      <c r="AG40" s="36"/>
      <c r="AH40" s="37"/>
      <c r="AI40" s="34"/>
      <c r="AJ40" s="34"/>
      <c r="AK40" s="37"/>
    </row>
    <row r="41" spans="1:37" x14ac:dyDescent="0.3">
      <c r="A41" s="9"/>
    </row>
  </sheetData>
  <mergeCells count="5">
    <mergeCell ref="B4:AL4"/>
    <mergeCell ref="B14:H14"/>
    <mergeCell ref="B15:H15"/>
    <mergeCell ref="B17:C17"/>
    <mergeCell ref="B13:H13"/>
  </mergeCells>
  <pageMargins left="0.7" right="0.7" top="0.75" bottom="0.75" header="0.3" footer="0.3"/>
  <pageSetup orientation="portrait" r:id="rId1"/>
  <drawing r:id="rId2"/>
  <legacyDrawing r:id="rId3"/>
  <controls>
    <mc:AlternateContent xmlns:mc="http://schemas.openxmlformats.org/markup-compatibility/2006">
      <mc:Choice Requires="x14">
        <control shapeId="97283" r:id="rId4" name="Control 3">
          <controlPr defaultSize="0" r:id="rId5">
            <anchor moveWithCells="1">
              <from>
                <xdr:col>34</xdr:col>
                <xdr:colOff>0</xdr:colOff>
                <xdr:row>24</xdr:row>
                <xdr:rowOff>30480</xdr:rowOff>
              </from>
              <to>
                <xdr:col>35</xdr:col>
                <xdr:colOff>0</xdr:colOff>
                <xdr:row>25</xdr:row>
                <xdr:rowOff>76200</xdr:rowOff>
              </to>
            </anchor>
          </controlPr>
        </control>
      </mc:Choice>
      <mc:Fallback>
        <control shapeId="97283" r:id="rId4" name="Control 3"/>
      </mc:Fallback>
    </mc:AlternateContent>
    <mc:AlternateContent xmlns:mc="http://schemas.openxmlformats.org/markup-compatibility/2006">
      <mc:Choice Requires="x14">
        <control shapeId="97282" r:id="rId6" name="Control 2">
          <controlPr defaultSize="0" r:id="rId5">
            <anchor moveWithCells="1">
              <from>
                <xdr:col>34</xdr:col>
                <xdr:colOff>0</xdr:colOff>
                <xdr:row>23</xdr:row>
                <xdr:rowOff>30480</xdr:rowOff>
              </from>
              <to>
                <xdr:col>35</xdr:col>
                <xdr:colOff>0</xdr:colOff>
                <xdr:row>24</xdr:row>
                <xdr:rowOff>76200</xdr:rowOff>
              </to>
            </anchor>
          </controlPr>
        </control>
      </mc:Choice>
      <mc:Fallback>
        <control shapeId="97282" r:id="rId6" name="Control 2"/>
      </mc:Fallback>
    </mc:AlternateContent>
    <mc:AlternateContent xmlns:mc="http://schemas.openxmlformats.org/markup-compatibility/2006">
      <mc:Choice Requires="x14">
        <control shapeId="97281" r:id="rId7" name="Control 1">
          <controlPr defaultSize="0" r:id="rId5">
            <anchor moveWithCells="1">
              <from>
                <xdr:col>34</xdr:col>
                <xdr:colOff>0</xdr:colOff>
                <xdr:row>22</xdr:row>
                <xdr:rowOff>30480</xdr:rowOff>
              </from>
              <to>
                <xdr:col>35</xdr:col>
                <xdr:colOff>0</xdr:colOff>
                <xdr:row>23</xdr:row>
                <xdr:rowOff>76200</xdr:rowOff>
              </to>
            </anchor>
          </controlPr>
        </control>
      </mc:Choice>
      <mc:Fallback>
        <control shapeId="97281" r:id="rId7" name="Control 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AI29"/>
  <sheetViews>
    <sheetView workbookViewId="0"/>
  </sheetViews>
  <sheetFormatPr defaultColWidth="9.109375" defaultRowHeight="14.4" x14ac:dyDescent="0.3"/>
  <cols>
    <col min="1" max="1" width="16.5546875" style="28" customWidth="1"/>
    <col min="2" max="2" width="18.33203125" style="28" customWidth="1"/>
    <col min="3" max="3" width="12.5546875" style="28" bestFit="1" customWidth="1"/>
    <col min="4" max="4" width="10.5546875" style="28" bestFit="1" customWidth="1"/>
    <col min="5" max="6" width="16.6640625" style="28" customWidth="1"/>
    <col min="7" max="7" width="14" style="28" customWidth="1"/>
    <col min="8" max="29" width="16.6640625" style="28" customWidth="1"/>
    <col min="30" max="30" width="9.109375" style="28"/>
    <col min="31" max="31" width="10.5546875" style="28" bestFit="1" customWidth="1"/>
    <col min="32" max="33" width="9.109375" style="28"/>
    <col min="34" max="34" width="11.88671875" style="28" bestFit="1" customWidth="1"/>
    <col min="35" max="16384" width="9.109375" style="28"/>
  </cols>
  <sheetData>
    <row r="1" spans="1:35" x14ac:dyDescent="0.3">
      <c r="A1" s="5" t="s">
        <v>559</v>
      </c>
      <c r="B1" s="5"/>
      <c r="C1" s="5"/>
    </row>
    <row r="2" spans="1:35" s="89" customFormat="1" x14ac:dyDescent="0.3">
      <c r="A2" s="370"/>
      <c r="B2" s="370"/>
      <c r="C2" s="370"/>
    </row>
    <row r="3" spans="1:35" x14ac:dyDescent="0.3">
      <c r="A3" s="5" t="s">
        <v>0</v>
      </c>
      <c r="B3" s="5" t="s">
        <v>268</v>
      </c>
      <c r="C3" s="5"/>
    </row>
    <row r="4" spans="1:35" ht="15" customHeight="1" x14ac:dyDescent="0.3">
      <c r="A4" s="2"/>
      <c r="B4" s="572" t="s">
        <v>312</v>
      </c>
      <c r="C4" s="572"/>
      <c r="D4" s="572"/>
      <c r="E4" s="572"/>
      <c r="F4" s="572"/>
      <c r="G4" s="572"/>
      <c r="H4" s="572"/>
      <c r="I4" s="572"/>
      <c r="J4" s="572"/>
      <c r="K4" s="572"/>
      <c r="L4" s="572"/>
      <c r="M4" s="572"/>
      <c r="N4" s="572"/>
      <c r="O4" s="572"/>
      <c r="P4" s="572"/>
      <c r="Q4" s="572"/>
      <c r="R4" s="572"/>
      <c r="S4" s="572"/>
      <c r="T4" s="572"/>
      <c r="U4" s="572"/>
      <c r="V4" s="572"/>
      <c r="W4" s="572"/>
      <c r="X4" s="572"/>
      <c r="Y4" s="572"/>
      <c r="Z4" s="572"/>
      <c r="AA4" s="572"/>
      <c r="AB4" s="572"/>
      <c r="AC4" s="572"/>
      <c r="AD4" s="572"/>
      <c r="AE4" s="572"/>
      <c r="AF4" s="572"/>
      <c r="AG4" s="572"/>
      <c r="AH4" s="572"/>
      <c r="AI4" s="572"/>
    </row>
    <row r="5" spans="1:35" ht="15" customHeight="1" x14ac:dyDescent="0.3">
      <c r="A5" s="2"/>
      <c r="B5" s="362"/>
      <c r="C5" s="362"/>
      <c r="D5" s="362"/>
      <c r="E5" s="362"/>
      <c r="F5" s="362"/>
      <c r="G5" s="362"/>
      <c r="H5" s="362"/>
      <c r="I5" s="362"/>
      <c r="J5" s="362"/>
      <c r="K5" s="362"/>
      <c r="L5" s="362"/>
      <c r="M5" s="362"/>
      <c r="N5" s="362"/>
      <c r="O5" s="362"/>
      <c r="P5" s="362"/>
      <c r="Q5" s="362"/>
      <c r="R5" s="362"/>
      <c r="S5" s="362"/>
      <c r="T5" s="362"/>
      <c r="U5" s="362"/>
      <c r="V5" s="362"/>
      <c r="W5" s="362"/>
      <c r="X5" s="362"/>
      <c r="Y5" s="362"/>
      <c r="Z5" s="362"/>
      <c r="AA5" s="362"/>
      <c r="AB5" s="362"/>
      <c r="AC5" s="362"/>
      <c r="AD5" s="362"/>
      <c r="AE5" s="362"/>
      <c r="AF5" s="362"/>
      <c r="AG5" s="362"/>
      <c r="AH5" s="362"/>
      <c r="AI5" s="362"/>
    </row>
    <row r="6" spans="1:35" ht="15" customHeight="1" x14ac:dyDescent="0.3">
      <c r="A6" s="2"/>
      <c r="B6" s="575" t="s">
        <v>313</v>
      </c>
      <c r="C6" s="575"/>
      <c r="D6" s="575"/>
      <c r="E6" s="575"/>
      <c r="F6" s="575"/>
      <c r="G6" s="575"/>
      <c r="H6" s="81"/>
      <c r="I6" s="81"/>
      <c r="J6" s="81"/>
      <c r="K6" s="81"/>
      <c r="L6" s="81"/>
      <c r="M6" s="81"/>
      <c r="N6" s="81"/>
      <c r="O6" s="81"/>
      <c r="P6" s="81"/>
      <c r="Q6" s="81"/>
      <c r="R6" s="81"/>
      <c r="S6" s="81"/>
      <c r="T6" s="81"/>
      <c r="U6" s="81"/>
      <c r="V6" s="81"/>
      <c r="W6" s="81"/>
      <c r="X6" s="81"/>
      <c r="Y6" s="81"/>
      <c r="Z6" s="81"/>
      <c r="AA6" s="81"/>
      <c r="AB6" s="81"/>
      <c r="AC6" s="81"/>
      <c r="AD6" s="81"/>
      <c r="AE6" s="81"/>
      <c r="AF6" s="81"/>
      <c r="AG6" s="81"/>
      <c r="AH6" s="81"/>
      <c r="AI6" s="81"/>
    </row>
    <row r="7" spans="1:35" ht="15" customHeight="1" x14ac:dyDescent="0.3">
      <c r="A7" s="2"/>
      <c r="B7" s="28" t="s">
        <v>314</v>
      </c>
      <c r="C7" s="42"/>
      <c r="D7" s="83"/>
      <c r="E7" s="83"/>
      <c r="F7" s="83"/>
      <c r="G7" s="83"/>
      <c r="H7" s="83"/>
      <c r="I7" s="83"/>
      <c r="J7" s="83"/>
      <c r="K7" s="83"/>
      <c r="L7" s="83"/>
      <c r="M7" s="83"/>
      <c r="N7" s="83"/>
      <c r="O7" s="83"/>
      <c r="P7" s="83"/>
      <c r="Q7" s="83"/>
      <c r="R7" s="83"/>
      <c r="S7" s="83"/>
      <c r="T7" s="83"/>
      <c r="U7" s="83"/>
      <c r="V7" s="83"/>
      <c r="W7" s="83"/>
      <c r="X7" s="83"/>
      <c r="Y7" s="83"/>
      <c r="Z7" s="83"/>
      <c r="AA7" s="83"/>
      <c r="AB7" s="83"/>
      <c r="AC7" s="83"/>
      <c r="AD7" s="83"/>
      <c r="AE7" s="83"/>
      <c r="AF7" s="83"/>
      <c r="AG7" s="83"/>
    </row>
    <row r="8" spans="1:35" ht="15" customHeight="1" x14ac:dyDescent="0.3">
      <c r="A8" s="2"/>
      <c r="B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3"/>
    </row>
    <row r="9" spans="1:35" s="21" customFormat="1" x14ac:dyDescent="0.3">
      <c r="A9" s="7"/>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row>
    <row r="10" spans="1:35" s="25" customFormat="1" x14ac:dyDescent="0.3">
      <c r="A10" s="40"/>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row>
    <row r="11" spans="1:35" ht="15" customHeight="1" x14ac:dyDescent="0.3">
      <c r="A11" s="2"/>
      <c r="B11" s="573" t="s">
        <v>265</v>
      </c>
      <c r="C11" s="573"/>
      <c r="D11" s="573"/>
      <c r="E11" s="573"/>
      <c r="F11" s="573"/>
      <c r="G11" s="573"/>
      <c r="H11" s="355"/>
    </row>
    <row r="12" spans="1:35" ht="15" customHeight="1" x14ac:dyDescent="0.3">
      <c r="A12" s="2"/>
      <c r="B12" s="570" t="s">
        <v>266</v>
      </c>
      <c r="C12" s="570"/>
      <c r="D12" s="570"/>
      <c r="E12" s="570"/>
      <c r="F12" s="570"/>
      <c r="G12" s="570"/>
      <c r="H12" s="355"/>
    </row>
    <row r="13" spans="1:35" ht="15" customHeight="1" x14ac:dyDescent="0.3">
      <c r="A13" s="2"/>
      <c r="B13" s="571" t="s">
        <v>267</v>
      </c>
      <c r="C13" s="571"/>
      <c r="D13" s="571"/>
      <c r="E13" s="571"/>
      <c r="F13" s="571"/>
      <c r="G13" s="571"/>
      <c r="H13" s="355"/>
    </row>
    <row r="14" spans="1:35" s="25" customFormat="1" x14ac:dyDescent="0.3">
      <c r="A14" s="40"/>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row>
    <row r="15" spans="1:35" x14ac:dyDescent="0.3">
      <c r="B15" s="85" t="s">
        <v>56</v>
      </c>
    </row>
    <row r="16" spans="1:35" x14ac:dyDescent="0.3">
      <c r="B16" s="93" t="s">
        <v>300</v>
      </c>
      <c r="C16" s="326">
        <v>1000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86"/>
    </row>
    <row r="17" spans="1:34" x14ac:dyDescent="0.3">
      <c r="B17" s="93" t="s">
        <v>60</v>
      </c>
      <c r="C17" s="382">
        <v>0.04</v>
      </c>
      <c r="E17" s="28" t="s">
        <v>0</v>
      </c>
      <c r="F17" s="74"/>
      <c r="G17" s="74"/>
      <c r="H17" s="74"/>
      <c r="I17" s="74"/>
      <c r="J17" s="74"/>
      <c r="K17" s="74"/>
      <c r="L17" s="74"/>
      <c r="M17" s="74"/>
      <c r="N17" s="74"/>
      <c r="O17" s="74"/>
      <c r="P17" s="74"/>
      <c r="Q17" s="74"/>
      <c r="R17" s="74"/>
      <c r="S17" s="74"/>
      <c r="T17" s="74"/>
      <c r="U17" s="74"/>
      <c r="V17" s="74"/>
      <c r="W17" s="74"/>
      <c r="X17" s="74"/>
      <c r="Y17" s="74"/>
      <c r="Z17" s="74"/>
      <c r="AA17" s="74"/>
      <c r="AB17" s="74"/>
      <c r="AC17" s="74"/>
      <c r="AD17" s="86"/>
    </row>
    <row r="18" spans="1:34" x14ac:dyDescent="0.3">
      <c r="A18" s="9"/>
      <c r="B18" s="93" t="s">
        <v>21</v>
      </c>
      <c r="C18" s="144">
        <v>10</v>
      </c>
      <c r="E18"/>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t="s">
        <v>58</v>
      </c>
      <c r="AF18" s="25" t="s">
        <v>58</v>
      </c>
    </row>
    <row r="19" spans="1:34" x14ac:dyDescent="0.3">
      <c r="A19" s="9"/>
      <c r="B19" s="93"/>
      <c r="C19" s="383"/>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row>
    <row r="20" spans="1:34" s="89" customFormat="1" x14ac:dyDescent="0.3">
      <c r="A20" s="88"/>
      <c r="C20" s="90"/>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2"/>
    </row>
    <row r="21" spans="1:34" x14ac:dyDescent="0.3">
      <c r="A21" s="5"/>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4" x14ac:dyDescent="0.3">
      <c r="A22" s="9"/>
      <c r="B22" s="5" t="s">
        <v>1</v>
      </c>
      <c r="AD22" s="5"/>
    </row>
    <row r="23" spans="1:34" x14ac:dyDescent="0.3">
      <c r="A23" s="9"/>
      <c r="B23" s="5" t="s">
        <v>9</v>
      </c>
      <c r="AD23" s="34"/>
      <c r="AE23" s="34"/>
      <c r="AF23" s="34"/>
      <c r="AG23" s="34"/>
      <c r="AH23" s="34"/>
    </row>
    <row r="24" spans="1:34" x14ac:dyDescent="0.3">
      <c r="A24" s="70"/>
      <c r="B24" s="28" t="s">
        <v>261</v>
      </c>
      <c r="C24" s="143">
        <f>C16+C17*C18*C16</f>
        <v>1400</v>
      </c>
      <c r="D24" s="70"/>
      <c r="E24" s="70"/>
      <c r="F24" s="70"/>
      <c r="G24" s="70"/>
    </row>
    <row r="25" spans="1:34" x14ac:dyDescent="0.3">
      <c r="A25" s="70"/>
      <c r="C25" s="143"/>
      <c r="D25" s="70"/>
      <c r="E25" s="70"/>
      <c r="F25" s="70"/>
      <c r="G25" s="70"/>
    </row>
    <row r="26" spans="1:34" x14ac:dyDescent="0.3">
      <c r="A26" s="70"/>
      <c r="B26" s="97" t="s">
        <v>5</v>
      </c>
      <c r="D26" s="98" t="s">
        <v>0</v>
      </c>
      <c r="E26" s="70"/>
      <c r="F26" s="70"/>
      <c r="G26" s="70"/>
      <c r="AD26" s="36"/>
      <c r="AE26" s="37"/>
      <c r="AF26" s="34"/>
      <c r="AG26" s="34"/>
      <c r="AH26" s="37"/>
    </row>
    <row r="27" spans="1:34" x14ac:dyDescent="0.3">
      <c r="A27" s="9"/>
      <c r="B27" s="28" t="s">
        <v>261</v>
      </c>
      <c r="C27" s="145">
        <f>C16*(1+C17)^C18</f>
        <v>1480.2442849183446</v>
      </c>
    </row>
    <row r="28" spans="1:34" x14ac:dyDescent="0.3">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row>
    <row r="29" spans="1:34" x14ac:dyDescent="0.3">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row>
  </sheetData>
  <mergeCells count="5">
    <mergeCell ref="B4:AI4"/>
    <mergeCell ref="B11:G11"/>
    <mergeCell ref="B12:G12"/>
    <mergeCell ref="B13:G13"/>
    <mergeCell ref="B6:G6"/>
  </mergeCells>
  <pageMargins left="0.7" right="0.7" top="0.75" bottom="0.75" header="0.3" footer="0.3"/>
  <pageSetup orientation="portrait" r:id="rId1"/>
  <drawing r:id="rId2"/>
  <legacyDrawing r:id="rId3"/>
  <controls>
    <mc:AlternateContent xmlns:mc="http://schemas.openxmlformats.org/markup-compatibility/2006">
      <mc:Choice Requires="x14">
        <control shapeId="98307" r:id="rId4" name="Control 3">
          <controlPr defaultSize="0" r:id="rId5">
            <anchor moveWithCells="1">
              <from>
                <xdr:col>30</xdr:col>
                <xdr:colOff>0</xdr:colOff>
                <xdr:row>19</xdr:row>
                <xdr:rowOff>45720</xdr:rowOff>
              </from>
              <to>
                <xdr:col>30</xdr:col>
                <xdr:colOff>495300</xdr:colOff>
                <xdr:row>20</xdr:row>
                <xdr:rowOff>99060</xdr:rowOff>
              </to>
            </anchor>
          </controlPr>
        </control>
      </mc:Choice>
      <mc:Fallback>
        <control shapeId="98307" r:id="rId4" name="Control 3"/>
      </mc:Fallback>
    </mc:AlternateContent>
    <mc:AlternateContent xmlns:mc="http://schemas.openxmlformats.org/markup-compatibility/2006">
      <mc:Choice Requires="x14">
        <control shapeId="98306" r:id="rId6" name="Control 2">
          <controlPr defaultSize="0" r:id="rId5">
            <anchor moveWithCells="1">
              <from>
                <xdr:col>30</xdr:col>
                <xdr:colOff>0</xdr:colOff>
                <xdr:row>19</xdr:row>
                <xdr:rowOff>45720</xdr:rowOff>
              </from>
              <to>
                <xdr:col>30</xdr:col>
                <xdr:colOff>495300</xdr:colOff>
                <xdr:row>20</xdr:row>
                <xdr:rowOff>99060</xdr:rowOff>
              </to>
            </anchor>
          </controlPr>
        </control>
      </mc:Choice>
      <mc:Fallback>
        <control shapeId="98306" r:id="rId6" name="Control 2"/>
      </mc:Fallback>
    </mc:AlternateContent>
    <mc:AlternateContent xmlns:mc="http://schemas.openxmlformats.org/markup-compatibility/2006">
      <mc:Choice Requires="x14">
        <control shapeId="98305" r:id="rId7" name="Control 1">
          <controlPr defaultSize="0" r:id="rId8">
            <anchor moveWithCells="1">
              <from>
                <xdr:col>30</xdr:col>
                <xdr:colOff>0</xdr:colOff>
                <xdr:row>17</xdr:row>
                <xdr:rowOff>30480</xdr:rowOff>
              </from>
              <to>
                <xdr:col>30</xdr:col>
                <xdr:colOff>495300</xdr:colOff>
                <xdr:row>18</xdr:row>
                <xdr:rowOff>83820</xdr:rowOff>
              </to>
            </anchor>
          </controlPr>
        </control>
      </mc:Choice>
      <mc:Fallback>
        <control shapeId="98305" r:id="rId7" name="Control 1"/>
      </mc:Fallback>
    </mc:AlternateContent>
  </control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5"/>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7" width="9.109375" style="28"/>
    <col min="8" max="8" width="10.6640625" style="28" customWidth="1"/>
    <col min="9" max="16384" width="9.109375" style="28"/>
  </cols>
  <sheetData>
    <row r="1" spans="1:33" x14ac:dyDescent="0.3">
      <c r="A1" s="5" t="s">
        <v>558</v>
      </c>
      <c r="B1" s="5"/>
    </row>
    <row r="2" spans="1:33" s="89" customFormat="1" x14ac:dyDescent="0.3">
      <c r="A2" s="370"/>
      <c r="B2" s="370"/>
    </row>
    <row r="3" spans="1:33" x14ac:dyDescent="0.3">
      <c r="A3" s="5" t="s">
        <v>0</v>
      </c>
      <c r="B3" s="5" t="s">
        <v>268</v>
      </c>
    </row>
    <row r="4" spans="1:33" ht="36.75" customHeight="1" x14ac:dyDescent="0.3">
      <c r="A4" s="2"/>
      <c r="B4" s="575" t="s">
        <v>315</v>
      </c>
      <c r="C4" s="575"/>
      <c r="D4" s="575"/>
      <c r="E4" s="575"/>
      <c r="F4" s="575"/>
      <c r="G4" s="575"/>
      <c r="H4" s="575"/>
      <c r="I4" s="362"/>
    </row>
    <row r="5" spans="1:33" ht="15" customHeight="1" x14ac:dyDescent="0.3">
      <c r="A5" s="2"/>
      <c r="B5" s="28" t="s">
        <v>3</v>
      </c>
      <c r="D5" s="27"/>
      <c r="E5" s="27"/>
      <c r="F5" s="27"/>
      <c r="G5" s="27"/>
      <c r="H5" s="27"/>
    </row>
    <row r="6" spans="1:33" s="21" customFormat="1" x14ac:dyDescent="0.3">
      <c r="A6" s="7"/>
      <c r="B6" s="8"/>
      <c r="C6" s="8"/>
      <c r="D6" s="8"/>
      <c r="E6" s="8"/>
      <c r="F6" s="8"/>
      <c r="G6" s="8"/>
      <c r="H6" s="8"/>
    </row>
    <row r="7" spans="1:33" s="25" customFormat="1" x14ac:dyDescent="0.3">
      <c r="A7" s="40"/>
      <c r="B7" s="41"/>
      <c r="C7" s="41"/>
      <c r="D7" s="41"/>
      <c r="E7" s="41"/>
      <c r="F7" s="41"/>
      <c r="G7" s="41"/>
      <c r="H7" s="41"/>
    </row>
    <row r="8" spans="1:33" ht="15" customHeight="1" x14ac:dyDescent="0.3">
      <c r="A8" s="2"/>
      <c r="B8" s="573" t="s">
        <v>265</v>
      </c>
      <c r="C8" s="573"/>
      <c r="D8" s="573"/>
      <c r="E8" s="573"/>
      <c r="F8" s="573"/>
      <c r="G8" s="573"/>
      <c r="H8" s="573"/>
      <c r="I8" s="355"/>
    </row>
    <row r="9" spans="1:33" ht="15" customHeight="1" x14ac:dyDescent="0.3">
      <c r="A9" s="2"/>
      <c r="B9" s="570" t="s">
        <v>266</v>
      </c>
      <c r="C9" s="570"/>
      <c r="D9" s="570"/>
      <c r="E9" s="570"/>
      <c r="F9" s="570"/>
      <c r="G9" s="570"/>
      <c r="H9" s="570"/>
      <c r="I9" s="355"/>
    </row>
    <row r="10" spans="1:33" ht="15" customHeight="1" x14ac:dyDescent="0.3">
      <c r="A10" s="2"/>
      <c r="B10" s="571" t="s">
        <v>267</v>
      </c>
      <c r="C10" s="571"/>
      <c r="D10" s="571"/>
      <c r="E10" s="571"/>
      <c r="F10" s="571"/>
      <c r="G10" s="571"/>
      <c r="H10" s="571"/>
      <c r="I10" s="355"/>
    </row>
    <row r="11" spans="1:33" s="25" customFormat="1" x14ac:dyDescent="0.3">
      <c r="A11" s="40"/>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row>
    <row r="12" spans="1:33" x14ac:dyDescent="0.3">
      <c r="B12" s="85" t="s">
        <v>56</v>
      </c>
    </row>
    <row r="13" spans="1:33" customFormat="1" x14ac:dyDescent="0.3">
      <c r="B13" s="28" t="s">
        <v>28</v>
      </c>
      <c r="C13" s="384">
        <v>0.06</v>
      </c>
      <c r="D13" s="28" t="s">
        <v>0</v>
      </c>
    </row>
    <row r="14" spans="1:33" customFormat="1" x14ac:dyDescent="0.3">
      <c r="B14" s="28" t="s">
        <v>35</v>
      </c>
      <c r="C14" s="327">
        <v>100</v>
      </c>
    </row>
    <row r="15" spans="1:33" customFormat="1" x14ac:dyDescent="0.3">
      <c r="B15" s="28" t="s">
        <v>261</v>
      </c>
      <c r="C15" s="327">
        <v>200</v>
      </c>
    </row>
    <row r="16" spans="1:33" customFormat="1" ht="15.75" customHeight="1" x14ac:dyDescent="0.3"/>
    <row r="17" spans="1:12" s="89" customFormat="1" x14ac:dyDescent="0.3"/>
    <row r="18" spans="1:12" x14ac:dyDescent="0.3">
      <c r="A18" s="5"/>
      <c r="B18" s="6"/>
      <c r="C18" s="6"/>
      <c r="D18" s="6"/>
      <c r="E18" s="6"/>
      <c r="F18" s="6"/>
      <c r="G18" s="6"/>
      <c r="H18" s="6"/>
    </row>
    <row r="19" spans="1:12" x14ac:dyDescent="0.3">
      <c r="A19" s="9"/>
      <c r="B19" s="5" t="s">
        <v>1</v>
      </c>
      <c r="D19"/>
      <c r="E19"/>
      <c r="F19"/>
      <c r="G19"/>
      <c r="H19"/>
      <c r="I19"/>
      <c r="J19"/>
      <c r="K19"/>
      <c r="L19"/>
    </row>
    <row r="20" spans="1:12" x14ac:dyDescent="0.3">
      <c r="A20" s="9"/>
      <c r="B20" s="28" t="s">
        <v>12</v>
      </c>
      <c r="C20" s="146">
        <f>LOG(C15/C14)/LOG(1+C13)</f>
        <v>11.895661045941877</v>
      </c>
      <c r="D20" s="28" t="s">
        <v>0</v>
      </c>
      <c r="E20"/>
      <c r="F20"/>
      <c r="G20"/>
      <c r="H20"/>
      <c r="I20"/>
      <c r="J20"/>
      <c r="K20"/>
      <c r="L20"/>
    </row>
    <row r="21" spans="1:12" x14ac:dyDescent="0.3">
      <c r="A21" s="9"/>
      <c r="D21"/>
      <c r="E21"/>
      <c r="F21"/>
      <c r="G21"/>
      <c r="H21"/>
      <c r="I21"/>
      <c r="J21"/>
      <c r="K21"/>
      <c r="L21"/>
    </row>
    <row r="22" spans="1:12" x14ac:dyDescent="0.3">
      <c r="C22" s="18"/>
      <c r="D22" s="18"/>
      <c r="E22" s="18"/>
      <c r="F22" s="18"/>
    </row>
    <row r="23" spans="1:12" x14ac:dyDescent="0.3">
      <c r="B23" s="6"/>
      <c r="C23" s="18"/>
      <c r="D23" s="18"/>
      <c r="E23" s="18"/>
      <c r="F23" s="18"/>
    </row>
    <row r="24" spans="1:12" x14ac:dyDescent="0.3">
      <c r="B24" s="18"/>
      <c r="C24" s="18"/>
      <c r="D24" s="18"/>
      <c r="E24" s="18"/>
      <c r="F24" s="18"/>
    </row>
    <row r="25" spans="1:12" x14ac:dyDescent="0.3">
      <c r="B25" s="18"/>
      <c r="C25" s="18"/>
      <c r="D25" s="18"/>
      <c r="E25" s="18"/>
      <c r="F25" s="18"/>
    </row>
  </sheetData>
  <mergeCells count="4">
    <mergeCell ref="B8:H8"/>
    <mergeCell ref="B9:H9"/>
    <mergeCell ref="B10:H10"/>
    <mergeCell ref="B4:H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AJ33"/>
  <sheetViews>
    <sheetView topLeftCell="A10" workbookViewId="0"/>
  </sheetViews>
  <sheetFormatPr defaultColWidth="9.109375" defaultRowHeight="14.4" x14ac:dyDescent="0.3"/>
  <cols>
    <col min="1" max="1" width="16.5546875" style="28" customWidth="1"/>
    <col min="2" max="2" width="18.44140625" style="28" customWidth="1"/>
    <col min="3" max="3" width="3.33203125" style="28" customWidth="1"/>
    <col min="4" max="4" width="12.33203125" style="28" customWidth="1"/>
    <col min="5" max="30" width="16.6640625" style="28" customWidth="1"/>
    <col min="31" max="31" width="9.109375" style="28"/>
    <col min="32" max="32" width="10.5546875" style="28" bestFit="1" customWidth="1"/>
    <col min="33" max="34" width="9.109375" style="28"/>
    <col min="35" max="35" width="11.88671875" style="28" bestFit="1" customWidth="1"/>
    <col min="36" max="16384" width="9.109375" style="28"/>
  </cols>
  <sheetData>
    <row r="1" spans="1:36" x14ac:dyDescent="0.3">
      <c r="A1" s="5" t="s">
        <v>557</v>
      </c>
      <c r="B1" s="5"/>
      <c r="C1" s="10"/>
      <c r="D1" s="10"/>
      <c r="E1" s="10"/>
      <c r="F1" s="10"/>
      <c r="G1" s="10"/>
      <c r="H1" s="10"/>
      <c r="I1" s="10"/>
      <c r="J1" s="10"/>
    </row>
    <row r="2" spans="1:36" s="89" customFormat="1" x14ac:dyDescent="0.3">
      <c r="A2" s="370"/>
      <c r="B2" s="370"/>
      <c r="C2" s="373"/>
      <c r="D2" s="373"/>
      <c r="E2" s="373"/>
      <c r="F2" s="373"/>
      <c r="G2" s="373"/>
      <c r="H2" s="373"/>
      <c r="I2" s="373"/>
      <c r="J2" s="373"/>
    </row>
    <row r="3" spans="1:36" x14ac:dyDescent="0.3">
      <c r="A3" s="5" t="s">
        <v>0</v>
      </c>
      <c r="B3" s="5" t="s">
        <v>268</v>
      </c>
      <c r="C3" s="10"/>
      <c r="D3" s="10"/>
      <c r="E3" s="10"/>
      <c r="F3" s="10"/>
      <c r="G3" s="10"/>
      <c r="H3" s="10"/>
      <c r="I3" s="10"/>
      <c r="J3" s="10"/>
    </row>
    <row r="4" spans="1:36" ht="75" customHeight="1" x14ac:dyDescent="0.3">
      <c r="A4" s="277"/>
      <c r="B4" s="577" t="s">
        <v>316</v>
      </c>
      <c r="C4" s="577"/>
      <c r="D4" s="577"/>
      <c r="E4" s="577"/>
      <c r="F4" s="577"/>
      <c r="G4" s="577"/>
      <c r="H4" s="278"/>
      <c r="I4" s="278"/>
      <c r="J4" s="278"/>
      <c r="K4" s="99"/>
      <c r="L4" s="99"/>
      <c r="M4" s="99"/>
      <c r="N4" s="99"/>
      <c r="O4" s="99"/>
      <c r="P4" s="99"/>
      <c r="Q4" s="99"/>
      <c r="R4" s="99"/>
      <c r="S4" s="99"/>
      <c r="T4" s="99"/>
      <c r="U4" s="99"/>
      <c r="V4" s="99"/>
      <c r="W4" s="99"/>
      <c r="X4" s="99"/>
      <c r="Y4" s="99"/>
      <c r="Z4" s="99"/>
      <c r="AA4" s="99"/>
      <c r="AB4" s="99"/>
      <c r="AC4" s="99"/>
      <c r="AD4" s="99"/>
      <c r="AE4" s="99"/>
      <c r="AF4" s="99"/>
      <c r="AG4" s="99"/>
      <c r="AH4" s="99"/>
      <c r="AI4" s="99"/>
      <c r="AJ4" s="99"/>
    </row>
    <row r="5" spans="1:36" ht="15" customHeight="1" x14ac:dyDescent="0.3">
      <c r="A5" s="277"/>
      <c r="B5" s="368"/>
      <c r="C5" s="368"/>
      <c r="D5" s="368"/>
      <c r="E5" s="368"/>
      <c r="F5" s="368"/>
      <c r="G5" s="368"/>
      <c r="H5" s="278"/>
      <c r="I5" s="278"/>
      <c r="J5" s="278"/>
      <c r="K5" s="99"/>
      <c r="L5" s="99"/>
      <c r="M5" s="99"/>
      <c r="N5" s="99"/>
      <c r="O5" s="99"/>
      <c r="P5" s="99"/>
      <c r="Q5" s="99"/>
      <c r="R5" s="99"/>
      <c r="S5" s="99"/>
      <c r="T5" s="99"/>
      <c r="U5" s="99"/>
      <c r="V5" s="99"/>
      <c r="W5" s="99"/>
      <c r="X5" s="99"/>
      <c r="Y5" s="99"/>
      <c r="Z5" s="99"/>
      <c r="AA5" s="99"/>
      <c r="AB5" s="99"/>
      <c r="AC5" s="99"/>
      <c r="AD5" s="99"/>
      <c r="AE5" s="99"/>
      <c r="AF5" s="99"/>
      <c r="AG5" s="99"/>
      <c r="AH5" s="99"/>
      <c r="AI5" s="99"/>
      <c r="AJ5" s="99"/>
    </row>
    <row r="6" spans="1:36" ht="15.75" customHeight="1" x14ac:dyDescent="0.3">
      <c r="A6" s="277"/>
      <c r="B6" s="575" t="s">
        <v>317</v>
      </c>
      <c r="C6" s="575"/>
      <c r="D6" s="575"/>
      <c r="E6" s="575"/>
      <c r="F6" s="575"/>
      <c r="G6" s="575"/>
      <c r="H6" s="385"/>
      <c r="I6" s="385"/>
      <c r="J6" s="385"/>
      <c r="K6" s="81"/>
      <c r="L6" s="81"/>
      <c r="M6" s="81"/>
      <c r="N6" s="81"/>
      <c r="O6" s="81"/>
      <c r="P6" s="81"/>
      <c r="Q6" s="81"/>
      <c r="R6" s="81"/>
      <c r="S6" s="81"/>
      <c r="T6" s="81"/>
      <c r="U6" s="81"/>
      <c r="V6" s="81"/>
      <c r="W6" s="81"/>
      <c r="X6" s="81"/>
      <c r="Y6" s="81"/>
      <c r="Z6" s="81"/>
      <c r="AA6" s="81"/>
      <c r="AB6" s="81"/>
      <c r="AC6" s="81"/>
      <c r="AD6" s="81"/>
      <c r="AE6" s="81"/>
      <c r="AF6" s="81"/>
      <c r="AG6" s="81"/>
      <c r="AH6" s="81"/>
      <c r="AI6" s="81"/>
      <c r="AJ6" s="81"/>
    </row>
    <row r="7" spans="1:36" ht="15" customHeight="1" x14ac:dyDescent="0.3">
      <c r="A7" s="277"/>
      <c r="B7" s="578" t="s">
        <v>318</v>
      </c>
      <c r="C7" s="578"/>
      <c r="D7" s="578"/>
      <c r="E7" s="578"/>
      <c r="F7" s="578"/>
      <c r="G7" s="578"/>
      <c r="H7" s="386"/>
      <c r="I7" s="386"/>
      <c r="J7" s="386"/>
      <c r="K7" s="83"/>
      <c r="L7" s="83"/>
      <c r="M7" s="83"/>
      <c r="N7" s="83"/>
      <c r="O7" s="83"/>
      <c r="P7" s="83"/>
      <c r="Q7" s="83"/>
      <c r="R7" s="83"/>
      <c r="S7" s="83"/>
      <c r="T7" s="83"/>
      <c r="U7" s="83"/>
      <c r="V7" s="83"/>
      <c r="W7" s="83"/>
      <c r="X7" s="83"/>
      <c r="Y7" s="83"/>
      <c r="Z7" s="83"/>
      <c r="AA7" s="83"/>
      <c r="AB7" s="83"/>
      <c r="AC7" s="83"/>
      <c r="AD7" s="83"/>
      <c r="AE7" s="83"/>
      <c r="AF7" s="83"/>
      <c r="AG7" s="83"/>
      <c r="AH7" s="83"/>
    </row>
    <row r="8" spans="1:36" ht="15" customHeight="1" x14ac:dyDescent="0.3">
      <c r="A8" s="277"/>
      <c r="B8" s="386"/>
      <c r="C8" s="386"/>
      <c r="D8" s="386"/>
      <c r="E8" s="386"/>
      <c r="F8" s="386"/>
      <c r="G8" s="386"/>
      <c r="H8" s="386"/>
      <c r="I8" s="386"/>
      <c r="J8" s="386"/>
      <c r="K8" s="83"/>
      <c r="L8" s="83"/>
      <c r="M8" s="83"/>
      <c r="N8" s="83"/>
      <c r="O8" s="83"/>
      <c r="P8" s="83"/>
      <c r="Q8" s="83"/>
      <c r="R8" s="83"/>
      <c r="S8" s="83"/>
      <c r="T8" s="83"/>
      <c r="U8" s="83"/>
      <c r="V8" s="83"/>
      <c r="W8" s="83"/>
      <c r="X8" s="83"/>
      <c r="Y8" s="83"/>
      <c r="Z8" s="83"/>
      <c r="AA8" s="83"/>
      <c r="AB8" s="83"/>
      <c r="AC8" s="83"/>
      <c r="AD8" s="83"/>
      <c r="AE8" s="83"/>
      <c r="AF8" s="83"/>
      <c r="AG8" s="83"/>
      <c r="AH8" s="83"/>
    </row>
    <row r="9" spans="1:36" s="21" customFormat="1" x14ac:dyDescent="0.3">
      <c r="A9" s="7"/>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row>
    <row r="10" spans="1:36" s="25" customFormat="1" x14ac:dyDescent="0.3">
      <c r="A10" s="40"/>
      <c r="B10" s="41"/>
      <c r="C10" s="41"/>
      <c r="D10" s="41"/>
      <c r="E10" s="41"/>
      <c r="F10" s="41"/>
      <c r="G10" s="41"/>
      <c r="H10" s="77"/>
      <c r="I10" s="77"/>
      <c r="J10" s="77"/>
    </row>
    <row r="11" spans="1:36" ht="15" customHeight="1" x14ac:dyDescent="0.3">
      <c r="A11" s="277"/>
      <c r="B11" s="573" t="s">
        <v>265</v>
      </c>
      <c r="C11" s="573"/>
      <c r="D11" s="573"/>
      <c r="E11" s="573"/>
      <c r="F11" s="573"/>
      <c r="G11" s="573"/>
      <c r="H11" s="368"/>
      <c r="I11" s="10"/>
      <c r="J11" s="10"/>
    </row>
    <row r="12" spans="1:36" ht="15" customHeight="1" x14ac:dyDescent="0.3">
      <c r="A12" s="277"/>
      <c r="B12" s="570" t="s">
        <v>266</v>
      </c>
      <c r="C12" s="570"/>
      <c r="D12" s="570"/>
      <c r="E12" s="570"/>
      <c r="F12" s="570"/>
      <c r="G12" s="570"/>
      <c r="H12" s="368"/>
      <c r="I12" s="10"/>
      <c r="J12" s="10"/>
    </row>
    <row r="13" spans="1:36" ht="15" customHeight="1" x14ac:dyDescent="0.3">
      <c r="A13" s="277"/>
      <c r="B13" s="571" t="s">
        <v>267</v>
      </c>
      <c r="C13" s="571"/>
      <c r="D13" s="571"/>
      <c r="E13" s="571"/>
      <c r="F13" s="571"/>
      <c r="G13" s="571"/>
      <c r="H13" s="368"/>
      <c r="I13" s="10"/>
      <c r="J13" s="10"/>
    </row>
    <row r="14" spans="1:36" s="25" customFormat="1" x14ac:dyDescent="0.3">
      <c r="A14" s="40"/>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row>
    <row r="15" spans="1:36" x14ac:dyDescent="0.3">
      <c r="A15" s="10"/>
      <c r="B15" s="85" t="s">
        <v>56</v>
      </c>
      <c r="C15" s="10"/>
      <c r="D15" s="10"/>
      <c r="E15" s="10"/>
      <c r="F15" s="10"/>
      <c r="G15" s="10"/>
      <c r="H15" s="10"/>
      <c r="I15" s="10"/>
      <c r="J15" s="10"/>
    </row>
    <row r="16" spans="1:36" x14ac:dyDescent="0.3">
      <c r="A16" s="10"/>
      <c r="B16" s="28" t="s">
        <v>319</v>
      </c>
      <c r="C16" s="10"/>
      <c r="D16" s="395">
        <v>1880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86"/>
    </row>
    <row r="17" spans="1:35" x14ac:dyDescent="0.3">
      <c r="A17" s="387"/>
      <c r="B17" s="28" t="s">
        <v>62</v>
      </c>
      <c r="C17" s="391"/>
      <c r="D17" s="394">
        <v>100</v>
      </c>
      <c r="E17" s="77"/>
      <c r="F17" s="77"/>
      <c r="G17" s="77"/>
      <c r="H17" s="77"/>
      <c r="I17" s="77"/>
      <c r="J17" s="77"/>
      <c r="K17" s="25"/>
      <c r="L17" s="25"/>
      <c r="M17" s="25"/>
      <c r="N17" s="25"/>
      <c r="O17" s="25"/>
      <c r="P17" s="25"/>
      <c r="Q17" s="25"/>
      <c r="R17" s="25"/>
      <c r="S17" s="25"/>
      <c r="T17" s="25"/>
      <c r="U17" s="25"/>
      <c r="V17" s="25"/>
      <c r="W17" s="25"/>
      <c r="X17" s="25"/>
      <c r="Y17" s="25"/>
      <c r="Z17" s="25"/>
      <c r="AA17" s="25"/>
      <c r="AB17" s="25"/>
      <c r="AC17" s="25"/>
      <c r="AD17" s="25"/>
      <c r="AE17" s="25"/>
      <c r="AF17" s="25"/>
      <c r="AG17" s="25"/>
    </row>
    <row r="18" spans="1:35" x14ac:dyDescent="0.3">
      <c r="A18" s="387"/>
      <c r="B18" s="28" t="s">
        <v>61</v>
      </c>
      <c r="C18" s="391" t="s">
        <v>0</v>
      </c>
      <c r="D18" s="392">
        <v>1993</v>
      </c>
      <c r="E18" s="77" t="s">
        <v>0</v>
      </c>
      <c r="F18" s="77"/>
      <c r="G18" s="77"/>
      <c r="H18" s="77"/>
      <c r="I18" s="77"/>
      <c r="J18" s="77"/>
      <c r="K18" s="25"/>
      <c r="L18" s="25"/>
      <c r="M18" s="25"/>
      <c r="N18" s="25"/>
      <c r="O18" s="25"/>
      <c r="P18" s="25"/>
      <c r="Q18" s="25"/>
      <c r="R18" s="25"/>
      <c r="S18" s="25"/>
      <c r="T18" s="25"/>
      <c r="U18" s="25"/>
      <c r="V18" s="25"/>
      <c r="W18" s="25"/>
      <c r="X18" s="25"/>
      <c r="Y18" s="25"/>
      <c r="Z18" s="25"/>
      <c r="AA18" s="25"/>
      <c r="AB18" s="25"/>
      <c r="AC18" s="25"/>
      <c r="AD18" s="25"/>
      <c r="AE18" s="25"/>
      <c r="AF18" s="25" t="s">
        <v>58</v>
      </c>
      <c r="AG18" s="25" t="s">
        <v>58</v>
      </c>
    </row>
    <row r="19" spans="1:35" x14ac:dyDescent="0.3">
      <c r="A19" s="10"/>
      <c r="B19" s="10"/>
      <c r="C19" s="10"/>
      <c r="D19" s="10"/>
      <c r="E19" s="10"/>
      <c r="F19" s="10"/>
      <c r="G19" s="10"/>
      <c r="H19" s="10"/>
      <c r="I19" s="10"/>
      <c r="J19" s="10"/>
    </row>
    <row r="20" spans="1:35" x14ac:dyDescent="0.3">
      <c r="A20" s="387"/>
      <c r="B20" s="10" t="s">
        <v>320</v>
      </c>
      <c r="C20" s="391"/>
      <c r="D20" s="396">
        <v>0.04</v>
      </c>
      <c r="E20" s="25" t="s">
        <v>0</v>
      </c>
      <c r="F20" s="77"/>
      <c r="G20" s="77"/>
      <c r="H20" s="77"/>
      <c r="I20" s="77"/>
      <c r="J20" s="77"/>
      <c r="K20" s="25"/>
      <c r="L20" s="25"/>
      <c r="M20" s="25"/>
      <c r="N20" s="25"/>
      <c r="O20" s="25"/>
      <c r="P20" s="25"/>
      <c r="Q20" s="25"/>
      <c r="R20" s="25"/>
      <c r="S20" s="25"/>
      <c r="T20" s="25"/>
      <c r="U20" s="25"/>
      <c r="V20" s="25"/>
      <c r="W20" s="25"/>
      <c r="X20" s="25"/>
      <c r="Y20" s="25"/>
      <c r="Z20" s="25"/>
      <c r="AA20" s="25"/>
      <c r="AB20" s="25"/>
      <c r="AC20" s="25"/>
      <c r="AD20" s="25"/>
      <c r="AE20" s="25"/>
      <c r="AF20" s="25"/>
      <c r="AG20" s="25"/>
    </row>
    <row r="21" spans="1:35" x14ac:dyDescent="0.3">
      <c r="A21" s="387"/>
      <c r="B21" s="10" t="s">
        <v>103</v>
      </c>
      <c r="C21" s="391"/>
      <c r="D21" s="396">
        <v>0.08</v>
      </c>
      <c r="E21" s="25" t="s">
        <v>0</v>
      </c>
      <c r="F21" s="77"/>
      <c r="G21" s="77"/>
      <c r="H21" s="77"/>
      <c r="I21" s="77"/>
      <c r="J21" s="77"/>
      <c r="K21" s="25"/>
      <c r="L21" s="25"/>
      <c r="M21" s="25"/>
      <c r="N21" s="25"/>
      <c r="O21" s="25"/>
      <c r="P21" s="25"/>
      <c r="Q21" s="25"/>
      <c r="R21" s="25"/>
      <c r="S21" s="25"/>
      <c r="T21" s="25"/>
      <c r="U21" s="25"/>
      <c r="V21" s="25"/>
      <c r="W21" s="25"/>
      <c r="X21" s="25"/>
      <c r="Y21" s="25"/>
      <c r="Z21" s="25"/>
      <c r="AA21" s="25"/>
      <c r="AB21" s="25"/>
      <c r="AC21" s="25"/>
      <c r="AD21" s="25"/>
      <c r="AE21" s="25"/>
      <c r="AF21" s="25"/>
      <c r="AG21" s="25"/>
    </row>
    <row r="22" spans="1:35" x14ac:dyDescent="0.3">
      <c r="A22" s="387"/>
      <c r="B22" s="10"/>
      <c r="C22" s="391"/>
      <c r="D22" s="393"/>
      <c r="E22" s="77"/>
      <c r="F22" s="77"/>
      <c r="G22" s="77"/>
      <c r="H22" s="77"/>
      <c r="I22" s="77"/>
      <c r="J22" s="77"/>
      <c r="K22" s="25"/>
      <c r="L22" s="25"/>
      <c r="M22" s="25"/>
      <c r="N22" s="25"/>
      <c r="O22" s="25"/>
      <c r="P22" s="25"/>
      <c r="Q22" s="25"/>
      <c r="R22" s="25"/>
      <c r="S22" s="25"/>
      <c r="T22" s="25"/>
      <c r="U22" s="25"/>
      <c r="V22" s="25"/>
      <c r="W22" s="25"/>
      <c r="X22" s="25"/>
      <c r="Y22" s="25"/>
      <c r="Z22" s="25"/>
      <c r="AA22" s="25"/>
      <c r="AB22" s="25"/>
      <c r="AC22" s="25"/>
      <c r="AD22" s="25"/>
      <c r="AE22" s="25"/>
      <c r="AF22" s="25"/>
      <c r="AG22" s="25"/>
    </row>
    <row r="23" spans="1:35" s="89" customFormat="1" x14ac:dyDescent="0.3">
      <c r="A23" s="388"/>
      <c r="B23" s="373"/>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2"/>
    </row>
    <row r="24" spans="1:35" x14ac:dyDescent="0.3">
      <c r="A24" s="5"/>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1:35" x14ac:dyDescent="0.3">
      <c r="A25" s="387"/>
      <c r="B25" s="5" t="s">
        <v>1</v>
      </c>
      <c r="C25" s="10"/>
      <c r="D25" s="10"/>
      <c r="E25" s="10"/>
      <c r="F25" s="10"/>
      <c r="G25" s="10"/>
      <c r="H25" s="10"/>
      <c r="I25" s="10"/>
      <c r="J25" s="10"/>
      <c r="AE25" s="5"/>
    </row>
    <row r="26" spans="1:35" x14ac:dyDescent="0.3">
      <c r="A26" s="9"/>
      <c r="B26" s="5" t="s">
        <v>9</v>
      </c>
      <c r="AE26" s="5"/>
    </row>
    <row r="27" spans="1:35" x14ac:dyDescent="0.3">
      <c r="A27" s="9"/>
      <c r="B27" s="28" t="s">
        <v>261</v>
      </c>
      <c r="C27" s="129" t="s">
        <v>101</v>
      </c>
      <c r="D27" s="148">
        <f>$D$17*(1+$D$20)^(D18-D16)</f>
        <v>8409.4451209711315</v>
      </c>
      <c r="AE27" s="34"/>
      <c r="AF27" s="34"/>
      <c r="AG27" s="34"/>
      <c r="AH27" s="34"/>
      <c r="AI27" s="34"/>
    </row>
    <row r="28" spans="1:35" x14ac:dyDescent="0.3">
      <c r="A28" s="9"/>
      <c r="C28" s="129"/>
      <c r="D28" s="148"/>
      <c r="AE28" s="34"/>
      <c r="AF28" s="34"/>
      <c r="AG28" s="34"/>
      <c r="AH28" s="34"/>
      <c r="AI28" s="34"/>
    </row>
    <row r="29" spans="1:35" x14ac:dyDescent="0.3">
      <c r="A29" s="70"/>
      <c r="B29" s="97" t="s">
        <v>5</v>
      </c>
      <c r="C29" s="147" t="s">
        <v>0</v>
      </c>
      <c r="D29" s="103"/>
      <c r="E29" s="70"/>
      <c r="F29" s="70"/>
      <c r="G29" s="70"/>
    </row>
    <row r="30" spans="1:35" x14ac:dyDescent="0.3">
      <c r="A30" s="70"/>
      <c r="B30" s="28" t="s">
        <v>261</v>
      </c>
      <c r="C30" s="147" t="s">
        <v>101</v>
      </c>
      <c r="D30" s="148">
        <f>$D$17*(1+$D$21)^(D18-D16)</f>
        <v>598252.29046432138</v>
      </c>
      <c r="E30" s="70"/>
      <c r="F30" s="70"/>
      <c r="G30" s="70"/>
      <c r="AE30" s="36"/>
      <c r="AF30" s="37"/>
      <c r="AG30" s="34"/>
      <c r="AH30" s="34"/>
      <c r="AI30" s="37"/>
    </row>
    <row r="31" spans="1:35" x14ac:dyDescent="0.3">
      <c r="A31" s="9"/>
    </row>
    <row r="32" spans="1:35" x14ac:dyDescent="0.3">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2:32" x14ac:dyDescent="0.3">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sheetData>
  <mergeCells count="6">
    <mergeCell ref="B4:G4"/>
    <mergeCell ref="B11:G11"/>
    <mergeCell ref="B12:G12"/>
    <mergeCell ref="B13:G13"/>
    <mergeCell ref="B6:G6"/>
    <mergeCell ref="B7:G7"/>
  </mergeCells>
  <pageMargins left="0.7" right="0.7" top="0.75" bottom="0.75" header="0.3" footer="0.3"/>
  <pageSetup orientation="portrait" r:id="rId1"/>
  <drawing r:id="rId2"/>
  <legacyDrawing r:id="rId3"/>
  <controls>
    <mc:AlternateContent xmlns:mc="http://schemas.openxmlformats.org/markup-compatibility/2006">
      <mc:Choice Requires="x14">
        <control shapeId="99331" r:id="rId4" name="Control 3">
          <controlPr defaultSize="0" r:id="rId5">
            <anchor moveWithCells="1">
              <from>
                <xdr:col>31</xdr:col>
                <xdr:colOff>0</xdr:colOff>
                <xdr:row>22</xdr:row>
                <xdr:rowOff>45720</xdr:rowOff>
              </from>
              <to>
                <xdr:col>31</xdr:col>
                <xdr:colOff>487680</xdr:colOff>
                <xdr:row>23</xdr:row>
                <xdr:rowOff>99060</xdr:rowOff>
              </to>
            </anchor>
          </controlPr>
        </control>
      </mc:Choice>
      <mc:Fallback>
        <control shapeId="99331" r:id="rId4" name="Control 3"/>
      </mc:Fallback>
    </mc:AlternateContent>
    <mc:AlternateContent xmlns:mc="http://schemas.openxmlformats.org/markup-compatibility/2006">
      <mc:Choice Requires="x14">
        <control shapeId="99330" r:id="rId6" name="Control 2">
          <controlPr defaultSize="0" r:id="rId5">
            <anchor moveWithCells="1">
              <from>
                <xdr:col>31</xdr:col>
                <xdr:colOff>0</xdr:colOff>
                <xdr:row>22</xdr:row>
                <xdr:rowOff>45720</xdr:rowOff>
              </from>
              <to>
                <xdr:col>31</xdr:col>
                <xdr:colOff>487680</xdr:colOff>
                <xdr:row>23</xdr:row>
                <xdr:rowOff>99060</xdr:rowOff>
              </to>
            </anchor>
          </controlPr>
        </control>
      </mc:Choice>
      <mc:Fallback>
        <control shapeId="99330" r:id="rId6" name="Control 2"/>
      </mc:Fallback>
    </mc:AlternateContent>
    <mc:AlternateContent xmlns:mc="http://schemas.openxmlformats.org/markup-compatibility/2006">
      <mc:Choice Requires="x14">
        <control shapeId="99329" r:id="rId7" name="Control 1">
          <controlPr defaultSize="0" r:id="rId5">
            <anchor moveWithCells="1">
              <from>
                <xdr:col>31</xdr:col>
                <xdr:colOff>0</xdr:colOff>
                <xdr:row>17</xdr:row>
                <xdr:rowOff>30480</xdr:rowOff>
              </from>
              <to>
                <xdr:col>31</xdr:col>
                <xdr:colOff>487680</xdr:colOff>
                <xdr:row>18</xdr:row>
                <xdr:rowOff>76200</xdr:rowOff>
              </to>
            </anchor>
          </controlPr>
        </control>
      </mc:Choice>
      <mc:Fallback>
        <control shapeId="99329" r:id="rId7" name="Control 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AM38"/>
  <sheetViews>
    <sheetView topLeftCell="A4" zoomScaleNormal="100" workbookViewId="0">
      <selection activeCell="F24" sqref="F24"/>
    </sheetView>
  </sheetViews>
  <sheetFormatPr defaultColWidth="9.109375" defaultRowHeight="14.4" x14ac:dyDescent="0.3"/>
  <cols>
    <col min="1" max="1" width="16.5546875" style="28" customWidth="1"/>
    <col min="2" max="2" width="18.44140625" style="28" customWidth="1"/>
    <col min="3" max="3" width="12.5546875" style="28" bestFit="1" customWidth="1"/>
    <col min="4" max="4" width="10.5546875" style="28" bestFit="1" customWidth="1"/>
    <col min="5" max="5" width="2.5546875" style="28" bestFit="1" customWidth="1"/>
    <col min="6" max="6" width="4" style="28" bestFit="1" customWidth="1"/>
    <col min="7" max="7" width="16.6640625" style="28" customWidth="1"/>
    <col min="8" max="8" width="20" style="28" customWidth="1"/>
    <col min="9" max="33" width="16.6640625" style="28" customWidth="1"/>
    <col min="34" max="34" width="9.109375" style="28"/>
    <col min="35" max="35" width="10.5546875" style="28" bestFit="1" customWidth="1"/>
    <col min="36" max="37" width="9.109375" style="28"/>
    <col min="38" max="38" width="11.88671875" style="28" bestFit="1" customWidth="1"/>
    <col min="39" max="16384" width="9.109375" style="28"/>
  </cols>
  <sheetData>
    <row r="1" spans="1:39" x14ac:dyDescent="0.3">
      <c r="A1" s="5" t="s">
        <v>556</v>
      </c>
      <c r="B1" s="5"/>
      <c r="C1" s="5"/>
    </row>
    <row r="2" spans="1:39" s="89" customFormat="1" x14ac:dyDescent="0.3">
      <c r="A2" s="370"/>
      <c r="B2" s="370"/>
      <c r="C2" s="370"/>
    </row>
    <row r="3" spans="1:39" x14ac:dyDescent="0.3">
      <c r="A3" s="5" t="s">
        <v>0</v>
      </c>
      <c r="B3" s="5" t="s">
        <v>268</v>
      </c>
      <c r="C3"/>
    </row>
    <row r="4" spans="1:39" ht="15" customHeight="1" x14ac:dyDescent="0.3">
      <c r="A4" s="2"/>
      <c r="B4" s="579" t="s">
        <v>270</v>
      </c>
      <c r="C4" s="579"/>
      <c r="D4" s="579"/>
      <c r="E4" s="579"/>
      <c r="F4" s="579"/>
      <c r="G4" s="579"/>
      <c r="H4" s="579"/>
      <c r="I4" s="579"/>
      <c r="J4" s="579"/>
      <c r="K4" s="579"/>
      <c r="L4" s="579"/>
      <c r="M4" s="579"/>
      <c r="N4" s="99"/>
      <c r="O4" s="99"/>
      <c r="P4" s="99"/>
      <c r="Q4" s="99"/>
      <c r="R4" s="99"/>
      <c r="S4" s="99"/>
      <c r="T4" s="99"/>
      <c r="U4" s="99"/>
      <c r="V4" s="99"/>
      <c r="W4" s="99"/>
      <c r="X4" s="99"/>
      <c r="Y4" s="99"/>
      <c r="Z4" s="99"/>
      <c r="AA4" s="99"/>
      <c r="AB4" s="99"/>
      <c r="AC4" s="99"/>
      <c r="AD4" s="99"/>
      <c r="AE4" s="99"/>
      <c r="AF4" s="99"/>
      <c r="AG4" s="99"/>
      <c r="AH4" s="99"/>
      <c r="AI4" s="99"/>
      <c r="AJ4" s="99"/>
      <c r="AK4" s="99"/>
      <c r="AL4" s="99"/>
      <c r="AM4" s="99"/>
    </row>
    <row r="5" spans="1:39" ht="15" customHeight="1" x14ac:dyDescent="0.3">
      <c r="A5" s="2"/>
      <c r="B5" s="363"/>
      <c r="C5" s="363"/>
      <c r="D5" s="363"/>
      <c r="E5" s="363"/>
      <c r="F5" s="363"/>
      <c r="G5" s="363"/>
      <c r="H5" s="363"/>
      <c r="I5" s="363"/>
      <c r="J5" s="363"/>
      <c r="K5" s="363"/>
      <c r="L5" s="363"/>
      <c r="M5" s="363"/>
      <c r="N5" s="99"/>
      <c r="O5" s="99"/>
      <c r="P5" s="99"/>
      <c r="Q5" s="99"/>
      <c r="R5" s="99"/>
      <c r="S5" s="99"/>
      <c r="T5" s="99"/>
      <c r="U5" s="99"/>
      <c r="V5" s="99"/>
      <c r="W5" s="99"/>
      <c r="X5" s="99"/>
      <c r="Y5" s="99"/>
      <c r="Z5" s="99"/>
      <c r="AA5" s="99"/>
      <c r="AB5" s="99"/>
      <c r="AC5" s="99"/>
      <c r="AD5" s="99"/>
      <c r="AE5" s="99"/>
      <c r="AF5" s="99"/>
      <c r="AG5" s="99"/>
      <c r="AH5" s="99"/>
      <c r="AI5" s="99"/>
      <c r="AJ5" s="99"/>
      <c r="AK5" s="99"/>
      <c r="AL5" s="99"/>
      <c r="AM5" s="99"/>
    </row>
    <row r="6" spans="1:39" ht="15" customHeight="1" x14ac:dyDescent="0.3">
      <c r="A6" s="2"/>
      <c r="B6" s="364" t="s">
        <v>321</v>
      </c>
      <c r="C6" s="363"/>
      <c r="D6" s="363"/>
      <c r="E6" s="363"/>
      <c r="F6" s="363"/>
      <c r="G6" s="363"/>
      <c r="H6" s="363"/>
      <c r="I6" s="363"/>
      <c r="J6" s="363"/>
      <c r="K6" s="363"/>
      <c r="L6" s="363"/>
      <c r="M6" s="363"/>
      <c r="N6" s="99"/>
      <c r="O6" s="99"/>
      <c r="P6" s="99"/>
      <c r="Q6" s="99"/>
      <c r="R6" s="99"/>
      <c r="S6" s="99"/>
      <c r="T6" s="99"/>
      <c r="U6" s="99"/>
      <c r="V6" s="99"/>
      <c r="W6" s="99"/>
      <c r="X6" s="99"/>
      <c r="Y6" s="99"/>
      <c r="Z6" s="99"/>
      <c r="AA6" s="99"/>
      <c r="AB6" s="99"/>
      <c r="AC6" s="99"/>
      <c r="AD6" s="99"/>
      <c r="AE6" s="99"/>
      <c r="AF6" s="99"/>
      <c r="AG6" s="99"/>
      <c r="AH6" s="99"/>
      <c r="AI6" s="99"/>
      <c r="AJ6" s="99"/>
      <c r="AK6" s="99"/>
      <c r="AL6" s="99"/>
      <c r="AM6" s="99"/>
    </row>
    <row r="7" spans="1:39" ht="15" customHeight="1" x14ac:dyDescent="0.3">
      <c r="A7" s="2"/>
      <c r="B7" s="364" t="s">
        <v>322</v>
      </c>
      <c r="C7" s="363"/>
      <c r="D7" s="363"/>
      <c r="E7" s="363"/>
      <c r="F7" s="363"/>
      <c r="G7" s="363"/>
      <c r="H7" s="363"/>
      <c r="I7" s="363"/>
      <c r="J7" s="363"/>
      <c r="K7" s="363"/>
      <c r="L7" s="363"/>
      <c r="M7" s="363"/>
      <c r="N7" s="99"/>
      <c r="O7" s="99"/>
      <c r="P7" s="99"/>
      <c r="Q7" s="99"/>
      <c r="R7" s="99"/>
      <c r="S7" s="99"/>
      <c r="T7" s="99"/>
      <c r="U7" s="99"/>
      <c r="V7" s="99"/>
      <c r="W7" s="99"/>
      <c r="X7" s="99"/>
      <c r="Y7" s="99"/>
      <c r="Z7" s="99"/>
      <c r="AA7" s="99"/>
      <c r="AB7" s="99"/>
      <c r="AC7" s="99"/>
      <c r="AD7" s="99"/>
      <c r="AE7" s="99"/>
      <c r="AF7" s="99"/>
      <c r="AG7" s="99"/>
      <c r="AH7" s="99"/>
      <c r="AI7" s="99"/>
      <c r="AJ7" s="99"/>
      <c r="AK7" s="99"/>
      <c r="AL7" s="99"/>
      <c r="AM7" s="99"/>
    </row>
    <row r="8" spans="1:39" ht="15" customHeight="1" x14ac:dyDescent="0.3">
      <c r="A8" s="2"/>
      <c r="B8" s="364" t="s">
        <v>323</v>
      </c>
      <c r="C8" s="363"/>
      <c r="D8" s="363"/>
      <c r="E8" s="363"/>
      <c r="F8" s="363"/>
      <c r="G8" s="363"/>
      <c r="H8" s="363"/>
      <c r="I8" s="363"/>
      <c r="J8" s="363"/>
      <c r="K8" s="363"/>
      <c r="L8" s="363"/>
      <c r="M8" s="363"/>
      <c r="N8" s="99"/>
      <c r="O8" s="99"/>
      <c r="P8" s="99"/>
      <c r="Q8" s="99"/>
      <c r="R8" s="99"/>
      <c r="S8" s="99"/>
      <c r="T8" s="99"/>
      <c r="U8" s="99"/>
      <c r="V8" s="99"/>
      <c r="W8" s="99"/>
      <c r="X8" s="99"/>
      <c r="Y8" s="99"/>
      <c r="Z8" s="99"/>
      <c r="AA8" s="99"/>
      <c r="AB8" s="99"/>
      <c r="AC8" s="99"/>
      <c r="AD8" s="99"/>
      <c r="AE8" s="99"/>
      <c r="AF8" s="99"/>
      <c r="AG8" s="99"/>
      <c r="AH8" s="99"/>
      <c r="AI8" s="99"/>
      <c r="AJ8" s="99"/>
      <c r="AK8" s="99"/>
      <c r="AL8" s="99"/>
      <c r="AM8" s="99"/>
    </row>
    <row r="9" spans="1:39" ht="15" customHeight="1" x14ac:dyDescent="0.3">
      <c r="A9" s="2"/>
      <c r="B9" s="83"/>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row>
    <row r="10" spans="1:39" s="21" customFormat="1" x14ac:dyDescent="0.3">
      <c r="A10" s="7"/>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spans="1:39" s="25" customFormat="1" x14ac:dyDescent="0.3">
      <c r="A11" s="40"/>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row>
    <row r="12" spans="1:39" ht="15" customHeight="1" x14ac:dyDescent="0.3">
      <c r="A12" s="2"/>
      <c r="B12" s="573" t="s">
        <v>265</v>
      </c>
      <c r="C12" s="573"/>
      <c r="D12" s="573"/>
      <c r="E12" s="573"/>
      <c r="F12" s="573"/>
      <c r="G12" s="573"/>
      <c r="H12" s="573"/>
      <c r="I12" s="355"/>
    </row>
    <row r="13" spans="1:39" ht="15" customHeight="1" x14ac:dyDescent="0.3">
      <c r="A13" s="2"/>
      <c r="B13" s="570" t="s">
        <v>266</v>
      </c>
      <c r="C13" s="570"/>
      <c r="D13" s="570"/>
      <c r="E13" s="570"/>
      <c r="F13" s="570"/>
      <c r="G13" s="570"/>
      <c r="H13" s="570"/>
      <c r="I13" s="355"/>
    </row>
    <row r="14" spans="1:39" ht="15" customHeight="1" x14ac:dyDescent="0.3">
      <c r="A14" s="2"/>
      <c r="B14" s="571" t="s">
        <v>267</v>
      </c>
      <c r="C14" s="571"/>
      <c r="D14" s="571"/>
      <c r="E14" s="571"/>
      <c r="F14" s="571"/>
      <c r="G14" s="571"/>
      <c r="H14" s="355"/>
      <c r="I14" s="355"/>
    </row>
    <row r="15" spans="1:39" s="25" customFormat="1" x14ac:dyDescent="0.3">
      <c r="A15" s="40"/>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row>
    <row r="16" spans="1:39" x14ac:dyDescent="0.3">
      <c r="B16" s="85" t="s">
        <v>56</v>
      </c>
    </row>
    <row r="17" spans="1:38" x14ac:dyDescent="0.3">
      <c r="A17" s="9"/>
      <c r="B17" s="398" t="s">
        <v>35</v>
      </c>
      <c r="C17" s="399">
        <v>400</v>
      </c>
      <c r="E17" s="25"/>
      <c r="F17" s="100"/>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row>
    <row r="18" spans="1:38" x14ac:dyDescent="0.3">
      <c r="A18" s="9"/>
      <c r="B18" s="398" t="s">
        <v>261</v>
      </c>
      <c r="C18" s="399">
        <v>1000</v>
      </c>
      <c r="E18" s="25"/>
      <c r="F18" s="100"/>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row>
    <row r="19" spans="1:38" x14ac:dyDescent="0.3">
      <c r="B19" s="408" t="s">
        <v>4</v>
      </c>
      <c r="C19" s="397">
        <v>0.04</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86"/>
    </row>
    <row r="20" spans="1:38" x14ac:dyDescent="0.3">
      <c r="A20" s="9"/>
      <c r="B20" s="398" t="s">
        <v>5</v>
      </c>
      <c r="C20" s="401">
        <v>0.08</v>
      </c>
      <c r="E20" s="25"/>
      <c r="F20" s="100"/>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t="s">
        <v>58</v>
      </c>
      <c r="AJ20" s="25" t="s">
        <v>58</v>
      </c>
    </row>
    <row r="21" spans="1:38" x14ac:dyDescent="0.3">
      <c r="A21" s="9"/>
      <c r="B21" s="398" t="s">
        <v>6</v>
      </c>
      <c r="C21" s="401">
        <v>0.16</v>
      </c>
      <c r="E21" s="25"/>
      <c r="F21" s="100"/>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row>
    <row r="22" spans="1:38" x14ac:dyDescent="0.3">
      <c r="A22" s="9"/>
      <c r="B22" s="390"/>
      <c r="C22" s="401"/>
      <c r="E22" s="25"/>
      <c r="F22" s="100"/>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row>
    <row r="23" spans="1:38" x14ac:dyDescent="0.3">
      <c r="A23" s="9"/>
      <c r="B23" s="390"/>
      <c r="C23" s="411"/>
      <c r="E23" s="25"/>
      <c r="F23" s="100"/>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row>
    <row r="24" spans="1:38" s="89" customFormat="1" x14ac:dyDescent="0.3">
      <c r="A24" s="88"/>
      <c r="C24" s="90"/>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2"/>
    </row>
    <row r="25" spans="1:38" x14ac:dyDescent="0.3">
      <c r="A25" s="5"/>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spans="1:38" x14ac:dyDescent="0.3">
      <c r="A26" s="9"/>
      <c r="B26" s="5" t="s">
        <v>1</v>
      </c>
      <c r="AH26" s="5"/>
    </row>
    <row r="27" spans="1:38" x14ac:dyDescent="0.3">
      <c r="A27" s="9"/>
      <c r="B27" s="5" t="s">
        <v>9</v>
      </c>
      <c r="AH27" s="34"/>
      <c r="AI27" s="34"/>
      <c r="AJ27" s="34"/>
      <c r="AK27" s="34"/>
      <c r="AL27" s="34"/>
    </row>
    <row r="28" spans="1:38" x14ac:dyDescent="0.3">
      <c r="A28" s="9"/>
      <c r="B28" s="28" t="s">
        <v>21</v>
      </c>
      <c r="C28" s="149">
        <f>LN($C$18/$C$17)/LN(1+$C$19)</f>
        <v>23.36241894157132</v>
      </c>
      <c r="AH28" s="34"/>
      <c r="AI28" s="34"/>
      <c r="AJ28" s="34"/>
      <c r="AK28" s="34"/>
      <c r="AL28" s="34"/>
    </row>
    <row r="29" spans="1:38" x14ac:dyDescent="0.3">
      <c r="A29" s="70"/>
      <c r="B29" s="5"/>
      <c r="C29" s="150"/>
      <c r="D29" s="70"/>
      <c r="E29" s="70"/>
      <c r="F29" s="70"/>
      <c r="G29" s="70"/>
      <c r="H29" s="70"/>
      <c r="I29" s="70"/>
    </row>
    <row r="30" spans="1:38" x14ac:dyDescent="0.3">
      <c r="A30" s="70"/>
      <c r="B30" s="97" t="s">
        <v>5</v>
      </c>
      <c r="D30" s="98"/>
      <c r="E30" s="70"/>
      <c r="F30" s="70"/>
      <c r="G30" s="70"/>
      <c r="H30" s="70"/>
      <c r="I30" s="70"/>
      <c r="AH30" s="36"/>
      <c r="AI30" s="37"/>
      <c r="AJ30" s="34"/>
      <c r="AK30" s="34"/>
      <c r="AL30" s="37"/>
    </row>
    <row r="31" spans="1:38" x14ac:dyDescent="0.3">
      <c r="A31" s="70"/>
      <c r="B31" s="28" t="s">
        <v>21</v>
      </c>
      <c r="C31" s="149">
        <f>LN($C$18/$C$17)/LN(1+$C$20)</f>
        <v>11.905903537004178</v>
      </c>
      <c r="D31" s="98"/>
      <c r="E31" s="70"/>
      <c r="F31" s="70"/>
      <c r="G31" s="70"/>
      <c r="H31" s="70"/>
      <c r="I31" s="70"/>
      <c r="AH31" s="36"/>
      <c r="AI31" s="37"/>
      <c r="AJ31" s="34"/>
      <c r="AK31" s="34"/>
      <c r="AL31" s="37"/>
    </row>
    <row r="32" spans="1:38" x14ac:dyDescent="0.3">
      <c r="A32" s="9"/>
      <c r="C32" s="150"/>
    </row>
    <row r="33" spans="1:38" x14ac:dyDescent="0.3">
      <c r="A33" s="70"/>
      <c r="B33" s="97" t="s">
        <v>6</v>
      </c>
      <c r="D33" s="98"/>
      <c r="E33" s="70"/>
      <c r="F33" s="70"/>
      <c r="G33" s="70"/>
      <c r="H33" s="70"/>
      <c r="I33" s="70"/>
      <c r="AH33" s="36"/>
      <c r="AI33" s="37"/>
      <c r="AJ33" s="34"/>
      <c r="AK33" s="34"/>
      <c r="AL33" s="37"/>
    </row>
    <row r="34" spans="1:38" x14ac:dyDescent="0.3">
      <c r="A34" s="9"/>
      <c r="B34" s="28" t="s">
        <v>21</v>
      </c>
      <c r="C34" s="149">
        <f>LN($C$18/$C$17)/LN(1+$C$21)</f>
        <v>6.1736336091888662</v>
      </c>
    </row>
    <row r="35" spans="1:38" x14ac:dyDescent="0.3">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row>
    <row r="36" spans="1:38" x14ac:dyDescent="0.3">
      <c r="B36" s="6"/>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row>
    <row r="37" spans="1:38" x14ac:dyDescent="0.3">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row>
    <row r="38" spans="1:38" x14ac:dyDescent="0.3">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row>
  </sheetData>
  <mergeCells count="4">
    <mergeCell ref="B4:M4"/>
    <mergeCell ref="B12:H12"/>
    <mergeCell ref="B13:H13"/>
    <mergeCell ref="B14:G14"/>
  </mergeCells>
  <pageMargins left="0.7" right="0.7" top="0.75" bottom="0.75" header="0.3" footer="0.3"/>
  <pageSetup orientation="portrait" r:id="rId1"/>
  <drawing r:id="rId2"/>
  <legacyDrawing r:id="rId3"/>
  <controls>
    <mc:AlternateContent xmlns:mc="http://schemas.openxmlformats.org/markup-compatibility/2006">
      <mc:Choice Requires="x14">
        <control shapeId="100355" r:id="rId4" name="Control 3">
          <controlPr defaultSize="0" r:id="rId5">
            <anchor moveWithCells="1">
              <from>
                <xdr:col>34</xdr:col>
                <xdr:colOff>0</xdr:colOff>
                <xdr:row>23</xdr:row>
                <xdr:rowOff>60960</xdr:rowOff>
              </from>
              <to>
                <xdr:col>34</xdr:col>
                <xdr:colOff>495300</xdr:colOff>
                <xdr:row>24</xdr:row>
                <xdr:rowOff>106680</xdr:rowOff>
              </to>
            </anchor>
          </controlPr>
        </control>
      </mc:Choice>
      <mc:Fallback>
        <control shapeId="100355" r:id="rId4" name="Control 3"/>
      </mc:Fallback>
    </mc:AlternateContent>
    <mc:AlternateContent xmlns:mc="http://schemas.openxmlformats.org/markup-compatibility/2006">
      <mc:Choice Requires="x14">
        <control shapeId="100354" r:id="rId6" name="Control 2">
          <controlPr defaultSize="0" r:id="rId5">
            <anchor moveWithCells="1">
              <from>
                <xdr:col>34</xdr:col>
                <xdr:colOff>0</xdr:colOff>
                <xdr:row>23</xdr:row>
                <xdr:rowOff>60960</xdr:rowOff>
              </from>
              <to>
                <xdr:col>34</xdr:col>
                <xdr:colOff>495300</xdr:colOff>
                <xdr:row>24</xdr:row>
                <xdr:rowOff>106680</xdr:rowOff>
              </to>
            </anchor>
          </controlPr>
        </control>
      </mc:Choice>
      <mc:Fallback>
        <control shapeId="100354" r:id="rId6" name="Control 2"/>
      </mc:Fallback>
    </mc:AlternateContent>
    <mc:AlternateContent xmlns:mc="http://schemas.openxmlformats.org/markup-compatibility/2006">
      <mc:Choice Requires="x14">
        <control shapeId="100353" r:id="rId7" name="Control 1">
          <controlPr defaultSize="0" r:id="rId5">
            <anchor moveWithCells="1">
              <from>
                <xdr:col>34</xdr:col>
                <xdr:colOff>0</xdr:colOff>
                <xdr:row>19</xdr:row>
                <xdr:rowOff>45720</xdr:rowOff>
              </from>
              <to>
                <xdr:col>34</xdr:col>
                <xdr:colOff>495300</xdr:colOff>
                <xdr:row>20</xdr:row>
                <xdr:rowOff>99060</xdr:rowOff>
              </to>
            </anchor>
          </controlPr>
        </control>
      </mc:Choice>
      <mc:Fallback>
        <control shapeId="100353" r:id="rId7" name="Control 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dimension ref="A1:AN41"/>
  <sheetViews>
    <sheetView topLeftCell="A7" workbookViewId="0">
      <selection activeCell="C37" sqref="C37"/>
    </sheetView>
  </sheetViews>
  <sheetFormatPr defaultColWidth="9.109375" defaultRowHeight="14.4" x14ac:dyDescent="0.3"/>
  <cols>
    <col min="1" max="1" width="16.5546875" style="28" customWidth="1"/>
    <col min="2" max="2" width="20.5546875" style="28" customWidth="1"/>
    <col min="3" max="3" width="16.44140625" style="28" customWidth="1"/>
    <col min="4" max="4" width="3.33203125" style="28" customWidth="1"/>
    <col min="5" max="5" width="10.5546875" style="28" bestFit="1" customWidth="1"/>
    <col min="6" max="6" width="2.5546875" style="28" bestFit="1" customWidth="1"/>
    <col min="7" max="7" width="4" style="28" bestFit="1" customWidth="1"/>
    <col min="8" max="8" width="16.6640625" style="28" customWidth="1"/>
    <col min="9" max="9" width="9.44140625" style="28" customWidth="1"/>
    <col min="10" max="34" width="16.6640625" style="28" customWidth="1"/>
    <col min="35" max="35" width="9.109375" style="28"/>
    <col min="36" max="36" width="10.5546875" style="28" bestFit="1" customWidth="1"/>
    <col min="37" max="38" width="9.109375" style="28"/>
    <col min="39" max="39" width="11.88671875" style="28" bestFit="1" customWidth="1"/>
    <col min="40" max="16384" width="9.109375" style="28"/>
  </cols>
  <sheetData>
    <row r="1" spans="1:40" x14ac:dyDescent="0.3">
      <c r="A1" s="5" t="s">
        <v>555</v>
      </c>
      <c r="B1" s="5"/>
      <c r="C1" s="5"/>
    </row>
    <row r="2" spans="1:40" s="89" customFormat="1" x14ac:dyDescent="0.3">
      <c r="A2" s="370"/>
      <c r="B2" s="370"/>
      <c r="C2" s="370"/>
    </row>
    <row r="3" spans="1:40" x14ac:dyDescent="0.3">
      <c r="A3" s="5" t="s">
        <v>0</v>
      </c>
      <c r="B3" s="5" t="s">
        <v>268</v>
      </c>
      <c r="C3" s="5"/>
    </row>
    <row r="4" spans="1:40" ht="15" customHeight="1" x14ac:dyDescent="0.3">
      <c r="A4" s="2"/>
      <c r="B4" s="579" t="s">
        <v>328</v>
      </c>
      <c r="C4" s="579"/>
      <c r="D4" s="579"/>
      <c r="E4" s="579"/>
      <c r="F4" s="579"/>
      <c r="G4" s="579"/>
      <c r="H4" s="579"/>
      <c r="I4" s="579"/>
      <c r="J4" s="579"/>
      <c r="K4" s="579"/>
      <c r="L4" s="579"/>
      <c r="M4" s="579"/>
      <c r="N4" s="579"/>
      <c r="O4" s="99"/>
      <c r="P4" s="99"/>
      <c r="Q4" s="99"/>
      <c r="R4" s="99"/>
      <c r="S4" s="99"/>
      <c r="T4" s="99"/>
      <c r="U4" s="99"/>
      <c r="V4" s="99"/>
      <c r="W4" s="99"/>
      <c r="X4" s="99"/>
      <c r="Y4" s="99"/>
      <c r="Z4" s="99"/>
      <c r="AA4" s="99"/>
      <c r="AB4" s="99"/>
      <c r="AC4" s="99"/>
      <c r="AD4" s="99"/>
      <c r="AE4" s="99"/>
      <c r="AF4" s="99"/>
      <c r="AG4" s="99"/>
      <c r="AH4" s="99"/>
      <c r="AI4" s="99"/>
      <c r="AJ4" s="99"/>
      <c r="AK4" s="99"/>
      <c r="AL4" s="99"/>
      <c r="AM4" s="99"/>
      <c r="AN4" s="99"/>
    </row>
    <row r="5" spans="1:40" ht="15" customHeight="1" x14ac:dyDescent="0.3">
      <c r="A5" s="2"/>
      <c r="B5" s="363"/>
      <c r="C5" s="363"/>
      <c r="D5" s="363"/>
      <c r="E5" s="363"/>
      <c r="F5" s="363"/>
      <c r="G5" s="363"/>
      <c r="H5" s="363"/>
      <c r="I5" s="363"/>
      <c r="J5" s="363"/>
      <c r="K5" s="363"/>
      <c r="L5" s="363"/>
      <c r="M5" s="363"/>
      <c r="N5" s="363"/>
      <c r="O5" s="99"/>
      <c r="P5" s="99"/>
      <c r="Q5" s="99"/>
      <c r="R5" s="99"/>
      <c r="S5" s="99"/>
      <c r="T5" s="99"/>
      <c r="U5" s="99"/>
      <c r="V5" s="99"/>
      <c r="W5" s="99"/>
      <c r="X5" s="99"/>
      <c r="Y5" s="99"/>
      <c r="Z5" s="99"/>
      <c r="AA5" s="99"/>
      <c r="AB5" s="99"/>
      <c r="AC5" s="99"/>
      <c r="AD5" s="99"/>
      <c r="AE5" s="99"/>
      <c r="AF5" s="99"/>
      <c r="AG5" s="99"/>
      <c r="AH5" s="99"/>
      <c r="AI5" s="99"/>
      <c r="AJ5" s="99"/>
      <c r="AK5" s="99"/>
      <c r="AL5" s="99"/>
      <c r="AM5" s="99"/>
      <c r="AN5" s="99"/>
    </row>
    <row r="6" spans="1:40" x14ac:dyDescent="0.3">
      <c r="A6" s="2"/>
      <c r="B6" s="365" t="s">
        <v>326</v>
      </c>
      <c r="D6" s="82"/>
      <c r="E6" s="82"/>
      <c r="F6" s="82"/>
      <c r="G6" s="82"/>
      <c r="H6" s="82"/>
      <c r="I6" s="82"/>
      <c r="J6" s="82"/>
      <c r="K6" s="82"/>
      <c r="L6" s="82"/>
      <c r="M6" s="82"/>
      <c r="N6" s="82"/>
      <c r="O6" s="99"/>
      <c r="P6" s="99"/>
      <c r="Q6" s="99"/>
      <c r="R6" s="99"/>
      <c r="S6" s="99"/>
      <c r="T6" s="99"/>
      <c r="U6" s="99"/>
      <c r="V6" s="99"/>
      <c r="W6" s="99"/>
      <c r="X6" s="99"/>
      <c r="Y6" s="99"/>
      <c r="Z6" s="99"/>
      <c r="AA6" s="99"/>
      <c r="AB6" s="99"/>
      <c r="AC6" s="99"/>
      <c r="AD6" s="99"/>
      <c r="AE6" s="99"/>
      <c r="AF6" s="99"/>
      <c r="AG6" s="99"/>
      <c r="AH6" s="99"/>
      <c r="AI6" s="99"/>
      <c r="AJ6" s="99"/>
      <c r="AK6" s="99"/>
      <c r="AL6" s="99"/>
      <c r="AM6" s="99"/>
      <c r="AN6" s="99"/>
    </row>
    <row r="7" spans="1:40" ht="15" customHeight="1" x14ac:dyDescent="0.3">
      <c r="A7" s="2"/>
      <c r="B7" s="95" t="s">
        <v>325</v>
      </c>
      <c r="D7" s="60"/>
      <c r="E7" s="82"/>
      <c r="F7" s="82"/>
      <c r="G7" s="82"/>
      <c r="H7" s="82"/>
      <c r="I7" s="82"/>
      <c r="J7" s="82"/>
      <c r="K7" s="82"/>
      <c r="L7" s="82"/>
      <c r="M7" s="82"/>
      <c r="N7" s="82"/>
      <c r="O7" s="99"/>
      <c r="P7" s="99"/>
      <c r="Q7" s="99"/>
      <c r="R7" s="99"/>
      <c r="S7" s="99"/>
      <c r="T7" s="99"/>
      <c r="U7" s="99"/>
      <c r="V7" s="99"/>
      <c r="W7" s="99"/>
      <c r="X7" s="99"/>
      <c r="Y7" s="99"/>
      <c r="Z7" s="99"/>
      <c r="AA7" s="99"/>
      <c r="AB7" s="99"/>
      <c r="AC7" s="99"/>
      <c r="AD7" s="99"/>
      <c r="AE7" s="99"/>
      <c r="AF7" s="99"/>
      <c r="AG7" s="99"/>
      <c r="AH7" s="99"/>
      <c r="AI7" s="99"/>
      <c r="AJ7" s="99"/>
      <c r="AK7" s="99"/>
      <c r="AL7" s="99"/>
      <c r="AM7" s="99"/>
      <c r="AN7" s="99"/>
    </row>
    <row r="8" spans="1:40" ht="15" customHeight="1" x14ac:dyDescent="0.3">
      <c r="A8" s="2"/>
      <c r="B8" s="365" t="s">
        <v>327</v>
      </c>
      <c r="C8" s="84"/>
      <c r="D8" s="82"/>
      <c r="E8" s="82"/>
      <c r="F8" s="82"/>
      <c r="G8" s="82"/>
      <c r="H8" s="82"/>
      <c r="I8" s="82"/>
      <c r="J8" s="82"/>
      <c r="K8" s="82"/>
      <c r="L8" s="82"/>
      <c r="M8" s="82"/>
      <c r="N8" s="82"/>
      <c r="O8" s="99"/>
      <c r="P8" s="99"/>
      <c r="Q8" s="99"/>
      <c r="R8" s="99"/>
      <c r="S8" s="99"/>
      <c r="T8" s="99"/>
      <c r="U8" s="99"/>
      <c r="V8" s="99"/>
      <c r="W8" s="99"/>
      <c r="X8" s="99"/>
      <c r="Y8" s="99"/>
      <c r="Z8" s="99"/>
      <c r="AA8" s="99"/>
      <c r="AB8" s="99"/>
      <c r="AC8" s="99"/>
      <c r="AD8" s="99"/>
      <c r="AE8" s="99"/>
      <c r="AF8" s="99"/>
      <c r="AG8" s="99"/>
      <c r="AH8" s="99"/>
      <c r="AI8" s="99"/>
      <c r="AJ8" s="99"/>
      <c r="AK8" s="99"/>
      <c r="AL8" s="99"/>
      <c r="AM8" s="99"/>
      <c r="AN8" s="99"/>
    </row>
    <row r="9" spans="1:40" ht="15" customHeight="1" x14ac:dyDescent="0.3">
      <c r="A9" s="2"/>
      <c r="B9" s="95" t="s">
        <v>324</v>
      </c>
      <c r="D9" s="82"/>
      <c r="E9" s="82"/>
      <c r="F9" s="82"/>
      <c r="G9" s="82"/>
      <c r="H9" s="82"/>
      <c r="I9" s="82"/>
      <c r="J9" s="82"/>
      <c r="K9" s="82"/>
      <c r="L9" s="82"/>
      <c r="M9" s="82"/>
      <c r="N9" s="82"/>
      <c r="O9" s="99"/>
      <c r="P9" s="99"/>
      <c r="Q9" s="99"/>
      <c r="R9" s="99"/>
      <c r="S9" s="99"/>
      <c r="T9" s="99"/>
      <c r="U9" s="99"/>
      <c r="V9" s="99"/>
      <c r="W9" s="99"/>
      <c r="X9" s="99"/>
      <c r="Y9" s="99"/>
      <c r="Z9" s="99"/>
      <c r="AA9" s="99"/>
      <c r="AB9" s="99"/>
      <c r="AC9" s="99"/>
      <c r="AD9" s="99"/>
      <c r="AE9" s="99"/>
      <c r="AF9" s="99"/>
      <c r="AG9" s="99"/>
      <c r="AH9" s="99"/>
      <c r="AI9" s="99"/>
      <c r="AJ9" s="99"/>
      <c r="AK9" s="99"/>
      <c r="AL9" s="99"/>
      <c r="AM9" s="99"/>
      <c r="AN9" s="99"/>
    </row>
    <row r="10" spans="1:40" ht="15" customHeight="1" x14ac:dyDescent="0.3">
      <c r="A10" s="2"/>
      <c r="B10" s="82"/>
      <c r="D10" s="82"/>
      <c r="E10" s="82"/>
      <c r="F10" s="82"/>
      <c r="G10" s="82"/>
      <c r="H10" s="82"/>
      <c r="I10" s="82"/>
      <c r="J10" s="82"/>
      <c r="K10" s="82"/>
      <c r="L10" s="82"/>
      <c r="M10" s="82"/>
      <c r="N10" s="82"/>
      <c r="O10" s="99"/>
      <c r="P10" s="99"/>
      <c r="Q10" s="99"/>
      <c r="R10" s="99"/>
      <c r="S10" s="99"/>
      <c r="T10" s="99"/>
      <c r="U10" s="99"/>
      <c r="V10" s="99"/>
      <c r="W10" s="99"/>
      <c r="X10" s="99"/>
      <c r="Y10" s="99"/>
      <c r="Z10" s="99"/>
      <c r="AA10" s="99"/>
      <c r="AB10" s="99"/>
      <c r="AC10" s="99"/>
      <c r="AD10" s="99"/>
      <c r="AE10" s="99"/>
      <c r="AF10" s="99"/>
      <c r="AG10" s="99"/>
      <c r="AH10" s="99"/>
      <c r="AI10" s="99"/>
      <c r="AJ10" s="99"/>
      <c r="AK10" s="99"/>
      <c r="AL10" s="99"/>
      <c r="AM10" s="99"/>
      <c r="AN10" s="99"/>
    </row>
    <row r="11" spans="1:40" s="21" customFormat="1" x14ac:dyDescent="0.3">
      <c r="A11" s="7"/>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spans="1:40" s="25" customFormat="1" ht="18.75" customHeight="1" x14ac:dyDescent="0.3">
      <c r="A12" s="40"/>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row>
    <row r="13" spans="1:40" ht="15" customHeight="1" x14ac:dyDescent="0.3">
      <c r="A13" s="2"/>
      <c r="B13" s="573" t="s">
        <v>265</v>
      </c>
      <c r="C13" s="573"/>
      <c r="D13" s="573"/>
      <c r="E13" s="573"/>
      <c r="F13" s="573"/>
      <c r="G13" s="573"/>
      <c r="H13" s="573"/>
      <c r="I13" s="573"/>
      <c r="J13" s="355"/>
    </row>
    <row r="14" spans="1:40" ht="15" customHeight="1" x14ac:dyDescent="0.3">
      <c r="A14" s="2"/>
      <c r="B14" s="570" t="s">
        <v>266</v>
      </c>
      <c r="C14" s="570"/>
      <c r="D14" s="570"/>
      <c r="E14" s="570"/>
      <c r="F14" s="570"/>
      <c r="G14" s="570"/>
      <c r="H14" s="570"/>
      <c r="I14" s="570"/>
      <c r="J14" s="355"/>
    </row>
    <row r="15" spans="1:40" ht="15" customHeight="1" x14ac:dyDescent="0.3">
      <c r="A15" s="2"/>
      <c r="B15" s="571" t="s">
        <v>267</v>
      </c>
      <c r="C15" s="571"/>
      <c r="D15" s="571"/>
      <c r="E15" s="571"/>
      <c r="F15" s="571"/>
      <c r="G15" s="571"/>
      <c r="H15" s="571"/>
      <c r="I15" s="355"/>
      <c r="J15" s="355"/>
    </row>
    <row r="16" spans="1:40" s="25" customFormat="1" x14ac:dyDescent="0.3">
      <c r="A16" s="40"/>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row>
    <row r="17" spans="1:39" x14ac:dyDescent="0.3">
      <c r="B17" s="85" t="s">
        <v>56</v>
      </c>
    </row>
    <row r="18" spans="1:39" s="25" customFormat="1" x14ac:dyDescent="0.3">
      <c r="B18" s="408" t="s">
        <v>63</v>
      </c>
      <c r="C18" s="402">
        <v>1000</v>
      </c>
    </row>
    <row r="19" spans="1:39" ht="15" customHeight="1" x14ac:dyDescent="0.3">
      <c r="B19" s="398" t="s">
        <v>329</v>
      </c>
      <c r="C19" s="399">
        <v>2000</v>
      </c>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86"/>
    </row>
    <row r="20" spans="1:39" x14ac:dyDescent="0.3">
      <c r="A20" s="9"/>
      <c r="B20" s="398" t="s">
        <v>331</v>
      </c>
      <c r="C20" s="403">
        <v>10</v>
      </c>
      <c r="F20" s="25"/>
      <c r="G20" s="100"/>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t="s">
        <v>58</v>
      </c>
      <c r="AK20" s="25" t="s">
        <v>58</v>
      </c>
    </row>
    <row r="21" spans="1:39" x14ac:dyDescent="0.3">
      <c r="A21" s="9"/>
      <c r="B21" s="398" t="s">
        <v>102</v>
      </c>
      <c r="C21" s="396">
        <v>0.06</v>
      </c>
      <c r="F21" s="25" t="s">
        <v>0</v>
      </c>
      <c r="G21" s="100" t="s">
        <v>0</v>
      </c>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row>
    <row r="22" spans="1:39" x14ac:dyDescent="0.3">
      <c r="A22" s="9"/>
      <c r="B22" s="398" t="s">
        <v>103</v>
      </c>
      <c r="C22" s="396">
        <v>0.1</v>
      </c>
      <c r="F22" s="25"/>
      <c r="G22" s="100"/>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row>
    <row r="23" spans="1:39" x14ac:dyDescent="0.3">
      <c r="A23" s="9"/>
      <c r="F23" s="25"/>
      <c r="G23" s="100"/>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row>
    <row r="24" spans="1:39" s="89" customFormat="1" x14ac:dyDescent="0.3">
      <c r="A24" s="88"/>
      <c r="C24" s="90"/>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2"/>
    </row>
    <row r="25" spans="1:39" x14ac:dyDescent="0.3">
      <c r="A25" s="5"/>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row>
    <row r="26" spans="1:39" x14ac:dyDescent="0.3">
      <c r="A26" s="9"/>
      <c r="B26" s="5" t="s">
        <v>1</v>
      </c>
      <c r="AI26" s="5"/>
    </row>
    <row r="27" spans="1:39" x14ac:dyDescent="0.3">
      <c r="A27" s="9"/>
      <c r="B27" s="5" t="s">
        <v>9</v>
      </c>
      <c r="AI27" s="34"/>
      <c r="AJ27" s="34"/>
      <c r="AK27" s="34"/>
      <c r="AL27" s="34"/>
      <c r="AM27" s="34"/>
    </row>
    <row r="28" spans="1:39" x14ac:dyDescent="0.3">
      <c r="A28" s="9"/>
      <c r="B28" s="28" t="s">
        <v>35</v>
      </c>
      <c r="C28" s="152">
        <f>$C$19/(1+$C$21)^$C$20</f>
        <v>1116.7895538302357</v>
      </c>
      <c r="AI28" s="34"/>
      <c r="AJ28" s="34"/>
      <c r="AK28" s="34"/>
      <c r="AL28" s="34"/>
      <c r="AM28" s="34"/>
    </row>
    <row r="29" spans="1:39" x14ac:dyDescent="0.3">
      <c r="A29" s="70"/>
      <c r="B29" s="5"/>
      <c r="C29" s="146"/>
      <c r="D29" s="70"/>
      <c r="E29" s="70"/>
      <c r="F29" s="70"/>
      <c r="G29" s="70"/>
      <c r="H29" s="70"/>
      <c r="I29" s="70"/>
      <c r="J29" s="70"/>
    </row>
    <row r="30" spans="1:39" x14ac:dyDescent="0.3">
      <c r="A30" s="70"/>
      <c r="B30" s="97" t="s">
        <v>65</v>
      </c>
      <c r="D30" s="70"/>
      <c r="E30" s="98"/>
      <c r="F30" s="70"/>
      <c r="G30" s="70"/>
      <c r="H30" s="70"/>
      <c r="I30" s="70"/>
      <c r="J30" s="70"/>
      <c r="AI30" s="36"/>
      <c r="AJ30" s="37"/>
      <c r="AK30" s="34"/>
      <c r="AL30" s="34"/>
      <c r="AM30" s="37"/>
    </row>
    <row r="31" spans="1:39" x14ac:dyDescent="0.3">
      <c r="A31" s="70"/>
      <c r="B31" s="404" t="s">
        <v>330</v>
      </c>
      <c r="C31" s="151" t="str">
        <f>IF($C$28-$C$18&gt;=0,"Yes","No")</f>
        <v>Yes</v>
      </c>
      <c r="D31" s="70"/>
      <c r="E31" s="98"/>
      <c r="F31" s="70"/>
      <c r="G31" s="70"/>
      <c r="H31" s="70"/>
      <c r="I31" s="70"/>
      <c r="J31" s="70"/>
      <c r="AI31" s="36"/>
      <c r="AJ31" s="37"/>
      <c r="AK31" s="34"/>
      <c r="AL31" s="34"/>
      <c r="AM31" s="37"/>
    </row>
    <row r="32" spans="1:39" x14ac:dyDescent="0.3">
      <c r="A32" s="9"/>
      <c r="C32" s="146"/>
    </row>
    <row r="33" spans="1:39" x14ac:dyDescent="0.3">
      <c r="A33" s="70"/>
      <c r="B33" s="97" t="s">
        <v>5</v>
      </c>
      <c r="D33" s="70"/>
      <c r="E33" s="98"/>
      <c r="F33" s="70"/>
      <c r="G33" s="70"/>
      <c r="H33" s="70"/>
      <c r="I33" s="70"/>
      <c r="J33" s="70"/>
      <c r="AI33" s="36"/>
      <c r="AJ33" s="37"/>
      <c r="AK33" s="34"/>
      <c r="AL33" s="34"/>
      <c r="AM33" s="37"/>
    </row>
    <row r="34" spans="1:39" x14ac:dyDescent="0.3">
      <c r="A34" s="70"/>
      <c r="B34" s="28" t="s">
        <v>35</v>
      </c>
      <c r="C34" s="152">
        <f>$C$19/(1+$C$22)^$C$20</f>
        <v>771.08657885906291</v>
      </c>
      <c r="D34" s="70"/>
      <c r="E34" s="98"/>
      <c r="F34" s="70"/>
      <c r="G34" s="70"/>
      <c r="H34" s="70"/>
      <c r="I34" s="70"/>
      <c r="J34" s="70"/>
      <c r="AI34" s="36"/>
      <c r="AJ34" s="37"/>
      <c r="AK34" s="34"/>
      <c r="AL34" s="34"/>
      <c r="AM34" s="37"/>
    </row>
    <row r="35" spans="1:39" x14ac:dyDescent="0.3">
      <c r="A35" s="9"/>
      <c r="C35" s="146"/>
    </row>
    <row r="36" spans="1:39" x14ac:dyDescent="0.3">
      <c r="A36" s="9"/>
      <c r="B36" s="5" t="s">
        <v>66</v>
      </c>
    </row>
    <row r="37" spans="1:39" x14ac:dyDescent="0.3">
      <c r="A37" s="9"/>
      <c r="B37" s="404" t="s">
        <v>330</v>
      </c>
      <c r="C37" s="151" t="str">
        <f>IF($C$34-$C$18&gt;=0,"Yes","No")</f>
        <v>No</v>
      </c>
    </row>
    <row r="38" spans="1:39" x14ac:dyDescent="0.3">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row>
    <row r="39" spans="1:39" x14ac:dyDescent="0.3">
      <c r="B39" s="6"/>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row>
    <row r="40" spans="1:39" x14ac:dyDescent="0.3">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row>
    <row r="41" spans="1:39" x14ac:dyDescent="0.3">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row>
  </sheetData>
  <mergeCells count="4">
    <mergeCell ref="B4:N4"/>
    <mergeCell ref="B13:I13"/>
    <mergeCell ref="B14:I14"/>
    <mergeCell ref="B15:H15"/>
  </mergeCells>
  <pageMargins left="0.7" right="0.7" top="0.75" bottom="0.75" header="0.3" footer="0.3"/>
  <pageSetup orientation="portrait" r:id="rId1"/>
  <drawing r:id="rId2"/>
  <legacyDrawing r:id="rId3"/>
  <controls>
    <mc:AlternateContent xmlns:mc="http://schemas.openxmlformats.org/markup-compatibility/2006">
      <mc:Choice Requires="x14">
        <control shapeId="101379" r:id="rId4" name="Control 3">
          <controlPr defaultSize="0" r:id="rId5">
            <anchor moveWithCells="1">
              <from>
                <xdr:col>35</xdr:col>
                <xdr:colOff>15240</xdr:colOff>
                <xdr:row>23</xdr:row>
                <xdr:rowOff>45720</xdr:rowOff>
              </from>
              <to>
                <xdr:col>35</xdr:col>
                <xdr:colOff>518160</xdr:colOff>
                <xdr:row>24</xdr:row>
                <xdr:rowOff>99060</xdr:rowOff>
              </to>
            </anchor>
          </controlPr>
        </control>
      </mc:Choice>
      <mc:Fallback>
        <control shapeId="101379" r:id="rId4" name="Control 3"/>
      </mc:Fallback>
    </mc:AlternateContent>
    <mc:AlternateContent xmlns:mc="http://schemas.openxmlformats.org/markup-compatibility/2006">
      <mc:Choice Requires="x14">
        <control shapeId="101378" r:id="rId6" name="Control 2">
          <controlPr defaultSize="0" r:id="rId5">
            <anchor moveWithCells="1">
              <from>
                <xdr:col>35</xdr:col>
                <xdr:colOff>15240</xdr:colOff>
                <xdr:row>23</xdr:row>
                <xdr:rowOff>45720</xdr:rowOff>
              </from>
              <to>
                <xdr:col>35</xdr:col>
                <xdr:colOff>518160</xdr:colOff>
                <xdr:row>24</xdr:row>
                <xdr:rowOff>99060</xdr:rowOff>
              </to>
            </anchor>
          </controlPr>
        </control>
      </mc:Choice>
      <mc:Fallback>
        <control shapeId="101378" r:id="rId6" name="Control 2"/>
      </mc:Fallback>
    </mc:AlternateContent>
    <mc:AlternateContent xmlns:mc="http://schemas.openxmlformats.org/markup-compatibility/2006">
      <mc:Choice Requires="x14">
        <control shapeId="101377" r:id="rId7" name="Control 1">
          <controlPr defaultSize="0" r:id="rId5">
            <anchor moveWithCells="1">
              <from>
                <xdr:col>35</xdr:col>
                <xdr:colOff>15240</xdr:colOff>
                <xdr:row>19</xdr:row>
                <xdr:rowOff>30480</xdr:rowOff>
              </from>
              <to>
                <xdr:col>35</xdr:col>
                <xdr:colOff>518160</xdr:colOff>
                <xdr:row>20</xdr:row>
                <xdr:rowOff>76200</xdr:rowOff>
              </to>
            </anchor>
          </controlPr>
        </control>
      </mc:Choice>
      <mc:Fallback>
        <control shapeId="101377" r:id="rId7" name="Control 1"/>
      </mc:Fallback>
    </mc:AlternateContent>
  </control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0"/>
  <sheetViews>
    <sheetView workbookViewId="0">
      <selection activeCell="C22" sqref="C22"/>
    </sheetView>
  </sheetViews>
  <sheetFormatPr defaultColWidth="9.109375" defaultRowHeight="14.4" x14ac:dyDescent="0.3"/>
  <cols>
    <col min="1" max="1" width="18.6640625" style="28" customWidth="1"/>
    <col min="2" max="2" width="24.33203125" style="28" customWidth="1"/>
    <col min="3" max="3" width="11" style="28" customWidth="1"/>
    <col min="4" max="4" width="11.5546875" style="28" customWidth="1"/>
    <col min="5" max="5" width="17.88671875" style="28" customWidth="1"/>
    <col min="6" max="6" width="10.5546875" style="28" customWidth="1"/>
    <col min="7" max="7" width="9.88671875" style="28" bestFit="1" customWidth="1"/>
    <col min="8" max="8" width="10.6640625" style="28" customWidth="1"/>
    <col min="9" max="9" width="9.88671875" style="28" bestFit="1" customWidth="1"/>
    <col min="10" max="10" width="11.5546875" style="28" bestFit="1" customWidth="1"/>
    <col min="11" max="16384" width="9.109375" style="28"/>
  </cols>
  <sheetData>
    <row r="1" spans="1:10" ht="15.6" x14ac:dyDescent="0.3">
      <c r="A1" s="5" t="s">
        <v>554</v>
      </c>
      <c r="B1" s="371"/>
    </row>
    <row r="2" spans="1:10" s="89" customFormat="1" ht="15.6" x14ac:dyDescent="0.3">
      <c r="A2" s="372"/>
      <c r="B2" s="372"/>
    </row>
    <row r="3" spans="1:10" ht="15.6" x14ac:dyDescent="0.3">
      <c r="A3" s="371" t="s">
        <v>0</v>
      </c>
      <c r="B3" s="5" t="s">
        <v>268</v>
      </c>
    </row>
    <row r="4" spans="1:10" ht="47.25" customHeight="1" x14ac:dyDescent="0.3">
      <c r="A4" s="2"/>
      <c r="B4" s="579" t="s">
        <v>291</v>
      </c>
      <c r="C4" s="579"/>
      <c r="D4" s="579"/>
      <c r="E4" s="579"/>
      <c r="F4" s="579"/>
      <c r="G4" s="579"/>
      <c r="H4" s="452"/>
      <c r="I4" s="452"/>
      <c r="J4" s="452"/>
    </row>
    <row r="5" spans="1:10" ht="15" customHeight="1" x14ac:dyDescent="0.3">
      <c r="A5" s="2"/>
      <c r="B5" s="28" t="s">
        <v>3</v>
      </c>
      <c r="D5" s="27"/>
      <c r="E5" s="27"/>
      <c r="F5" s="27"/>
      <c r="G5" s="27"/>
      <c r="H5" s="27"/>
    </row>
    <row r="6" spans="1:10" s="373" customFormat="1" ht="15" customHeight="1" x14ac:dyDescent="0.3">
      <c r="B6" s="412"/>
      <c r="C6" s="412"/>
      <c r="D6" s="412"/>
      <c r="E6" s="412"/>
      <c r="F6" s="412"/>
      <c r="G6" s="412"/>
      <c r="H6" s="412"/>
    </row>
    <row r="7" spans="1:10" s="77" customFormat="1" ht="15" customHeight="1" x14ac:dyDescent="0.3">
      <c r="B7" s="76"/>
      <c r="C7" s="76"/>
      <c r="D7" s="76"/>
      <c r="E7" s="76"/>
      <c r="F7" s="76"/>
      <c r="G7" s="76"/>
      <c r="H7" s="76"/>
    </row>
    <row r="8" spans="1:10" ht="17.25" customHeight="1" x14ac:dyDescent="0.3">
      <c r="A8" s="277"/>
      <c r="B8" s="580" t="s">
        <v>265</v>
      </c>
      <c r="C8" s="580"/>
      <c r="D8" s="580"/>
      <c r="E8" s="580"/>
      <c r="F8" s="580"/>
      <c r="G8" s="580"/>
      <c r="H8" s="429"/>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10"/>
    </row>
    <row r="13" spans="1:10" s="77" customFormat="1" x14ac:dyDescent="0.3">
      <c r="B13" s="76" t="s">
        <v>63</v>
      </c>
      <c r="C13" s="175">
        <v>1000</v>
      </c>
      <c r="D13" s="76"/>
      <c r="E13" s="76"/>
      <c r="F13" s="76"/>
      <c r="G13" s="76"/>
      <c r="H13" s="76"/>
    </row>
    <row r="14" spans="1:10" s="77" customFormat="1" x14ac:dyDescent="0.3">
      <c r="B14" s="76" t="s">
        <v>221</v>
      </c>
      <c r="C14" s="76">
        <v>8</v>
      </c>
      <c r="D14" s="76"/>
      <c r="E14" s="76"/>
      <c r="F14" s="76"/>
      <c r="G14" s="76"/>
      <c r="H14" s="76"/>
    </row>
    <row r="15" spans="1:10" s="77" customFormat="1" x14ac:dyDescent="0.3">
      <c r="B15" s="76" t="s">
        <v>222</v>
      </c>
      <c r="C15" s="337">
        <v>0.06</v>
      </c>
      <c r="D15" s="76" t="s">
        <v>0</v>
      </c>
      <c r="E15" s="76"/>
      <c r="F15" s="76"/>
      <c r="G15" s="76"/>
      <c r="H15" s="76"/>
    </row>
    <row r="16" spans="1:10" x14ac:dyDescent="0.3">
      <c r="A16" s="5"/>
      <c r="B16" s="18" t="s">
        <v>224</v>
      </c>
      <c r="C16" s="337">
        <v>0.04</v>
      </c>
      <c r="D16" s="18" t="s">
        <v>0</v>
      </c>
      <c r="E16" s="6"/>
      <c r="F16" s="6"/>
      <c r="G16" s="6"/>
      <c r="H16" s="6"/>
    </row>
    <row r="17" spans="1:13" s="77" customFormat="1" x14ac:dyDescent="0.3">
      <c r="B17" s="76" t="s">
        <v>223</v>
      </c>
      <c r="C17" s="78">
        <v>21</v>
      </c>
      <c r="D17" s="76"/>
      <c r="E17" s="76"/>
      <c r="F17" s="76"/>
      <c r="G17" s="76"/>
      <c r="H17" s="76"/>
    </row>
    <row r="18" spans="1:13" ht="16.5" customHeight="1" x14ac:dyDescent="0.3"/>
    <row r="19" spans="1:13" s="89" customFormat="1" ht="16.5" customHeight="1" x14ac:dyDescent="0.3"/>
    <row r="20" spans="1:13" x14ac:dyDescent="0.3">
      <c r="A20" s="5"/>
      <c r="B20" s="18"/>
      <c r="C20" s="6"/>
      <c r="D20" s="53"/>
      <c r="E20" s="6"/>
      <c r="F20" s="6"/>
      <c r="G20" s="6"/>
      <c r="H20" s="6"/>
    </row>
    <row r="21" spans="1:13" x14ac:dyDescent="0.3">
      <c r="A21" s="9"/>
      <c r="B21" s="5" t="s">
        <v>1</v>
      </c>
      <c r="D21" s="29"/>
      <c r="E21" s="116" t="s">
        <v>384</v>
      </c>
      <c r="F21" s="29"/>
      <c r="G21" s="5"/>
      <c r="L21" s="29"/>
      <c r="M21" s="29"/>
    </row>
    <row r="22" spans="1:13" x14ac:dyDescent="0.3">
      <c r="A22" s="9"/>
      <c r="B22" s="33" t="s">
        <v>45</v>
      </c>
      <c r="C22" s="261">
        <f>C13*((1+C15)^C14)*((1+C16)^(C17-C14))</f>
        <v>2653.8742035789801</v>
      </c>
      <c r="D22" s="64"/>
      <c r="E22" s="267">
        <f>C14</f>
        <v>8</v>
      </c>
      <c r="F22" s="353">
        <f>C15*100</f>
        <v>6</v>
      </c>
      <c r="G22" s="197">
        <f>-C13</f>
        <v>-1000</v>
      </c>
      <c r="J22" s="34"/>
      <c r="K22" s="34"/>
      <c r="L22" s="29"/>
      <c r="M22" s="29"/>
    </row>
    <row r="23" spans="1:13" x14ac:dyDescent="0.3">
      <c r="A23" s="9"/>
      <c r="B23" s="33"/>
      <c r="C23" s="261"/>
      <c r="D23" s="64"/>
      <c r="E23" s="64" t="s">
        <v>13</v>
      </c>
      <c r="F23" s="64" t="s">
        <v>98</v>
      </c>
      <c r="G23" s="34" t="s">
        <v>14</v>
      </c>
      <c r="H23" s="34" t="s">
        <v>16</v>
      </c>
      <c r="I23" s="34" t="s">
        <v>17</v>
      </c>
      <c r="J23" s="34"/>
      <c r="K23" s="34"/>
      <c r="L23" s="29"/>
      <c r="M23" s="29"/>
    </row>
    <row r="24" spans="1:13" x14ac:dyDescent="0.3">
      <c r="A24" s="9"/>
      <c r="B24" s="33"/>
      <c r="C24" s="261"/>
      <c r="D24" s="64"/>
      <c r="H24" s="34"/>
      <c r="I24" s="197">
        <f>FV(F22/100,E22,,G22)</f>
        <v>1593.8480745308423</v>
      </c>
      <c r="J24" s="34"/>
      <c r="K24" s="34"/>
      <c r="L24" s="29"/>
      <c r="M24" s="29"/>
    </row>
    <row r="25" spans="1:13" x14ac:dyDescent="0.3">
      <c r="A25" s="9"/>
      <c r="B25" s="33"/>
      <c r="C25" s="261"/>
      <c r="D25" s="64"/>
      <c r="E25" s="64"/>
      <c r="F25" s="64"/>
      <c r="G25" s="34"/>
      <c r="H25" s="34"/>
      <c r="J25" s="34"/>
      <c r="K25" s="34"/>
      <c r="L25" s="29"/>
      <c r="M25" s="29"/>
    </row>
    <row r="26" spans="1:13" x14ac:dyDescent="0.3">
      <c r="A26" s="9"/>
      <c r="B26" s="33"/>
      <c r="C26" s="261"/>
      <c r="D26" s="64"/>
      <c r="E26" s="267">
        <f>C17-C14</f>
        <v>13</v>
      </c>
      <c r="F26" s="353">
        <f>C16*100</f>
        <v>4</v>
      </c>
      <c r="G26" s="197">
        <f>-I24</f>
        <v>-1593.8480745308423</v>
      </c>
      <c r="H26" s="34"/>
      <c r="I26" s="34"/>
      <c r="J26" s="34"/>
      <c r="K26" s="34"/>
      <c r="L26" s="29"/>
      <c r="M26" s="29"/>
    </row>
    <row r="27" spans="1:13" x14ac:dyDescent="0.3">
      <c r="A27" s="9"/>
      <c r="B27" s="33"/>
      <c r="C27" s="261"/>
      <c r="D27" s="64"/>
      <c r="E27" s="64" t="s">
        <v>13</v>
      </c>
      <c r="F27" s="64" t="s">
        <v>98</v>
      </c>
      <c r="G27" s="34" t="s">
        <v>14</v>
      </c>
      <c r="H27" s="34" t="s">
        <v>16</v>
      </c>
      <c r="I27" s="34" t="s">
        <v>17</v>
      </c>
      <c r="J27" s="34"/>
      <c r="K27" s="34"/>
      <c r="L27" s="29"/>
      <c r="M27" s="29"/>
    </row>
    <row r="28" spans="1:13" x14ac:dyDescent="0.3">
      <c r="A28" s="9"/>
      <c r="B28" s="33"/>
      <c r="C28" s="261"/>
      <c r="D28" s="64"/>
      <c r="H28" s="34"/>
      <c r="I28" s="141">
        <f>FV(F26/100,E26,,G26)</f>
        <v>2653.8742035789801</v>
      </c>
      <c r="J28" s="34"/>
      <c r="K28" s="34"/>
      <c r="L28" s="29"/>
      <c r="M28" s="29"/>
    </row>
    <row r="29" spans="1:13" x14ac:dyDescent="0.3">
      <c r="A29" s="9"/>
      <c r="E29" s="64"/>
      <c r="F29" s="64"/>
      <c r="G29" s="34"/>
      <c r="H29" s="34"/>
      <c r="J29" s="34"/>
      <c r="K29" s="34"/>
    </row>
    <row r="30" spans="1:13" x14ac:dyDescent="0.3">
      <c r="B30" s="18"/>
      <c r="C30" s="18"/>
      <c r="D30" s="18"/>
      <c r="E30" s="18"/>
      <c r="F30" s="18"/>
    </row>
  </sheetData>
  <mergeCells count="4">
    <mergeCell ref="B9:D9"/>
    <mergeCell ref="B10:H10"/>
    <mergeCell ref="B8:G8"/>
    <mergeCell ref="B4:G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dimension ref="A1:AM41"/>
  <sheetViews>
    <sheetView topLeftCell="A10" workbookViewId="0">
      <selection activeCell="C35" sqref="C35"/>
    </sheetView>
  </sheetViews>
  <sheetFormatPr defaultColWidth="9.109375" defaultRowHeight="14.4" x14ac:dyDescent="0.3"/>
  <cols>
    <col min="1" max="1" width="16.5546875" style="28" customWidth="1"/>
    <col min="2" max="2" width="20.6640625" style="28" customWidth="1"/>
    <col min="3" max="3" width="18.44140625" style="28" customWidth="1"/>
    <col min="4" max="4" width="11.5546875" style="28" customWidth="1"/>
    <col min="5" max="5" width="12.33203125" style="28" bestFit="1" customWidth="1"/>
    <col min="6" max="6" width="2.5546875" style="28" bestFit="1" customWidth="1"/>
    <col min="7" max="7" width="4" style="28" bestFit="1" customWidth="1"/>
    <col min="8" max="33" width="16.6640625" style="28" customWidth="1"/>
    <col min="34" max="34" width="9.109375" style="28"/>
    <col min="35" max="35" width="10.5546875" style="28" bestFit="1" customWidth="1"/>
    <col min="36" max="37" width="9.109375" style="28"/>
    <col min="38" max="38" width="11.88671875" style="28" bestFit="1" customWidth="1"/>
    <col min="39" max="16384" width="9.109375" style="28"/>
  </cols>
  <sheetData>
    <row r="1" spans="1:39" x14ac:dyDescent="0.3">
      <c r="A1" s="5" t="s">
        <v>553</v>
      </c>
      <c r="B1" s="10"/>
      <c r="C1" s="10"/>
      <c r="D1" s="10"/>
      <c r="E1" s="10"/>
      <c r="F1" s="10"/>
      <c r="G1" s="10"/>
      <c r="H1" s="10"/>
    </row>
    <row r="2" spans="1:39" s="89" customFormat="1" x14ac:dyDescent="0.3">
      <c r="A2" s="373"/>
      <c r="B2" s="373"/>
      <c r="C2" s="373"/>
      <c r="D2" s="373"/>
      <c r="E2" s="373"/>
      <c r="F2" s="373"/>
      <c r="G2" s="373"/>
      <c r="H2" s="373"/>
    </row>
    <row r="3" spans="1:39" x14ac:dyDescent="0.3">
      <c r="A3" s="10" t="s">
        <v>0</v>
      </c>
      <c r="B3" s="5" t="s">
        <v>268</v>
      </c>
      <c r="C3" s="10"/>
      <c r="D3" s="10"/>
      <c r="E3" s="10"/>
      <c r="F3" s="10"/>
      <c r="G3" s="10"/>
      <c r="H3" s="10"/>
    </row>
    <row r="4" spans="1:39" ht="39" customHeight="1" x14ac:dyDescent="0.3">
      <c r="A4" s="277"/>
      <c r="B4" s="577" t="s">
        <v>271</v>
      </c>
      <c r="C4" s="577"/>
      <c r="D4" s="577"/>
      <c r="E4" s="577"/>
      <c r="F4" s="577"/>
      <c r="G4" s="577"/>
      <c r="H4" s="577"/>
      <c r="I4" s="369"/>
      <c r="J4" s="369"/>
      <c r="K4" s="369"/>
      <c r="L4" s="369"/>
      <c r="M4" s="369"/>
      <c r="N4" s="99"/>
      <c r="O4" s="99"/>
      <c r="P4" s="99"/>
      <c r="Q4" s="99"/>
      <c r="R4" s="99"/>
      <c r="S4" s="99"/>
      <c r="T4" s="99"/>
      <c r="U4" s="99"/>
      <c r="V4" s="99"/>
      <c r="W4" s="99"/>
      <c r="X4" s="99"/>
      <c r="Y4" s="99"/>
      <c r="Z4" s="99"/>
      <c r="AA4" s="99"/>
      <c r="AB4" s="99"/>
      <c r="AC4" s="99"/>
      <c r="AD4" s="99"/>
      <c r="AE4" s="99"/>
      <c r="AF4" s="99"/>
      <c r="AG4" s="99"/>
      <c r="AH4" s="99"/>
      <c r="AI4" s="99"/>
      <c r="AJ4" s="99"/>
      <c r="AK4" s="99"/>
      <c r="AL4" s="99"/>
      <c r="AM4" s="99"/>
    </row>
    <row r="5" spans="1:39" ht="15" customHeight="1" x14ac:dyDescent="0.3">
      <c r="A5" s="277"/>
      <c r="B5" s="368"/>
      <c r="C5" s="368"/>
      <c r="D5" s="368"/>
      <c r="E5" s="368"/>
      <c r="F5" s="368"/>
      <c r="G5" s="368"/>
      <c r="H5" s="368"/>
      <c r="I5" s="363"/>
      <c r="J5" s="363"/>
      <c r="K5" s="363"/>
      <c r="L5" s="363"/>
      <c r="M5" s="363"/>
      <c r="N5" s="99"/>
      <c r="O5" s="99"/>
      <c r="P5" s="99"/>
      <c r="Q5" s="99"/>
      <c r="R5" s="99"/>
      <c r="S5" s="99"/>
      <c r="T5" s="99"/>
      <c r="U5" s="99"/>
      <c r="V5" s="99"/>
      <c r="W5" s="99"/>
      <c r="X5" s="99"/>
      <c r="Y5" s="99"/>
      <c r="Z5" s="99"/>
      <c r="AA5" s="99"/>
      <c r="AB5" s="99"/>
      <c r="AC5" s="99"/>
      <c r="AD5" s="99"/>
      <c r="AE5" s="99"/>
      <c r="AF5" s="99"/>
      <c r="AG5" s="99"/>
      <c r="AH5" s="99"/>
      <c r="AI5" s="99"/>
      <c r="AJ5" s="99"/>
      <c r="AK5" s="99"/>
      <c r="AL5" s="99"/>
      <c r="AM5" s="99"/>
    </row>
    <row r="6" spans="1:39" x14ac:dyDescent="0.3">
      <c r="A6" s="277"/>
      <c r="B6" s="102" t="s">
        <v>332</v>
      </c>
      <c r="C6" s="10"/>
      <c r="D6" s="368"/>
      <c r="E6" s="368"/>
      <c r="F6" s="368"/>
      <c r="G6" s="368"/>
      <c r="H6" s="368"/>
      <c r="I6" s="82"/>
      <c r="J6" s="82"/>
      <c r="K6" s="82"/>
      <c r="L6" s="82"/>
      <c r="M6" s="82"/>
      <c r="N6" s="99"/>
      <c r="O6" s="99"/>
      <c r="P6" s="99"/>
      <c r="Q6" s="99"/>
      <c r="R6" s="99"/>
      <c r="S6" s="99"/>
      <c r="T6" s="99"/>
      <c r="U6" s="99"/>
      <c r="V6" s="99"/>
      <c r="W6" s="99"/>
      <c r="X6" s="99"/>
      <c r="Y6" s="99"/>
      <c r="Z6" s="99"/>
      <c r="AA6" s="99"/>
      <c r="AB6" s="99"/>
      <c r="AC6" s="99"/>
      <c r="AD6" s="99"/>
      <c r="AE6" s="99"/>
      <c r="AF6" s="99"/>
      <c r="AG6" s="99"/>
      <c r="AH6" s="99"/>
      <c r="AI6" s="99"/>
      <c r="AJ6" s="99"/>
      <c r="AK6" s="99"/>
      <c r="AL6" s="99"/>
      <c r="AM6" s="99"/>
    </row>
    <row r="7" spans="1:39" ht="15" customHeight="1" x14ac:dyDescent="0.3">
      <c r="A7" s="277"/>
      <c r="B7" s="389" t="s">
        <v>335</v>
      </c>
      <c r="C7" s="10"/>
      <c r="D7" s="407"/>
      <c r="E7" s="368"/>
      <c r="F7" s="368"/>
      <c r="G7" s="368"/>
      <c r="H7" s="368"/>
      <c r="I7" s="82"/>
      <c r="J7" s="82"/>
      <c r="K7" s="82"/>
      <c r="L7" s="82"/>
      <c r="M7" s="82"/>
      <c r="N7" s="99"/>
      <c r="O7" s="99"/>
      <c r="P7" s="99"/>
      <c r="Q7" s="99"/>
      <c r="R7" s="99"/>
      <c r="S7" s="99"/>
      <c r="T7" s="99"/>
      <c r="U7" s="99"/>
      <c r="V7" s="99"/>
      <c r="W7" s="99"/>
      <c r="X7" s="99"/>
      <c r="Y7" s="99"/>
      <c r="Z7" s="99"/>
      <c r="AA7" s="99"/>
      <c r="AB7" s="99"/>
      <c r="AC7" s="99"/>
      <c r="AD7" s="99"/>
      <c r="AE7" s="99"/>
      <c r="AF7" s="99"/>
      <c r="AG7" s="99"/>
      <c r="AH7" s="99"/>
      <c r="AI7" s="99"/>
      <c r="AJ7" s="99"/>
      <c r="AK7" s="99"/>
      <c r="AL7" s="99"/>
      <c r="AM7" s="99"/>
    </row>
    <row r="8" spans="1:39" ht="31.5" customHeight="1" x14ac:dyDescent="0.3">
      <c r="A8" s="277"/>
      <c r="B8" s="577" t="s">
        <v>336</v>
      </c>
      <c r="C8" s="577"/>
      <c r="D8" s="577"/>
      <c r="E8" s="577"/>
      <c r="F8" s="577"/>
      <c r="G8" s="577"/>
      <c r="H8" s="577"/>
      <c r="I8" s="82"/>
      <c r="J8" s="82"/>
      <c r="K8" s="82"/>
      <c r="L8" s="82"/>
      <c r="M8" s="82"/>
      <c r="N8" s="99"/>
      <c r="O8" s="99"/>
      <c r="P8" s="99"/>
      <c r="Q8" s="99"/>
      <c r="R8" s="99"/>
      <c r="S8" s="99"/>
      <c r="T8" s="99"/>
      <c r="U8" s="99"/>
      <c r="V8" s="99"/>
      <c r="W8" s="99"/>
      <c r="X8" s="99"/>
      <c r="Y8" s="99"/>
      <c r="Z8" s="99"/>
      <c r="AA8" s="99"/>
      <c r="AB8" s="99"/>
      <c r="AC8" s="99"/>
      <c r="AD8" s="99"/>
      <c r="AE8" s="99"/>
      <c r="AF8" s="99"/>
      <c r="AG8" s="99"/>
      <c r="AH8" s="99"/>
      <c r="AI8" s="99"/>
      <c r="AJ8" s="99"/>
      <c r="AK8" s="99"/>
      <c r="AL8" s="99"/>
      <c r="AM8" s="99"/>
    </row>
    <row r="9" spans="1:39" ht="15" customHeight="1" x14ac:dyDescent="0.3">
      <c r="A9" s="277"/>
      <c r="B9" s="389" t="s">
        <v>337</v>
      </c>
      <c r="C9" s="10"/>
      <c r="D9" s="368"/>
      <c r="E9" s="368"/>
      <c r="F9" s="368"/>
      <c r="G9" s="368"/>
      <c r="H9" s="368"/>
      <c r="I9" s="82"/>
      <c r="J9" s="82"/>
      <c r="K9" s="82"/>
      <c r="L9" s="82"/>
      <c r="M9" s="82"/>
      <c r="N9" s="99"/>
      <c r="O9" s="99"/>
      <c r="P9" s="99"/>
      <c r="Q9" s="99"/>
      <c r="R9" s="99"/>
      <c r="S9" s="99"/>
      <c r="T9" s="99"/>
      <c r="U9" s="99"/>
      <c r="V9" s="99"/>
      <c r="W9" s="99"/>
      <c r="X9" s="99"/>
      <c r="Y9" s="99"/>
      <c r="Z9" s="99"/>
      <c r="AA9" s="99"/>
      <c r="AB9" s="99"/>
      <c r="AC9" s="99"/>
      <c r="AD9" s="99"/>
      <c r="AE9" s="99"/>
      <c r="AF9" s="99"/>
      <c r="AG9" s="99"/>
      <c r="AH9" s="99"/>
      <c r="AI9" s="99"/>
      <c r="AJ9" s="99"/>
      <c r="AK9" s="99"/>
      <c r="AL9" s="99"/>
      <c r="AM9" s="99"/>
    </row>
    <row r="10" spans="1:39" ht="15" customHeight="1" x14ac:dyDescent="0.3">
      <c r="A10" s="277"/>
      <c r="B10" s="389"/>
      <c r="C10" s="10"/>
      <c r="D10" s="368"/>
      <c r="E10" s="368"/>
      <c r="F10" s="368"/>
      <c r="G10" s="368"/>
      <c r="H10" s="368"/>
      <c r="I10" s="363"/>
      <c r="J10" s="363"/>
      <c r="K10" s="363"/>
      <c r="L10" s="363"/>
      <c r="M10" s="363"/>
      <c r="N10" s="99"/>
      <c r="O10" s="99"/>
      <c r="P10" s="99"/>
      <c r="Q10" s="99"/>
      <c r="R10" s="99"/>
      <c r="S10" s="99"/>
      <c r="T10" s="99"/>
      <c r="U10" s="99"/>
      <c r="V10" s="99"/>
      <c r="W10" s="99"/>
      <c r="X10" s="99"/>
      <c r="Y10" s="99"/>
      <c r="Z10" s="99"/>
      <c r="AA10" s="99"/>
      <c r="AB10" s="99"/>
      <c r="AC10" s="99"/>
      <c r="AD10" s="99"/>
      <c r="AE10" s="99"/>
      <c r="AF10" s="99"/>
      <c r="AG10" s="99"/>
      <c r="AH10" s="99"/>
      <c r="AI10" s="99"/>
      <c r="AJ10" s="99"/>
      <c r="AK10" s="99"/>
      <c r="AL10" s="99"/>
      <c r="AM10" s="99"/>
    </row>
    <row r="11" spans="1:39" s="21" customFormat="1" x14ac:dyDescent="0.3">
      <c r="A11" s="7"/>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spans="1:39" customFormat="1" x14ac:dyDescent="0.3">
      <c r="A12" s="10"/>
      <c r="B12" s="10"/>
      <c r="C12" s="10"/>
      <c r="D12" s="10"/>
      <c r="E12" s="10"/>
      <c r="F12" s="10"/>
      <c r="G12" s="10"/>
      <c r="H12" s="10"/>
    </row>
    <row r="13" spans="1:39" ht="15" customHeight="1" x14ac:dyDescent="0.3">
      <c r="A13" s="277"/>
      <c r="B13" s="573" t="s">
        <v>265</v>
      </c>
      <c r="C13" s="573"/>
      <c r="D13" s="573"/>
      <c r="E13" s="573"/>
      <c r="F13" s="573"/>
      <c r="G13" s="573"/>
      <c r="H13" s="573"/>
      <c r="I13" s="355"/>
    </row>
    <row r="14" spans="1:39" ht="15" customHeight="1" x14ac:dyDescent="0.3">
      <c r="A14" s="277"/>
      <c r="B14" s="570" t="s">
        <v>266</v>
      </c>
      <c r="C14" s="570"/>
      <c r="D14" s="570"/>
      <c r="E14" s="570"/>
      <c r="F14" s="570"/>
      <c r="G14" s="570"/>
      <c r="H14" s="570"/>
      <c r="I14" s="355"/>
    </row>
    <row r="15" spans="1:39" ht="15" customHeight="1" x14ac:dyDescent="0.3">
      <c r="A15" s="277"/>
      <c r="B15" s="571" t="s">
        <v>267</v>
      </c>
      <c r="C15" s="571"/>
      <c r="D15" s="571"/>
      <c r="E15" s="571"/>
      <c r="F15" s="571"/>
      <c r="G15" s="571"/>
      <c r="H15" s="571"/>
      <c r="I15" s="355"/>
    </row>
    <row r="16" spans="1:39" s="25" customFormat="1" x14ac:dyDescent="0.3">
      <c r="A16" s="40"/>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row>
    <row r="17" spans="1:38" x14ac:dyDescent="0.3">
      <c r="A17" s="10"/>
      <c r="B17" s="85" t="s">
        <v>56</v>
      </c>
      <c r="C17" s="10"/>
      <c r="D17" s="10"/>
      <c r="E17" s="10"/>
      <c r="F17" s="10"/>
      <c r="G17" s="10"/>
      <c r="H17" s="10"/>
    </row>
    <row r="18" spans="1:38" x14ac:dyDescent="0.3">
      <c r="A18" s="10"/>
      <c r="B18" s="408" t="s">
        <v>142</v>
      </c>
      <c r="C18" s="405">
        <v>3</v>
      </c>
      <c r="D18" s="10" t="s">
        <v>67</v>
      </c>
      <c r="E18" s="10"/>
      <c r="F18" s="10"/>
      <c r="G18" s="10"/>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86"/>
    </row>
    <row r="19" spans="1:38" x14ac:dyDescent="0.3">
      <c r="A19" s="387"/>
      <c r="B19" s="398" t="s">
        <v>331</v>
      </c>
      <c r="C19" s="403">
        <v>5</v>
      </c>
      <c r="D19" s="77" t="s">
        <v>0</v>
      </c>
      <c r="E19" s="10"/>
      <c r="F19" s="406"/>
      <c r="G19" s="10"/>
      <c r="H19" s="77"/>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row>
    <row r="20" spans="1:38" x14ac:dyDescent="0.3">
      <c r="A20" s="387"/>
      <c r="B20" s="398" t="s">
        <v>333</v>
      </c>
      <c r="C20" s="409">
        <v>4</v>
      </c>
      <c r="D20" s="77" t="s">
        <v>67</v>
      </c>
      <c r="E20" s="10"/>
      <c r="F20" s="406"/>
      <c r="G20" s="10"/>
      <c r="H20" s="77"/>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t="s">
        <v>58</v>
      </c>
      <c r="AJ20" s="25" t="s">
        <v>58</v>
      </c>
    </row>
    <row r="21" spans="1:38" x14ac:dyDescent="0.3">
      <c r="A21" s="9"/>
      <c r="B21" s="96" t="s">
        <v>102</v>
      </c>
      <c r="C21" s="153">
        <v>0.08</v>
      </c>
      <c r="D21" s="25"/>
      <c r="F21" s="100"/>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row>
    <row r="22" spans="1:38" x14ac:dyDescent="0.3">
      <c r="A22" s="9"/>
      <c r="B22" s="96" t="s">
        <v>104</v>
      </c>
      <c r="C22" s="154">
        <v>0.2</v>
      </c>
      <c r="D22" s="25" t="s">
        <v>67</v>
      </c>
      <c r="F22" s="100"/>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row>
    <row r="23" spans="1:38" x14ac:dyDescent="0.3">
      <c r="A23" s="9"/>
      <c r="B23" s="96"/>
      <c r="C23" s="410"/>
      <c r="D23" s="25"/>
      <c r="F23" s="100"/>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row>
    <row r="24" spans="1:38" s="89" customFormat="1" x14ac:dyDescent="0.3">
      <c r="A24" s="88"/>
      <c r="C24" s="90"/>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2"/>
    </row>
    <row r="25" spans="1:38" x14ac:dyDescent="0.3">
      <c r="A25" s="5"/>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spans="1:38" x14ac:dyDescent="0.3">
      <c r="A26" s="9"/>
      <c r="B26" s="5" t="s">
        <v>1</v>
      </c>
      <c r="AH26" s="5"/>
    </row>
    <row r="27" spans="1:38" x14ac:dyDescent="0.3">
      <c r="A27" s="9"/>
      <c r="B27" s="5" t="s">
        <v>9</v>
      </c>
      <c r="AH27" s="5"/>
    </row>
    <row r="28" spans="1:38" x14ac:dyDescent="0.3">
      <c r="A28" s="9"/>
      <c r="B28" s="28" t="s">
        <v>35</v>
      </c>
      <c r="C28" s="131">
        <f>C29*1000000</f>
        <v>2722332.7881350121</v>
      </c>
      <c r="AH28" s="34"/>
      <c r="AI28" s="34"/>
      <c r="AJ28" s="34"/>
      <c r="AK28" s="34"/>
      <c r="AL28" s="34"/>
    </row>
    <row r="29" spans="1:38" x14ac:dyDescent="0.3">
      <c r="A29" s="9"/>
      <c r="B29" s="28" t="s">
        <v>35</v>
      </c>
      <c r="C29" s="155">
        <f>$C$20/(1+$C$21)^$C$19</f>
        <v>2.7223327881350121</v>
      </c>
      <c r="D29" s="129" t="s">
        <v>67</v>
      </c>
      <c r="E29" s="129"/>
      <c r="AH29" s="34"/>
      <c r="AI29" s="34"/>
      <c r="AJ29" s="34"/>
      <c r="AK29" s="34"/>
      <c r="AL29" s="34"/>
    </row>
    <row r="30" spans="1:38" x14ac:dyDescent="0.3">
      <c r="A30" s="9"/>
      <c r="B30" s="5"/>
      <c r="C30" s="155"/>
      <c r="D30" s="129"/>
      <c r="E30" s="129"/>
      <c r="AH30" s="34"/>
      <c r="AI30" s="34"/>
      <c r="AJ30" s="34"/>
      <c r="AK30" s="34"/>
      <c r="AL30" s="34"/>
    </row>
    <row r="31" spans="1:38" x14ac:dyDescent="0.3">
      <c r="A31" s="70"/>
      <c r="B31" s="97" t="s">
        <v>65</v>
      </c>
      <c r="C31" s="146"/>
      <c r="D31" s="147"/>
      <c r="E31" s="147"/>
      <c r="F31" s="70"/>
      <c r="G31" s="70"/>
      <c r="H31" s="70"/>
      <c r="I31" s="70"/>
    </row>
    <row r="32" spans="1:38" x14ac:dyDescent="0.3">
      <c r="A32" s="70"/>
      <c r="B32" s="28" t="s">
        <v>334</v>
      </c>
      <c r="C32" s="151" t="str">
        <f>IF($C$29-$C$18&gt;=0,"Yes","No")</f>
        <v>No</v>
      </c>
      <c r="D32" s="147"/>
      <c r="E32" s="98"/>
      <c r="F32" s="70"/>
      <c r="G32" s="70"/>
      <c r="H32" s="70"/>
      <c r="I32" s="70"/>
      <c r="AH32" s="36"/>
      <c r="AI32" s="37"/>
      <c r="AJ32" s="34"/>
      <c r="AK32" s="34"/>
      <c r="AL32" s="37"/>
    </row>
    <row r="33" spans="1:38" x14ac:dyDescent="0.3">
      <c r="A33" s="70"/>
      <c r="B33" s="97"/>
      <c r="C33" s="151"/>
      <c r="D33" s="147"/>
      <c r="E33" s="98"/>
      <c r="F33" s="70"/>
      <c r="G33" s="70"/>
      <c r="H33" s="70"/>
      <c r="I33" s="70"/>
      <c r="AH33" s="36"/>
      <c r="AI33" s="37"/>
      <c r="AJ33" s="34"/>
      <c r="AK33" s="34"/>
      <c r="AL33" s="37"/>
    </row>
    <row r="34" spans="1:38" x14ac:dyDescent="0.3">
      <c r="A34" s="9"/>
      <c r="B34" s="97" t="s">
        <v>5</v>
      </c>
      <c r="C34" s="146"/>
      <c r="D34" s="129"/>
      <c r="E34" s="129"/>
    </row>
    <row r="35" spans="1:38" x14ac:dyDescent="0.3">
      <c r="A35" s="70"/>
      <c r="B35" s="404" t="s">
        <v>35</v>
      </c>
      <c r="C35" s="131">
        <f>C36*1000000</f>
        <v>3520874.7955506295</v>
      </c>
      <c r="F35" s="70"/>
      <c r="G35" s="70"/>
      <c r="H35" s="70"/>
      <c r="I35" s="70"/>
      <c r="AH35" s="36"/>
      <c r="AI35" s="37"/>
      <c r="AJ35" s="34"/>
      <c r="AK35" s="34"/>
      <c r="AL35" s="37"/>
    </row>
    <row r="36" spans="1:38" x14ac:dyDescent="0.3">
      <c r="A36" s="70"/>
      <c r="B36" s="404" t="s">
        <v>35</v>
      </c>
      <c r="C36" s="155">
        <f>($C$20/(1+$C$21)^$C$19)+(C22/C21*(1-(1/(1+C21)^C19)))</f>
        <v>3.5208747955506294</v>
      </c>
      <c r="D36" s="147" t="s">
        <v>67</v>
      </c>
      <c r="E36" s="98"/>
      <c r="F36" s="70"/>
      <c r="G36" s="70"/>
      <c r="H36" s="70"/>
      <c r="I36" s="70"/>
      <c r="AH36" s="36"/>
      <c r="AI36" s="37"/>
      <c r="AJ36" s="34"/>
      <c r="AK36" s="34"/>
      <c r="AL36" s="37"/>
    </row>
    <row r="37" spans="1:38" x14ac:dyDescent="0.3">
      <c r="A37" s="70"/>
      <c r="B37" s="97"/>
      <c r="C37" s="155"/>
      <c r="D37" s="147"/>
      <c r="E37" s="98"/>
      <c r="F37" s="70"/>
      <c r="G37" s="70"/>
      <c r="H37" s="70"/>
      <c r="I37" s="70"/>
      <c r="AH37" s="36"/>
      <c r="AI37" s="37"/>
      <c r="AJ37" s="34"/>
      <c r="AK37" s="34"/>
      <c r="AL37" s="37"/>
    </row>
    <row r="38" spans="1:38" x14ac:dyDescent="0.3">
      <c r="A38" s="70"/>
      <c r="B38" s="97"/>
      <c r="C38" s="155"/>
      <c r="D38" s="147"/>
      <c r="E38" s="98"/>
      <c r="F38" s="70"/>
      <c r="G38" s="70"/>
      <c r="H38" s="70"/>
      <c r="I38" s="70"/>
      <c r="AH38" s="36"/>
      <c r="AI38" s="37"/>
      <c r="AJ38" s="34"/>
      <c r="AK38" s="34"/>
      <c r="AL38" s="37"/>
    </row>
    <row r="39" spans="1:38" x14ac:dyDescent="0.3">
      <c r="A39" s="9"/>
      <c r="B39" s="5" t="s">
        <v>66</v>
      </c>
      <c r="C39" s="146"/>
      <c r="D39" s="129"/>
      <c r="E39" s="129"/>
    </row>
    <row r="40" spans="1:38" x14ac:dyDescent="0.3">
      <c r="A40" s="9"/>
      <c r="B40" s="28" t="s">
        <v>334</v>
      </c>
      <c r="C40" s="151" t="str">
        <f>IF($C$36-$C$18&gt;=0,"Yes","No")</f>
        <v>Yes</v>
      </c>
      <c r="D40" s="129"/>
      <c r="E40" s="129"/>
    </row>
    <row r="41" spans="1:38" x14ac:dyDescent="0.3">
      <c r="A41" s="9"/>
    </row>
  </sheetData>
  <mergeCells count="5">
    <mergeCell ref="B13:H13"/>
    <mergeCell ref="B14:H14"/>
    <mergeCell ref="B15:H15"/>
    <mergeCell ref="B4:H4"/>
    <mergeCell ref="B8:H8"/>
  </mergeCells>
  <pageMargins left="0.7" right="0.7" top="0.75" bottom="0.75" header="0.3" footer="0.3"/>
  <pageSetup orientation="portrait" r:id="rId1"/>
  <drawing r:id="rId2"/>
  <legacyDrawing r:id="rId3"/>
  <controls>
    <mc:AlternateContent xmlns:mc="http://schemas.openxmlformats.org/markup-compatibility/2006">
      <mc:Choice Requires="x14">
        <control shapeId="102403" r:id="rId4" name="Control 3">
          <controlPr defaultSize="0" r:id="rId5">
            <anchor moveWithCells="1">
              <from>
                <xdr:col>34</xdr:col>
                <xdr:colOff>0</xdr:colOff>
                <xdr:row>23</xdr:row>
                <xdr:rowOff>45720</xdr:rowOff>
              </from>
              <to>
                <xdr:col>34</xdr:col>
                <xdr:colOff>495300</xdr:colOff>
                <xdr:row>24</xdr:row>
                <xdr:rowOff>99060</xdr:rowOff>
              </to>
            </anchor>
          </controlPr>
        </control>
      </mc:Choice>
      <mc:Fallback>
        <control shapeId="102403" r:id="rId4" name="Control 3"/>
      </mc:Fallback>
    </mc:AlternateContent>
    <mc:AlternateContent xmlns:mc="http://schemas.openxmlformats.org/markup-compatibility/2006">
      <mc:Choice Requires="x14">
        <control shapeId="102402" r:id="rId6" name="Control 2">
          <controlPr defaultSize="0" r:id="rId5">
            <anchor moveWithCells="1">
              <from>
                <xdr:col>34</xdr:col>
                <xdr:colOff>0</xdr:colOff>
                <xdr:row>23</xdr:row>
                <xdr:rowOff>45720</xdr:rowOff>
              </from>
              <to>
                <xdr:col>34</xdr:col>
                <xdr:colOff>495300</xdr:colOff>
                <xdr:row>24</xdr:row>
                <xdr:rowOff>99060</xdr:rowOff>
              </to>
            </anchor>
          </controlPr>
        </control>
      </mc:Choice>
      <mc:Fallback>
        <control shapeId="102402" r:id="rId6" name="Control 2"/>
      </mc:Fallback>
    </mc:AlternateContent>
    <mc:AlternateContent xmlns:mc="http://schemas.openxmlformats.org/markup-compatibility/2006">
      <mc:Choice Requires="x14">
        <control shapeId="102401" r:id="rId7" name="Control 1">
          <controlPr defaultSize="0" r:id="rId5">
            <anchor moveWithCells="1">
              <from>
                <xdr:col>34</xdr:col>
                <xdr:colOff>0</xdr:colOff>
                <xdr:row>19</xdr:row>
                <xdr:rowOff>30480</xdr:rowOff>
              </from>
              <to>
                <xdr:col>34</xdr:col>
                <xdr:colOff>495300</xdr:colOff>
                <xdr:row>20</xdr:row>
                <xdr:rowOff>76200</xdr:rowOff>
              </to>
            </anchor>
          </controlPr>
        </control>
      </mc:Choice>
      <mc:Fallback>
        <control shapeId="102401" r:id="rId7" name="Control 1"/>
      </mc:Fallback>
    </mc:AlternateContent>
  </control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51"/>
  <sheetViews>
    <sheetView workbookViewId="0">
      <selection activeCell="H35" sqref="H35"/>
    </sheetView>
  </sheetViews>
  <sheetFormatPr defaultColWidth="9.109375" defaultRowHeight="14.4" x14ac:dyDescent="0.3"/>
  <cols>
    <col min="1" max="1" width="16.5546875" style="28" customWidth="1"/>
    <col min="2" max="2" width="19.88671875" style="28" customWidth="1"/>
    <col min="3" max="3" width="18.88671875" style="28" customWidth="1"/>
    <col min="4" max="4" width="18" style="28" customWidth="1"/>
    <col min="5" max="7" width="9.109375" style="28"/>
    <col min="8" max="8" width="10.5546875" style="28" bestFit="1" customWidth="1"/>
    <col min="9" max="16384" width="9.109375" style="28"/>
  </cols>
  <sheetData>
    <row r="1" spans="1:34" x14ac:dyDescent="0.3">
      <c r="A1" s="5" t="s">
        <v>552</v>
      </c>
      <c r="B1" s="5"/>
      <c r="C1" s="5"/>
    </row>
    <row r="2" spans="1:34" s="89" customFormat="1" x14ac:dyDescent="0.3">
      <c r="A2" s="370"/>
      <c r="B2" s="370"/>
      <c r="C2" s="370"/>
    </row>
    <row r="3" spans="1:34" x14ac:dyDescent="0.3">
      <c r="A3" s="5" t="s">
        <v>0</v>
      </c>
      <c r="B3" s="5" t="s">
        <v>268</v>
      </c>
      <c r="C3" s="5"/>
    </row>
    <row r="4" spans="1:34" ht="36" customHeight="1" x14ac:dyDescent="0.3">
      <c r="A4" s="2"/>
      <c r="B4" s="575" t="s">
        <v>272</v>
      </c>
      <c r="C4" s="575"/>
      <c r="D4" s="575"/>
      <c r="E4" s="575"/>
      <c r="F4" s="575"/>
      <c r="G4" s="575"/>
      <c r="H4" s="374"/>
      <c r="I4" s="374"/>
      <c r="J4" s="374"/>
    </row>
    <row r="5" spans="1:34" ht="15" customHeight="1" x14ac:dyDescent="0.3">
      <c r="A5" s="2"/>
      <c r="B5" s="377"/>
      <c r="C5" s="377"/>
      <c r="D5" s="377"/>
      <c r="E5" s="377"/>
      <c r="F5" s="377"/>
      <c r="G5" s="377"/>
      <c r="H5" s="377"/>
      <c r="I5" s="377"/>
      <c r="J5" s="374"/>
    </row>
    <row r="6" spans="1:34" ht="15" customHeight="1" x14ac:dyDescent="0.3">
      <c r="A6" s="2"/>
      <c r="B6" s="581" t="s">
        <v>338</v>
      </c>
      <c r="C6" s="581"/>
      <c r="D6" s="377"/>
      <c r="E6" s="377"/>
      <c r="F6" s="377"/>
      <c r="G6" s="377"/>
      <c r="H6" s="377"/>
      <c r="I6" s="377"/>
      <c r="J6" s="374"/>
    </row>
    <row r="7" spans="1:34" ht="15" customHeight="1" x14ac:dyDescent="0.3">
      <c r="A7" s="2"/>
      <c r="B7" s="581" t="s">
        <v>308</v>
      </c>
      <c r="C7" s="581"/>
      <c r="D7" s="377"/>
      <c r="E7" s="377"/>
      <c r="F7" s="377"/>
      <c r="G7" s="377"/>
      <c r="H7" s="377"/>
      <c r="I7" s="377"/>
      <c r="J7" s="374"/>
    </row>
    <row r="8" spans="1:34" ht="15" customHeight="1" x14ac:dyDescent="0.3">
      <c r="A8" s="2"/>
      <c r="B8" s="581" t="s">
        <v>309</v>
      </c>
      <c r="C8" s="581"/>
      <c r="D8" s="377"/>
      <c r="E8" s="377"/>
      <c r="F8" s="377"/>
      <c r="G8" s="377"/>
      <c r="H8" s="377"/>
      <c r="I8" s="377"/>
      <c r="J8" s="374"/>
    </row>
    <row r="9" spans="1:34" ht="15" customHeight="1" x14ac:dyDescent="0.3">
      <c r="A9" s="2"/>
      <c r="B9" s="581" t="s">
        <v>339</v>
      </c>
      <c r="C9" s="581"/>
      <c r="D9" s="377"/>
      <c r="E9" s="377"/>
      <c r="F9" s="377"/>
      <c r="G9" s="377"/>
      <c r="H9" s="377"/>
      <c r="I9" s="377"/>
      <c r="J9" s="374"/>
    </row>
    <row r="10" spans="1:34" ht="15" customHeight="1" x14ac:dyDescent="0.3">
      <c r="A10" s="2"/>
      <c r="B10" s="377"/>
      <c r="C10" s="377"/>
      <c r="D10" s="377"/>
      <c r="E10" s="377"/>
      <c r="F10" s="377"/>
      <c r="G10" s="377"/>
      <c r="H10" s="377"/>
      <c r="I10" s="377"/>
      <c r="J10" s="374"/>
    </row>
    <row r="11" spans="1:34" s="89" customFormat="1" ht="15" customHeight="1" x14ac:dyDescent="0.3">
      <c r="A11" s="358"/>
      <c r="B11" s="425"/>
      <c r="C11" s="425"/>
      <c r="D11" s="425"/>
      <c r="E11" s="425"/>
      <c r="F11" s="425"/>
      <c r="G11" s="425"/>
      <c r="H11" s="425"/>
      <c r="I11" s="425"/>
      <c r="J11" s="426"/>
    </row>
    <row r="12" spans="1:34" ht="15" customHeight="1" x14ac:dyDescent="0.3">
      <c r="A12" s="2"/>
      <c r="B12" s="354"/>
      <c r="C12" s="354"/>
      <c r="D12" s="354"/>
      <c r="E12" s="354"/>
      <c r="F12" s="354"/>
      <c r="G12" s="354"/>
      <c r="H12" s="354"/>
      <c r="I12" s="354"/>
      <c r="J12" s="354"/>
    </row>
    <row r="13" spans="1:34" ht="15" customHeight="1" x14ac:dyDescent="0.3">
      <c r="A13" s="2"/>
      <c r="B13" s="580" t="s">
        <v>265</v>
      </c>
      <c r="C13" s="580"/>
      <c r="D13" s="580"/>
      <c r="E13" s="580"/>
      <c r="F13" s="580"/>
      <c r="G13" s="580"/>
      <c r="H13" s="429"/>
      <c r="I13" s="429"/>
      <c r="J13" s="355"/>
    </row>
    <row r="14" spans="1:34" ht="15" customHeight="1" x14ac:dyDescent="0.3">
      <c r="A14" s="2"/>
      <c r="B14" s="570" t="s">
        <v>266</v>
      </c>
      <c r="C14" s="570"/>
      <c r="D14" s="570"/>
      <c r="E14" s="570"/>
      <c r="F14" s="570"/>
      <c r="G14" s="570"/>
      <c r="H14" s="570"/>
      <c r="I14" s="570"/>
      <c r="J14" s="355"/>
    </row>
    <row r="15" spans="1:34" ht="15" customHeight="1" x14ac:dyDescent="0.3">
      <c r="A15" s="2"/>
      <c r="B15" s="571" t="s">
        <v>267</v>
      </c>
      <c r="C15" s="571"/>
      <c r="D15" s="571"/>
      <c r="E15" s="571"/>
      <c r="F15" s="571"/>
      <c r="G15" s="571"/>
      <c r="H15" s="571"/>
      <c r="I15" s="355"/>
      <c r="J15" s="355"/>
    </row>
    <row r="16" spans="1:34" s="25" customFormat="1" ht="15" customHeight="1" x14ac:dyDescent="0.3">
      <c r="A16" s="40"/>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row>
    <row r="17" spans="1:10" ht="15" customHeight="1" x14ac:dyDescent="0.3">
      <c r="B17" s="85" t="s">
        <v>56</v>
      </c>
    </row>
    <row r="18" spans="1:10" ht="15" customHeight="1" x14ac:dyDescent="0.3">
      <c r="A18" s="2"/>
      <c r="B18" s="28" t="s">
        <v>261</v>
      </c>
      <c r="C18" s="159">
        <v>100</v>
      </c>
      <c r="E18" s="27"/>
      <c r="F18" s="27"/>
      <c r="G18" s="27"/>
      <c r="H18" s="27"/>
    </row>
    <row r="19" spans="1:10" ht="15" customHeight="1" x14ac:dyDescent="0.3">
      <c r="A19" s="2"/>
      <c r="C19" s="159"/>
      <c r="E19" s="377"/>
      <c r="F19" s="377"/>
      <c r="G19" s="377"/>
      <c r="H19" s="377"/>
    </row>
    <row r="20" spans="1:10" ht="15" customHeight="1" x14ac:dyDescent="0.3">
      <c r="A20" s="2"/>
      <c r="C20" s="427" t="s">
        <v>60</v>
      </c>
      <c r="D20" s="428" t="s">
        <v>331</v>
      </c>
      <c r="E20" s="377"/>
      <c r="F20" s="377"/>
      <c r="G20" s="377"/>
      <c r="H20" s="377"/>
    </row>
    <row r="21" spans="1:10" ht="15" customHeight="1" x14ac:dyDescent="0.3">
      <c r="A21" s="2"/>
      <c r="B21" s="5" t="s">
        <v>9</v>
      </c>
      <c r="C21" s="156">
        <v>0.08</v>
      </c>
      <c r="D21" s="157">
        <v>10</v>
      </c>
      <c r="E21" s="377"/>
      <c r="F21" s="377"/>
      <c r="G21" s="377"/>
      <c r="H21" s="377"/>
    </row>
    <row r="22" spans="1:10" ht="15" customHeight="1" x14ac:dyDescent="0.3">
      <c r="A22" s="2"/>
      <c r="B22" s="376" t="s">
        <v>5</v>
      </c>
      <c r="C22" s="156">
        <v>0.08</v>
      </c>
      <c r="D22" s="157">
        <v>20</v>
      </c>
      <c r="E22" s="377"/>
      <c r="F22" s="377"/>
      <c r="G22" s="377"/>
      <c r="H22" s="377"/>
    </row>
    <row r="23" spans="1:10" ht="15" customHeight="1" x14ac:dyDescent="0.3">
      <c r="A23" s="2"/>
      <c r="B23" s="22" t="s">
        <v>6</v>
      </c>
      <c r="C23" s="156">
        <v>0.04</v>
      </c>
      <c r="D23" s="158">
        <v>10</v>
      </c>
      <c r="E23" s="27"/>
      <c r="F23" s="27"/>
      <c r="G23" s="27"/>
      <c r="H23" s="27"/>
    </row>
    <row r="24" spans="1:10" ht="17.25" customHeight="1" x14ac:dyDescent="0.3">
      <c r="A24" s="2"/>
      <c r="B24" s="380" t="s">
        <v>7</v>
      </c>
      <c r="C24" s="156">
        <v>0.04</v>
      </c>
      <c r="D24" s="158">
        <v>20</v>
      </c>
      <c r="E24" s="38"/>
      <c r="F24" s="38"/>
      <c r="G24" s="38"/>
      <c r="H24" s="38"/>
      <c r="I24" s="38"/>
      <c r="J24" s="38"/>
    </row>
    <row r="25" spans="1:10" customFormat="1" ht="17.25" customHeight="1" x14ac:dyDescent="0.3"/>
    <row r="26" spans="1:10" s="21" customFormat="1" x14ac:dyDescent="0.3">
      <c r="A26" s="7"/>
      <c r="B26" s="8"/>
      <c r="C26" s="8"/>
      <c r="D26" s="39"/>
      <c r="E26" s="8"/>
      <c r="F26" s="8"/>
      <c r="G26" s="8"/>
      <c r="H26" s="8"/>
    </row>
    <row r="27" spans="1:10" x14ac:dyDescent="0.3">
      <c r="A27" s="5"/>
      <c r="B27" s="6"/>
      <c r="C27" s="6"/>
      <c r="D27" s="6"/>
      <c r="E27" s="6"/>
      <c r="F27" s="6"/>
      <c r="G27" s="6"/>
      <c r="H27" s="6"/>
    </row>
    <row r="28" spans="1:10" x14ac:dyDescent="0.3">
      <c r="A28" s="9"/>
      <c r="B28" s="10" t="s">
        <v>1</v>
      </c>
      <c r="E28" s="5" t="s">
        <v>415</v>
      </c>
    </row>
    <row r="29" spans="1:10" x14ac:dyDescent="0.3">
      <c r="A29" s="9"/>
      <c r="B29" s="5" t="s">
        <v>9</v>
      </c>
      <c r="E29" s="34">
        <f>D21</f>
        <v>10</v>
      </c>
      <c r="F29" s="34" t="s">
        <v>0</v>
      </c>
      <c r="G29" s="35">
        <f>C21</f>
        <v>0.08</v>
      </c>
      <c r="H29" s="34" t="s">
        <v>0</v>
      </c>
      <c r="I29" s="56">
        <f>-C18</f>
        <v>-100</v>
      </c>
    </row>
    <row r="30" spans="1:10" x14ac:dyDescent="0.3">
      <c r="A30" s="9"/>
      <c r="B30" s="28" t="s">
        <v>35</v>
      </c>
      <c r="C30" s="143">
        <f>C18/(1+C21)^D21</f>
        <v>46.319348808468426</v>
      </c>
      <c r="E30" s="34" t="s">
        <v>13</v>
      </c>
      <c r="F30" s="34" t="s">
        <v>14</v>
      </c>
      <c r="G30" s="34" t="s">
        <v>15</v>
      </c>
      <c r="H30" s="34" t="s">
        <v>16</v>
      </c>
      <c r="I30" s="34" t="s">
        <v>17</v>
      </c>
    </row>
    <row r="31" spans="1:10" x14ac:dyDescent="0.3">
      <c r="A31" s="9"/>
      <c r="B31" s="5"/>
      <c r="C31" s="143"/>
      <c r="F31" s="193">
        <f>PV(G29,E29,,I29)</f>
        <v>46.319348808468426</v>
      </c>
    </row>
    <row r="32" spans="1:10" x14ac:dyDescent="0.3">
      <c r="A32" s="9"/>
      <c r="B32" s="5"/>
      <c r="C32" s="143"/>
      <c r="E32" s="36"/>
      <c r="G32" s="34"/>
      <c r="H32" s="34"/>
      <c r="I32" s="34"/>
    </row>
    <row r="33" spans="1:11" x14ac:dyDescent="0.3">
      <c r="A33" s="9"/>
      <c r="B33" s="5" t="s">
        <v>5</v>
      </c>
      <c r="C33" s="143"/>
      <c r="E33" s="34">
        <f>D22</f>
        <v>20</v>
      </c>
      <c r="F33" s="34" t="s">
        <v>0</v>
      </c>
      <c r="G33" s="35">
        <f>C22</f>
        <v>0.08</v>
      </c>
      <c r="H33" s="34" t="s">
        <v>0</v>
      </c>
      <c r="I33" s="56">
        <f>-C18</f>
        <v>-100</v>
      </c>
    </row>
    <row r="34" spans="1:11" x14ac:dyDescent="0.3">
      <c r="A34" s="9"/>
      <c r="B34" s="28" t="s">
        <v>35</v>
      </c>
      <c r="C34" s="143">
        <f>C18/(1+C22)^D22</f>
        <v>21.454820740405655</v>
      </c>
      <c r="E34" s="34" t="s">
        <v>13</v>
      </c>
      <c r="F34" s="34" t="s">
        <v>14</v>
      </c>
      <c r="G34" s="34" t="s">
        <v>15</v>
      </c>
      <c r="H34" s="34" t="s">
        <v>16</v>
      </c>
      <c r="I34" s="34" t="s">
        <v>17</v>
      </c>
    </row>
    <row r="35" spans="1:11" x14ac:dyDescent="0.3">
      <c r="A35" s="9"/>
      <c r="B35" s="5"/>
      <c r="C35" s="143"/>
      <c r="F35" s="193">
        <f>PV(G33,E33,,I33)</f>
        <v>21.454820740405655</v>
      </c>
    </row>
    <row r="36" spans="1:11" x14ac:dyDescent="0.3">
      <c r="A36" s="9"/>
      <c r="B36" s="5"/>
      <c r="C36" s="143"/>
      <c r="E36" s="36"/>
      <c r="G36" s="34"/>
      <c r="H36" s="34"/>
      <c r="I36" s="34"/>
    </row>
    <row r="37" spans="1:11" x14ac:dyDescent="0.3">
      <c r="A37" s="9"/>
      <c r="B37" s="5" t="s">
        <v>6</v>
      </c>
      <c r="C37" s="143"/>
      <c r="E37" s="34">
        <f>D23</f>
        <v>10</v>
      </c>
      <c r="F37" s="34" t="s">
        <v>0</v>
      </c>
      <c r="G37" s="35">
        <f>C23</f>
        <v>0.04</v>
      </c>
      <c r="H37" s="34" t="s">
        <v>0</v>
      </c>
      <c r="I37" s="56">
        <f>-C18</f>
        <v>-100</v>
      </c>
    </row>
    <row r="38" spans="1:11" x14ac:dyDescent="0.3">
      <c r="A38" s="9"/>
      <c r="B38" s="28" t="s">
        <v>35</v>
      </c>
      <c r="C38" s="143">
        <f>C18/(1+C23)^D23</f>
        <v>67.556416882579853</v>
      </c>
      <c r="E38" s="34" t="s">
        <v>13</v>
      </c>
      <c r="F38" s="34" t="s">
        <v>14</v>
      </c>
      <c r="G38" s="34" t="s">
        <v>15</v>
      </c>
      <c r="H38" s="34" t="s">
        <v>16</v>
      </c>
      <c r="I38" s="34" t="s">
        <v>17</v>
      </c>
    </row>
    <row r="39" spans="1:11" x14ac:dyDescent="0.3">
      <c r="A39" s="9"/>
      <c r="B39" s="5"/>
      <c r="C39" s="143"/>
      <c r="F39" s="193">
        <f>PV(G37,E37,,I37)</f>
        <v>67.556416882579853</v>
      </c>
    </row>
    <row r="40" spans="1:11" x14ac:dyDescent="0.3">
      <c r="A40" s="9"/>
      <c r="B40" s="5"/>
      <c r="C40" s="143"/>
      <c r="E40" s="36"/>
      <c r="G40" s="34"/>
      <c r="H40" s="34"/>
      <c r="I40" s="34"/>
    </row>
    <row r="41" spans="1:11" x14ac:dyDescent="0.3">
      <c r="A41" s="9"/>
      <c r="B41" s="28" t="s">
        <v>7</v>
      </c>
      <c r="C41" s="143"/>
      <c r="E41" s="34">
        <f>D24</f>
        <v>20</v>
      </c>
      <c r="F41" s="34" t="s">
        <v>0</v>
      </c>
      <c r="G41" s="35">
        <f>C24</f>
        <v>0.04</v>
      </c>
      <c r="H41" s="34" t="s">
        <v>0</v>
      </c>
      <c r="I41" s="56">
        <f>-C18</f>
        <v>-100</v>
      </c>
    </row>
    <row r="42" spans="1:11" x14ac:dyDescent="0.3">
      <c r="A42" s="9"/>
      <c r="B42" s="28" t="s">
        <v>35</v>
      </c>
      <c r="C42" s="143">
        <f>C18/(1+C24)^D24</f>
        <v>45.638694620129208</v>
      </c>
      <c r="E42" s="34" t="s">
        <v>13</v>
      </c>
      <c r="F42" s="34" t="s">
        <v>14</v>
      </c>
      <c r="G42" s="34" t="s">
        <v>15</v>
      </c>
      <c r="H42" s="34" t="s">
        <v>16</v>
      </c>
      <c r="I42" s="34" t="s">
        <v>17</v>
      </c>
    </row>
    <row r="43" spans="1:11" x14ac:dyDescent="0.3">
      <c r="A43" s="9"/>
      <c r="B43" s="4"/>
      <c r="C43" s="9"/>
      <c r="F43" s="193">
        <f>PV(G41,E41,,I41)</f>
        <v>45.638694620129208</v>
      </c>
    </row>
    <row r="44" spans="1:11" x14ac:dyDescent="0.3">
      <c r="A44" s="9"/>
      <c r="C44" s="11"/>
      <c r="E44" s="36"/>
      <c r="G44" s="34"/>
      <c r="H44" s="34"/>
      <c r="I44" s="34"/>
      <c r="J44" s="34"/>
      <c r="K44" s="34"/>
    </row>
    <row r="45" spans="1:11" x14ac:dyDescent="0.3">
      <c r="A45" s="9"/>
      <c r="C45" s="12"/>
      <c r="G45" s="34"/>
      <c r="H45" s="34"/>
      <c r="I45" s="34"/>
      <c r="J45" s="34"/>
      <c r="K45" s="34"/>
    </row>
    <row r="46" spans="1:11" x14ac:dyDescent="0.3">
      <c r="A46" s="9"/>
      <c r="B46" s="4"/>
      <c r="C46" s="9"/>
    </row>
    <row r="47" spans="1:11" x14ac:dyDescent="0.3">
      <c r="A47" s="9"/>
      <c r="B47" s="22"/>
    </row>
    <row r="48" spans="1:11" x14ac:dyDescent="0.3">
      <c r="A48" s="9"/>
    </row>
    <row r="49" spans="2:6" x14ac:dyDescent="0.3">
      <c r="B49" s="6"/>
      <c r="C49" s="18"/>
      <c r="D49" s="18"/>
      <c r="E49" s="18"/>
      <c r="F49" s="18"/>
    </row>
    <row r="50" spans="2:6" x14ac:dyDescent="0.3">
      <c r="B50" s="18"/>
      <c r="C50" s="18"/>
      <c r="D50" s="18"/>
      <c r="E50" s="18"/>
      <c r="F50" s="18"/>
    </row>
    <row r="51" spans="2:6" x14ac:dyDescent="0.3">
      <c r="B51" s="18"/>
      <c r="C51" s="18"/>
      <c r="D51" s="18"/>
      <c r="E51" s="18"/>
      <c r="F51" s="18"/>
    </row>
  </sheetData>
  <mergeCells count="8">
    <mergeCell ref="B4:G4"/>
    <mergeCell ref="B14:I14"/>
    <mergeCell ref="B15:H15"/>
    <mergeCell ref="B6:C6"/>
    <mergeCell ref="B7:C7"/>
    <mergeCell ref="B8:C8"/>
    <mergeCell ref="B9:C9"/>
    <mergeCell ref="B13:G1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33"/>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7" width="9.109375" style="28"/>
    <col min="8" max="8" width="10.6640625" style="28" customWidth="1"/>
    <col min="9" max="16384" width="9.109375" style="28"/>
  </cols>
  <sheetData>
    <row r="1" spans="1:34" x14ac:dyDescent="0.3">
      <c r="A1" s="5" t="s">
        <v>551</v>
      </c>
      <c r="B1" s="5"/>
    </row>
    <row r="2" spans="1:34" s="89" customFormat="1" x14ac:dyDescent="0.3">
      <c r="A2" s="370"/>
      <c r="B2" s="370"/>
    </row>
    <row r="3" spans="1:34" x14ac:dyDescent="0.3">
      <c r="A3" s="5" t="s">
        <v>0</v>
      </c>
      <c r="B3" s="5" t="s">
        <v>268</v>
      </c>
    </row>
    <row r="4" spans="1:34" ht="42" customHeight="1" x14ac:dyDescent="0.3">
      <c r="A4" s="2"/>
      <c r="B4" s="575" t="s">
        <v>273</v>
      </c>
      <c r="C4" s="575"/>
      <c r="D4" s="575"/>
      <c r="E4" s="575"/>
      <c r="F4" s="575"/>
      <c r="G4" s="575"/>
      <c r="H4" s="575"/>
      <c r="I4" s="374"/>
      <c r="J4" s="374"/>
    </row>
    <row r="5" spans="1:34" ht="15" customHeight="1" x14ac:dyDescent="0.3">
      <c r="A5" s="2"/>
      <c r="B5" s="28" t="s">
        <v>3</v>
      </c>
      <c r="D5" s="27"/>
      <c r="E5" s="27"/>
      <c r="F5" s="27"/>
      <c r="G5" s="27"/>
      <c r="H5" s="27"/>
    </row>
    <row r="6" spans="1:34" s="21" customFormat="1" x14ac:dyDescent="0.3">
      <c r="A6" s="7"/>
      <c r="B6" s="8"/>
      <c r="C6" s="8"/>
      <c r="D6" s="8"/>
      <c r="E6" s="8"/>
      <c r="F6" s="8"/>
      <c r="G6" s="8"/>
      <c r="H6" s="8"/>
    </row>
    <row r="7" spans="1:34" s="25" customFormat="1" x14ac:dyDescent="0.3">
      <c r="A7" s="40"/>
      <c r="B7" s="41"/>
      <c r="C7" s="41"/>
      <c r="D7" s="41"/>
      <c r="E7" s="41"/>
      <c r="F7" s="41"/>
      <c r="G7" s="41"/>
      <c r="H7" s="41"/>
    </row>
    <row r="8" spans="1:34" ht="15" customHeight="1" x14ac:dyDescent="0.3">
      <c r="A8" s="2"/>
      <c r="B8" s="573" t="s">
        <v>265</v>
      </c>
      <c r="C8" s="573"/>
      <c r="D8" s="573"/>
      <c r="E8" s="573"/>
      <c r="F8" s="573"/>
      <c r="G8" s="573"/>
      <c r="H8" s="573"/>
      <c r="I8" s="429"/>
      <c r="J8" s="355"/>
    </row>
    <row r="9" spans="1:34" ht="15" customHeight="1" x14ac:dyDescent="0.3">
      <c r="A9" s="2"/>
      <c r="B9" s="570" t="s">
        <v>266</v>
      </c>
      <c r="C9" s="570"/>
      <c r="D9" s="570"/>
      <c r="E9" s="570"/>
      <c r="F9" s="570"/>
      <c r="G9" s="570"/>
      <c r="H9" s="570"/>
      <c r="I9" s="570"/>
      <c r="J9" s="355"/>
    </row>
    <row r="10" spans="1:34" ht="15" customHeight="1" x14ac:dyDescent="0.3">
      <c r="A10" s="2"/>
      <c r="B10" s="571" t="s">
        <v>267</v>
      </c>
      <c r="C10" s="571"/>
      <c r="D10" s="571"/>
      <c r="E10" s="571"/>
      <c r="F10" s="571"/>
      <c r="G10" s="571"/>
      <c r="H10" s="571"/>
      <c r="I10" s="355"/>
      <c r="J10" s="355"/>
    </row>
    <row r="11" spans="1:34" s="25" customFormat="1" x14ac:dyDescent="0.3">
      <c r="A11" s="40"/>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row>
    <row r="12" spans="1:34" x14ac:dyDescent="0.3">
      <c r="B12" s="85" t="s">
        <v>56</v>
      </c>
    </row>
    <row r="13" spans="1:34" s="25" customFormat="1" x14ac:dyDescent="0.3">
      <c r="A13" s="40"/>
      <c r="B13" s="76" t="s">
        <v>261</v>
      </c>
      <c r="C13" s="125">
        <v>700</v>
      </c>
      <c r="D13" s="76"/>
      <c r="E13" s="76"/>
      <c r="F13" s="41"/>
      <c r="G13" s="41"/>
      <c r="H13" s="41"/>
    </row>
    <row r="14" spans="1:34" s="25" customFormat="1" x14ac:dyDescent="0.3">
      <c r="A14" s="40"/>
      <c r="B14" s="76" t="s">
        <v>46</v>
      </c>
      <c r="C14" s="78">
        <v>5</v>
      </c>
      <c r="D14" s="76"/>
      <c r="E14" s="76"/>
      <c r="F14" s="41"/>
      <c r="G14" s="41"/>
      <c r="H14" s="41"/>
    </row>
    <row r="15" spans="1:34" s="25" customFormat="1" x14ac:dyDescent="0.3">
      <c r="A15" s="40"/>
      <c r="B15" s="76" t="s">
        <v>28</v>
      </c>
      <c r="C15" s="163">
        <v>0.05</v>
      </c>
      <c r="D15" s="76" t="s">
        <v>0</v>
      </c>
      <c r="E15" s="76"/>
      <c r="F15" s="41"/>
      <c r="G15" s="41"/>
      <c r="H15" s="41"/>
    </row>
    <row r="16" spans="1:34" s="25" customFormat="1" x14ac:dyDescent="0.3">
      <c r="A16" s="40"/>
      <c r="B16" s="76"/>
      <c r="C16" s="276"/>
      <c r="D16" s="76"/>
      <c r="E16" s="76"/>
      <c r="F16" s="41"/>
      <c r="G16" s="41"/>
      <c r="H16" s="41"/>
    </row>
    <row r="17" spans="1:13" s="89" customFormat="1" x14ac:dyDescent="0.3">
      <c r="A17" s="370"/>
      <c r="B17" s="412"/>
      <c r="C17" s="565"/>
      <c r="D17" s="412"/>
      <c r="E17" s="412"/>
      <c r="F17" s="472"/>
      <c r="G17" s="472"/>
      <c r="H17" s="472"/>
    </row>
    <row r="18" spans="1:13" x14ac:dyDescent="0.3">
      <c r="A18" s="5"/>
      <c r="B18" s="18"/>
      <c r="C18" s="17"/>
      <c r="D18" s="18"/>
      <c r="E18" s="18"/>
      <c r="F18" s="6"/>
      <c r="G18" s="6"/>
      <c r="H18" s="6"/>
    </row>
    <row r="19" spans="1:13" x14ac:dyDescent="0.3">
      <c r="A19" s="9"/>
      <c r="B19" s="5" t="s">
        <v>1</v>
      </c>
      <c r="F19" s="5" t="s">
        <v>415</v>
      </c>
      <c r="L19" s="29"/>
      <c r="M19" s="29"/>
    </row>
    <row r="20" spans="1:13" x14ac:dyDescent="0.3">
      <c r="A20" s="9"/>
      <c r="B20" s="28" t="s">
        <v>35</v>
      </c>
      <c r="C20" s="161">
        <f>C13/(1+C15)^C14</f>
        <v>548.46831652792127</v>
      </c>
      <c r="F20" s="34">
        <f>C14</f>
        <v>5</v>
      </c>
      <c r="G20" s="69">
        <f>C15*100</f>
        <v>5</v>
      </c>
      <c r="I20" s="34" t="s">
        <v>0</v>
      </c>
      <c r="J20" s="56">
        <f>-C13</f>
        <v>-700</v>
      </c>
      <c r="L20" s="29"/>
      <c r="M20" s="29"/>
    </row>
    <row r="21" spans="1:13" x14ac:dyDescent="0.3">
      <c r="A21" s="9"/>
      <c r="F21" s="34" t="s">
        <v>13</v>
      </c>
      <c r="G21" s="34" t="s">
        <v>98</v>
      </c>
      <c r="H21" s="34" t="s">
        <v>14</v>
      </c>
      <c r="I21" s="34" t="s">
        <v>16</v>
      </c>
      <c r="J21" s="34" t="s">
        <v>17</v>
      </c>
    </row>
    <row r="22" spans="1:13" x14ac:dyDescent="0.3">
      <c r="A22" s="9"/>
      <c r="C22" s="18"/>
      <c r="D22" s="18"/>
      <c r="E22" s="18"/>
      <c r="H22" s="162">
        <f>PV(G20/100,F20,,J20)</f>
        <v>548.46831652792127</v>
      </c>
    </row>
    <row r="23" spans="1:13" x14ac:dyDescent="0.3">
      <c r="A23" s="16"/>
      <c r="B23" s="6"/>
      <c r="C23" s="18"/>
      <c r="D23" s="18"/>
      <c r="E23" s="18"/>
      <c r="F23" s="36"/>
      <c r="H23" s="34"/>
      <c r="I23" s="34"/>
      <c r="J23" s="34"/>
    </row>
    <row r="24" spans="1:13" x14ac:dyDescent="0.3">
      <c r="A24" s="16"/>
      <c r="B24" s="18"/>
      <c r="C24" s="18"/>
      <c r="D24" s="18"/>
      <c r="E24" s="18"/>
      <c r="F24" s="16"/>
      <c r="G24" s="16"/>
    </row>
    <row r="25" spans="1:13" ht="31.5" customHeight="1" x14ac:dyDescent="0.3">
      <c r="A25" s="16"/>
      <c r="B25" s="18"/>
      <c r="C25" s="18"/>
      <c r="D25" s="18"/>
      <c r="E25" s="18"/>
      <c r="F25" s="18"/>
      <c r="G25" s="16"/>
      <c r="H25" s="16"/>
    </row>
    <row r="26" spans="1:13" ht="31.5" customHeight="1" x14ac:dyDescent="0.3">
      <c r="A26" s="16"/>
      <c r="F26" s="18"/>
      <c r="G26" s="16"/>
      <c r="H26" s="16"/>
    </row>
    <row r="27" spans="1:13" x14ac:dyDescent="0.3">
      <c r="A27" s="16"/>
      <c r="F27" s="18"/>
      <c r="G27" s="16"/>
      <c r="H27" s="16"/>
    </row>
    <row r="28" spans="1:13" x14ac:dyDescent="0.3">
      <c r="A28" s="16"/>
      <c r="F28" s="18"/>
      <c r="G28" s="16"/>
      <c r="H28" s="16"/>
    </row>
    <row r="29" spans="1:13" x14ac:dyDescent="0.3">
      <c r="A29" s="16"/>
      <c r="F29" s="18"/>
      <c r="G29" s="16"/>
      <c r="H29" s="16"/>
    </row>
    <row r="30" spans="1:13" x14ac:dyDescent="0.3">
      <c r="F30" s="18"/>
    </row>
    <row r="31" spans="1:13" x14ac:dyDescent="0.3">
      <c r="F31" s="18"/>
    </row>
    <row r="32" spans="1:13" x14ac:dyDescent="0.3">
      <c r="F32" s="18"/>
    </row>
    <row r="33" spans="6:6" x14ac:dyDescent="0.3">
      <c r="F33" s="18"/>
    </row>
  </sheetData>
  <mergeCells count="4">
    <mergeCell ref="B9:I9"/>
    <mergeCell ref="B10:H10"/>
    <mergeCell ref="B8:H8"/>
    <mergeCell ref="B4:H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29"/>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7" width="9.109375" style="28"/>
    <col min="8" max="8" width="10.6640625" style="28" customWidth="1"/>
    <col min="9" max="16384" width="9.109375" style="28"/>
  </cols>
  <sheetData>
    <row r="1" spans="1:34" x14ac:dyDescent="0.3">
      <c r="A1" s="5" t="s">
        <v>550</v>
      </c>
      <c r="B1" s="5"/>
    </row>
    <row r="2" spans="1:34" s="89" customFormat="1" x14ac:dyDescent="0.3">
      <c r="A2" s="370"/>
      <c r="B2" s="370"/>
    </row>
    <row r="3" spans="1:34" x14ac:dyDescent="0.3">
      <c r="A3" s="5" t="s">
        <v>0</v>
      </c>
      <c r="B3" s="5" t="s">
        <v>268</v>
      </c>
    </row>
    <row r="4" spans="1:34" ht="15" customHeight="1" x14ac:dyDescent="0.3">
      <c r="A4" s="2"/>
      <c r="B4" s="572" t="s">
        <v>274</v>
      </c>
      <c r="C4" s="572"/>
      <c r="D4" s="572"/>
      <c r="E4" s="572"/>
      <c r="F4" s="572"/>
      <c r="G4" s="572"/>
      <c r="H4" s="572"/>
      <c r="I4" s="572"/>
      <c r="J4" s="572"/>
    </row>
    <row r="5" spans="1:34" ht="15" customHeight="1" x14ac:dyDescent="0.3">
      <c r="A5" s="2"/>
      <c r="B5" s="374"/>
      <c r="C5" s="374"/>
      <c r="D5" s="374"/>
      <c r="E5" s="374"/>
      <c r="F5" s="374"/>
      <c r="G5" s="374"/>
      <c r="H5" s="374"/>
      <c r="I5" s="374"/>
      <c r="J5" s="374"/>
    </row>
    <row r="6" spans="1:34" ht="15" customHeight="1" x14ac:dyDescent="0.3">
      <c r="A6" s="2"/>
      <c r="B6" s="374" t="s">
        <v>340</v>
      </c>
      <c r="C6" s="374" t="s">
        <v>341</v>
      </c>
      <c r="D6" s="374"/>
      <c r="E6" s="374"/>
      <c r="F6" s="374"/>
      <c r="G6" s="374"/>
      <c r="H6" s="374"/>
      <c r="I6" s="374"/>
      <c r="J6" s="374"/>
    </row>
    <row r="7" spans="1:34" ht="15" customHeight="1" x14ac:dyDescent="0.3">
      <c r="A7" s="2"/>
      <c r="B7" s="377">
        <v>1</v>
      </c>
      <c r="C7" s="430">
        <v>200</v>
      </c>
      <c r="D7" s="374"/>
      <c r="E7" s="374"/>
      <c r="F7" s="374"/>
      <c r="G7" s="374"/>
      <c r="H7" s="374"/>
      <c r="I7" s="374"/>
      <c r="J7" s="374"/>
    </row>
    <row r="8" spans="1:34" ht="15" customHeight="1" x14ac:dyDescent="0.3">
      <c r="A8" s="2"/>
      <c r="B8" s="377">
        <v>2</v>
      </c>
      <c r="C8" s="430">
        <v>400</v>
      </c>
      <c r="D8" s="374"/>
      <c r="E8" s="374"/>
      <c r="F8" s="374"/>
      <c r="G8" s="374"/>
      <c r="H8" s="374"/>
      <c r="I8" s="374"/>
      <c r="J8" s="374"/>
    </row>
    <row r="9" spans="1:34" ht="15" customHeight="1" x14ac:dyDescent="0.3">
      <c r="A9" s="2"/>
      <c r="B9" s="377">
        <v>3</v>
      </c>
      <c r="C9" s="430">
        <v>300</v>
      </c>
      <c r="D9" s="374"/>
      <c r="E9" s="374"/>
      <c r="F9" s="374"/>
      <c r="G9" s="374"/>
      <c r="H9" s="374"/>
      <c r="I9" s="374"/>
      <c r="J9" s="374"/>
    </row>
    <row r="10" spans="1:34" ht="15" customHeight="1" x14ac:dyDescent="0.3">
      <c r="A10" s="2"/>
      <c r="B10" s="377"/>
      <c r="C10" s="430"/>
      <c r="D10" s="374"/>
      <c r="E10" s="374"/>
      <c r="F10" s="374"/>
      <c r="G10" s="374"/>
      <c r="H10" s="374"/>
      <c r="I10" s="374"/>
      <c r="J10" s="374"/>
    </row>
    <row r="11" spans="1:34" s="89" customFormat="1" ht="15" customHeight="1" x14ac:dyDescent="0.3">
      <c r="A11" s="358"/>
      <c r="B11" s="426"/>
      <c r="C11" s="426"/>
      <c r="D11" s="426"/>
      <c r="E11" s="426"/>
      <c r="F11" s="426"/>
      <c r="G11" s="426"/>
      <c r="H11" s="426"/>
      <c r="I11" s="426"/>
      <c r="J11" s="426"/>
    </row>
    <row r="12" spans="1:34" ht="15" customHeight="1" x14ac:dyDescent="0.3">
      <c r="A12" s="2"/>
      <c r="B12" s="374"/>
      <c r="C12" s="374"/>
      <c r="D12" s="374"/>
      <c r="E12" s="374"/>
      <c r="F12" s="374"/>
      <c r="G12" s="374"/>
      <c r="H12" s="374"/>
      <c r="I12" s="374"/>
      <c r="J12" s="374"/>
    </row>
    <row r="13" spans="1:34" ht="15" customHeight="1" x14ac:dyDescent="0.3">
      <c r="A13" s="2"/>
      <c r="B13" s="580" t="s">
        <v>265</v>
      </c>
      <c r="C13" s="580"/>
      <c r="D13" s="580"/>
      <c r="E13" s="580"/>
      <c r="F13" s="580"/>
      <c r="G13" s="580"/>
      <c r="H13" s="580"/>
      <c r="I13" s="429"/>
      <c r="J13" s="355"/>
    </row>
    <row r="14" spans="1:34" ht="15" customHeight="1" x14ac:dyDescent="0.3">
      <c r="A14" s="2"/>
      <c r="B14" s="570" t="s">
        <v>266</v>
      </c>
      <c r="C14" s="570"/>
      <c r="D14" s="570"/>
      <c r="E14" s="570"/>
      <c r="F14" s="570"/>
      <c r="G14" s="570"/>
      <c r="H14" s="570"/>
      <c r="I14" s="570"/>
      <c r="J14" s="355"/>
    </row>
    <row r="15" spans="1:34" ht="15" customHeight="1" x14ac:dyDescent="0.3">
      <c r="A15" s="2"/>
      <c r="B15" s="571" t="s">
        <v>267</v>
      </c>
      <c r="C15" s="571"/>
      <c r="D15" s="571"/>
      <c r="E15" s="571"/>
      <c r="F15" s="571"/>
      <c r="G15" s="571"/>
      <c r="H15" s="571"/>
      <c r="I15" s="355"/>
      <c r="J15" s="355"/>
    </row>
    <row r="16" spans="1:34" s="25" customFormat="1" x14ac:dyDescent="0.3">
      <c r="A16" s="40"/>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row>
    <row r="17" spans="1:12" x14ac:dyDescent="0.3">
      <c r="B17" s="85" t="s">
        <v>56</v>
      </c>
    </row>
    <row r="18" spans="1:12" s="25" customFormat="1" x14ac:dyDescent="0.3">
      <c r="A18" s="40"/>
      <c r="B18" s="76" t="s">
        <v>28</v>
      </c>
      <c r="C18" s="165">
        <v>0.06</v>
      </c>
      <c r="D18"/>
      <c r="E18"/>
      <c r="F18" s="41"/>
      <c r="G18" s="41"/>
      <c r="H18" s="41"/>
    </row>
    <row r="19" spans="1:12" s="25" customFormat="1" x14ac:dyDescent="0.3">
      <c r="A19" s="40"/>
      <c r="B19" s="76" t="s">
        <v>105</v>
      </c>
      <c r="C19" s="164">
        <v>200</v>
      </c>
      <c r="D19"/>
      <c r="E19"/>
      <c r="F19" s="41"/>
      <c r="G19" s="41"/>
      <c r="H19" s="41"/>
    </row>
    <row r="20" spans="1:12" s="25" customFormat="1" x14ac:dyDescent="0.3">
      <c r="A20" s="40"/>
      <c r="B20" s="76" t="s">
        <v>106</v>
      </c>
      <c r="C20" s="164">
        <v>400</v>
      </c>
      <c r="D20"/>
      <c r="E20"/>
      <c r="F20" s="41"/>
      <c r="G20" s="41"/>
      <c r="H20" s="41"/>
    </row>
    <row r="21" spans="1:12" s="25" customFormat="1" x14ac:dyDescent="0.3">
      <c r="A21" s="40"/>
      <c r="B21" s="76" t="s">
        <v>107</v>
      </c>
      <c r="C21" s="164">
        <v>300</v>
      </c>
      <c r="D21"/>
      <c r="E21"/>
      <c r="F21" s="41"/>
      <c r="G21" s="41"/>
      <c r="H21" s="41"/>
    </row>
    <row r="23" spans="1:12" s="89" customFormat="1" x14ac:dyDescent="0.3"/>
    <row r="24" spans="1:12" x14ac:dyDescent="0.3">
      <c r="A24" s="5"/>
      <c r="B24" s="6"/>
      <c r="C24" s="6"/>
      <c r="D24" s="6"/>
      <c r="E24" s="6"/>
      <c r="F24" s="6"/>
      <c r="G24" s="6"/>
      <c r="H24" s="6"/>
    </row>
    <row r="25" spans="1:12" x14ac:dyDescent="0.3">
      <c r="A25" s="9"/>
      <c r="B25" s="5" t="s">
        <v>1</v>
      </c>
      <c r="G25" s="5"/>
      <c r="L25" s="29"/>
    </row>
    <row r="26" spans="1:12" x14ac:dyDescent="0.3">
      <c r="A26" s="9"/>
      <c r="B26" s="28" t="s">
        <v>19</v>
      </c>
      <c r="C26" s="161">
        <f>C19/(1+C18)+C20/(1+C18)^2+C21/(1+C18)^3</f>
        <v>796.5636061984053</v>
      </c>
      <c r="G26" s="34"/>
      <c r="H26" s="34"/>
      <c r="I26" s="34"/>
      <c r="J26" s="34"/>
      <c r="K26" s="34"/>
      <c r="L26" s="29"/>
    </row>
    <row r="27" spans="1:12" ht="15" customHeight="1" x14ac:dyDescent="0.3">
      <c r="A27" s="9"/>
      <c r="G27" s="34"/>
      <c r="H27" s="34"/>
      <c r="I27" s="35"/>
      <c r="J27" s="34"/>
      <c r="K27" s="34"/>
    </row>
    <row r="28" spans="1:12" x14ac:dyDescent="0.3">
      <c r="B28" s="18"/>
      <c r="C28" s="18"/>
      <c r="D28" s="18"/>
      <c r="E28" s="18"/>
      <c r="F28" s="18"/>
    </row>
    <row r="29" spans="1:12" x14ac:dyDescent="0.3">
      <c r="B29" s="18"/>
      <c r="C29" s="18"/>
      <c r="D29" s="18"/>
      <c r="E29" s="18"/>
      <c r="F29" s="18"/>
    </row>
  </sheetData>
  <mergeCells count="4">
    <mergeCell ref="B4:J4"/>
    <mergeCell ref="B14:I14"/>
    <mergeCell ref="B15:H15"/>
    <mergeCell ref="B13:H1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
  <dimension ref="A1:AH30"/>
  <sheetViews>
    <sheetView workbookViewId="0">
      <selection activeCell="K33" sqref="K33"/>
    </sheetView>
  </sheetViews>
  <sheetFormatPr defaultColWidth="9.109375" defaultRowHeight="14.4" x14ac:dyDescent="0.3"/>
  <cols>
    <col min="1" max="1" width="16.5546875" style="28" customWidth="1"/>
    <col min="2" max="2" width="22.88671875" style="28" customWidth="1"/>
    <col min="3" max="3" width="12.5546875" style="28" bestFit="1" customWidth="1"/>
    <col min="4" max="4" width="15.6640625" style="28" customWidth="1"/>
    <col min="5" max="5" width="11.109375" style="28" customWidth="1"/>
    <col min="6" max="8" width="9.109375" style="28"/>
    <col min="9" max="9" width="14.5546875" style="28" customWidth="1"/>
    <col min="10" max="16384" width="9.109375" style="28"/>
  </cols>
  <sheetData>
    <row r="1" spans="1:34" x14ac:dyDescent="0.3">
      <c r="A1" s="5" t="s">
        <v>549</v>
      </c>
      <c r="B1" s="5"/>
    </row>
    <row r="2" spans="1:34" s="89" customFormat="1" x14ac:dyDescent="0.3">
      <c r="A2" s="370"/>
      <c r="B2" s="370"/>
    </row>
    <row r="3" spans="1:34" x14ac:dyDescent="0.3">
      <c r="A3" s="5" t="s">
        <v>0</v>
      </c>
      <c r="B3" s="5" t="s">
        <v>268</v>
      </c>
    </row>
    <row r="4" spans="1:34" ht="41.25" customHeight="1" x14ac:dyDescent="0.3">
      <c r="A4" s="2"/>
      <c r="B4" s="572" t="s">
        <v>342</v>
      </c>
      <c r="C4" s="572"/>
      <c r="D4" s="572"/>
      <c r="E4" s="572"/>
      <c r="F4" s="572"/>
      <c r="G4" s="572"/>
    </row>
    <row r="5" spans="1:34" ht="15" customHeight="1" x14ac:dyDescent="0.3">
      <c r="A5" s="2"/>
      <c r="B5" s="93" t="s">
        <v>20</v>
      </c>
      <c r="C5" s="432" t="s">
        <v>21</v>
      </c>
      <c r="D5" s="433" t="s">
        <v>22</v>
      </c>
      <c r="F5" s="27"/>
      <c r="G5" s="27"/>
    </row>
    <row r="6" spans="1:34" ht="15" customHeight="1" x14ac:dyDescent="0.3">
      <c r="A6" s="2"/>
      <c r="B6" s="431">
        <v>400</v>
      </c>
      <c r="C6" s="332">
        <v>11</v>
      </c>
      <c r="D6" s="331">
        <v>684</v>
      </c>
      <c r="F6" s="27"/>
      <c r="G6" s="357"/>
      <c r="H6" s="357"/>
      <c r="I6" s="357"/>
      <c r="J6" s="357"/>
      <c r="K6" s="357"/>
      <c r="L6" s="357"/>
      <c r="M6" s="357"/>
      <c r="N6" s="357"/>
      <c r="O6" s="357"/>
      <c r="P6" s="357"/>
      <c r="Q6" s="357"/>
      <c r="R6" s="357"/>
      <c r="S6" s="357"/>
      <c r="T6" s="357"/>
      <c r="U6" s="357"/>
      <c r="V6" s="357"/>
      <c r="W6" s="357"/>
      <c r="X6" s="357"/>
      <c r="Y6" s="357"/>
      <c r="Z6" s="27"/>
    </row>
    <row r="7" spans="1:34" ht="15" customHeight="1" x14ac:dyDescent="0.3">
      <c r="A7" s="2"/>
      <c r="B7" s="431">
        <v>183</v>
      </c>
      <c r="C7" s="332">
        <v>4</v>
      </c>
      <c r="D7" s="331">
        <v>249</v>
      </c>
      <c r="F7" s="27"/>
      <c r="G7" s="357"/>
      <c r="H7" s="357"/>
      <c r="I7" s="357"/>
      <c r="J7" s="357"/>
      <c r="K7" s="357"/>
      <c r="L7" s="357"/>
      <c r="M7" s="357"/>
      <c r="N7" s="357"/>
      <c r="O7" s="357"/>
      <c r="P7" s="357"/>
      <c r="Q7" s="357"/>
      <c r="R7" s="357"/>
      <c r="S7" s="357"/>
      <c r="T7" s="357"/>
      <c r="U7" s="357"/>
      <c r="V7" s="357"/>
      <c r="W7" s="357"/>
      <c r="X7" s="357"/>
      <c r="Y7" s="357"/>
      <c r="Z7" s="27"/>
    </row>
    <row r="8" spans="1:34" s="25" customFormat="1" x14ac:dyDescent="0.3">
      <c r="A8" s="40"/>
      <c r="B8" s="431">
        <v>300</v>
      </c>
      <c r="C8" s="332">
        <v>7</v>
      </c>
      <c r="D8" s="331">
        <v>300</v>
      </c>
      <c r="F8" s="41"/>
      <c r="G8" s="41"/>
    </row>
    <row r="9" spans="1:34" s="25" customFormat="1" x14ac:dyDescent="0.3">
      <c r="A9" s="40"/>
      <c r="B9" s="431"/>
      <c r="C9" s="332"/>
      <c r="D9" s="331"/>
      <c r="F9" s="41"/>
      <c r="G9" s="41"/>
    </row>
    <row r="10" spans="1:34" s="373" customFormat="1" ht="15" customHeight="1" x14ac:dyDescent="0.3">
      <c r="B10" s="412"/>
      <c r="C10" s="438"/>
      <c r="D10" s="438"/>
      <c r="E10" s="438"/>
      <c r="F10" s="412"/>
    </row>
    <row r="11" spans="1:34" ht="17.25" customHeight="1" x14ac:dyDescent="0.3">
      <c r="A11" s="2"/>
      <c r="B11" s="374"/>
      <c r="C11" s="374"/>
      <c r="D11" s="374"/>
      <c r="E11" s="374"/>
      <c r="F11" s="374"/>
      <c r="G11" s="374"/>
      <c r="H11" s="374"/>
      <c r="I11" s="374"/>
      <c r="J11" s="374"/>
    </row>
    <row r="12" spans="1:34" ht="17.25" customHeight="1" x14ac:dyDescent="0.3">
      <c r="A12" s="2"/>
      <c r="B12" s="573" t="s">
        <v>265</v>
      </c>
      <c r="C12" s="573"/>
      <c r="D12" s="573"/>
      <c r="E12" s="573"/>
      <c r="F12" s="573"/>
      <c r="G12" s="573"/>
      <c r="H12" s="573"/>
      <c r="I12" s="429"/>
      <c r="J12" s="375"/>
    </row>
    <row r="13" spans="1:34" ht="17.25" customHeight="1" x14ac:dyDescent="0.3">
      <c r="A13" s="2"/>
      <c r="B13" s="570" t="s">
        <v>266</v>
      </c>
      <c r="C13" s="570"/>
      <c r="D13" s="570"/>
      <c r="E13" s="570"/>
      <c r="F13" s="570"/>
      <c r="G13" s="570"/>
      <c r="H13" s="570"/>
      <c r="I13" s="570"/>
      <c r="J13" s="375"/>
    </row>
    <row r="14" spans="1:34" ht="17.25" customHeight="1" x14ac:dyDescent="0.3">
      <c r="A14" s="2"/>
      <c r="B14" s="571" t="s">
        <v>267</v>
      </c>
      <c r="C14" s="571"/>
      <c r="D14" s="571"/>
      <c r="E14" s="571"/>
      <c r="F14" s="571"/>
      <c r="G14" s="571"/>
      <c r="H14" s="571"/>
      <c r="I14" s="375"/>
      <c r="J14" s="375"/>
    </row>
    <row r="15" spans="1:34" s="25" customFormat="1" ht="17.25" customHeight="1" x14ac:dyDescent="0.3">
      <c r="A15" s="40"/>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row>
    <row r="16" spans="1:34" ht="17.25" customHeight="1" x14ac:dyDescent="0.3">
      <c r="B16" s="85" t="s">
        <v>56</v>
      </c>
    </row>
    <row r="17" spans="1:6" ht="17.25" customHeight="1" x14ac:dyDescent="0.3">
      <c r="B17" s="434" t="s">
        <v>35</v>
      </c>
      <c r="C17" s="23" t="s">
        <v>21</v>
      </c>
      <c r="D17" s="23" t="s">
        <v>22</v>
      </c>
    </row>
    <row r="18" spans="1:6" ht="17.25" customHeight="1" x14ac:dyDescent="0.3">
      <c r="B18" s="435">
        <v>400</v>
      </c>
      <c r="C18" s="23">
        <v>11</v>
      </c>
      <c r="D18" s="436">
        <v>684</v>
      </c>
    </row>
    <row r="19" spans="1:6" ht="17.25" customHeight="1" x14ac:dyDescent="0.3">
      <c r="B19" s="435">
        <v>183</v>
      </c>
      <c r="C19" s="23">
        <v>4</v>
      </c>
      <c r="D19" s="436">
        <v>249</v>
      </c>
    </row>
    <row r="20" spans="1:6" ht="17.25" customHeight="1" x14ac:dyDescent="0.3">
      <c r="B20" s="435">
        <v>300</v>
      </c>
      <c r="C20" s="23">
        <v>7</v>
      </c>
      <c r="D20" s="436">
        <v>300</v>
      </c>
    </row>
    <row r="21" spans="1:6" x14ac:dyDescent="0.3">
      <c r="B21" s="85"/>
    </row>
    <row r="22" spans="1:6" s="89" customFormat="1" x14ac:dyDescent="0.3">
      <c r="B22" s="437"/>
    </row>
    <row r="23" spans="1:6" x14ac:dyDescent="0.3">
      <c r="B23" s="85"/>
    </row>
    <row r="24" spans="1:6" x14ac:dyDescent="0.3">
      <c r="A24" s="9"/>
      <c r="B24" s="5" t="s">
        <v>1</v>
      </c>
    </row>
    <row r="25" spans="1:6" ht="20.25" customHeight="1" x14ac:dyDescent="0.3">
      <c r="A25" s="9"/>
      <c r="B25" s="28" t="s">
        <v>60</v>
      </c>
      <c r="C25" s="167">
        <f>(D6/B6)^(1/C6)-1</f>
        <v>4.9981058614789298E-2</v>
      </c>
    </row>
    <row r="26" spans="1:6" x14ac:dyDescent="0.3">
      <c r="A26" s="9"/>
      <c r="B26" s="28" t="s">
        <v>60</v>
      </c>
      <c r="C26" s="167">
        <f>(D7/B7)^(1/C7)-1</f>
        <v>8.0033096858389108E-2</v>
      </c>
    </row>
    <row r="27" spans="1:6" x14ac:dyDescent="0.3">
      <c r="A27" s="9"/>
      <c r="B27" s="28" t="s">
        <v>60</v>
      </c>
      <c r="C27" s="167">
        <f>(D8/B8)^(1/C8)-1</f>
        <v>0</v>
      </c>
    </row>
    <row r="28" spans="1:6" ht="15" customHeight="1" x14ac:dyDescent="0.3">
      <c r="A28" s="9"/>
    </row>
    <row r="29" spans="1:6" x14ac:dyDescent="0.3">
      <c r="B29" s="18"/>
      <c r="C29" s="18"/>
      <c r="D29" s="18"/>
      <c r="E29" s="18"/>
      <c r="F29" s="18"/>
    </row>
    <row r="30" spans="1:6" x14ac:dyDescent="0.3">
      <c r="B30" s="18"/>
      <c r="C30" s="18"/>
      <c r="D30" s="18"/>
      <c r="E30" s="18"/>
      <c r="F30" s="18"/>
    </row>
  </sheetData>
  <mergeCells count="4">
    <mergeCell ref="B4:G4"/>
    <mergeCell ref="B12:H12"/>
    <mergeCell ref="B13:I13"/>
    <mergeCell ref="B14:H14"/>
  </mergeCells>
  <pageMargins left="0.7" right="0.7" top="0.75" bottom="0.75" header="0.3" footer="0.3"/>
  <pageSetup orientation="portrait" r:id="rId1"/>
  <drawing r:id="rId2"/>
  <legacyDrawing r:id="rId3"/>
  <controls>
    <mc:AlternateContent xmlns:mc="http://schemas.openxmlformats.org/markup-compatibility/2006">
      <mc:Choice Requires="x14">
        <control shapeId="37889" r:id="rId4" name="Control 1">
          <controlPr defaultSize="0" r:id="rId5">
            <anchor moveWithCells="1">
              <from>
                <xdr:col>25</xdr:col>
                <xdr:colOff>487680</xdr:colOff>
                <xdr:row>5</xdr:row>
                <xdr:rowOff>15240</xdr:rowOff>
              </from>
              <to>
                <xdr:col>26</xdr:col>
                <xdr:colOff>426720</xdr:colOff>
                <xdr:row>6</xdr:row>
                <xdr:rowOff>60960</xdr:rowOff>
              </to>
            </anchor>
          </controlPr>
        </control>
      </mc:Choice>
      <mc:Fallback>
        <control shapeId="37889" r:id="rId4" name="Control 1"/>
      </mc:Fallback>
    </mc:AlternateContent>
    <mc:AlternateContent xmlns:mc="http://schemas.openxmlformats.org/markup-compatibility/2006">
      <mc:Choice Requires="x14">
        <control shapeId="37890" r:id="rId6" name="Control 2">
          <controlPr defaultSize="0" r:id="rId5">
            <anchor moveWithCells="1">
              <from>
                <xdr:col>25</xdr:col>
                <xdr:colOff>487680</xdr:colOff>
                <xdr:row>6</xdr:row>
                <xdr:rowOff>15240</xdr:rowOff>
              </from>
              <to>
                <xdr:col>26</xdr:col>
                <xdr:colOff>426720</xdr:colOff>
                <xdr:row>7</xdr:row>
                <xdr:rowOff>60960</xdr:rowOff>
              </to>
            </anchor>
          </controlPr>
        </control>
      </mc:Choice>
      <mc:Fallback>
        <control shapeId="37890" r:id="rId6" name="Control 2"/>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
  <dimension ref="A1:AJ45"/>
  <sheetViews>
    <sheetView workbookViewId="0"/>
  </sheetViews>
  <sheetFormatPr defaultColWidth="9.109375" defaultRowHeight="14.4" x14ac:dyDescent="0.3"/>
  <cols>
    <col min="1" max="1" width="16.5546875" style="28" customWidth="1"/>
    <col min="2" max="2" width="22.6640625" style="28" customWidth="1"/>
    <col min="3" max="3" width="15.6640625" style="28" customWidth="1"/>
    <col min="4" max="4" width="19.109375" style="28" customWidth="1"/>
    <col min="5" max="7" width="9.109375" style="28"/>
    <col min="8" max="8" width="11.5546875" style="28" bestFit="1" customWidth="1"/>
    <col min="9" max="16384" width="9.109375" style="28"/>
  </cols>
  <sheetData>
    <row r="1" spans="1:34" x14ac:dyDescent="0.3">
      <c r="A1" s="5" t="s">
        <v>548</v>
      </c>
      <c r="B1" s="5"/>
    </row>
    <row r="2" spans="1:34" s="89" customFormat="1" x14ac:dyDescent="0.3">
      <c r="A2" s="370"/>
      <c r="B2" s="370"/>
    </row>
    <row r="3" spans="1:34" x14ac:dyDescent="0.3">
      <c r="A3" s="5" t="s">
        <v>0</v>
      </c>
      <c r="B3" s="5" t="s">
        <v>268</v>
      </c>
    </row>
    <row r="4" spans="1:34" ht="15" customHeight="1" x14ac:dyDescent="0.3">
      <c r="A4" s="2"/>
      <c r="B4" s="572" t="s">
        <v>343</v>
      </c>
      <c r="C4" s="572"/>
      <c r="D4" s="572"/>
      <c r="E4" s="572"/>
      <c r="F4" s="572"/>
    </row>
    <row r="6" spans="1:34" ht="15" customHeight="1" x14ac:dyDescent="0.3">
      <c r="A6" s="2"/>
      <c r="B6" s="439" t="s">
        <v>35</v>
      </c>
      <c r="C6" s="439" t="s">
        <v>261</v>
      </c>
      <c r="D6" s="439" t="s">
        <v>344</v>
      </c>
      <c r="E6" s="374"/>
      <c r="F6" s="374"/>
    </row>
    <row r="7" spans="1:34" ht="15" customHeight="1" x14ac:dyDescent="0.3">
      <c r="A7" s="2"/>
      <c r="B7" s="441">
        <v>100</v>
      </c>
      <c r="C7" s="440">
        <v>115.76</v>
      </c>
      <c r="D7" s="439">
        <v>3</v>
      </c>
      <c r="E7" s="374"/>
      <c r="F7" s="374"/>
    </row>
    <row r="8" spans="1:34" ht="15" customHeight="1" x14ac:dyDescent="0.3">
      <c r="A8" s="2"/>
      <c r="B8" s="441">
        <v>200</v>
      </c>
      <c r="C8" s="440">
        <v>262.16000000000003</v>
      </c>
      <c r="D8" s="439">
        <v>4</v>
      </c>
      <c r="E8" s="374"/>
      <c r="F8" s="374"/>
    </row>
    <row r="9" spans="1:34" ht="15" customHeight="1" x14ac:dyDescent="0.3">
      <c r="A9" s="2"/>
      <c r="B9" s="441">
        <v>100</v>
      </c>
      <c r="C9" s="440">
        <v>110.41</v>
      </c>
      <c r="D9" s="439">
        <v>5</v>
      </c>
      <c r="E9" s="374"/>
      <c r="F9" s="374"/>
    </row>
    <row r="10" spans="1:34" ht="15" customHeight="1" x14ac:dyDescent="0.3">
      <c r="A10" s="2"/>
      <c r="B10" s="441"/>
      <c r="C10" s="440"/>
      <c r="D10" s="439"/>
      <c r="E10" s="374"/>
      <c r="F10" s="374"/>
    </row>
    <row r="11" spans="1:34" s="89" customFormat="1" ht="15" customHeight="1" x14ac:dyDescent="0.3">
      <c r="A11" s="358"/>
      <c r="B11" s="442"/>
      <c r="C11" s="443"/>
      <c r="D11" s="444"/>
      <c r="E11" s="426"/>
      <c r="F11" s="426"/>
    </row>
    <row r="12" spans="1:34" ht="17.25" customHeight="1" x14ac:dyDescent="0.3">
      <c r="A12" s="2"/>
      <c r="B12" s="374"/>
      <c r="C12" s="374"/>
      <c r="D12" s="374"/>
      <c r="E12" s="374"/>
      <c r="F12" s="374"/>
      <c r="G12" s="374"/>
      <c r="H12" s="374"/>
      <c r="I12" s="374"/>
      <c r="J12" s="374"/>
    </row>
    <row r="13" spans="1:34" ht="17.25" customHeight="1" x14ac:dyDescent="0.3">
      <c r="A13" s="2"/>
      <c r="B13" s="573" t="s">
        <v>265</v>
      </c>
      <c r="C13" s="573"/>
      <c r="D13" s="573"/>
      <c r="E13" s="573"/>
      <c r="F13" s="573"/>
      <c r="G13" s="573"/>
      <c r="H13" s="429"/>
      <c r="I13" s="429"/>
      <c r="J13" s="375"/>
    </row>
    <row r="14" spans="1:34" ht="17.25" customHeight="1" x14ac:dyDescent="0.3">
      <c r="A14" s="2"/>
      <c r="B14" s="570" t="s">
        <v>266</v>
      </c>
      <c r="C14" s="570"/>
      <c r="D14" s="570"/>
      <c r="E14" s="570"/>
      <c r="F14" s="570"/>
      <c r="G14" s="570"/>
      <c r="H14" s="570"/>
      <c r="I14" s="570"/>
      <c r="J14" s="375"/>
    </row>
    <row r="15" spans="1:34" ht="17.25" customHeight="1" x14ac:dyDescent="0.3">
      <c r="A15" s="2"/>
      <c r="B15" s="571" t="s">
        <v>267</v>
      </c>
      <c r="C15" s="571"/>
      <c r="D15" s="571"/>
      <c r="E15" s="571"/>
      <c r="F15" s="571"/>
      <c r="G15" s="571"/>
      <c r="H15" s="571"/>
      <c r="I15" s="375"/>
      <c r="J15" s="375"/>
    </row>
    <row r="16" spans="1:34" s="25" customFormat="1" ht="17.25" customHeight="1" x14ac:dyDescent="0.3">
      <c r="A16" s="40"/>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row>
    <row r="17" spans="1:36" ht="17.25" customHeight="1" x14ac:dyDescent="0.3">
      <c r="B17" s="85" t="s">
        <v>56</v>
      </c>
    </row>
    <row r="18" spans="1:36" ht="15" customHeight="1" x14ac:dyDescent="0.3">
      <c r="A18" s="2"/>
      <c r="B18" s="432" t="s">
        <v>20</v>
      </c>
      <c r="C18" s="433" t="s">
        <v>22</v>
      </c>
      <c r="D18" s="432" t="s">
        <v>21</v>
      </c>
      <c r="E18" s="374"/>
      <c r="F18" s="374"/>
    </row>
    <row r="19" spans="1:36" ht="15" customHeight="1" x14ac:dyDescent="0.3">
      <c r="A19" s="2"/>
      <c r="B19" s="331">
        <v>100</v>
      </c>
      <c r="C19" s="445">
        <v>115.76</v>
      </c>
      <c r="D19" s="332">
        <v>3</v>
      </c>
      <c r="E19" s="374"/>
      <c r="F19" s="374"/>
      <c r="R19" s="27"/>
    </row>
    <row r="20" spans="1:36" ht="15" customHeight="1" x14ac:dyDescent="0.3">
      <c r="A20" s="2"/>
      <c r="B20" s="331">
        <v>200</v>
      </c>
      <c r="C20" s="445">
        <v>262.16000000000003</v>
      </c>
      <c r="D20" s="332">
        <v>4</v>
      </c>
      <c r="R20" s="27"/>
    </row>
    <row r="21" spans="1:36" ht="14.25" customHeight="1" x14ac:dyDescent="0.3">
      <c r="A21" s="2"/>
      <c r="B21" s="331">
        <v>100</v>
      </c>
      <c r="C21" s="445">
        <v>110.41</v>
      </c>
      <c r="D21" s="332">
        <v>5</v>
      </c>
      <c r="AI21" s="377"/>
    </row>
    <row r="22" spans="1:36" ht="14.25" customHeight="1" x14ac:dyDescent="0.3">
      <c r="A22" s="2"/>
      <c r="B22" s="331"/>
      <c r="C22" s="445"/>
      <c r="D22" s="332"/>
      <c r="AI22" s="377"/>
    </row>
    <row r="23" spans="1:36" ht="14.25" customHeight="1" x14ac:dyDescent="0.3">
      <c r="A23" s="2"/>
      <c r="B23" s="331"/>
      <c r="C23" s="445"/>
      <c r="D23" s="332"/>
      <c r="AI23" s="41"/>
      <c r="AJ23" s="25"/>
    </row>
    <row r="24" spans="1:36" s="25" customFormat="1" x14ac:dyDescent="0.3">
      <c r="A24" s="40"/>
      <c r="B24"/>
      <c r="M24" s="28"/>
      <c r="N24" s="28"/>
      <c r="O24" s="28"/>
      <c r="P24" s="28"/>
      <c r="Q24" s="28"/>
      <c r="R24" s="28"/>
      <c r="S24" s="28"/>
      <c r="T24" s="28"/>
    </row>
    <row r="25" spans="1:36" s="21" customFormat="1" x14ac:dyDescent="0.3">
      <c r="A25" s="7"/>
      <c r="B25" s="8"/>
      <c r="C25" s="39"/>
      <c r="D25" s="564"/>
      <c r="E25" s="89"/>
      <c r="F25" s="89"/>
      <c r="G25" s="89"/>
      <c r="H25" s="89"/>
      <c r="I25" s="89"/>
      <c r="J25" s="89"/>
      <c r="K25" s="89"/>
      <c r="L25" s="89"/>
    </row>
    <row r="26" spans="1:36" x14ac:dyDescent="0.3">
      <c r="A26" s="9"/>
      <c r="B26" s="5" t="s">
        <v>1</v>
      </c>
      <c r="E26" s="41"/>
      <c r="F26" s="25"/>
      <c r="G26" s="25"/>
      <c r="H26" s="25"/>
      <c r="I26" s="25"/>
      <c r="J26" s="25"/>
      <c r="K26" s="25"/>
      <c r="L26" s="25"/>
    </row>
    <row r="27" spans="1:36" x14ac:dyDescent="0.3">
      <c r="A27" s="9"/>
      <c r="B27" s="28" t="s">
        <v>60</v>
      </c>
      <c r="C27" s="167">
        <f>(C19/B19)^(1/D19)-1</f>
        <v>4.9992441366600637E-2</v>
      </c>
      <c r="E27" s="25"/>
      <c r="F27" s="25"/>
      <c r="G27" s="25"/>
      <c r="H27" s="25"/>
      <c r="I27" s="25"/>
      <c r="J27" s="25"/>
      <c r="K27" s="25"/>
      <c r="L27" s="25"/>
    </row>
    <row r="28" spans="1:36" x14ac:dyDescent="0.3">
      <c r="A28" s="9"/>
      <c r="B28" s="28" t="s">
        <v>60</v>
      </c>
      <c r="C28" s="167">
        <f>(C20/B20)^(1/D20)-1</f>
        <v>7.0000814256202748E-2</v>
      </c>
    </row>
    <row r="29" spans="1:36" x14ac:dyDescent="0.3">
      <c r="A29" s="9"/>
      <c r="B29" s="28" t="s">
        <v>60</v>
      </c>
      <c r="C29" s="167">
        <f>(C21/B21)^(1/D21)-1</f>
        <v>2.0003546950506434E-2</v>
      </c>
    </row>
    <row r="30" spans="1:36" ht="15" customHeight="1" x14ac:dyDescent="0.3">
      <c r="A30" s="9"/>
    </row>
    <row r="31" spans="1:36" x14ac:dyDescent="0.3">
      <c r="B31" s="18"/>
      <c r="C31" s="18"/>
      <c r="D31" s="18"/>
      <c r="F31" s="25"/>
      <c r="G31" s="25"/>
      <c r="H31" s="25"/>
      <c r="I31" s="25"/>
    </row>
    <row r="32" spans="1:36" x14ac:dyDescent="0.3">
      <c r="E32" s="18"/>
      <c r="G32" s="25"/>
      <c r="H32" s="25"/>
      <c r="I32" s="25"/>
      <c r="J32" s="25"/>
    </row>
    <row r="33" spans="6:11" x14ac:dyDescent="0.3">
      <c r="K33" s="25"/>
    </row>
    <row r="35" spans="6:11" x14ac:dyDescent="0.3">
      <c r="F35" s="25"/>
    </row>
    <row r="39" spans="6:11" x14ac:dyDescent="0.3">
      <c r="F39" s="25"/>
    </row>
    <row r="40" spans="6:11" x14ac:dyDescent="0.3">
      <c r="F40" s="21"/>
    </row>
    <row r="45" spans="6:11" x14ac:dyDescent="0.3">
      <c r="F45" s="34"/>
    </row>
  </sheetData>
  <mergeCells count="4">
    <mergeCell ref="B4:F4"/>
    <mergeCell ref="B14:I14"/>
    <mergeCell ref="B15:H15"/>
    <mergeCell ref="B13:G13"/>
  </mergeCells>
  <pageMargins left="0.7" right="0.7" top="0.75" bottom="0.75" header="0.3" footer="0.3"/>
  <pageSetup orientation="portrait" r:id="rId1"/>
  <drawing r:id="rId2"/>
  <legacyDrawing r:id="rId3"/>
  <controls>
    <mc:AlternateContent xmlns:mc="http://schemas.openxmlformats.org/markup-compatibility/2006">
      <mc:Choice Requires="x14">
        <control shapeId="38913" r:id="rId4" name="Control 1">
          <controlPr defaultSize="0" r:id="rId5">
            <anchor moveWithCells="1">
              <from>
                <xdr:col>22</xdr:col>
                <xdr:colOff>502920</xdr:colOff>
                <xdr:row>20</xdr:row>
                <xdr:rowOff>60960</xdr:rowOff>
              </from>
              <to>
                <xdr:col>23</xdr:col>
                <xdr:colOff>365760</xdr:colOff>
                <xdr:row>21</xdr:row>
                <xdr:rowOff>121920</xdr:rowOff>
              </to>
            </anchor>
          </controlPr>
        </control>
      </mc:Choice>
      <mc:Fallback>
        <control shapeId="38913" r:id="rId4" name="Control 1"/>
      </mc:Fallback>
    </mc:AlternateContent>
    <mc:AlternateContent xmlns:mc="http://schemas.openxmlformats.org/markup-compatibility/2006">
      <mc:Choice Requires="x14">
        <control shapeId="38914" r:id="rId6" name="Control 2">
          <controlPr defaultSize="0" r:id="rId7">
            <anchor moveWithCells="1">
              <from>
                <xdr:col>19</xdr:col>
                <xdr:colOff>518160</xdr:colOff>
                <xdr:row>23</xdr:row>
                <xdr:rowOff>91440</xdr:rowOff>
              </from>
              <to>
                <xdr:col>20</xdr:col>
                <xdr:colOff>388620</xdr:colOff>
                <xdr:row>24</xdr:row>
                <xdr:rowOff>137160</xdr:rowOff>
              </to>
            </anchor>
          </controlPr>
        </control>
      </mc:Choice>
      <mc:Fallback>
        <control shapeId="38914" r:id="rId6" name="Control 2"/>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
  <dimension ref="A1:U23"/>
  <sheetViews>
    <sheetView workbookViewId="0"/>
  </sheetViews>
  <sheetFormatPr defaultColWidth="9.109375" defaultRowHeight="14.4" x14ac:dyDescent="0.3"/>
  <cols>
    <col min="1" max="1" width="16.5546875" style="28" customWidth="1"/>
    <col min="2" max="2" width="25" style="28" bestFit="1" customWidth="1"/>
    <col min="3" max="3" width="12.5546875" style="28" bestFit="1" customWidth="1"/>
    <col min="4" max="4" width="11.109375" style="28" customWidth="1"/>
    <col min="5" max="5" width="9.109375" style="28"/>
    <col min="6" max="7" width="13.109375" style="28" customWidth="1"/>
    <col min="8" max="8" width="11.5546875" style="28" bestFit="1" customWidth="1"/>
    <col min="9" max="16384" width="9.109375" style="28"/>
  </cols>
  <sheetData>
    <row r="1" spans="1:21" x14ac:dyDescent="0.3">
      <c r="A1" s="5" t="s">
        <v>547</v>
      </c>
      <c r="B1" s="5"/>
    </row>
    <row r="2" spans="1:21" s="89" customFormat="1" x14ac:dyDescent="0.3">
      <c r="A2" s="370"/>
      <c r="B2" s="370"/>
    </row>
    <row r="3" spans="1:21" x14ac:dyDescent="0.3">
      <c r="A3" s="5" t="s">
        <v>0</v>
      </c>
      <c r="B3" s="5" t="s">
        <v>268</v>
      </c>
    </row>
    <row r="4" spans="1:21" ht="38.25" customHeight="1" x14ac:dyDescent="0.3">
      <c r="A4" s="2"/>
      <c r="B4" s="575" t="s">
        <v>543</v>
      </c>
      <c r="C4" s="575"/>
      <c r="D4" s="575"/>
      <c r="E4" s="575"/>
      <c r="F4" s="575"/>
      <c r="G4" s="575"/>
    </row>
    <row r="5" spans="1:21" ht="15" customHeight="1" x14ac:dyDescent="0.3">
      <c r="A5" s="2"/>
      <c r="B5" s="441"/>
      <c r="C5" s="440"/>
      <c r="D5" s="439"/>
      <c r="E5" s="415"/>
      <c r="F5" s="415"/>
    </row>
    <row r="6" spans="1:21" s="89" customFormat="1" ht="15" customHeight="1" x14ac:dyDescent="0.3">
      <c r="A6" s="358"/>
      <c r="B6" s="442"/>
      <c r="C6" s="443"/>
      <c r="D6" s="444"/>
      <c r="E6" s="426"/>
      <c r="F6" s="426"/>
    </row>
    <row r="7" spans="1:21" ht="17.25" customHeight="1" x14ac:dyDescent="0.3">
      <c r="A7" s="2"/>
      <c r="B7" s="415"/>
      <c r="C7" s="415"/>
      <c r="D7" s="415"/>
      <c r="E7" s="415"/>
      <c r="F7" s="415"/>
      <c r="G7" s="415"/>
      <c r="H7" s="415"/>
      <c r="I7" s="415"/>
      <c r="J7" s="415"/>
    </row>
    <row r="8" spans="1:21" ht="17.25" customHeight="1" x14ac:dyDescent="0.3">
      <c r="A8" s="2"/>
      <c r="B8" s="573" t="s">
        <v>265</v>
      </c>
      <c r="C8" s="573"/>
      <c r="D8" s="573"/>
      <c r="E8" s="573"/>
      <c r="F8" s="573"/>
      <c r="G8" s="573"/>
      <c r="H8" s="429"/>
      <c r="I8" s="429"/>
      <c r="J8" s="421"/>
    </row>
    <row r="9" spans="1:21" ht="17.25" customHeight="1" x14ac:dyDescent="0.3">
      <c r="A9" s="2"/>
      <c r="B9" s="570" t="s">
        <v>266</v>
      </c>
      <c r="C9" s="570"/>
      <c r="D9" s="570"/>
      <c r="E9" s="570"/>
      <c r="F9" s="570"/>
      <c r="G9" s="570"/>
      <c r="H9" s="570"/>
      <c r="I9" s="570"/>
      <c r="J9" s="421"/>
    </row>
    <row r="10" spans="1:21" ht="17.25" customHeight="1" x14ac:dyDescent="0.3">
      <c r="A10" s="2"/>
      <c r="B10" s="571" t="s">
        <v>267</v>
      </c>
      <c r="C10" s="571"/>
      <c r="D10" s="571"/>
      <c r="E10" s="571"/>
      <c r="F10" s="571"/>
      <c r="G10" s="571"/>
      <c r="H10" s="571"/>
      <c r="I10" s="421"/>
      <c r="J10" s="421"/>
    </row>
    <row r="11" spans="1:21" ht="17.25" customHeight="1" x14ac:dyDescent="0.3">
      <c r="A11" s="2"/>
      <c r="B11" s="414"/>
      <c r="C11" s="414"/>
      <c r="D11" s="414"/>
      <c r="E11" s="414"/>
      <c r="F11" s="414"/>
      <c r="G11" s="414"/>
      <c r="H11" s="414"/>
      <c r="I11" s="421"/>
      <c r="J11" s="421"/>
    </row>
    <row r="12" spans="1:21" ht="15" customHeight="1" x14ac:dyDescent="0.3">
      <c r="A12" s="2"/>
      <c r="B12" s="453" t="s">
        <v>56</v>
      </c>
      <c r="C12" s="415"/>
      <c r="D12" s="415"/>
      <c r="E12" s="415"/>
      <c r="F12" s="415"/>
    </row>
    <row r="13" spans="1:21" ht="15" customHeight="1" x14ac:dyDescent="0.3">
      <c r="A13" s="2"/>
      <c r="B13" s="28" t="s">
        <v>261</v>
      </c>
      <c r="C13" s="328">
        <v>1000</v>
      </c>
      <c r="K13" s="415"/>
      <c r="P13" s="415"/>
      <c r="U13" s="415"/>
    </row>
    <row r="14" spans="1:21" ht="15" customHeight="1" x14ac:dyDescent="0.3">
      <c r="A14" s="2"/>
      <c r="B14" s="28" t="s">
        <v>46</v>
      </c>
      <c r="C14" s="329">
        <v>10</v>
      </c>
      <c r="D14" s="331"/>
      <c r="E14" s="332"/>
      <c r="F14" s="332"/>
      <c r="G14" s="332"/>
      <c r="H14" s="332"/>
      <c r="I14" s="332"/>
      <c r="J14" s="332"/>
      <c r="K14" s="415"/>
      <c r="P14" s="415"/>
    </row>
    <row r="15" spans="1:21" ht="15" customHeight="1" x14ac:dyDescent="0.3">
      <c r="A15" s="2"/>
      <c r="B15" s="28" t="s">
        <v>35</v>
      </c>
      <c r="C15" s="330">
        <v>422.41</v>
      </c>
      <c r="D15" s="331"/>
      <c r="E15" s="332"/>
      <c r="F15" s="332"/>
      <c r="G15" s="332"/>
      <c r="H15" s="332"/>
      <c r="I15" s="332"/>
      <c r="J15" s="332"/>
      <c r="K15" s="415"/>
      <c r="P15" s="415"/>
      <c r="U15" s="21"/>
    </row>
    <row r="16" spans="1:21" ht="15" customHeight="1" x14ac:dyDescent="0.3">
      <c r="A16" s="2"/>
      <c r="C16" s="445"/>
      <c r="D16" s="331"/>
      <c r="E16" s="332"/>
      <c r="F16" s="332"/>
      <c r="G16" s="332"/>
      <c r="H16" s="332"/>
      <c r="I16" s="332"/>
      <c r="J16" s="332"/>
      <c r="K16" s="415"/>
      <c r="P16" s="415"/>
      <c r="U16" s="21"/>
    </row>
    <row r="17" spans="1:10" s="21" customFormat="1" x14ac:dyDescent="0.3">
      <c r="A17" s="7"/>
      <c r="B17" s="8"/>
      <c r="C17" s="39"/>
      <c r="D17" s="39"/>
      <c r="E17" s="8"/>
      <c r="G17" s="89"/>
    </row>
    <row r="18" spans="1:10" x14ac:dyDescent="0.3">
      <c r="A18" s="9"/>
    </row>
    <row r="19" spans="1:10" x14ac:dyDescent="0.3">
      <c r="A19" s="9"/>
      <c r="B19" s="5" t="s">
        <v>1</v>
      </c>
    </row>
    <row r="20" spans="1:10" x14ac:dyDescent="0.3">
      <c r="A20" s="9"/>
      <c r="B20" s="28" t="s">
        <v>28</v>
      </c>
      <c r="C20" s="167">
        <f>(C13/C15)^(1/C14)-1</f>
        <v>9.0000208213713018E-2</v>
      </c>
      <c r="F20"/>
      <c r="G20"/>
      <c r="H20"/>
      <c r="I20"/>
      <c r="J20"/>
    </row>
    <row r="21" spans="1:10" ht="15" customHeight="1" x14ac:dyDescent="0.3">
      <c r="A21" s="9"/>
      <c r="F21"/>
      <c r="G21"/>
      <c r="H21"/>
      <c r="I21"/>
      <c r="J21"/>
    </row>
    <row r="22" spans="1:10" x14ac:dyDescent="0.3">
      <c r="B22" s="18"/>
      <c r="C22" s="18"/>
      <c r="D22" s="18"/>
      <c r="E22" s="18"/>
      <c r="F22"/>
      <c r="G22"/>
      <c r="H22"/>
      <c r="I22"/>
      <c r="J22"/>
    </row>
    <row r="23" spans="1:10" x14ac:dyDescent="0.3">
      <c r="B23" s="18"/>
      <c r="C23" s="18"/>
      <c r="D23" s="18"/>
      <c r="E23" s="18"/>
    </row>
  </sheetData>
  <mergeCells count="4">
    <mergeCell ref="B8:G8"/>
    <mergeCell ref="B9:I9"/>
    <mergeCell ref="B10:H10"/>
    <mergeCell ref="B4:G4"/>
  </mergeCells>
  <pageMargins left="0.7" right="0.7" top="0.75" bottom="0.75" header="0.3" footer="0.3"/>
  <pageSetup orientation="portrait" r:id="rId1"/>
  <drawing r:id="rId2"/>
  <legacyDrawing r:id="rId3"/>
  <controls>
    <mc:AlternateContent xmlns:mc="http://schemas.openxmlformats.org/markup-compatibility/2006">
      <mc:Choice Requires="x14">
        <control shapeId="39937" r:id="rId4" name="Control 1">
          <controlPr defaultSize="0" r:id="rId5">
            <anchor moveWithCells="1">
              <from>
                <xdr:col>20</xdr:col>
                <xdr:colOff>563880</xdr:colOff>
                <xdr:row>12</xdr:row>
                <xdr:rowOff>60960</xdr:rowOff>
              </from>
              <to>
                <xdr:col>21</xdr:col>
                <xdr:colOff>426720</xdr:colOff>
                <xdr:row>13</xdr:row>
                <xdr:rowOff>99060</xdr:rowOff>
              </to>
            </anchor>
          </controlPr>
        </control>
      </mc:Choice>
      <mc:Fallback>
        <control shapeId="39937" r:id="rId4" name="Control 1"/>
      </mc:Fallback>
    </mc:AlternateContent>
    <mc:AlternateContent xmlns:mc="http://schemas.openxmlformats.org/markup-compatibility/2006">
      <mc:Choice Requires="x14">
        <control shapeId="39938" r:id="rId6" name="Control 2">
          <controlPr defaultSize="0" r:id="rId7">
            <anchor moveWithCells="1">
              <from>
                <xdr:col>19</xdr:col>
                <xdr:colOff>563880</xdr:colOff>
                <xdr:row>14</xdr:row>
                <xdr:rowOff>60960</xdr:rowOff>
              </from>
              <to>
                <xdr:col>20</xdr:col>
                <xdr:colOff>441960</xdr:colOff>
                <xdr:row>15</xdr:row>
                <xdr:rowOff>99060</xdr:rowOff>
              </to>
            </anchor>
          </controlPr>
        </control>
      </mc:Choice>
      <mc:Fallback>
        <control shapeId="39938" r:id="rId6" name="Control 2"/>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AK32"/>
  <sheetViews>
    <sheetView zoomScaleNormal="100" workbookViewId="0"/>
  </sheetViews>
  <sheetFormatPr defaultColWidth="9.109375" defaultRowHeight="14.4" x14ac:dyDescent="0.3"/>
  <cols>
    <col min="1" max="1" width="16.5546875" style="28" customWidth="1"/>
    <col min="2" max="2" width="22" style="28" customWidth="1"/>
    <col min="3" max="3" width="13.88671875" style="28" bestFit="1" customWidth="1"/>
    <col min="4" max="4" width="12.33203125" style="28" bestFit="1" customWidth="1"/>
    <col min="5" max="5" width="16.6640625" style="28" customWidth="1"/>
    <col min="6" max="6" width="21.109375" style="28" customWidth="1"/>
    <col min="7" max="7" width="13.44140625" style="28" customWidth="1"/>
    <col min="8" max="31" width="16.6640625" style="28" customWidth="1"/>
    <col min="32" max="32" width="9.109375" style="28"/>
    <col min="33" max="33" width="10.5546875" style="28" bestFit="1" customWidth="1"/>
    <col min="34" max="35" width="9.109375" style="28"/>
    <col min="36" max="36" width="11.88671875" style="28" bestFit="1" customWidth="1"/>
    <col min="37" max="16384" width="9.109375" style="28"/>
  </cols>
  <sheetData>
    <row r="1" spans="1:37" x14ac:dyDescent="0.3">
      <c r="A1" s="5" t="s">
        <v>562</v>
      </c>
      <c r="B1" s="5"/>
      <c r="C1" s="5"/>
    </row>
    <row r="2" spans="1:37" s="89" customFormat="1" x14ac:dyDescent="0.3">
      <c r="A2" s="370"/>
      <c r="B2" s="370"/>
      <c r="C2" s="370"/>
    </row>
    <row r="3" spans="1:37" x14ac:dyDescent="0.3">
      <c r="A3" s="5" t="s">
        <v>0</v>
      </c>
      <c r="B3" s="5" t="s">
        <v>268</v>
      </c>
      <c r="C3" s="5"/>
    </row>
    <row r="4" spans="1:37" ht="32.25" customHeight="1" x14ac:dyDescent="0.3">
      <c r="A4" s="2"/>
      <c r="B4" s="579" t="s">
        <v>275</v>
      </c>
      <c r="C4" s="579"/>
      <c r="D4" s="579"/>
      <c r="E4" s="579"/>
      <c r="F4" s="579"/>
      <c r="G4" s="424"/>
      <c r="H4" s="424"/>
      <c r="I4" s="424"/>
      <c r="J4" s="424"/>
      <c r="K4" s="424"/>
      <c r="L4" s="99"/>
      <c r="M4" s="99"/>
      <c r="N4" s="99"/>
      <c r="O4" s="99"/>
      <c r="P4" s="99"/>
      <c r="Q4" s="99"/>
      <c r="R4" s="99"/>
      <c r="S4" s="99"/>
      <c r="T4" s="99"/>
      <c r="U4" s="99"/>
      <c r="V4" s="99"/>
      <c r="W4" s="99"/>
      <c r="X4" s="99"/>
      <c r="Y4" s="99"/>
      <c r="Z4" s="99"/>
      <c r="AA4" s="99"/>
      <c r="AB4" s="99"/>
      <c r="AC4" s="99"/>
      <c r="AD4" s="99"/>
      <c r="AE4" s="99"/>
      <c r="AF4" s="99"/>
      <c r="AG4" s="99"/>
      <c r="AH4" s="99"/>
      <c r="AI4" s="99"/>
      <c r="AJ4" s="99"/>
      <c r="AK4" s="99"/>
    </row>
    <row r="5" spans="1:37" x14ac:dyDescent="0.3">
      <c r="A5" s="2"/>
      <c r="B5" s="82"/>
      <c r="D5" s="82"/>
      <c r="E5" s="82"/>
      <c r="F5" s="82"/>
      <c r="G5" s="82"/>
      <c r="H5" s="82"/>
      <c r="I5" s="82"/>
      <c r="J5" s="82"/>
      <c r="K5" s="82"/>
      <c r="L5" s="99"/>
      <c r="M5" s="99"/>
      <c r="N5" s="99"/>
      <c r="O5" s="99"/>
      <c r="P5" s="99"/>
      <c r="Q5" s="99"/>
      <c r="R5" s="99"/>
      <c r="S5" s="99"/>
      <c r="T5" s="99"/>
      <c r="U5" s="99"/>
      <c r="V5" s="99"/>
      <c r="W5" s="99"/>
      <c r="X5" s="99"/>
      <c r="Y5" s="99"/>
      <c r="Z5" s="99"/>
      <c r="AA5" s="99"/>
      <c r="AB5" s="99"/>
      <c r="AC5" s="99"/>
      <c r="AD5" s="99"/>
      <c r="AE5" s="99"/>
      <c r="AF5" s="99"/>
      <c r="AG5" s="99"/>
      <c r="AH5" s="99"/>
      <c r="AI5" s="99"/>
      <c r="AJ5" s="99"/>
      <c r="AK5" s="99"/>
    </row>
    <row r="6" spans="1:37" ht="15" customHeight="1" x14ac:dyDescent="0.3">
      <c r="A6" s="2"/>
      <c r="B6" s="423" t="s">
        <v>345</v>
      </c>
      <c r="D6" s="82"/>
      <c r="E6" s="82"/>
      <c r="F6" s="82"/>
      <c r="G6" s="82"/>
      <c r="H6" s="82"/>
      <c r="I6" s="82"/>
      <c r="J6" s="82"/>
      <c r="K6" s="82"/>
      <c r="L6" s="99"/>
      <c r="M6" s="99"/>
      <c r="N6" s="99"/>
      <c r="O6" s="99"/>
      <c r="P6" s="99"/>
      <c r="Q6" s="99"/>
      <c r="R6" s="99"/>
      <c r="S6" s="99"/>
      <c r="T6" s="99"/>
      <c r="U6" s="99"/>
      <c r="V6" s="99"/>
      <c r="W6" s="99"/>
      <c r="X6" s="99"/>
      <c r="Y6" s="99"/>
      <c r="Z6" s="99"/>
      <c r="AA6" s="99"/>
      <c r="AB6" s="99"/>
      <c r="AC6" s="99"/>
      <c r="AD6" s="99"/>
      <c r="AE6" s="99"/>
      <c r="AF6" s="99"/>
      <c r="AG6" s="99"/>
      <c r="AH6" s="99"/>
      <c r="AI6" s="99"/>
      <c r="AJ6" s="99"/>
      <c r="AK6" s="99"/>
    </row>
    <row r="7" spans="1:37" ht="15" customHeight="1" x14ac:dyDescent="0.3">
      <c r="A7" s="2"/>
      <c r="B7" s="95" t="s">
        <v>346</v>
      </c>
      <c r="C7" s="95"/>
      <c r="D7" s="421"/>
      <c r="E7" s="421"/>
      <c r="F7" s="421"/>
      <c r="G7" s="421"/>
      <c r="H7" s="421"/>
      <c r="I7" s="421"/>
      <c r="J7" s="421"/>
      <c r="K7" s="421"/>
      <c r="L7" s="99"/>
      <c r="M7" s="99"/>
      <c r="N7" s="99"/>
      <c r="O7" s="99"/>
      <c r="P7" s="99"/>
      <c r="Q7" s="99"/>
      <c r="R7" s="99"/>
      <c r="S7" s="99"/>
      <c r="T7" s="99"/>
      <c r="U7" s="99"/>
      <c r="V7" s="99"/>
      <c r="W7" s="99"/>
      <c r="X7" s="99"/>
      <c r="Y7" s="99"/>
      <c r="Z7" s="99"/>
      <c r="AA7" s="99"/>
      <c r="AB7" s="99"/>
      <c r="AC7" s="99"/>
      <c r="AD7" s="99"/>
      <c r="AE7" s="99"/>
      <c r="AF7" s="99"/>
      <c r="AG7" s="99"/>
      <c r="AH7" s="99"/>
      <c r="AI7" s="99"/>
      <c r="AJ7" s="99"/>
      <c r="AK7" s="99"/>
    </row>
    <row r="8" spans="1:37" s="25" customFormat="1" x14ac:dyDescent="0.3">
      <c r="A8" s="40"/>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row>
    <row r="9" spans="1:37" s="21" customFormat="1" x14ac:dyDescent="0.3">
      <c r="A9" s="7"/>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row>
    <row r="10" spans="1:37" s="25" customFormat="1" x14ac:dyDescent="0.3">
      <c r="A10" s="40"/>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row>
    <row r="11" spans="1:37" ht="17.25" customHeight="1" x14ac:dyDescent="0.3">
      <c r="A11" s="2"/>
      <c r="B11" s="580" t="s">
        <v>265</v>
      </c>
      <c r="C11" s="580"/>
      <c r="D11" s="580"/>
      <c r="E11" s="580"/>
      <c r="F11" s="580"/>
      <c r="G11" s="429"/>
    </row>
    <row r="12" spans="1:37" ht="17.25" customHeight="1" x14ac:dyDescent="0.3">
      <c r="A12" s="2"/>
      <c r="B12" s="570" t="s">
        <v>266</v>
      </c>
      <c r="C12" s="570"/>
      <c r="D12" s="570"/>
      <c r="E12" s="570"/>
      <c r="F12" s="570"/>
      <c r="G12" s="421"/>
    </row>
    <row r="13" spans="1:37" ht="17.25" customHeight="1" x14ac:dyDescent="0.3">
      <c r="A13" s="277"/>
      <c r="B13" s="571" t="s">
        <v>267</v>
      </c>
      <c r="C13" s="571"/>
      <c r="D13" s="571"/>
      <c r="E13" s="571"/>
      <c r="F13" s="571"/>
      <c r="G13" s="571"/>
    </row>
    <row r="14" spans="1:37" customFormat="1" x14ac:dyDescent="0.3">
      <c r="A14" s="10"/>
      <c r="B14" s="10"/>
      <c r="C14" s="10"/>
      <c r="D14" s="10"/>
      <c r="E14" s="10"/>
      <c r="F14" s="10"/>
      <c r="G14" s="10"/>
    </row>
    <row r="15" spans="1:37" x14ac:dyDescent="0.3">
      <c r="A15" s="10"/>
      <c r="B15" s="85" t="s">
        <v>56</v>
      </c>
      <c r="C15" s="10"/>
      <c r="D15" s="10"/>
      <c r="E15" s="10"/>
      <c r="F15" s="10"/>
      <c r="G15" s="10"/>
    </row>
    <row r="16" spans="1:37" ht="15" customHeight="1" x14ac:dyDescent="0.3">
      <c r="A16" s="10"/>
      <c r="B16" s="400" t="s">
        <v>68</v>
      </c>
      <c r="C16" s="402">
        <v>400000</v>
      </c>
      <c r="D16" s="10"/>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86"/>
    </row>
    <row r="17" spans="1:36" ht="15" customHeight="1" x14ac:dyDescent="0.3">
      <c r="A17" s="387"/>
      <c r="B17" s="398" t="s">
        <v>347</v>
      </c>
      <c r="C17" s="455">
        <v>120000</v>
      </c>
      <c r="D17" s="10"/>
      <c r="E17" s="77"/>
      <c r="F17" s="77"/>
      <c r="G17" s="77"/>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row>
    <row r="18" spans="1:36" ht="15" customHeight="1" x14ac:dyDescent="0.3">
      <c r="A18" s="387"/>
      <c r="B18" s="398" t="s">
        <v>348</v>
      </c>
      <c r="C18" s="399">
        <v>180000</v>
      </c>
      <c r="D18" s="10"/>
      <c r="E18" s="77"/>
      <c r="F18" s="77"/>
      <c r="G18" s="77"/>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t="s">
        <v>58</v>
      </c>
      <c r="AH18" s="25" t="s">
        <v>58</v>
      </c>
    </row>
    <row r="19" spans="1:36" ht="15" customHeight="1" x14ac:dyDescent="0.3">
      <c r="A19" s="387"/>
      <c r="B19" s="398" t="s">
        <v>349</v>
      </c>
      <c r="C19" s="399">
        <v>300000</v>
      </c>
      <c r="D19" s="10"/>
      <c r="E19" s="77"/>
      <c r="F19" s="77"/>
      <c r="G19" s="77"/>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row>
    <row r="20" spans="1:36" ht="15" customHeight="1" x14ac:dyDescent="0.3">
      <c r="A20" s="387"/>
      <c r="B20" s="398" t="s">
        <v>69</v>
      </c>
      <c r="C20" s="396">
        <v>0.12</v>
      </c>
      <c r="D20" s="10"/>
      <c r="E20" s="77"/>
      <c r="F20" s="77"/>
      <c r="G20" s="77"/>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row>
    <row r="21" spans="1:36" ht="15" customHeight="1" x14ac:dyDescent="0.3">
      <c r="A21" s="387"/>
      <c r="B21" s="390"/>
      <c r="C21" s="456"/>
      <c r="D21" s="10"/>
      <c r="E21" s="77"/>
      <c r="F21" s="77"/>
      <c r="G21" s="77"/>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row>
    <row r="22" spans="1:36" s="89" customFormat="1" x14ac:dyDescent="0.3">
      <c r="A22" s="388"/>
      <c r="B22" s="373"/>
      <c r="C22" s="454"/>
      <c r="D22" s="91" t="s">
        <v>0</v>
      </c>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2"/>
    </row>
    <row r="23" spans="1:36" x14ac:dyDescent="0.3">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row>
    <row r="24" spans="1:36" x14ac:dyDescent="0.3">
      <c r="A24" s="387"/>
      <c r="B24" s="5" t="s">
        <v>1</v>
      </c>
      <c r="C24" s="10"/>
      <c r="D24" s="10"/>
      <c r="E24" s="10"/>
      <c r="F24" s="10"/>
      <c r="G24" s="10"/>
      <c r="AF24" s="5"/>
    </row>
    <row r="25" spans="1:36" x14ac:dyDescent="0.3">
      <c r="A25" s="387"/>
      <c r="B25" s="5" t="s">
        <v>4</v>
      </c>
      <c r="C25" s="10"/>
      <c r="D25" s="10"/>
      <c r="E25" s="10"/>
      <c r="F25" s="10"/>
      <c r="G25" s="10"/>
      <c r="AF25" s="5"/>
    </row>
    <row r="26" spans="1:36" x14ac:dyDescent="0.3">
      <c r="A26" s="387"/>
      <c r="B26" s="10" t="s">
        <v>14</v>
      </c>
      <c r="C26" s="134">
        <f>NPV(C20,C17,C18,C19)</f>
        <v>464171.82944606402</v>
      </c>
      <c r="D26" s="10"/>
      <c r="E26" s="10"/>
      <c r="F26" s="10"/>
      <c r="G26" s="10"/>
      <c r="AF26" s="5"/>
    </row>
    <row r="27" spans="1:36" x14ac:dyDescent="0.3">
      <c r="A27" s="9"/>
      <c r="B27" s="10" t="s">
        <v>108</v>
      </c>
      <c r="C27" s="130">
        <f>(-C16+NPV(C20,C17,C18,C19))</f>
        <v>64171.829446064017</v>
      </c>
      <c r="D27" s="10"/>
      <c r="E27" s="10"/>
      <c r="AF27" s="34"/>
      <c r="AG27" s="34"/>
      <c r="AH27" s="34"/>
      <c r="AI27" s="34"/>
      <c r="AJ27" s="34"/>
    </row>
    <row r="28" spans="1:36" x14ac:dyDescent="0.3">
      <c r="A28" s="70"/>
      <c r="B28" s="5"/>
      <c r="C28" s="387"/>
      <c r="D28" s="404"/>
      <c r="E28" s="404"/>
      <c r="F28" s="70"/>
      <c r="G28" s="70"/>
    </row>
    <row r="29" spans="1:36" x14ac:dyDescent="0.3">
      <c r="A29" s="70"/>
      <c r="B29" s="97" t="s">
        <v>5</v>
      </c>
      <c r="D29" s="98"/>
      <c r="E29" s="404"/>
      <c r="F29" s="70"/>
      <c r="G29" s="70"/>
      <c r="AF29" s="36"/>
      <c r="AG29" s="37"/>
      <c r="AH29" s="34"/>
      <c r="AI29" s="34"/>
      <c r="AJ29" s="37"/>
    </row>
    <row r="30" spans="1:36" x14ac:dyDescent="0.3">
      <c r="A30" s="9"/>
      <c r="B30" s="28" t="s">
        <v>350</v>
      </c>
      <c r="C30" s="151" t="str">
        <f>IF($C$27&gt;=0,"Yes","No")</f>
        <v>Yes</v>
      </c>
      <c r="D30" s="10"/>
      <c r="E30" s="10"/>
    </row>
    <row r="31" spans="1:36" x14ac:dyDescent="0.3">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row>
    <row r="32" spans="1:36" x14ac:dyDescent="0.3">
      <c r="B32" s="10"/>
      <c r="C32" s="10"/>
      <c r="D32" s="10"/>
      <c r="E32" s="10"/>
    </row>
  </sheetData>
  <mergeCells count="4">
    <mergeCell ref="B12:F12"/>
    <mergeCell ref="B13:G13"/>
    <mergeCell ref="B11:F11"/>
    <mergeCell ref="B4:F4"/>
  </mergeCells>
  <pageMargins left="0.7" right="0.7" top="0.75" bottom="0.75" header="0.3" footer="0.3"/>
  <pageSetup orientation="portrait" r:id="rId1"/>
  <drawing r:id="rId2"/>
  <legacyDrawing r:id="rId3"/>
  <controls>
    <mc:AlternateContent xmlns:mc="http://schemas.openxmlformats.org/markup-compatibility/2006">
      <mc:Choice Requires="x14">
        <control shapeId="103427" r:id="rId4" name="Control 3">
          <controlPr defaultSize="0" r:id="rId5">
            <anchor moveWithCells="1">
              <from>
                <xdr:col>32</xdr:col>
                <xdr:colOff>0</xdr:colOff>
                <xdr:row>21</xdr:row>
                <xdr:rowOff>60960</xdr:rowOff>
              </from>
              <to>
                <xdr:col>32</xdr:col>
                <xdr:colOff>495300</xdr:colOff>
                <xdr:row>22</xdr:row>
                <xdr:rowOff>114300</xdr:rowOff>
              </to>
            </anchor>
          </controlPr>
        </control>
      </mc:Choice>
      <mc:Fallback>
        <control shapeId="103427" r:id="rId4" name="Control 3"/>
      </mc:Fallback>
    </mc:AlternateContent>
    <mc:AlternateContent xmlns:mc="http://schemas.openxmlformats.org/markup-compatibility/2006">
      <mc:Choice Requires="x14">
        <control shapeId="103426" r:id="rId6" name="Control 2">
          <controlPr defaultSize="0" r:id="rId5">
            <anchor moveWithCells="1">
              <from>
                <xdr:col>32</xdr:col>
                <xdr:colOff>0</xdr:colOff>
                <xdr:row>21</xdr:row>
                <xdr:rowOff>60960</xdr:rowOff>
              </from>
              <to>
                <xdr:col>32</xdr:col>
                <xdr:colOff>495300</xdr:colOff>
                <xdr:row>22</xdr:row>
                <xdr:rowOff>114300</xdr:rowOff>
              </to>
            </anchor>
          </controlPr>
        </control>
      </mc:Choice>
      <mc:Fallback>
        <control shapeId="103426" r:id="rId6" name="Control 2"/>
      </mc:Fallback>
    </mc:AlternateContent>
    <mc:AlternateContent xmlns:mc="http://schemas.openxmlformats.org/markup-compatibility/2006">
      <mc:Choice Requires="x14">
        <control shapeId="103425" r:id="rId7" name="Control 1">
          <controlPr defaultSize="0" r:id="rId8">
            <anchor moveWithCells="1">
              <from>
                <xdr:col>32</xdr:col>
                <xdr:colOff>0</xdr:colOff>
                <xdr:row>17</xdr:row>
                <xdr:rowOff>60960</xdr:rowOff>
              </from>
              <to>
                <xdr:col>32</xdr:col>
                <xdr:colOff>495300</xdr:colOff>
                <xdr:row>18</xdr:row>
                <xdr:rowOff>99060</xdr:rowOff>
              </to>
            </anchor>
          </controlPr>
        </control>
      </mc:Choice>
      <mc:Fallback>
        <control shapeId="103425" r:id="rId7" name="Control 1"/>
      </mc:Fallback>
    </mc:AlternateContent>
  </control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9"/>
  <sheetViews>
    <sheetView workbookViewId="0">
      <selection activeCell="C23" sqref="C23"/>
    </sheetView>
  </sheetViews>
  <sheetFormatPr defaultColWidth="9.109375" defaultRowHeight="14.4" x14ac:dyDescent="0.3"/>
  <cols>
    <col min="1" max="1" width="16.5546875" style="28" customWidth="1"/>
    <col min="2" max="2" width="24.33203125" style="28" customWidth="1"/>
    <col min="3" max="3" width="8.44140625" style="28" customWidth="1"/>
    <col min="4" max="7" width="9.6640625" style="28" customWidth="1"/>
    <col min="8" max="8" width="13.33203125" style="28" customWidth="1"/>
    <col min="9" max="9" width="9.6640625" style="28" customWidth="1"/>
    <col min="10" max="10" width="11.5546875" style="28" bestFit="1" customWidth="1"/>
    <col min="11" max="16384" width="9.109375" style="28"/>
  </cols>
  <sheetData>
    <row r="1" spans="1:10" x14ac:dyDescent="0.3">
      <c r="A1" s="5" t="s">
        <v>576</v>
      </c>
      <c r="B1" s="5"/>
    </row>
    <row r="2" spans="1:10" s="89" customFormat="1" x14ac:dyDescent="0.3">
      <c r="A2" s="370"/>
      <c r="B2" s="370"/>
    </row>
    <row r="3" spans="1:10" x14ac:dyDescent="0.3">
      <c r="A3" s="5" t="s">
        <v>0</v>
      </c>
      <c r="B3" s="5" t="s">
        <v>268</v>
      </c>
    </row>
    <row r="4" spans="1:10" ht="49.5" customHeight="1" x14ac:dyDescent="0.3">
      <c r="A4" s="2"/>
      <c r="B4" s="579" t="s">
        <v>618</v>
      </c>
      <c r="C4" s="579"/>
      <c r="D4" s="579"/>
      <c r="E4" s="579"/>
      <c r="F4" s="579"/>
      <c r="G4" s="579"/>
      <c r="H4" s="579"/>
      <c r="I4" s="452"/>
      <c r="J4" s="452"/>
    </row>
    <row r="5" spans="1:10" ht="15" customHeight="1" x14ac:dyDescent="0.3">
      <c r="A5" s="2"/>
      <c r="B5" s="28" t="s">
        <v>3</v>
      </c>
      <c r="D5" s="27"/>
      <c r="E5" s="27"/>
      <c r="F5" s="27"/>
      <c r="G5" s="27"/>
      <c r="H5" s="27"/>
    </row>
    <row r="6" spans="1:10" s="373" customFormat="1" x14ac:dyDescent="0.3">
      <c r="B6" s="412"/>
      <c r="C6" s="412"/>
      <c r="D6" s="412"/>
      <c r="E6" s="412"/>
      <c r="F6" s="412"/>
      <c r="G6" s="412"/>
      <c r="H6" s="412"/>
    </row>
    <row r="7" spans="1:10" s="77" customFormat="1" x14ac:dyDescent="0.3">
      <c r="B7" s="76"/>
      <c r="C7" s="76"/>
      <c r="D7" s="76"/>
      <c r="E7" s="76"/>
      <c r="F7" s="76"/>
      <c r="G7" s="76"/>
      <c r="H7" s="76"/>
    </row>
    <row r="8" spans="1:10" ht="17.25" customHeight="1" x14ac:dyDescent="0.3">
      <c r="A8" s="277"/>
      <c r="B8" s="573" t="s">
        <v>265</v>
      </c>
      <c r="C8" s="573"/>
      <c r="D8" s="573"/>
      <c r="E8" s="573"/>
      <c r="F8" s="573"/>
      <c r="G8" s="573"/>
      <c r="H8" s="573"/>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10"/>
    </row>
    <row r="13" spans="1:10" s="77" customFormat="1" x14ac:dyDescent="0.3">
      <c r="B13" s="76" t="s">
        <v>620</v>
      </c>
      <c r="C13" s="567">
        <v>0.92</v>
      </c>
      <c r="D13" s="76" t="s">
        <v>0</v>
      </c>
      <c r="E13" s="76"/>
      <c r="F13" s="76"/>
      <c r="G13" s="76"/>
      <c r="H13" s="76"/>
    </row>
    <row r="14" spans="1:10" s="77" customFormat="1" x14ac:dyDescent="0.3">
      <c r="B14" s="76" t="s">
        <v>619</v>
      </c>
      <c r="C14" s="175">
        <v>1</v>
      </c>
      <c r="D14" s="76"/>
      <c r="E14" s="76"/>
      <c r="F14" s="76"/>
      <c r="G14" s="76"/>
      <c r="H14" s="76"/>
    </row>
    <row r="15" spans="1:10" s="77" customFormat="1" x14ac:dyDescent="0.3">
      <c r="B15" s="76" t="s">
        <v>194</v>
      </c>
      <c r="C15" s="312">
        <v>2000</v>
      </c>
      <c r="D15" s="76"/>
      <c r="E15" s="76"/>
      <c r="F15" s="76"/>
      <c r="G15" s="76"/>
      <c r="H15" s="76"/>
    </row>
    <row r="16" spans="1:10" s="77" customFormat="1" x14ac:dyDescent="0.3">
      <c r="B16" s="76"/>
      <c r="C16" s="76"/>
      <c r="D16" s="76"/>
      <c r="E16" s="76"/>
      <c r="F16" s="76"/>
      <c r="G16" s="76"/>
      <c r="H16" s="76"/>
    </row>
    <row r="17" spans="1:9" s="373" customFormat="1" x14ac:dyDescent="0.3">
      <c r="B17" s="412"/>
      <c r="C17" s="412"/>
      <c r="D17" s="412"/>
      <c r="E17" s="412"/>
      <c r="F17" s="412"/>
      <c r="G17" s="412"/>
      <c r="H17" s="412"/>
    </row>
    <row r="18" spans="1:9" s="77" customFormat="1" x14ac:dyDescent="0.3">
      <c r="B18" s="76"/>
      <c r="C18" s="76"/>
      <c r="D18" s="76"/>
      <c r="E18" s="76"/>
      <c r="F18" s="76"/>
      <c r="G18" s="76"/>
      <c r="H18" s="76"/>
    </row>
    <row r="19" spans="1:9" x14ac:dyDescent="0.3">
      <c r="A19" s="9"/>
      <c r="B19" s="5" t="s">
        <v>1</v>
      </c>
      <c r="G19" s="29"/>
      <c r="H19" s="29"/>
    </row>
    <row r="20" spans="1:9" x14ac:dyDescent="0.3">
      <c r="A20" s="9"/>
      <c r="B20" s="5" t="s">
        <v>4</v>
      </c>
      <c r="G20" s="29"/>
      <c r="H20" s="29"/>
    </row>
    <row r="21" spans="1:9" x14ac:dyDescent="0.3">
      <c r="A21" s="9"/>
      <c r="B21" s="485" t="s">
        <v>261</v>
      </c>
      <c r="C21" s="568">
        <f>C13*C14</f>
        <v>0.92</v>
      </c>
      <c r="E21" s="34"/>
      <c r="F21" s="34"/>
      <c r="G21" s="29"/>
      <c r="H21" s="29"/>
    </row>
    <row r="22" spans="1:9" x14ac:dyDescent="0.3">
      <c r="A22" s="9"/>
      <c r="B22" s="548" t="s">
        <v>5</v>
      </c>
      <c r="C22" s="569"/>
      <c r="D22" s="68"/>
      <c r="E22" s="56"/>
      <c r="F22" s="56"/>
      <c r="G22" s="70"/>
      <c r="H22" s="70"/>
      <c r="I22" s="70"/>
    </row>
    <row r="23" spans="1:9" x14ac:dyDescent="0.3">
      <c r="A23" s="9"/>
      <c r="B23" s="485" t="s">
        <v>35</v>
      </c>
      <c r="C23" s="569">
        <f>C13*C15</f>
        <v>1840</v>
      </c>
      <c r="D23" s="68"/>
      <c r="E23" s="56"/>
      <c r="F23" s="56"/>
      <c r="G23" s="70"/>
      <c r="H23" s="70"/>
      <c r="I23" s="70"/>
    </row>
    <row r="24" spans="1:9" x14ac:dyDescent="0.3">
      <c r="A24" s="9"/>
      <c r="B24" s="485"/>
      <c r="C24" s="269"/>
      <c r="D24" s="68"/>
      <c r="E24" s="56"/>
      <c r="F24" s="56"/>
      <c r="G24" s="70"/>
      <c r="H24" s="70"/>
      <c r="I24" s="70"/>
    </row>
    <row r="25" spans="1:9" x14ac:dyDescent="0.3">
      <c r="A25" s="9"/>
      <c r="B25" s="485"/>
      <c r="C25" s="269"/>
      <c r="D25" s="68"/>
      <c r="E25" s="56"/>
      <c r="F25" s="56"/>
      <c r="G25" s="70"/>
      <c r="H25" s="70"/>
      <c r="I25" s="70"/>
    </row>
    <row r="26" spans="1:9" x14ac:dyDescent="0.3">
      <c r="A26" s="9"/>
      <c r="B26" s="485"/>
      <c r="C26" s="269"/>
      <c r="D26" s="68"/>
      <c r="E26" s="56"/>
      <c r="F26" s="56"/>
      <c r="G26" s="70"/>
      <c r="H26" s="70"/>
      <c r="I26" s="70"/>
    </row>
    <row r="27" spans="1:9" x14ac:dyDescent="0.3">
      <c r="A27" s="9"/>
      <c r="D27" s="70"/>
      <c r="E27" s="56"/>
      <c r="F27" s="56"/>
      <c r="G27" s="70"/>
      <c r="H27" s="70"/>
      <c r="I27" s="70"/>
    </row>
    <row r="28" spans="1:9" x14ac:dyDescent="0.3">
      <c r="A28" s="16"/>
      <c r="B28" s="15" t="s">
        <v>0</v>
      </c>
      <c r="D28" s="71"/>
      <c r="E28" s="70"/>
      <c r="F28" s="70"/>
      <c r="G28" s="70"/>
      <c r="H28" s="70"/>
      <c r="I28" s="70"/>
    </row>
    <row r="29" spans="1:9" x14ac:dyDescent="0.3">
      <c r="A29" s="16"/>
      <c r="B29" s="17"/>
      <c r="C29" s="18"/>
      <c r="D29" s="19"/>
    </row>
  </sheetData>
  <mergeCells count="4">
    <mergeCell ref="B8:H8"/>
    <mergeCell ref="B9:D9"/>
    <mergeCell ref="B10:H10"/>
    <mergeCell ref="B4:H4"/>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46"/>
  <sheetViews>
    <sheetView workbookViewId="0"/>
  </sheetViews>
  <sheetFormatPr defaultColWidth="9.109375" defaultRowHeight="14.4" x14ac:dyDescent="0.3"/>
  <cols>
    <col min="1" max="1" width="16.5546875" style="28" customWidth="1"/>
    <col min="2" max="2" width="24.33203125" style="28" customWidth="1"/>
    <col min="3" max="3" width="13.88671875" style="28" bestFit="1" customWidth="1"/>
    <col min="4" max="5" width="9.109375" style="28"/>
    <col min="6" max="6" width="10.5546875" style="28" bestFit="1" customWidth="1"/>
    <col min="7" max="7" width="18.6640625" style="28" customWidth="1"/>
    <col min="8" max="8" width="9.109375" style="28"/>
    <col min="9" max="9" width="14" style="28" customWidth="1"/>
    <col min="10" max="16384" width="9.109375" style="28"/>
  </cols>
  <sheetData>
    <row r="1" spans="1:10" x14ac:dyDescent="0.3">
      <c r="A1" s="5" t="s">
        <v>575</v>
      </c>
      <c r="B1" s="5"/>
    </row>
    <row r="2" spans="1:10" s="89" customFormat="1" x14ac:dyDescent="0.3">
      <c r="A2" s="370"/>
      <c r="B2" s="370"/>
    </row>
    <row r="3" spans="1:10" x14ac:dyDescent="0.3">
      <c r="A3" s="5" t="s">
        <v>0</v>
      </c>
      <c r="B3" s="5" t="s">
        <v>268</v>
      </c>
    </row>
    <row r="4" spans="1:10" ht="53.25" customHeight="1" x14ac:dyDescent="0.3">
      <c r="A4" s="2"/>
      <c r="B4" s="575" t="s">
        <v>352</v>
      </c>
      <c r="C4" s="575"/>
      <c r="D4" s="575"/>
      <c r="E4" s="575"/>
      <c r="F4" s="575"/>
      <c r="G4" s="575"/>
      <c r="H4" s="415"/>
      <c r="I4" s="415"/>
      <c r="J4" s="415"/>
    </row>
    <row r="5" spans="1:10" ht="15" customHeight="1" x14ac:dyDescent="0.3">
      <c r="A5" s="2"/>
      <c r="B5" s="28" t="s">
        <v>3</v>
      </c>
      <c r="D5" s="27"/>
      <c r="E5" s="27"/>
      <c r="F5" s="27"/>
      <c r="G5" s="27"/>
      <c r="H5" s="27"/>
    </row>
    <row r="6" spans="1:10" ht="15" customHeight="1" x14ac:dyDescent="0.3">
      <c r="A6" s="2"/>
      <c r="B6" s="581" t="s">
        <v>353</v>
      </c>
      <c r="C6" s="581"/>
      <c r="D6" s="581"/>
      <c r="E6" s="581"/>
      <c r="F6" s="581"/>
      <c r="G6" s="581"/>
      <c r="H6" s="581"/>
      <c r="I6" s="581"/>
      <c r="J6" s="581"/>
    </row>
    <row r="7" spans="1:10" ht="15" customHeight="1" x14ac:dyDescent="0.3">
      <c r="A7" s="2"/>
      <c r="B7" s="574" t="s">
        <v>354</v>
      </c>
      <c r="C7" s="574"/>
      <c r="D7" s="574"/>
      <c r="E7" s="574"/>
      <c r="F7" s="574"/>
      <c r="G7" s="574"/>
      <c r="H7" s="574"/>
      <c r="I7" s="574"/>
      <c r="J7" s="574"/>
    </row>
    <row r="8" spans="1:10" ht="15" customHeight="1" x14ac:dyDescent="0.3">
      <c r="A8" s="2"/>
      <c r="B8" s="418" t="s">
        <v>351</v>
      </c>
      <c r="C8" s="42"/>
      <c r="D8" s="27"/>
      <c r="E8" s="27"/>
      <c r="F8" s="27"/>
      <c r="G8" s="27"/>
    </row>
    <row r="9" spans="1:10" s="25" customFormat="1" ht="15" customHeight="1" x14ac:dyDescent="0.3">
      <c r="A9" s="40"/>
      <c r="B9" s="41"/>
      <c r="C9" s="41"/>
      <c r="D9" s="41"/>
      <c r="E9" s="41"/>
      <c r="F9" s="41"/>
      <c r="G9" s="41"/>
      <c r="H9" s="41"/>
    </row>
    <row r="10" spans="1:10" s="474" customFormat="1" ht="15" customHeight="1" x14ac:dyDescent="0.3">
      <c r="B10" s="306"/>
      <c r="C10" s="306"/>
      <c r="D10" s="306"/>
      <c r="E10" s="306"/>
      <c r="F10" s="306"/>
      <c r="G10" s="306"/>
      <c r="H10" s="306"/>
    </row>
    <row r="11" spans="1:10" s="25" customFormat="1" ht="15" customHeight="1" x14ac:dyDescent="0.3">
      <c r="A11" s="40"/>
      <c r="B11" s="41"/>
      <c r="C11" s="41"/>
      <c r="D11" s="41"/>
      <c r="E11" s="41"/>
      <c r="F11" s="41"/>
      <c r="G11" s="41"/>
      <c r="H11" s="41"/>
    </row>
    <row r="12" spans="1:10" ht="17.25" customHeight="1" x14ac:dyDescent="0.3">
      <c r="A12" s="277"/>
      <c r="B12" s="573" t="s">
        <v>265</v>
      </c>
      <c r="C12" s="573"/>
      <c r="D12" s="573"/>
      <c r="E12" s="573"/>
      <c r="F12" s="573"/>
      <c r="G12" s="573"/>
    </row>
    <row r="13" spans="1:10" ht="17.25" customHeight="1" x14ac:dyDescent="0.3">
      <c r="A13" s="277"/>
      <c r="B13" s="570" t="s">
        <v>266</v>
      </c>
      <c r="C13" s="570"/>
      <c r="D13" s="570"/>
      <c r="E13" s="570"/>
      <c r="F13" s="570"/>
      <c r="G13" s="420"/>
    </row>
    <row r="14" spans="1:10" ht="17.25" customHeight="1" x14ac:dyDescent="0.3">
      <c r="A14" s="277"/>
      <c r="B14" s="571" t="s">
        <v>267</v>
      </c>
      <c r="C14" s="571"/>
      <c r="D14" s="571"/>
      <c r="E14" s="571"/>
      <c r="F14" s="571"/>
      <c r="G14" s="571"/>
    </row>
    <row r="15" spans="1:10" x14ac:dyDescent="0.3">
      <c r="A15" s="10"/>
      <c r="B15" s="10"/>
      <c r="C15" s="10"/>
      <c r="D15" s="10"/>
      <c r="E15" s="10"/>
      <c r="F15" s="10"/>
      <c r="G15" s="10"/>
    </row>
    <row r="16" spans="1:10" x14ac:dyDescent="0.3">
      <c r="A16" s="10"/>
      <c r="B16" s="85" t="s">
        <v>56</v>
      </c>
      <c r="C16" s="10"/>
      <c r="D16" s="10"/>
      <c r="E16" s="10"/>
      <c r="F16" s="10"/>
      <c r="G16" s="10"/>
    </row>
    <row r="17" spans="1:8" s="25" customFormat="1" x14ac:dyDescent="0.3">
      <c r="A17" s="40"/>
      <c r="B17" s="76" t="s">
        <v>109</v>
      </c>
      <c r="C17" s="76"/>
      <c r="D17" s="41"/>
      <c r="E17" s="41"/>
      <c r="F17" s="41"/>
      <c r="G17" s="41"/>
      <c r="H17" s="41"/>
    </row>
    <row r="18" spans="1:8" s="25" customFormat="1" x14ac:dyDescent="0.3">
      <c r="A18" s="40"/>
      <c r="B18" s="76" t="s">
        <v>37</v>
      </c>
      <c r="C18" s="125">
        <v>3000000</v>
      </c>
      <c r="D18" s="76" t="s">
        <v>0</v>
      </c>
      <c r="E18" s="41"/>
      <c r="F18" s="41"/>
      <c r="G18" s="41"/>
      <c r="H18" s="41"/>
    </row>
    <row r="19" spans="1:8" s="25" customFormat="1" x14ac:dyDescent="0.3">
      <c r="A19" s="40"/>
      <c r="B19" s="76" t="s">
        <v>46</v>
      </c>
      <c r="C19" s="78">
        <v>5</v>
      </c>
      <c r="D19" s="41"/>
      <c r="E19" s="41"/>
      <c r="F19" s="41"/>
      <c r="G19" s="41"/>
      <c r="H19" s="41"/>
    </row>
    <row r="20" spans="1:8" s="25" customFormat="1" x14ac:dyDescent="0.3">
      <c r="A20" s="40"/>
      <c r="B20" s="76"/>
      <c r="C20" s="76"/>
      <c r="D20" s="41"/>
      <c r="E20" s="41"/>
      <c r="F20" s="41"/>
      <c r="G20" s="41"/>
      <c r="H20" s="41"/>
    </row>
    <row r="21" spans="1:8" s="25" customFormat="1" x14ac:dyDescent="0.3">
      <c r="A21" s="40"/>
      <c r="B21" s="76" t="s">
        <v>355</v>
      </c>
      <c r="C21" s="76"/>
      <c r="D21" s="41"/>
      <c r="E21" s="41"/>
      <c r="F21" s="41"/>
      <c r="G21" s="41"/>
      <c r="H21" s="41"/>
    </row>
    <row r="22" spans="1:8" s="25" customFormat="1" x14ac:dyDescent="0.3">
      <c r="A22" s="40"/>
      <c r="B22" s="76" t="s">
        <v>110</v>
      </c>
      <c r="C22" s="125">
        <v>4000000</v>
      </c>
      <c r="D22" s="76" t="s">
        <v>0</v>
      </c>
      <c r="E22" s="41"/>
      <c r="F22" s="41"/>
      <c r="G22" s="41"/>
      <c r="H22" s="41"/>
    </row>
    <row r="23" spans="1:8" s="25" customFormat="1" ht="17.25" customHeight="1" x14ac:dyDescent="0.3">
      <c r="A23" s="40"/>
      <c r="B23" s="76" t="s">
        <v>37</v>
      </c>
      <c r="C23" s="125">
        <v>2000000</v>
      </c>
      <c r="D23" s="41"/>
      <c r="E23" s="41"/>
      <c r="F23" s="41"/>
      <c r="G23" s="41"/>
      <c r="H23" s="41"/>
    </row>
    <row r="24" spans="1:8" s="25" customFormat="1" ht="17.25" customHeight="1" x14ac:dyDescent="0.3">
      <c r="A24" s="40"/>
      <c r="B24" s="76" t="s">
        <v>46</v>
      </c>
      <c r="C24" s="78">
        <v>5</v>
      </c>
      <c r="D24" s="41"/>
      <c r="E24" s="41"/>
      <c r="F24" s="41"/>
      <c r="G24" s="41"/>
      <c r="H24" s="41"/>
    </row>
    <row r="25" spans="1:8" s="25" customFormat="1" ht="17.25" customHeight="1" x14ac:dyDescent="0.3">
      <c r="A25" s="40"/>
      <c r="B25" s="76" t="s">
        <v>28</v>
      </c>
      <c r="C25" s="79">
        <v>0.1</v>
      </c>
      <c r="D25" s="41"/>
      <c r="E25" s="41"/>
      <c r="F25" s="41"/>
      <c r="G25" s="41"/>
      <c r="H25" s="41"/>
    </row>
    <row r="26" spans="1:8" s="25" customFormat="1" ht="17.25" customHeight="1" x14ac:dyDescent="0.3">
      <c r="A26" s="40"/>
      <c r="B26" s="76"/>
      <c r="C26" s="517"/>
      <c r="D26" s="41"/>
      <c r="E26" s="41"/>
      <c r="F26" s="41"/>
      <c r="G26" s="41"/>
      <c r="H26" s="41"/>
    </row>
    <row r="27" spans="1:8" s="373" customFormat="1" ht="17.25" customHeight="1" x14ac:dyDescent="0.3">
      <c r="B27" s="412"/>
      <c r="C27" s="563"/>
      <c r="D27" s="412"/>
      <c r="E27" s="412"/>
      <c r="F27" s="412"/>
      <c r="G27" s="412"/>
      <c r="H27" s="412"/>
    </row>
    <row r="28" spans="1:8" x14ac:dyDescent="0.3">
      <c r="A28" s="5"/>
      <c r="B28" s="6"/>
      <c r="C28" s="6"/>
      <c r="D28" s="6"/>
      <c r="E28" s="6"/>
      <c r="F28" s="6"/>
      <c r="G28" s="6"/>
      <c r="H28" s="6"/>
    </row>
    <row r="29" spans="1:8" x14ac:dyDescent="0.3">
      <c r="A29" s="387"/>
      <c r="B29" s="5" t="s">
        <v>1</v>
      </c>
      <c r="C29" s="10"/>
      <c r="D29" s="10"/>
      <c r="E29" s="10"/>
      <c r="F29" s="10"/>
      <c r="G29" s="10"/>
    </row>
    <row r="30" spans="1:8" x14ac:dyDescent="0.3">
      <c r="A30" s="387"/>
      <c r="B30" s="5" t="s">
        <v>9</v>
      </c>
      <c r="C30" s="10"/>
      <c r="D30" s="10"/>
      <c r="E30" s="10"/>
      <c r="F30" s="10"/>
      <c r="G30" s="10"/>
    </row>
    <row r="31" spans="1:8" x14ac:dyDescent="0.3">
      <c r="A31" s="387"/>
      <c r="B31" s="10" t="s">
        <v>24</v>
      </c>
      <c r="C31" s="457">
        <f>C18*((1-(1/(1+C25)^C19))/C25)</f>
        <v>11372360.308225352</v>
      </c>
      <c r="D31" s="10"/>
      <c r="E31" s="10"/>
      <c r="F31" s="10"/>
      <c r="G31" s="10"/>
    </row>
    <row r="32" spans="1:8" x14ac:dyDescent="0.3">
      <c r="A32" s="387" t="s">
        <v>0</v>
      </c>
      <c r="B32" s="10"/>
      <c r="C32" s="143">
        <f>C31/1000000</f>
        <v>11.372360308225351</v>
      </c>
      <c r="D32" s="10" t="s">
        <v>67</v>
      </c>
      <c r="E32" s="10"/>
      <c r="F32" s="10"/>
      <c r="G32" s="10"/>
    </row>
    <row r="33" spans="1:7" x14ac:dyDescent="0.3">
      <c r="A33" s="387"/>
      <c r="B33" s="10" t="s">
        <v>0</v>
      </c>
      <c r="C33" s="32"/>
      <c r="D33" s="10" t="s">
        <v>0</v>
      </c>
      <c r="E33" s="10"/>
      <c r="F33" s="10"/>
      <c r="G33" s="10"/>
    </row>
    <row r="34" spans="1:7" x14ac:dyDescent="0.3">
      <c r="A34" s="387"/>
      <c r="B34" s="10" t="s">
        <v>0</v>
      </c>
      <c r="C34" s="12" t="s">
        <v>0</v>
      </c>
      <c r="D34" s="10"/>
      <c r="E34" s="10"/>
      <c r="F34" s="10"/>
      <c r="G34" s="10"/>
    </row>
    <row r="35" spans="1:7" x14ac:dyDescent="0.3">
      <c r="A35" s="387"/>
      <c r="B35" s="5" t="s">
        <v>5</v>
      </c>
      <c r="C35" s="12" t="s">
        <v>0</v>
      </c>
      <c r="D35" s="10"/>
      <c r="E35" s="10"/>
      <c r="F35" s="10"/>
      <c r="G35" s="10"/>
    </row>
    <row r="36" spans="1:7" x14ac:dyDescent="0.3">
      <c r="A36" s="387"/>
      <c r="B36" s="10" t="s">
        <v>25</v>
      </c>
      <c r="C36" s="168">
        <f>C23*((1/C25)-(1/(C25*(1+C25)^C24)))+C22</f>
        <v>11581573.538816901</v>
      </c>
      <c r="D36" s="10"/>
      <c r="E36" s="10"/>
      <c r="F36" s="10"/>
      <c r="G36" s="10"/>
    </row>
    <row r="37" spans="1:7" x14ac:dyDescent="0.3">
      <c r="A37" s="387"/>
      <c r="B37" s="10"/>
      <c r="C37" s="143">
        <f>C36/1000000</f>
        <v>11.581573538816901</v>
      </c>
      <c r="D37" s="10" t="s">
        <v>67</v>
      </c>
      <c r="E37" s="10"/>
      <c r="F37" s="10"/>
      <c r="G37" s="10"/>
    </row>
    <row r="38" spans="1:7" x14ac:dyDescent="0.3">
      <c r="A38" s="387"/>
      <c r="B38" s="10" t="s">
        <v>6</v>
      </c>
      <c r="C38" s="434" t="s">
        <v>0</v>
      </c>
      <c r="D38" s="10"/>
      <c r="E38" s="10"/>
      <c r="F38" s="10"/>
      <c r="G38" s="10"/>
    </row>
    <row r="39" spans="1:7" x14ac:dyDescent="0.3">
      <c r="A39" s="387"/>
      <c r="B39" s="10" t="s">
        <v>23</v>
      </c>
      <c r="C39" s="169" t="str">
        <f>IF(C32&gt;C37,"Quarterback","Receiver")</f>
        <v>Receiver</v>
      </c>
      <c r="D39" s="10"/>
      <c r="E39" s="10"/>
      <c r="F39" s="10"/>
      <c r="G39" s="10"/>
    </row>
    <row r="40" spans="1:7" x14ac:dyDescent="0.3">
      <c r="A40" s="387"/>
      <c r="B40" s="10"/>
      <c r="C40" s="434"/>
      <c r="D40" s="10"/>
      <c r="E40" s="10"/>
      <c r="F40" s="10"/>
      <c r="G40" s="458"/>
    </row>
    <row r="41" spans="1:7" x14ac:dyDescent="0.3">
      <c r="A41" s="387"/>
      <c r="B41" s="10"/>
      <c r="C41" s="434"/>
      <c r="D41" s="10"/>
      <c r="E41" s="10"/>
      <c r="F41" s="10"/>
      <c r="G41" s="458"/>
    </row>
    <row r="42" spans="1:7" x14ac:dyDescent="0.3">
      <c r="A42" s="387"/>
      <c r="B42" s="10"/>
      <c r="C42" s="434"/>
      <c r="D42" s="10"/>
      <c r="E42" s="10"/>
      <c r="F42" s="10"/>
      <c r="G42" s="458"/>
    </row>
    <row r="43" spans="1:7" x14ac:dyDescent="0.3">
      <c r="A43" s="10"/>
      <c r="B43" s="10"/>
      <c r="C43" s="10"/>
      <c r="D43" s="10"/>
      <c r="E43" s="10"/>
      <c r="F43" s="10"/>
      <c r="G43" s="10"/>
    </row>
    <row r="44" spans="1:7" x14ac:dyDescent="0.3">
      <c r="A44" s="10"/>
      <c r="B44" s="10"/>
      <c r="C44" s="10"/>
      <c r="D44" s="10"/>
      <c r="E44" s="10"/>
      <c r="F44" s="10"/>
      <c r="G44" s="10"/>
    </row>
    <row r="45" spans="1:7" x14ac:dyDescent="0.3">
      <c r="A45" s="10"/>
      <c r="B45" s="10"/>
      <c r="C45" s="10"/>
      <c r="D45" s="10"/>
      <c r="E45" s="10"/>
      <c r="F45" s="10"/>
      <c r="G45" s="10"/>
    </row>
    <row r="46" spans="1:7" x14ac:dyDescent="0.3">
      <c r="A46" s="10"/>
      <c r="B46" s="10"/>
      <c r="C46" s="10"/>
      <c r="D46" s="10"/>
      <c r="E46" s="10"/>
      <c r="F46" s="10"/>
      <c r="G46" s="10"/>
    </row>
  </sheetData>
  <mergeCells count="6">
    <mergeCell ref="B14:G14"/>
    <mergeCell ref="B12:G12"/>
    <mergeCell ref="B4:G4"/>
    <mergeCell ref="B6:J6"/>
    <mergeCell ref="B7:J7"/>
    <mergeCell ref="B13:F1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dimension ref="A1:AK56"/>
  <sheetViews>
    <sheetView workbookViewId="0"/>
  </sheetViews>
  <sheetFormatPr defaultColWidth="9.109375" defaultRowHeight="14.4" x14ac:dyDescent="0.3"/>
  <cols>
    <col min="1" max="1" width="16.5546875" style="28" customWidth="1"/>
    <col min="2" max="2" width="22.88671875" style="28" customWidth="1"/>
    <col min="3" max="3" width="17.5546875" style="28" customWidth="1"/>
    <col min="4" max="4" width="48.33203125" style="28" customWidth="1"/>
    <col min="5" max="31" width="16.6640625" style="28" customWidth="1"/>
    <col min="32" max="32" width="9.109375" style="28"/>
    <col min="33" max="33" width="10.5546875" style="28" bestFit="1" customWidth="1"/>
    <col min="34" max="35" width="9.109375" style="28"/>
    <col min="36" max="36" width="11.88671875" style="28" bestFit="1" customWidth="1"/>
    <col min="37" max="16384" width="9.109375" style="28"/>
  </cols>
  <sheetData>
    <row r="1" spans="1:37" x14ac:dyDescent="0.3">
      <c r="A1" s="5" t="s">
        <v>574</v>
      </c>
      <c r="B1" s="5"/>
      <c r="C1" s="5"/>
      <c r="D1" s="10"/>
      <c r="E1" s="10"/>
      <c r="F1" s="10"/>
      <c r="G1" s="10"/>
      <c r="H1" s="10"/>
      <c r="I1" s="10"/>
      <c r="J1" s="10"/>
      <c r="K1" s="10"/>
    </row>
    <row r="2" spans="1:37" s="89" customFormat="1" x14ac:dyDescent="0.3">
      <c r="A2" s="370"/>
      <c r="B2" s="370"/>
      <c r="C2" s="370"/>
      <c r="D2" s="373"/>
      <c r="E2" s="373"/>
      <c r="F2" s="373"/>
      <c r="G2" s="373"/>
      <c r="H2" s="373"/>
      <c r="I2" s="373"/>
      <c r="J2" s="373"/>
      <c r="K2" s="373"/>
    </row>
    <row r="3" spans="1:37" x14ac:dyDescent="0.3">
      <c r="A3" s="5" t="s">
        <v>0</v>
      </c>
      <c r="B3" s="5" t="s">
        <v>268</v>
      </c>
      <c r="C3" s="5"/>
      <c r="D3" s="10"/>
      <c r="E3" s="10"/>
      <c r="F3" s="10"/>
      <c r="G3" s="10"/>
      <c r="H3" s="10"/>
      <c r="I3" s="10"/>
      <c r="J3" s="10"/>
      <c r="K3" s="10"/>
    </row>
    <row r="4" spans="1:37" ht="15" customHeight="1" x14ac:dyDescent="0.3">
      <c r="A4" s="277"/>
      <c r="B4" s="579" t="s">
        <v>370</v>
      </c>
      <c r="C4" s="577"/>
      <c r="D4" s="577"/>
      <c r="E4" s="577"/>
      <c r="F4" s="577"/>
      <c r="G4" s="577"/>
      <c r="H4" s="577"/>
      <c r="I4" s="577"/>
      <c r="J4" s="577"/>
      <c r="K4" s="577"/>
      <c r="L4" s="99"/>
      <c r="M4" s="99"/>
      <c r="N4" s="99"/>
      <c r="O4" s="99"/>
      <c r="P4" s="99"/>
      <c r="Q4" s="99"/>
      <c r="R4" s="99"/>
      <c r="S4" s="99"/>
      <c r="T4" s="99"/>
      <c r="U4" s="99"/>
      <c r="V4" s="99"/>
      <c r="W4" s="99"/>
      <c r="X4" s="99"/>
      <c r="Y4" s="99"/>
      <c r="Z4" s="99"/>
      <c r="AA4" s="99"/>
      <c r="AB4" s="99"/>
      <c r="AC4" s="99"/>
      <c r="AD4" s="99"/>
      <c r="AE4" s="99"/>
      <c r="AF4" s="99"/>
      <c r="AG4" s="99"/>
      <c r="AH4" s="99"/>
      <c r="AI4" s="99"/>
      <c r="AJ4" s="99"/>
      <c r="AK4" s="99"/>
    </row>
    <row r="5" spans="1:37" ht="15" customHeight="1" x14ac:dyDescent="0.3">
      <c r="A5" s="277"/>
      <c r="B5" s="421" t="s">
        <v>0</v>
      </c>
      <c r="C5" s="420"/>
      <c r="D5" s="420"/>
      <c r="E5" s="420"/>
      <c r="F5" s="420"/>
      <c r="G5" s="420"/>
      <c r="H5" s="420"/>
      <c r="I5" s="420"/>
      <c r="J5" s="420"/>
      <c r="K5" s="420"/>
      <c r="L5" s="99"/>
      <c r="M5" s="99"/>
      <c r="N5" s="99"/>
      <c r="O5" s="99"/>
      <c r="P5" s="99"/>
      <c r="Q5" s="99"/>
      <c r="R5" s="99"/>
      <c r="S5" s="99"/>
      <c r="T5" s="99"/>
      <c r="U5" s="99"/>
      <c r="V5" s="99"/>
      <c r="W5" s="99"/>
      <c r="X5" s="99"/>
      <c r="Y5" s="99"/>
      <c r="Z5" s="99"/>
      <c r="AA5" s="99"/>
      <c r="AB5" s="99"/>
      <c r="AC5" s="99"/>
      <c r="AD5" s="99"/>
      <c r="AE5" s="99"/>
      <c r="AF5" s="99"/>
      <c r="AG5" s="99"/>
      <c r="AH5" s="99"/>
      <c r="AI5" s="99"/>
      <c r="AJ5" s="99"/>
      <c r="AK5" s="99"/>
    </row>
    <row r="6" spans="1:37" ht="15" customHeight="1" x14ac:dyDescent="0.3">
      <c r="A6" s="277"/>
      <c r="B6" s="579" t="s">
        <v>371</v>
      </c>
      <c r="C6" s="579"/>
      <c r="D6" s="579"/>
      <c r="E6" s="420"/>
      <c r="F6" s="420"/>
      <c r="G6" s="420"/>
      <c r="H6" s="420"/>
      <c r="I6" s="420"/>
      <c r="J6" s="420"/>
      <c r="K6" s="420"/>
      <c r="L6" s="99"/>
      <c r="M6" s="99"/>
      <c r="N6" s="99"/>
      <c r="O6" s="99"/>
      <c r="P6" s="99"/>
      <c r="Q6" s="99"/>
      <c r="R6" s="99"/>
      <c r="S6" s="99"/>
      <c r="T6" s="99"/>
      <c r="U6" s="99"/>
      <c r="V6" s="99"/>
      <c r="W6" s="99"/>
      <c r="X6" s="99"/>
      <c r="Y6" s="99"/>
      <c r="Z6" s="99"/>
      <c r="AA6" s="99"/>
      <c r="AB6" s="99"/>
      <c r="AC6" s="99"/>
      <c r="AD6" s="99"/>
      <c r="AE6" s="99"/>
      <c r="AF6" s="99"/>
      <c r="AG6" s="99"/>
      <c r="AH6" s="99"/>
      <c r="AI6" s="99"/>
      <c r="AJ6" s="99"/>
      <c r="AK6" s="99"/>
    </row>
    <row r="7" spans="1:37" ht="15" customHeight="1" x14ac:dyDescent="0.3">
      <c r="A7" s="277"/>
      <c r="B7" s="582" t="s">
        <v>372</v>
      </c>
      <c r="C7" s="582"/>
      <c r="D7" s="582"/>
      <c r="E7" s="420"/>
      <c r="F7" s="420"/>
      <c r="G7" s="420"/>
      <c r="H7" s="420"/>
      <c r="I7" s="420"/>
      <c r="J7" s="420"/>
      <c r="K7" s="420"/>
      <c r="L7" s="99"/>
      <c r="M7" s="99"/>
      <c r="N7" s="99"/>
      <c r="O7" s="99"/>
      <c r="P7" s="99"/>
      <c r="Q7" s="99"/>
      <c r="R7" s="99"/>
      <c r="S7" s="99"/>
      <c r="T7" s="99"/>
      <c r="U7" s="99"/>
      <c r="V7" s="99"/>
      <c r="W7" s="99"/>
      <c r="X7" s="99"/>
      <c r="Y7" s="99"/>
      <c r="Z7" s="99"/>
      <c r="AA7" s="99"/>
      <c r="AB7" s="99"/>
      <c r="AC7" s="99"/>
      <c r="AD7" s="99"/>
      <c r="AE7" s="99"/>
      <c r="AF7" s="99"/>
      <c r="AG7" s="99"/>
      <c r="AH7" s="99"/>
      <c r="AI7" s="99"/>
      <c r="AJ7" s="99"/>
      <c r="AK7" s="99"/>
    </row>
    <row r="8" spans="1:37" ht="15" customHeight="1" x14ac:dyDescent="0.3">
      <c r="A8" s="277"/>
      <c r="B8" s="389" t="s">
        <v>368</v>
      </c>
      <c r="D8" s="420"/>
      <c r="E8" s="420"/>
      <c r="F8" s="420"/>
      <c r="G8" s="420"/>
      <c r="H8" s="420"/>
      <c r="I8" s="420"/>
      <c r="J8" s="420"/>
      <c r="K8" s="420"/>
      <c r="L8" s="99"/>
      <c r="M8" s="99"/>
      <c r="N8" s="99"/>
      <c r="O8" s="99"/>
      <c r="P8" s="99"/>
      <c r="Q8" s="99"/>
      <c r="R8" s="99"/>
      <c r="S8" s="99"/>
      <c r="T8" s="99"/>
      <c r="U8" s="99"/>
      <c r="V8" s="99"/>
      <c r="W8" s="99"/>
      <c r="X8" s="99"/>
      <c r="Y8" s="99"/>
      <c r="Z8" s="99"/>
      <c r="AA8" s="99"/>
      <c r="AB8" s="99"/>
      <c r="AC8" s="99"/>
      <c r="AD8" s="99"/>
      <c r="AE8" s="99"/>
      <c r="AF8" s="99"/>
      <c r="AG8" s="99"/>
      <c r="AH8" s="99"/>
      <c r="AI8" s="99"/>
      <c r="AJ8" s="99"/>
      <c r="AK8" s="99"/>
    </row>
    <row r="9" spans="1:37" ht="15" customHeight="1" x14ac:dyDescent="0.3">
      <c r="A9" s="277"/>
      <c r="B9" s="583" t="s">
        <v>373</v>
      </c>
      <c r="C9" s="583"/>
      <c r="D9" s="583"/>
      <c r="E9" s="420"/>
      <c r="F9" s="420"/>
      <c r="G9" s="420"/>
      <c r="H9" s="420"/>
      <c r="I9" s="420"/>
      <c r="J9" s="420"/>
      <c r="K9" s="420"/>
      <c r="L9" s="99"/>
      <c r="M9" s="99"/>
      <c r="N9" s="99"/>
      <c r="O9" s="99"/>
      <c r="P9" s="99"/>
      <c r="Q9" s="99"/>
      <c r="R9" s="99"/>
      <c r="S9" s="99"/>
      <c r="T9" s="99"/>
      <c r="U9" s="99"/>
      <c r="V9" s="99"/>
      <c r="W9" s="99"/>
      <c r="X9" s="99"/>
      <c r="Y9" s="99"/>
      <c r="Z9" s="99"/>
      <c r="AA9" s="99"/>
      <c r="AB9" s="99"/>
      <c r="AC9" s="99"/>
      <c r="AD9" s="99"/>
      <c r="AE9" s="99"/>
      <c r="AF9" s="99"/>
      <c r="AG9" s="99"/>
      <c r="AH9" s="99"/>
      <c r="AI9" s="99"/>
      <c r="AJ9" s="99"/>
      <c r="AK9" s="99"/>
    </row>
    <row r="10" spans="1:37" ht="15" customHeight="1" x14ac:dyDescent="0.3">
      <c r="A10" s="277"/>
      <c r="B10" s="583" t="s">
        <v>374</v>
      </c>
      <c r="C10" s="583"/>
      <c r="D10" s="583"/>
      <c r="E10" s="420"/>
      <c r="F10" s="420"/>
      <c r="G10" s="420"/>
      <c r="H10" s="420"/>
      <c r="I10" s="420"/>
      <c r="J10" s="420"/>
      <c r="K10" s="420"/>
      <c r="L10" s="99"/>
      <c r="M10" s="99"/>
      <c r="N10" s="99"/>
      <c r="O10" s="99"/>
      <c r="P10" s="99"/>
      <c r="Q10" s="99"/>
      <c r="R10" s="99"/>
      <c r="S10" s="99"/>
      <c r="T10" s="99"/>
      <c r="U10" s="99"/>
      <c r="V10" s="99"/>
      <c r="W10" s="99"/>
      <c r="X10" s="99"/>
      <c r="Y10" s="99"/>
      <c r="Z10" s="99"/>
      <c r="AA10" s="99"/>
      <c r="AB10" s="99"/>
      <c r="AC10" s="99"/>
      <c r="AD10" s="99"/>
      <c r="AE10" s="99"/>
      <c r="AF10" s="99"/>
      <c r="AG10" s="99"/>
      <c r="AH10" s="99"/>
      <c r="AI10" s="99"/>
      <c r="AJ10" s="99"/>
      <c r="AK10" s="99"/>
    </row>
    <row r="11" spans="1:37" ht="15" customHeight="1" x14ac:dyDescent="0.3">
      <c r="A11" s="277"/>
      <c r="B11" s="389" t="s">
        <v>369</v>
      </c>
      <c r="D11" s="420"/>
      <c r="E11" s="420"/>
      <c r="F11" s="420"/>
      <c r="G11" s="420"/>
      <c r="H11" s="420"/>
      <c r="I11" s="420"/>
      <c r="J11" s="420"/>
      <c r="K11" s="420"/>
      <c r="L11" s="99"/>
      <c r="M11" s="99"/>
      <c r="N11" s="99"/>
      <c r="O11" s="99"/>
      <c r="P11" s="99"/>
      <c r="Q11" s="99"/>
      <c r="R11" s="99"/>
      <c r="S11" s="99"/>
      <c r="T11" s="99"/>
      <c r="U11" s="99"/>
      <c r="V11" s="99"/>
      <c r="W11" s="99"/>
      <c r="X11" s="99"/>
      <c r="Y11" s="99"/>
      <c r="Z11" s="99"/>
      <c r="AA11" s="99"/>
      <c r="AB11" s="99"/>
      <c r="AC11" s="99"/>
      <c r="AD11" s="99"/>
      <c r="AE11" s="99"/>
      <c r="AF11" s="99"/>
      <c r="AG11" s="99"/>
      <c r="AH11" s="99"/>
      <c r="AI11" s="99"/>
      <c r="AJ11" s="99"/>
      <c r="AK11" s="99"/>
    </row>
    <row r="12" spans="1:37" s="25" customFormat="1" ht="15" customHeight="1" x14ac:dyDescent="0.3">
      <c r="A12" s="40"/>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row>
    <row r="13" spans="1:37" s="21" customFormat="1" x14ac:dyDescent="0.3">
      <c r="A13" s="7"/>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row>
    <row r="14" spans="1:37" s="25" customFormat="1" x14ac:dyDescent="0.3">
      <c r="A14" s="40"/>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row>
    <row r="15" spans="1:37" ht="17.25" customHeight="1" x14ac:dyDescent="0.3">
      <c r="A15" s="277"/>
      <c r="B15" s="573" t="s">
        <v>265</v>
      </c>
      <c r="C15" s="573"/>
      <c r="D15" s="573"/>
    </row>
    <row r="16" spans="1:37" ht="17.25" customHeight="1" x14ac:dyDescent="0.3">
      <c r="A16" s="277"/>
      <c r="B16" s="570" t="s">
        <v>266</v>
      </c>
      <c r="C16" s="570"/>
      <c r="D16" s="570"/>
    </row>
    <row r="17" spans="1:34" ht="17.25" customHeight="1" x14ac:dyDescent="0.3">
      <c r="A17" s="277"/>
      <c r="B17" s="571" t="s">
        <v>267</v>
      </c>
      <c r="C17" s="571"/>
      <c r="D17" s="571"/>
    </row>
    <row r="18" spans="1:34" x14ac:dyDescent="0.3">
      <c r="A18" s="10"/>
      <c r="B18" s="10"/>
      <c r="C18" s="10"/>
      <c r="D18" s="10"/>
    </row>
    <row r="19" spans="1:34" x14ac:dyDescent="0.3">
      <c r="A19" s="10"/>
      <c r="B19" s="85" t="s">
        <v>56</v>
      </c>
      <c r="C19" s="10"/>
      <c r="D19" s="10"/>
    </row>
    <row r="20" spans="1:34" x14ac:dyDescent="0.3">
      <c r="A20" s="10"/>
      <c r="B20" s="76" t="s">
        <v>356</v>
      </c>
      <c r="C20" s="461">
        <v>1000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86"/>
    </row>
    <row r="21" spans="1:34" ht="15" customHeight="1" x14ac:dyDescent="0.3">
      <c r="A21" s="387"/>
      <c r="B21" s="463" t="s">
        <v>357</v>
      </c>
      <c r="C21" s="459">
        <v>10</v>
      </c>
      <c r="E21" s="77"/>
      <c r="F21" s="77"/>
      <c r="G21" s="77"/>
      <c r="H21" s="77"/>
      <c r="I21" s="77"/>
      <c r="J21" s="77"/>
      <c r="K21" s="77"/>
      <c r="L21" s="25"/>
      <c r="M21" s="25"/>
      <c r="N21" s="25"/>
      <c r="O21" s="25"/>
      <c r="P21" s="25"/>
      <c r="Q21" s="25"/>
      <c r="R21" s="25"/>
      <c r="S21" s="25"/>
      <c r="T21" s="25"/>
      <c r="U21" s="25"/>
      <c r="V21" s="25"/>
      <c r="W21" s="25"/>
      <c r="X21" s="25"/>
      <c r="Y21" s="25"/>
      <c r="Z21" s="25"/>
      <c r="AA21" s="25"/>
      <c r="AB21" s="25"/>
      <c r="AC21" s="25"/>
      <c r="AD21" s="25"/>
      <c r="AE21" s="25"/>
      <c r="AF21" s="25"/>
      <c r="AG21" s="25"/>
      <c r="AH21" s="25"/>
    </row>
    <row r="22" spans="1:34" x14ac:dyDescent="0.3">
      <c r="A22" s="387"/>
      <c r="B22" s="464" t="s">
        <v>358</v>
      </c>
      <c r="C22" s="462">
        <v>0.05</v>
      </c>
      <c r="E22" s="77"/>
      <c r="F22" s="77"/>
      <c r="G22" s="77"/>
      <c r="H22" s="77"/>
      <c r="I22" s="77"/>
      <c r="J22" s="77"/>
      <c r="K22" s="77"/>
      <c r="L22" s="25"/>
      <c r="M22" s="25"/>
      <c r="N22" s="25"/>
      <c r="O22" s="25"/>
      <c r="P22" s="25"/>
      <c r="Q22" s="25"/>
      <c r="R22" s="25"/>
      <c r="S22" s="25"/>
      <c r="T22" s="25"/>
      <c r="U22" s="25"/>
      <c r="V22" s="25"/>
      <c r="W22" s="25"/>
      <c r="X22" s="25"/>
      <c r="Y22" s="25"/>
      <c r="Z22" s="25"/>
      <c r="AA22" s="25"/>
      <c r="AB22" s="25"/>
      <c r="AC22" s="25"/>
      <c r="AD22" s="25"/>
      <c r="AE22" s="25"/>
      <c r="AF22" s="25"/>
      <c r="AG22" s="25" t="s">
        <v>58</v>
      </c>
      <c r="AH22" s="25" t="s">
        <v>58</v>
      </c>
    </row>
    <row r="23" spans="1:34" x14ac:dyDescent="0.3">
      <c r="A23" s="387"/>
      <c r="B23" s="464"/>
      <c r="C23" s="466"/>
      <c r="E23" s="77"/>
      <c r="F23" s="77"/>
      <c r="G23" s="77"/>
      <c r="H23" s="77"/>
      <c r="I23" s="77"/>
      <c r="J23" s="77"/>
      <c r="K23" s="77"/>
      <c r="L23" s="25"/>
      <c r="M23" s="25"/>
      <c r="N23" s="25"/>
      <c r="O23" s="25"/>
      <c r="P23" s="25"/>
      <c r="Q23" s="25"/>
      <c r="R23" s="25"/>
      <c r="S23" s="25"/>
      <c r="T23" s="25"/>
      <c r="U23" s="25"/>
      <c r="V23" s="25"/>
      <c r="W23" s="25"/>
      <c r="X23" s="25"/>
      <c r="Y23" s="25"/>
      <c r="Z23" s="25"/>
      <c r="AA23" s="25"/>
      <c r="AB23" s="25"/>
      <c r="AC23" s="25"/>
      <c r="AD23" s="25"/>
      <c r="AE23" s="25"/>
      <c r="AF23" s="25"/>
      <c r="AG23" s="25"/>
      <c r="AH23" s="25"/>
    </row>
    <row r="24" spans="1:34" x14ac:dyDescent="0.3">
      <c r="A24" s="10"/>
      <c r="B24" s="76" t="s">
        <v>359</v>
      </c>
      <c r="C24" s="461">
        <v>800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86"/>
    </row>
    <row r="25" spans="1:34" ht="15" customHeight="1" x14ac:dyDescent="0.3">
      <c r="A25" s="387"/>
      <c r="B25" s="463" t="s">
        <v>360</v>
      </c>
      <c r="C25" s="459">
        <v>15</v>
      </c>
      <c r="E25" s="77"/>
      <c r="F25" s="77"/>
      <c r="G25" s="77"/>
      <c r="H25" s="77"/>
      <c r="I25" s="77"/>
      <c r="J25" s="77"/>
      <c r="K25" s="77"/>
      <c r="L25" s="25"/>
      <c r="M25" s="25"/>
      <c r="N25" s="25"/>
      <c r="O25" s="25"/>
      <c r="P25" s="25"/>
      <c r="Q25" s="25"/>
      <c r="R25" s="25"/>
      <c r="S25" s="25"/>
      <c r="T25" s="25"/>
      <c r="U25" s="25"/>
      <c r="V25" s="25"/>
      <c r="W25" s="25"/>
      <c r="X25" s="25"/>
      <c r="Y25" s="25"/>
      <c r="Z25" s="25"/>
      <c r="AA25" s="25"/>
      <c r="AB25" s="25"/>
      <c r="AC25" s="25"/>
      <c r="AD25" s="25"/>
      <c r="AE25" s="25"/>
      <c r="AF25" s="25"/>
      <c r="AG25" s="25"/>
      <c r="AH25" s="25"/>
    </row>
    <row r="26" spans="1:34" x14ac:dyDescent="0.3">
      <c r="A26" s="387"/>
      <c r="B26" s="464" t="s">
        <v>361</v>
      </c>
      <c r="C26" s="462">
        <v>0.05</v>
      </c>
      <c r="E26" s="77"/>
      <c r="F26" s="77"/>
      <c r="G26" s="77"/>
      <c r="H26" s="77"/>
      <c r="I26" s="77"/>
      <c r="J26" s="77"/>
      <c r="K26" s="77"/>
      <c r="L26" s="25"/>
      <c r="M26" s="25"/>
      <c r="N26" s="25"/>
      <c r="O26" s="25"/>
      <c r="P26" s="25"/>
      <c r="Q26" s="25"/>
      <c r="R26" s="25"/>
      <c r="S26" s="25"/>
      <c r="T26" s="25"/>
      <c r="U26" s="25"/>
      <c r="V26" s="25"/>
      <c r="W26" s="25"/>
      <c r="X26" s="25"/>
      <c r="Y26" s="25"/>
      <c r="Z26" s="25"/>
      <c r="AA26" s="25"/>
      <c r="AB26" s="25"/>
      <c r="AC26" s="25"/>
      <c r="AD26" s="25"/>
      <c r="AE26" s="25"/>
      <c r="AF26" s="25"/>
      <c r="AG26" s="25" t="s">
        <v>58</v>
      </c>
      <c r="AH26" s="25" t="s">
        <v>58</v>
      </c>
    </row>
    <row r="27" spans="1:34" x14ac:dyDescent="0.3">
      <c r="A27" s="387"/>
      <c r="B27" s="464"/>
      <c r="C27" s="466"/>
      <c r="E27" s="77"/>
      <c r="F27" s="77"/>
      <c r="G27" s="77"/>
      <c r="H27" s="77"/>
      <c r="I27" s="77"/>
      <c r="J27" s="77"/>
      <c r="K27" s="77"/>
      <c r="L27" s="25"/>
      <c r="M27" s="25"/>
      <c r="N27" s="25"/>
      <c r="O27" s="25"/>
      <c r="P27" s="25"/>
      <c r="Q27" s="25"/>
      <c r="R27" s="25"/>
      <c r="S27" s="25"/>
      <c r="T27" s="25"/>
      <c r="U27" s="25"/>
      <c r="V27" s="25"/>
      <c r="W27" s="25"/>
      <c r="X27" s="25"/>
      <c r="Y27" s="25"/>
      <c r="Z27" s="25"/>
      <c r="AA27" s="25"/>
      <c r="AB27" s="25"/>
      <c r="AC27" s="25"/>
      <c r="AD27" s="25"/>
      <c r="AE27" s="25"/>
      <c r="AF27" s="25"/>
      <c r="AG27" s="25"/>
      <c r="AH27" s="25"/>
    </row>
    <row r="28" spans="1:34" x14ac:dyDescent="0.3">
      <c r="A28" s="10"/>
      <c r="B28" s="76" t="s">
        <v>362</v>
      </c>
      <c r="C28" s="461">
        <v>1000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86"/>
    </row>
    <row r="29" spans="1:34" ht="15" customHeight="1" x14ac:dyDescent="0.3">
      <c r="A29" s="387"/>
      <c r="B29" s="463" t="s">
        <v>363</v>
      </c>
      <c r="C29" s="459">
        <v>10</v>
      </c>
      <c r="E29" s="77"/>
      <c r="F29" s="77"/>
      <c r="G29" s="77"/>
      <c r="H29" s="77"/>
      <c r="I29" s="77"/>
      <c r="J29" s="77"/>
      <c r="K29" s="77"/>
      <c r="L29" s="25"/>
      <c r="M29" s="25"/>
      <c r="N29" s="25"/>
      <c r="O29" s="25"/>
      <c r="P29" s="25"/>
      <c r="Q29" s="25"/>
      <c r="R29" s="25"/>
      <c r="S29" s="25"/>
      <c r="T29" s="25"/>
      <c r="U29" s="25"/>
      <c r="V29" s="25"/>
      <c r="W29" s="25"/>
      <c r="X29" s="25"/>
      <c r="Y29" s="25"/>
      <c r="Z29" s="25"/>
      <c r="AA29" s="25"/>
      <c r="AB29" s="25"/>
      <c r="AC29" s="25"/>
      <c r="AD29" s="25"/>
      <c r="AE29" s="25"/>
      <c r="AF29" s="25"/>
      <c r="AG29" s="25"/>
      <c r="AH29" s="25"/>
    </row>
    <row r="30" spans="1:34" x14ac:dyDescent="0.3">
      <c r="A30" s="387"/>
      <c r="B30" s="464" t="s">
        <v>364</v>
      </c>
      <c r="C30" s="462">
        <v>0.2</v>
      </c>
      <c r="E30" s="77"/>
      <c r="F30" s="77"/>
      <c r="G30" s="77"/>
      <c r="H30" s="77"/>
      <c r="I30" s="77"/>
      <c r="J30" s="77"/>
      <c r="K30" s="77"/>
      <c r="L30" s="25"/>
      <c r="M30" s="25"/>
      <c r="N30" s="25"/>
      <c r="O30" s="25"/>
      <c r="P30" s="25"/>
      <c r="Q30" s="25"/>
      <c r="R30" s="25"/>
      <c r="S30" s="25"/>
      <c r="T30" s="25"/>
      <c r="U30" s="25"/>
      <c r="V30" s="25"/>
      <c r="W30" s="25"/>
      <c r="X30" s="25"/>
      <c r="Y30" s="25"/>
      <c r="Z30" s="25"/>
      <c r="AA30" s="25"/>
      <c r="AB30" s="25"/>
      <c r="AC30" s="25"/>
      <c r="AD30" s="25"/>
      <c r="AE30" s="25"/>
      <c r="AF30" s="25"/>
      <c r="AG30" s="25" t="s">
        <v>58</v>
      </c>
      <c r="AH30" s="25" t="s">
        <v>58</v>
      </c>
    </row>
    <row r="31" spans="1:34" x14ac:dyDescent="0.3">
      <c r="A31" s="387"/>
      <c r="B31" s="464"/>
      <c r="C31" s="466"/>
      <c r="E31" s="77"/>
      <c r="F31" s="77"/>
      <c r="G31" s="77"/>
      <c r="H31" s="77"/>
      <c r="I31" s="77"/>
      <c r="J31" s="77"/>
      <c r="K31" s="77"/>
      <c r="L31" s="25"/>
      <c r="M31" s="25"/>
      <c r="N31" s="25"/>
      <c r="O31" s="25"/>
      <c r="P31" s="25"/>
      <c r="Q31" s="25"/>
      <c r="R31" s="25"/>
      <c r="S31" s="25"/>
      <c r="T31" s="25"/>
      <c r="U31" s="25"/>
      <c r="V31" s="25"/>
      <c r="W31" s="25"/>
      <c r="X31" s="25"/>
      <c r="Y31" s="25"/>
      <c r="Z31" s="25"/>
      <c r="AA31" s="25"/>
      <c r="AB31" s="25"/>
      <c r="AC31" s="25"/>
      <c r="AD31" s="25"/>
      <c r="AE31" s="25"/>
      <c r="AF31" s="25"/>
      <c r="AG31" s="25"/>
      <c r="AH31" s="25"/>
    </row>
    <row r="32" spans="1:34" x14ac:dyDescent="0.3">
      <c r="A32" s="10"/>
      <c r="B32" s="76" t="s">
        <v>365</v>
      </c>
      <c r="C32" s="461">
        <v>800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86"/>
    </row>
    <row r="33" spans="1:36" ht="15" customHeight="1" x14ac:dyDescent="0.3">
      <c r="A33" s="387"/>
      <c r="B33" s="463" t="s">
        <v>366</v>
      </c>
      <c r="C33" s="459">
        <v>15</v>
      </c>
      <c r="E33" s="77"/>
      <c r="F33" s="77"/>
      <c r="G33" s="77"/>
      <c r="H33" s="77"/>
      <c r="I33" s="77"/>
      <c r="J33" s="77"/>
      <c r="K33" s="77"/>
      <c r="L33" s="25"/>
      <c r="M33" s="25"/>
      <c r="N33" s="25"/>
      <c r="O33" s="25"/>
      <c r="P33" s="25"/>
      <c r="Q33" s="25"/>
      <c r="R33" s="25"/>
      <c r="S33" s="25"/>
      <c r="T33" s="25"/>
      <c r="U33" s="25"/>
      <c r="V33" s="25"/>
      <c r="W33" s="25"/>
      <c r="X33" s="25"/>
      <c r="Y33" s="25"/>
      <c r="Z33" s="25"/>
      <c r="AA33" s="25"/>
      <c r="AB33" s="25"/>
      <c r="AC33" s="25"/>
      <c r="AD33" s="25"/>
      <c r="AE33" s="25"/>
      <c r="AF33" s="25"/>
      <c r="AG33" s="25"/>
      <c r="AH33" s="25"/>
    </row>
    <row r="34" spans="1:36" x14ac:dyDescent="0.3">
      <c r="A34" s="387"/>
      <c r="B34" s="464" t="s">
        <v>367</v>
      </c>
      <c r="C34" s="462">
        <v>0.2</v>
      </c>
      <c r="E34" s="77"/>
      <c r="F34" s="77"/>
      <c r="G34" s="77"/>
      <c r="H34" s="77"/>
      <c r="I34" s="77"/>
      <c r="J34" s="77"/>
      <c r="K34" s="77"/>
      <c r="L34" s="25"/>
      <c r="M34" s="25"/>
      <c r="N34" s="25"/>
      <c r="O34" s="25"/>
      <c r="P34" s="25"/>
      <c r="Q34" s="25"/>
      <c r="R34" s="25"/>
      <c r="S34" s="25"/>
      <c r="T34" s="25"/>
      <c r="U34" s="25"/>
      <c r="V34" s="25"/>
      <c r="W34" s="25"/>
      <c r="X34" s="25"/>
      <c r="Y34" s="25"/>
      <c r="Z34" s="25"/>
      <c r="AA34" s="25"/>
      <c r="AB34" s="25"/>
      <c r="AC34" s="25"/>
      <c r="AD34" s="25"/>
      <c r="AE34" s="25"/>
      <c r="AF34" s="25"/>
      <c r="AG34" s="25" t="s">
        <v>58</v>
      </c>
      <c r="AH34" s="25" t="s">
        <v>58</v>
      </c>
    </row>
    <row r="35" spans="1:36" x14ac:dyDescent="0.3">
      <c r="A35" s="387"/>
      <c r="B35" s="10"/>
      <c r="C35" s="390"/>
      <c r="D35" s="460"/>
      <c r="E35" s="77"/>
      <c r="F35" s="77"/>
      <c r="G35" s="77"/>
      <c r="H35" s="77"/>
      <c r="I35" s="77"/>
      <c r="J35" s="77"/>
      <c r="K35" s="77"/>
      <c r="L35" s="25"/>
      <c r="M35" s="25"/>
      <c r="N35" s="25"/>
      <c r="O35" s="25"/>
      <c r="P35" s="25"/>
      <c r="Q35" s="25"/>
      <c r="R35" s="25"/>
      <c r="S35" s="25"/>
      <c r="T35" s="25"/>
      <c r="U35" s="25"/>
      <c r="V35" s="25"/>
      <c r="W35" s="25"/>
      <c r="X35" s="25"/>
      <c r="Y35" s="25"/>
      <c r="Z35" s="25"/>
      <c r="AA35" s="25"/>
      <c r="AB35" s="25"/>
      <c r="AC35" s="25"/>
      <c r="AD35" s="25"/>
      <c r="AE35" s="25"/>
      <c r="AF35" s="25"/>
      <c r="AG35" s="25"/>
      <c r="AH35" s="25"/>
    </row>
    <row r="36" spans="1:36" s="89" customFormat="1" x14ac:dyDescent="0.3">
      <c r="A36" s="388"/>
      <c r="B36" s="373"/>
      <c r="C36" s="454"/>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2"/>
    </row>
    <row r="37" spans="1:36" x14ac:dyDescent="0.3">
      <c r="A37" s="5"/>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row>
    <row r="38" spans="1:36" x14ac:dyDescent="0.3">
      <c r="A38" s="387"/>
      <c r="B38" s="5" t="s">
        <v>1</v>
      </c>
      <c r="C38" s="10"/>
      <c r="D38" s="10"/>
      <c r="E38" s="10"/>
      <c r="F38" s="10"/>
      <c r="G38" s="10"/>
      <c r="H38" s="10"/>
      <c r="I38" s="10"/>
      <c r="J38" s="10"/>
      <c r="K38" s="10"/>
      <c r="AF38" s="5"/>
    </row>
    <row r="39" spans="1:36" x14ac:dyDescent="0.3">
      <c r="A39" s="387"/>
      <c r="B39" s="5" t="s">
        <v>65</v>
      </c>
      <c r="C39" s="10"/>
      <c r="D39" s="10"/>
      <c r="E39" s="10"/>
      <c r="F39" s="10"/>
      <c r="G39" s="10"/>
      <c r="H39" s="10"/>
      <c r="I39" s="10"/>
      <c r="J39" s="10"/>
      <c r="K39" s="10"/>
      <c r="AF39" s="5"/>
    </row>
    <row r="40" spans="1:36" x14ac:dyDescent="0.3">
      <c r="A40" s="387"/>
      <c r="B40" s="28" t="s">
        <v>35</v>
      </c>
      <c r="C40" s="133">
        <f>C20/C22*(1-(1/(1+C22)^C21))</f>
        <v>7721.7349291848141</v>
      </c>
      <c r="D40" s="10"/>
      <c r="E40" s="10"/>
      <c r="F40" s="10"/>
      <c r="G40" s="10"/>
      <c r="H40" s="10"/>
      <c r="I40" s="10"/>
      <c r="J40" s="10"/>
      <c r="K40" s="10"/>
      <c r="AF40" s="34"/>
      <c r="AG40" s="34"/>
      <c r="AH40" s="34"/>
      <c r="AI40" s="34"/>
      <c r="AJ40" s="34"/>
    </row>
    <row r="41" spans="1:36" x14ac:dyDescent="0.3">
      <c r="A41" s="387"/>
      <c r="B41" s="5"/>
      <c r="C41" s="130"/>
      <c r="D41" s="10"/>
      <c r="E41" s="10"/>
      <c r="F41" s="10"/>
      <c r="G41" s="10"/>
      <c r="H41" s="10"/>
      <c r="I41" s="10"/>
      <c r="J41" s="10"/>
      <c r="K41" s="10"/>
      <c r="AF41" s="34"/>
      <c r="AG41" s="34"/>
      <c r="AH41" s="34"/>
      <c r="AI41" s="34"/>
      <c r="AJ41" s="34"/>
    </row>
    <row r="42" spans="1:36" x14ac:dyDescent="0.3">
      <c r="A42" s="404"/>
      <c r="B42" s="97" t="s">
        <v>375</v>
      </c>
      <c r="C42" s="143"/>
      <c r="D42" s="404"/>
      <c r="E42" s="404"/>
      <c r="F42" s="404"/>
      <c r="G42" s="404"/>
      <c r="H42" s="10"/>
      <c r="I42" s="10"/>
      <c r="J42" s="10"/>
      <c r="K42" s="10"/>
    </row>
    <row r="43" spans="1:36" x14ac:dyDescent="0.3">
      <c r="A43" s="404"/>
      <c r="B43" s="10" t="s">
        <v>35</v>
      </c>
      <c r="C43" s="133">
        <f>C24/C26*(1-(1/(1+C26)^C25))</f>
        <v>8303.7264305444751</v>
      </c>
      <c r="D43" s="98"/>
      <c r="E43" s="404"/>
      <c r="F43" s="404"/>
      <c r="G43" s="404"/>
      <c r="H43" s="10"/>
      <c r="I43" s="10"/>
      <c r="J43" s="10"/>
      <c r="K43" s="10"/>
      <c r="AF43" s="36"/>
      <c r="AG43" s="37"/>
      <c r="AH43" s="34"/>
      <c r="AI43" s="34"/>
      <c r="AJ43" s="37"/>
    </row>
    <row r="44" spans="1:36" x14ac:dyDescent="0.3">
      <c r="A44" s="404"/>
      <c r="B44" s="5"/>
      <c r="C44" s="133"/>
      <c r="D44" s="98"/>
      <c r="E44" s="404"/>
      <c r="F44" s="404"/>
      <c r="G44" s="404"/>
      <c r="H44" s="10"/>
      <c r="I44" s="10"/>
      <c r="J44" s="10"/>
      <c r="K44" s="10"/>
      <c r="AF44" s="36"/>
      <c r="AG44" s="37"/>
      <c r="AH44" s="34"/>
      <c r="AI44" s="34"/>
      <c r="AJ44" s="37"/>
    </row>
    <row r="45" spans="1:36" x14ac:dyDescent="0.3">
      <c r="A45" s="404"/>
      <c r="B45" s="5" t="s">
        <v>376</v>
      </c>
      <c r="C45" s="133"/>
      <c r="D45" s="98"/>
      <c r="E45" s="404"/>
      <c r="F45" s="404"/>
      <c r="G45" s="404"/>
      <c r="H45" s="10"/>
      <c r="I45" s="10"/>
      <c r="J45" s="10"/>
      <c r="K45" s="10"/>
      <c r="AF45" s="36"/>
      <c r="AG45" s="37"/>
      <c r="AH45" s="34"/>
      <c r="AI45" s="34"/>
      <c r="AJ45" s="37"/>
    </row>
    <row r="46" spans="1:36" x14ac:dyDescent="0.3">
      <c r="A46" s="387"/>
      <c r="B46" s="10" t="s">
        <v>377</v>
      </c>
      <c r="C46" s="467" t="str">
        <f>IF(C40&gt;C43,"$"&amp;C20&amp;" for "&amp;C21&amp;" years",IF(C43&gt;C40,"$"&amp;C24&amp;" for "&amp;C25&amp;" years","Indifferent"))</f>
        <v>$800 for 15 years</v>
      </c>
      <c r="D46" s="10"/>
      <c r="E46" s="10"/>
      <c r="F46" s="10"/>
      <c r="G46" s="10"/>
      <c r="H46" s="10"/>
      <c r="I46" s="10"/>
      <c r="J46" s="10"/>
      <c r="K46" s="10"/>
      <c r="AF46" s="34"/>
      <c r="AG46" s="34"/>
      <c r="AH46" s="34"/>
      <c r="AI46" s="34"/>
      <c r="AJ46" s="34"/>
    </row>
    <row r="47" spans="1:36" x14ac:dyDescent="0.3">
      <c r="A47" s="387"/>
      <c r="B47" s="5"/>
      <c r="C47" s="148"/>
      <c r="D47" s="10"/>
      <c r="E47" s="10"/>
      <c r="F47" s="10"/>
      <c r="G47" s="10"/>
      <c r="H47" s="10"/>
      <c r="I47" s="10"/>
      <c r="J47" s="10"/>
      <c r="K47" s="10"/>
      <c r="AF47" s="34"/>
      <c r="AG47" s="34"/>
      <c r="AH47" s="34"/>
      <c r="AI47" s="34"/>
      <c r="AJ47" s="34"/>
    </row>
    <row r="48" spans="1:36" x14ac:dyDescent="0.3">
      <c r="A48" s="404"/>
      <c r="B48" s="97" t="s">
        <v>66</v>
      </c>
      <c r="C48" s="387"/>
      <c r="D48" s="404"/>
      <c r="E48" s="404"/>
      <c r="F48" s="404"/>
      <c r="G48" s="404"/>
      <c r="H48" s="10"/>
      <c r="I48" s="10"/>
      <c r="J48" s="10"/>
      <c r="K48" s="10"/>
    </row>
    <row r="49" spans="1:36" x14ac:dyDescent="0.3">
      <c r="A49" s="404"/>
      <c r="B49" s="10" t="s">
        <v>35</v>
      </c>
      <c r="C49" s="133">
        <f>C28/C30*(1-(1/(1+C30)^C29))</f>
        <v>4192.4720855507712</v>
      </c>
      <c r="D49" s="98"/>
      <c r="E49" s="404"/>
      <c r="F49" s="404"/>
      <c r="G49" s="404"/>
      <c r="H49" s="10"/>
      <c r="I49" s="10"/>
      <c r="J49" s="10"/>
      <c r="K49" s="10"/>
      <c r="AF49" s="36"/>
      <c r="AG49" s="37"/>
      <c r="AH49" s="34"/>
      <c r="AI49" s="34"/>
      <c r="AJ49" s="37"/>
    </row>
    <row r="50" spans="1:36" x14ac:dyDescent="0.3">
      <c r="A50" s="387"/>
      <c r="B50" s="5"/>
      <c r="C50" s="130"/>
      <c r="D50" s="10"/>
      <c r="E50" s="10"/>
      <c r="F50" s="10"/>
      <c r="G50" s="10"/>
      <c r="H50" s="10"/>
      <c r="I50" s="10"/>
      <c r="J50" s="10"/>
      <c r="K50" s="10"/>
      <c r="AF50" s="34"/>
      <c r="AG50" s="34"/>
      <c r="AH50" s="34"/>
      <c r="AI50" s="34"/>
      <c r="AJ50" s="34"/>
    </row>
    <row r="51" spans="1:36" x14ac:dyDescent="0.3">
      <c r="A51" s="404"/>
      <c r="B51" s="97" t="s">
        <v>378</v>
      </c>
      <c r="C51" s="143"/>
      <c r="D51" s="404"/>
      <c r="E51" s="404"/>
      <c r="F51" s="404"/>
      <c r="G51" s="404"/>
      <c r="H51" s="10"/>
      <c r="I51" s="10"/>
      <c r="J51" s="10"/>
      <c r="K51" s="10"/>
    </row>
    <row r="52" spans="1:36" x14ac:dyDescent="0.3">
      <c r="A52" s="404"/>
      <c r="B52" s="10" t="s">
        <v>35</v>
      </c>
      <c r="C52" s="133">
        <f>C32/C34*(1-(1/(1+C34)^C33))</f>
        <v>3740.378113924502</v>
      </c>
      <c r="D52" s="98"/>
      <c r="E52" s="404"/>
      <c r="F52" s="404"/>
      <c r="G52" s="404"/>
      <c r="H52" s="10"/>
      <c r="I52" s="10"/>
      <c r="J52" s="10"/>
      <c r="K52" s="10"/>
      <c r="AF52" s="36"/>
      <c r="AG52" s="37"/>
      <c r="AH52" s="34"/>
      <c r="AI52" s="34"/>
      <c r="AJ52" s="37"/>
    </row>
    <row r="53" spans="1:36" x14ac:dyDescent="0.3">
      <c r="A53" s="404"/>
      <c r="B53" s="5"/>
      <c r="C53" s="133"/>
      <c r="D53" s="98"/>
      <c r="E53" s="404"/>
      <c r="F53" s="404"/>
      <c r="G53" s="404"/>
      <c r="H53" s="10"/>
      <c r="I53" s="10"/>
      <c r="J53" s="10"/>
      <c r="K53" s="10"/>
      <c r="AF53" s="36"/>
      <c r="AG53" s="37"/>
      <c r="AH53" s="34"/>
      <c r="AI53" s="34"/>
      <c r="AJ53" s="37"/>
    </row>
    <row r="54" spans="1:36" x14ac:dyDescent="0.3">
      <c r="A54" s="404"/>
      <c r="B54" s="5" t="s">
        <v>379</v>
      </c>
      <c r="C54" s="133"/>
      <c r="D54" s="98"/>
      <c r="E54" s="404"/>
      <c r="F54" s="404"/>
      <c r="G54" s="404"/>
      <c r="H54" s="10"/>
      <c r="I54" s="10"/>
      <c r="J54" s="10"/>
      <c r="K54" s="10"/>
      <c r="AF54" s="36"/>
      <c r="AG54" s="37"/>
      <c r="AH54" s="34"/>
      <c r="AI54" s="34"/>
      <c r="AJ54" s="37"/>
    </row>
    <row r="55" spans="1:36" x14ac:dyDescent="0.3">
      <c r="A55" s="387"/>
      <c r="B55" s="5" t="s">
        <v>377</v>
      </c>
      <c r="C55" s="467" t="str">
        <f>IF(C49&gt;C52,"$"&amp;C28&amp;" for "&amp;C29&amp;" years",IF(C52&gt;C49,"$"&amp;C32&amp;" for "&amp;C33&amp;" years","Indifferent"))</f>
        <v>$1000 for 10 years</v>
      </c>
      <c r="D55" s="10"/>
      <c r="E55" s="10"/>
      <c r="F55" s="10"/>
      <c r="G55" s="10"/>
      <c r="H55" s="10"/>
      <c r="I55" s="10"/>
      <c r="J55" s="10"/>
      <c r="K55" s="10"/>
    </row>
    <row r="56" spans="1:36" x14ac:dyDescent="0.3">
      <c r="A56" s="387"/>
      <c r="B56" s="5"/>
      <c r="C56" s="148"/>
      <c r="D56" s="10"/>
      <c r="E56" s="10"/>
      <c r="F56" s="10"/>
      <c r="G56" s="10"/>
      <c r="H56" s="10"/>
      <c r="I56" s="10"/>
      <c r="J56" s="10"/>
      <c r="K56" s="10"/>
    </row>
  </sheetData>
  <mergeCells count="8">
    <mergeCell ref="B4:K4"/>
    <mergeCell ref="B15:D15"/>
    <mergeCell ref="B16:D16"/>
    <mergeCell ref="B17:D17"/>
    <mergeCell ref="B6:D6"/>
    <mergeCell ref="B7:D7"/>
    <mergeCell ref="B9:D9"/>
    <mergeCell ref="B10:D10"/>
  </mergeCells>
  <pageMargins left="0.7" right="0.7" top="0.75" bottom="0.75" header="0.3" footer="0.3"/>
  <pageSetup orientation="portrait" r:id="rId1"/>
  <drawing r:id="rId2"/>
  <legacyDrawing r:id="rId3"/>
  <controls>
    <mc:AlternateContent xmlns:mc="http://schemas.openxmlformats.org/markup-compatibility/2006">
      <mc:Choice Requires="x14">
        <control shapeId="104451" r:id="rId4" name="Control 3">
          <controlPr defaultSize="0" r:id="rId5">
            <anchor moveWithCells="1">
              <from>
                <xdr:col>32</xdr:col>
                <xdr:colOff>0</xdr:colOff>
                <xdr:row>35</xdr:row>
                <xdr:rowOff>91440</xdr:rowOff>
              </from>
              <to>
                <xdr:col>32</xdr:col>
                <xdr:colOff>495300</xdr:colOff>
                <xdr:row>36</xdr:row>
                <xdr:rowOff>144780</xdr:rowOff>
              </to>
            </anchor>
          </controlPr>
        </control>
      </mc:Choice>
      <mc:Fallback>
        <control shapeId="104451" r:id="rId4" name="Control 3"/>
      </mc:Fallback>
    </mc:AlternateContent>
    <mc:AlternateContent xmlns:mc="http://schemas.openxmlformats.org/markup-compatibility/2006">
      <mc:Choice Requires="x14">
        <control shapeId="104450" r:id="rId6" name="Control 2">
          <controlPr defaultSize="0" r:id="rId5">
            <anchor moveWithCells="1">
              <from>
                <xdr:col>32</xdr:col>
                <xdr:colOff>0</xdr:colOff>
                <xdr:row>35</xdr:row>
                <xdr:rowOff>91440</xdr:rowOff>
              </from>
              <to>
                <xdr:col>32</xdr:col>
                <xdr:colOff>495300</xdr:colOff>
                <xdr:row>36</xdr:row>
                <xdr:rowOff>144780</xdr:rowOff>
              </to>
            </anchor>
          </controlPr>
        </control>
      </mc:Choice>
      <mc:Fallback>
        <control shapeId="104450" r:id="rId6" name="Control 2"/>
      </mc:Fallback>
    </mc:AlternateContent>
    <mc:AlternateContent xmlns:mc="http://schemas.openxmlformats.org/markup-compatibility/2006">
      <mc:Choice Requires="x14">
        <control shapeId="104449" r:id="rId7" name="Control 1">
          <controlPr defaultSize="0" r:id="rId5">
            <anchor moveWithCells="1">
              <from>
                <xdr:col>32</xdr:col>
                <xdr:colOff>0</xdr:colOff>
                <xdr:row>21</xdr:row>
                <xdr:rowOff>60960</xdr:rowOff>
              </from>
              <to>
                <xdr:col>32</xdr:col>
                <xdr:colOff>495300</xdr:colOff>
                <xdr:row>22</xdr:row>
                <xdr:rowOff>106680</xdr:rowOff>
              </to>
            </anchor>
          </controlPr>
        </control>
      </mc:Choice>
      <mc:Fallback>
        <control shapeId="104449" r:id="rId7" name="Control 1"/>
      </mc:Fallback>
    </mc:AlternateContent>
  </control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36"/>
  <sheetViews>
    <sheetView topLeftCell="A7" workbookViewId="0"/>
  </sheetViews>
  <sheetFormatPr defaultColWidth="9.109375" defaultRowHeight="14.4" x14ac:dyDescent="0.3"/>
  <cols>
    <col min="1" max="1" width="18" style="28" customWidth="1"/>
    <col min="2" max="2" width="24.33203125" style="28" customWidth="1"/>
    <col min="3" max="3" width="12.5546875" style="28" bestFit="1" customWidth="1"/>
    <col min="4" max="5" width="9.109375" style="28"/>
    <col min="6" max="6" width="10.5546875" style="28" bestFit="1" customWidth="1"/>
    <col min="7" max="7" width="10.5546875" style="28" customWidth="1"/>
    <col min="8" max="8" width="14.5546875" style="28" customWidth="1"/>
    <col min="9" max="9" width="11.88671875" style="28" bestFit="1" customWidth="1"/>
    <col min="10" max="10" width="9.5546875" style="28" bestFit="1" customWidth="1"/>
    <col min="11" max="16384" width="9.109375" style="28"/>
  </cols>
  <sheetData>
    <row r="1" spans="1:10" x14ac:dyDescent="0.3">
      <c r="A1" s="5" t="s">
        <v>573</v>
      </c>
      <c r="B1" s="5"/>
    </row>
    <row r="2" spans="1:10" s="89" customFormat="1" x14ac:dyDescent="0.3">
      <c r="A2" s="370"/>
      <c r="B2" s="370"/>
    </row>
    <row r="3" spans="1:10" x14ac:dyDescent="0.3">
      <c r="A3" s="5" t="s">
        <v>0</v>
      </c>
      <c r="B3" s="5" t="s">
        <v>268</v>
      </c>
    </row>
    <row r="4" spans="1:10" ht="48" customHeight="1" x14ac:dyDescent="0.3">
      <c r="A4" s="2"/>
      <c r="B4" s="584" t="s">
        <v>383</v>
      </c>
      <c r="C4" s="584"/>
      <c r="D4" s="584"/>
      <c r="E4" s="584"/>
      <c r="F4" s="584"/>
      <c r="G4" s="584"/>
      <c r="H4" s="584"/>
      <c r="I4" s="422"/>
      <c r="J4" s="422"/>
    </row>
    <row r="5" spans="1:10" ht="15" customHeight="1" x14ac:dyDescent="0.3">
      <c r="A5" s="2"/>
      <c r="B5" s="28" t="s">
        <v>3</v>
      </c>
      <c r="D5" s="27"/>
      <c r="E5" s="27"/>
      <c r="F5" s="27"/>
      <c r="G5" s="418"/>
      <c r="H5" s="27"/>
    </row>
    <row r="6" spans="1:10" ht="35.25" customHeight="1" x14ac:dyDescent="0.3">
      <c r="A6" s="2"/>
      <c r="B6" s="574" t="s">
        <v>380</v>
      </c>
      <c r="C6" s="574"/>
      <c r="D6" s="574"/>
      <c r="E6" s="574"/>
      <c r="F6" s="574"/>
      <c r="G6" s="574"/>
      <c r="H6" s="574"/>
      <c r="I6" s="424"/>
      <c r="J6" s="424"/>
    </row>
    <row r="7" spans="1:10" ht="33" customHeight="1" x14ac:dyDescent="0.3">
      <c r="A7" s="2"/>
      <c r="B7" s="574" t="s">
        <v>381</v>
      </c>
      <c r="C7" s="574"/>
      <c r="D7" s="574"/>
      <c r="E7" s="574"/>
      <c r="F7" s="574"/>
      <c r="G7" s="574"/>
      <c r="H7" s="574"/>
      <c r="I7" s="424"/>
      <c r="J7" s="424"/>
    </row>
    <row r="8" spans="1:10" ht="20.25" customHeight="1" x14ac:dyDescent="0.3">
      <c r="A8" s="2"/>
      <c r="B8" s="418" t="s">
        <v>382</v>
      </c>
      <c r="C8" s="42"/>
      <c r="D8" s="27"/>
      <c r="E8" s="27"/>
      <c r="F8" s="27"/>
      <c r="G8" s="418"/>
    </row>
    <row r="9" spans="1:10" ht="20.25" customHeight="1" x14ac:dyDescent="0.3">
      <c r="A9" s="2"/>
      <c r="B9" s="418"/>
      <c r="C9" s="42"/>
      <c r="D9" s="418"/>
      <c r="E9" s="418"/>
      <c r="F9" s="418"/>
      <c r="G9" s="418"/>
    </row>
    <row r="10" spans="1:10" s="21" customFormat="1" x14ac:dyDescent="0.3">
      <c r="A10" s="7"/>
      <c r="B10" s="8"/>
      <c r="C10" s="8"/>
      <c r="D10" s="8"/>
      <c r="E10" s="8"/>
      <c r="F10" s="8"/>
      <c r="G10" s="8"/>
      <c r="H10" s="8"/>
    </row>
    <row r="11" spans="1:10" customFormat="1" x14ac:dyDescent="0.3">
      <c r="G11" s="28"/>
    </row>
    <row r="12" spans="1:10" ht="17.25" customHeight="1" x14ac:dyDescent="0.3">
      <c r="A12" s="277"/>
      <c r="B12" s="573" t="s">
        <v>265</v>
      </c>
      <c r="C12" s="573"/>
      <c r="D12" s="573"/>
      <c r="E12" s="573"/>
      <c r="F12" s="573"/>
      <c r="G12" s="573"/>
      <c r="H12" s="573"/>
    </row>
    <row r="13" spans="1:10" ht="17.25" customHeight="1" x14ac:dyDescent="0.3">
      <c r="A13" s="277"/>
      <c r="B13" s="570" t="s">
        <v>266</v>
      </c>
      <c r="C13" s="570"/>
      <c r="D13" s="570"/>
    </row>
    <row r="14" spans="1:10" ht="17.25" customHeight="1" x14ac:dyDescent="0.3">
      <c r="A14" s="277"/>
      <c r="B14" s="571" t="s">
        <v>267</v>
      </c>
      <c r="C14" s="571"/>
      <c r="D14" s="571"/>
      <c r="E14" s="571"/>
      <c r="F14" s="571"/>
      <c r="G14" s="571"/>
      <c r="H14" s="571"/>
    </row>
    <row r="15" spans="1:10" x14ac:dyDescent="0.3">
      <c r="A15" s="10"/>
      <c r="B15" s="10"/>
      <c r="C15" s="10"/>
      <c r="D15" s="10"/>
    </row>
    <row r="16" spans="1:10" x14ac:dyDescent="0.3">
      <c r="A16" s="10"/>
      <c r="B16" s="85" t="s">
        <v>56</v>
      </c>
      <c r="C16" s="10"/>
      <c r="D16" s="10"/>
    </row>
    <row r="17" spans="1:10" s="25" customFormat="1" x14ac:dyDescent="0.3">
      <c r="A17" s="40"/>
      <c r="B17" s="76" t="s">
        <v>112</v>
      </c>
      <c r="C17" s="312">
        <v>100</v>
      </c>
      <c r="D17" s="41"/>
      <c r="E17" s="41"/>
      <c r="F17" s="41"/>
      <c r="G17" s="41"/>
      <c r="H17" s="41"/>
    </row>
    <row r="18" spans="1:10" s="25" customFormat="1" x14ac:dyDescent="0.3">
      <c r="A18" s="40"/>
      <c r="B18" s="76" t="s">
        <v>46</v>
      </c>
      <c r="C18" s="78">
        <v>10</v>
      </c>
      <c r="D18" s="41"/>
      <c r="E18" s="41"/>
      <c r="F18" s="41"/>
      <c r="G18" s="41"/>
      <c r="H18" s="41"/>
    </row>
    <row r="19" spans="1:10" s="25" customFormat="1" x14ac:dyDescent="0.3">
      <c r="A19" s="40"/>
      <c r="B19" s="76" t="s">
        <v>113</v>
      </c>
      <c r="C19" s="175">
        <v>100</v>
      </c>
      <c r="D19" s="41"/>
      <c r="E19" s="41"/>
      <c r="F19" s="41"/>
      <c r="G19" s="41"/>
      <c r="H19" s="41"/>
    </row>
    <row r="20" spans="1:10" s="25" customFormat="1" x14ac:dyDescent="0.3">
      <c r="A20" s="40"/>
      <c r="B20" s="76" t="s">
        <v>114</v>
      </c>
      <c r="C20" s="76">
        <f>C18</f>
        <v>10</v>
      </c>
      <c r="D20" s="41"/>
      <c r="E20" s="41"/>
      <c r="F20" s="41"/>
      <c r="G20" s="41"/>
      <c r="H20" s="41"/>
    </row>
    <row r="21" spans="1:10" s="25" customFormat="1" x14ac:dyDescent="0.3">
      <c r="A21" s="40"/>
      <c r="B21" s="76" t="s">
        <v>28</v>
      </c>
      <c r="C21" s="337">
        <v>0.06</v>
      </c>
      <c r="D21" s="76" t="s">
        <v>0</v>
      </c>
      <c r="E21" s="41"/>
      <c r="F21" s="41"/>
      <c r="G21" s="41"/>
      <c r="H21" s="41"/>
    </row>
    <row r="22" spans="1:10" s="25" customFormat="1" x14ac:dyDescent="0.3">
      <c r="A22" s="40"/>
      <c r="B22" s="76"/>
      <c r="C22" s="352"/>
      <c r="D22" s="76"/>
      <c r="E22" s="41"/>
      <c r="F22" s="41"/>
      <c r="G22" s="41"/>
      <c r="H22" s="41"/>
    </row>
    <row r="23" spans="1:10" s="89" customFormat="1" x14ac:dyDescent="0.3">
      <c r="A23" s="370"/>
      <c r="B23" s="412"/>
      <c r="C23" s="471"/>
      <c r="D23" s="412"/>
      <c r="E23" s="472"/>
      <c r="F23" s="472"/>
      <c r="G23" s="472"/>
      <c r="H23" s="472"/>
    </row>
    <row r="24" spans="1:10" x14ac:dyDescent="0.3">
      <c r="A24" s="5"/>
      <c r="B24" s="18"/>
      <c r="C24" s="18"/>
      <c r="D24" s="6"/>
      <c r="E24" s="6"/>
      <c r="F24" s="6"/>
      <c r="G24" s="6"/>
      <c r="H24" s="6"/>
    </row>
    <row r="25" spans="1:10" x14ac:dyDescent="0.3">
      <c r="A25" s="9"/>
      <c r="B25" s="5" t="s">
        <v>1</v>
      </c>
      <c r="F25" s="5" t="s">
        <v>384</v>
      </c>
    </row>
    <row r="26" spans="1:10" x14ac:dyDescent="0.3">
      <c r="A26" s="9"/>
      <c r="B26" s="5" t="s">
        <v>9</v>
      </c>
      <c r="F26" s="34">
        <f>C18</f>
        <v>10</v>
      </c>
      <c r="G26" s="69">
        <v>6</v>
      </c>
      <c r="I26" s="56">
        <f>-C17</f>
        <v>-100</v>
      </c>
      <c r="J26" s="34" t="s">
        <v>0</v>
      </c>
    </row>
    <row r="27" spans="1:10" x14ac:dyDescent="0.3">
      <c r="A27" s="9"/>
      <c r="B27" s="28" t="s">
        <v>26</v>
      </c>
      <c r="C27" s="143">
        <f>C17/C21*(1-(1/((1+C21)^C18)))</f>
        <v>736.00870514147027</v>
      </c>
      <c r="F27" s="34" t="s">
        <v>13</v>
      </c>
      <c r="G27" s="34" t="s">
        <v>15</v>
      </c>
      <c r="H27" s="34" t="s">
        <v>14</v>
      </c>
      <c r="I27" s="34" t="s">
        <v>16</v>
      </c>
      <c r="J27" s="34" t="s">
        <v>17</v>
      </c>
    </row>
    <row r="28" spans="1:10" x14ac:dyDescent="0.3">
      <c r="A28" s="9" t="s">
        <v>0</v>
      </c>
      <c r="C28" s="32"/>
      <c r="H28" s="193">
        <f>PV(G26/100,F26,I26,0)</f>
        <v>736.00870514147027</v>
      </c>
    </row>
    <row r="29" spans="1:10" x14ac:dyDescent="0.3">
      <c r="A29" s="9"/>
      <c r="B29" s="28" t="s">
        <v>0</v>
      </c>
      <c r="C29" s="11" t="s">
        <v>0</v>
      </c>
    </row>
    <row r="30" spans="1:10" x14ac:dyDescent="0.3">
      <c r="A30" s="9"/>
      <c r="B30" s="5" t="s">
        <v>5</v>
      </c>
      <c r="C30" s="13" t="s">
        <v>0</v>
      </c>
    </row>
    <row r="31" spans="1:10" ht="15.6" x14ac:dyDescent="0.35">
      <c r="A31" s="9"/>
      <c r="B31" s="10" t="s">
        <v>115</v>
      </c>
      <c r="C31" s="132">
        <f>C19/C21</f>
        <v>1666.6666666666667</v>
      </c>
      <c r="F31" s="34">
        <f>C20</f>
        <v>10</v>
      </c>
      <c r="G31" s="69">
        <v>6</v>
      </c>
      <c r="I31" s="34" t="s">
        <v>0</v>
      </c>
      <c r="J31" s="191">
        <f>C31</f>
        <v>1666.6666666666667</v>
      </c>
    </row>
    <row r="32" spans="1:10" x14ac:dyDescent="0.3">
      <c r="A32" s="9"/>
      <c r="B32" s="28" t="s">
        <v>27</v>
      </c>
      <c r="C32" s="143">
        <f>C31/(1+C21)^C20</f>
        <v>930.65796152519647</v>
      </c>
      <c r="F32" s="34" t="s">
        <v>13</v>
      </c>
      <c r="G32" s="34" t="s">
        <v>15</v>
      </c>
      <c r="H32" s="34" t="s">
        <v>14</v>
      </c>
      <c r="I32" s="34" t="s">
        <v>16</v>
      </c>
      <c r="J32" s="34" t="s">
        <v>17</v>
      </c>
    </row>
    <row r="33" spans="1:8" x14ac:dyDescent="0.3">
      <c r="A33" s="9"/>
      <c r="C33" s="31"/>
      <c r="H33" s="193">
        <f>ROUND(-PV(G31/100,F31,0,J31),2)</f>
        <v>930.66</v>
      </c>
    </row>
    <row r="34" spans="1:8" x14ac:dyDescent="0.3">
      <c r="A34" s="9"/>
      <c r="B34" s="5" t="s">
        <v>6</v>
      </c>
    </row>
    <row r="35" spans="1:8" x14ac:dyDescent="0.3">
      <c r="A35" s="9"/>
      <c r="B35" s="28" t="s">
        <v>330</v>
      </c>
      <c r="C35" s="169" t="str">
        <f>IF(C32&gt;C27,"Yes","No")</f>
        <v>Yes</v>
      </c>
    </row>
    <row r="36" spans="1:8" x14ac:dyDescent="0.3">
      <c r="A36" s="9"/>
      <c r="C36" s="166"/>
    </row>
  </sheetData>
  <mergeCells count="6">
    <mergeCell ref="B12:H12"/>
    <mergeCell ref="B14:H14"/>
    <mergeCell ref="B4:H4"/>
    <mergeCell ref="B6:H6"/>
    <mergeCell ref="B7:H7"/>
    <mergeCell ref="B13:D13"/>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20"/>
  <sheetViews>
    <sheetView workbookViewId="0"/>
  </sheetViews>
  <sheetFormatPr defaultColWidth="9.109375" defaultRowHeight="14.4" x14ac:dyDescent="0.3"/>
  <cols>
    <col min="1" max="1" width="18.5546875" style="28" customWidth="1"/>
    <col min="2" max="2" width="24.33203125" style="28" customWidth="1"/>
    <col min="3" max="3" width="12.5546875" style="28" bestFit="1" customWidth="1"/>
    <col min="4" max="7" width="9.109375" style="28"/>
    <col min="8" max="8" width="10.6640625" style="28" customWidth="1"/>
    <col min="9" max="16384" width="9.109375" style="28"/>
  </cols>
  <sheetData>
    <row r="1" spans="1:10" x14ac:dyDescent="0.3">
      <c r="A1" s="5" t="s">
        <v>572</v>
      </c>
      <c r="B1" s="5"/>
    </row>
    <row r="2" spans="1:10" s="89" customFormat="1" x14ac:dyDescent="0.3">
      <c r="A2" s="370"/>
      <c r="B2" s="370"/>
    </row>
    <row r="3" spans="1:10" x14ac:dyDescent="0.3">
      <c r="A3" s="5" t="s">
        <v>0</v>
      </c>
      <c r="B3" s="5" t="s">
        <v>268</v>
      </c>
    </row>
    <row r="4" spans="1:10" ht="44.25" customHeight="1" x14ac:dyDescent="0.3">
      <c r="A4" s="2"/>
      <c r="B4" s="584" t="s">
        <v>276</v>
      </c>
      <c r="C4" s="584"/>
      <c r="D4" s="584"/>
      <c r="E4" s="584"/>
      <c r="F4" s="584"/>
      <c r="G4" s="584"/>
      <c r="H4" s="584"/>
      <c r="I4" s="422"/>
      <c r="J4" s="422"/>
    </row>
    <row r="5" spans="1:10" ht="15" customHeight="1" x14ac:dyDescent="0.3">
      <c r="A5" s="2"/>
      <c r="B5" s="28" t="s">
        <v>3</v>
      </c>
      <c r="D5" s="27"/>
      <c r="E5" s="27"/>
      <c r="F5" s="27"/>
      <c r="G5" s="27"/>
      <c r="H5" s="27"/>
    </row>
    <row r="6" spans="1:10" s="373" customFormat="1" x14ac:dyDescent="0.3">
      <c r="B6" s="412"/>
      <c r="C6" s="412"/>
      <c r="D6" s="412"/>
      <c r="E6" s="412"/>
      <c r="F6" s="412"/>
      <c r="G6" s="412"/>
      <c r="H6" s="412"/>
    </row>
    <row r="8" spans="1:10" ht="17.25" customHeight="1" x14ac:dyDescent="0.3">
      <c r="A8" s="277"/>
      <c r="B8" s="573" t="s">
        <v>265</v>
      </c>
      <c r="C8" s="573"/>
      <c r="D8" s="573"/>
      <c r="E8" s="573"/>
      <c r="F8" s="573"/>
      <c r="G8" s="573"/>
      <c r="H8" s="573"/>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10"/>
    </row>
    <row r="13" spans="1:10" s="25" customFormat="1" x14ac:dyDescent="0.3">
      <c r="A13" s="40"/>
      <c r="B13" s="76" t="s">
        <v>111</v>
      </c>
      <c r="C13" s="125">
        <v>100</v>
      </c>
      <c r="D13" s="41"/>
      <c r="E13" s="41"/>
      <c r="F13" s="41"/>
      <c r="G13" s="41"/>
      <c r="H13" s="41"/>
    </row>
    <row r="14" spans="1:10" s="25" customFormat="1" x14ac:dyDescent="0.3">
      <c r="A14" s="40"/>
      <c r="B14" s="76" t="s">
        <v>116</v>
      </c>
      <c r="C14" s="125">
        <v>2500</v>
      </c>
      <c r="D14" s="41"/>
      <c r="E14" s="41"/>
      <c r="F14" s="41"/>
      <c r="G14" s="41"/>
      <c r="H14" s="41"/>
    </row>
    <row r="15" spans="1:10" s="25" customFormat="1" x14ac:dyDescent="0.3">
      <c r="A15" s="40"/>
      <c r="B15" s="41"/>
      <c r="C15" s="41" t="s">
        <v>0</v>
      </c>
      <c r="D15" s="41"/>
      <c r="E15" s="41"/>
      <c r="F15" s="41"/>
      <c r="G15" s="41"/>
      <c r="H15" s="41"/>
    </row>
    <row r="16" spans="1:10" s="89" customFormat="1" x14ac:dyDescent="0.3">
      <c r="A16" s="370"/>
      <c r="B16" s="472"/>
      <c r="C16" s="472"/>
      <c r="D16" s="472"/>
      <c r="E16" s="472"/>
      <c r="F16" s="472"/>
      <c r="G16" s="472"/>
      <c r="H16" s="472"/>
    </row>
    <row r="17" spans="1:13" x14ac:dyDescent="0.3">
      <c r="A17" s="5"/>
      <c r="B17" s="6"/>
      <c r="C17" s="6"/>
      <c r="D17" s="6"/>
      <c r="E17" s="6"/>
      <c r="F17" s="6"/>
      <c r="G17" s="6"/>
      <c r="H17" s="6"/>
    </row>
    <row r="18" spans="1:13" x14ac:dyDescent="0.3">
      <c r="A18" s="9"/>
      <c r="B18" s="5" t="s">
        <v>1</v>
      </c>
      <c r="G18" s="5"/>
      <c r="L18" s="29"/>
      <c r="M18" s="29"/>
    </row>
    <row r="19" spans="1:13" x14ac:dyDescent="0.3">
      <c r="A19" s="9"/>
      <c r="B19" s="28" t="s">
        <v>28</v>
      </c>
      <c r="C19" s="170">
        <f>C13/C14</f>
        <v>0.04</v>
      </c>
      <c r="D19" s="43"/>
      <c r="G19" s="34"/>
      <c r="H19" s="34"/>
      <c r="I19" s="34"/>
      <c r="J19" s="34"/>
      <c r="K19" s="34"/>
      <c r="L19" s="29"/>
      <c r="M19" s="29"/>
    </row>
    <row r="20" spans="1:13" x14ac:dyDescent="0.3">
      <c r="A20" s="9"/>
      <c r="G20" s="34"/>
      <c r="H20" s="34"/>
      <c r="I20" s="35"/>
      <c r="J20" s="34"/>
      <c r="K20" s="34"/>
    </row>
  </sheetData>
  <mergeCells count="4">
    <mergeCell ref="B8:H8"/>
    <mergeCell ref="B9:D9"/>
    <mergeCell ref="B10:H10"/>
    <mergeCell ref="B4:H4"/>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20"/>
  <sheetViews>
    <sheetView workbookViewId="0"/>
  </sheetViews>
  <sheetFormatPr defaultColWidth="9.109375" defaultRowHeight="14.4" x14ac:dyDescent="0.3"/>
  <cols>
    <col min="1" max="1" width="18.5546875" style="28" customWidth="1"/>
    <col min="2" max="2" width="24.33203125" style="28" customWidth="1"/>
    <col min="3" max="3" width="12.5546875" style="28" bestFit="1" customWidth="1"/>
    <col min="4" max="7" width="9.109375" style="28"/>
    <col min="8" max="8" width="10.6640625" style="28" customWidth="1"/>
    <col min="9" max="16384" width="9.109375" style="28"/>
  </cols>
  <sheetData>
    <row r="1" spans="1:10" x14ac:dyDescent="0.3">
      <c r="A1" s="5" t="s">
        <v>571</v>
      </c>
      <c r="B1" s="5"/>
    </row>
    <row r="2" spans="1:10" s="89" customFormat="1" x14ac:dyDescent="0.3">
      <c r="A2" s="370"/>
      <c r="B2" s="370"/>
    </row>
    <row r="3" spans="1:10" x14ac:dyDescent="0.3">
      <c r="A3" s="5" t="s">
        <v>0</v>
      </c>
      <c r="B3" s="5" t="s">
        <v>268</v>
      </c>
    </row>
    <row r="4" spans="1:10" ht="32.25" customHeight="1" x14ac:dyDescent="0.3">
      <c r="A4" s="2"/>
      <c r="B4" s="584" t="s">
        <v>385</v>
      </c>
      <c r="C4" s="584"/>
      <c r="D4" s="584"/>
      <c r="E4" s="584"/>
      <c r="F4" s="584"/>
      <c r="G4" s="584"/>
      <c r="H4" s="584"/>
      <c r="I4" s="422"/>
      <c r="J4" s="422"/>
    </row>
    <row r="5" spans="1:10" ht="15" customHeight="1" x14ac:dyDescent="0.3">
      <c r="A5" s="2"/>
      <c r="B5" s="28" t="s">
        <v>3</v>
      </c>
      <c r="D5" s="27"/>
      <c r="E5" s="27"/>
      <c r="F5" s="27"/>
      <c r="G5" s="27"/>
      <c r="H5" s="27"/>
    </row>
    <row r="6" spans="1:10" s="373" customFormat="1" x14ac:dyDescent="0.3">
      <c r="B6" s="412"/>
      <c r="C6" s="412"/>
      <c r="D6" s="412"/>
      <c r="E6" s="412"/>
      <c r="F6" s="412"/>
      <c r="G6" s="412"/>
      <c r="H6" s="412"/>
    </row>
    <row r="8" spans="1:10" ht="17.25" customHeight="1" x14ac:dyDescent="0.3">
      <c r="A8" s="277"/>
      <c r="B8" s="573" t="s">
        <v>265</v>
      </c>
      <c r="C8" s="573"/>
      <c r="D8" s="573"/>
      <c r="E8" s="573"/>
      <c r="F8" s="573"/>
      <c r="G8" s="573"/>
      <c r="H8" s="573"/>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10"/>
    </row>
    <row r="13" spans="1:10" s="77" customFormat="1" x14ac:dyDescent="0.3">
      <c r="B13" s="76" t="s">
        <v>37</v>
      </c>
      <c r="C13" s="171">
        <v>10000</v>
      </c>
      <c r="D13" s="76"/>
      <c r="E13" s="76"/>
      <c r="F13" s="76"/>
      <c r="G13" s="76"/>
      <c r="H13" s="76"/>
    </row>
    <row r="14" spans="1:10" s="77" customFormat="1" x14ac:dyDescent="0.3">
      <c r="B14" s="76" t="s">
        <v>116</v>
      </c>
      <c r="C14" s="171">
        <v>125000</v>
      </c>
      <c r="D14" s="76"/>
      <c r="E14" s="76"/>
      <c r="F14" s="76"/>
      <c r="G14" s="76"/>
      <c r="H14" s="76"/>
    </row>
    <row r="15" spans="1:10" s="77" customFormat="1" x14ac:dyDescent="0.3">
      <c r="B15" s="76"/>
      <c r="C15" s="76"/>
      <c r="D15" s="76"/>
      <c r="E15" s="76"/>
      <c r="F15" s="76"/>
      <c r="G15" s="76"/>
      <c r="H15" s="76"/>
    </row>
    <row r="16" spans="1:10" s="373" customFormat="1" x14ac:dyDescent="0.3">
      <c r="B16" s="412"/>
      <c r="C16" s="412"/>
      <c r="D16" s="412"/>
      <c r="E16" s="412"/>
      <c r="F16" s="412"/>
      <c r="G16" s="412"/>
      <c r="H16" s="412"/>
    </row>
    <row r="17" spans="1:13" x14ac:dyDescent="0.3">
      <c r="A17" s="5"/>
      <c r="B17" s="6"/>
      <c r="C17" s="6"/>
      <c r="D17" s="6"/>
      <c r="E17" s="6"/>
      <c r="F17" s="6"/>
      <c r="G17" s="6"/>
      <c r="H17" s="6"/>
    </row>
    <row r="18" spans="1:13" x14ac:dyDescent="0.3">
      <c r="A18" s="9"/>
      <c r="B18" s="5" t="s">
        <v>1</v>
      </c>
      <c r="G18" s="5"/>
      <c r="L18" s="29"/>
      <c r="M18" s="29"/>
    </row>
    <row r="19" spans="1:13" x14ac:dyDescent="0.3">
      <c r="A19" s="9"/>
      <c r="B19" s="28" t="s">
        <v>69</v>
      </c>
      <c r="C19" s="170">
        <f>C13/C14</f>
        <v>0.08</v>
      </c>
      <c r="D19" s="43"/>
      <c r="G19" s="34"/>
      <c r="H19" s="34"/>
      <c r="I19" s="34"/>
      <c r="J19" s="34"/>
      <c r="K19" s="34"/>
      <c r="L19" s="29"/>
      <c r="M19" s="29"/>
    </row>
    <row r="20" spans="1:13" x14ac:dyDescent="0.3">
      <c r="A20" s="9"/>
      <c r="G20" s="34"/>
      <c r="H20" s="34"/>
      <c r="I20" s="35"/>
      <c r="J20" s="34"/>
      <c r="K20" s="34"/>
    </row>
  </sheetData>
  <mergeCells count="4">
    <mergeCell ref="B8:H8"/>
    <mergeCell ref="B9:D9"/>
    <mergeCell ref="B10:H10"/>
    <mergeCell ref="B4:H4"/>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8"/>
  <sheetViews>
    <sheetView workbookViewId="0"/>
  </sheetViews>
  <sheetFormatPr defaultColWidth="9.109375" defaultRowHeight="14.4" x14ac:dyDescent="0.3"/>
  <cols>
    <col min="1" max="1" width="18.44140625" style="28" customWidth="1"/>
    <col min="2" max="2" width="24.33203125" style="28" customWidth="1"/>
    <col min="3" max="3" width="3.88671875" style="28" customWidth="1"/>
    <col min="4" max="4" width="11.44140625" style="28" customWidth="1"/>
    <col min="5" max="6" width="9.109375" style="28"/>
    <col min="7" max="7" width="10.5546875" style="28" bestFit="1" customWidth="1"/>
    <col min="8" max="8" width="15.5546875" style="28" customWidth="1"/>
    <col min="9" max="9" width="11.88671875" style="28" bestFit="1" customWidth="1"/>
    <col min="10" max="16384" width="9.109375" style="28"/>
  </cols>
  <sheetData>
    <row r="1" spans="1:10" x14ac:dyDescent="0.3">
      <c r="A1" s="5" t="s">
        <v>570</v>
      </c>
      <c r="B1" s="5"/>
    </row>
    <row r="2" spans="1:10" s="89" customFormat="1" x14ac:dyDescent="0.3">
      <c r="A2" s="370"/>
      <c r="B2" s="370"/>
    </row>
    <row r="3" spans="1:10" x14ac:dyDescent="0.3">
      <c r="A3" s="5" t="s">
        <v>0</v>
      </c>
      <c r="B3" s="5" t="s">
        <v>268</v>
      </c>
    </row>
    <row r="4" spans="1:10" ht="36.75" customHeight="1" x14ac:dyDescent="0.5">
      <c r="A4" s="1"/>
      <c r="B4" s="579" t="s">
        <v>388</v>
      </c>
      <c r="C4" s="579"/>
      <c r="D4" s="579"/>
      <c r="E4" s="579"/>
      <c r="F4" s="579"/>
      <c r="G4" s="579"/>
      <c r="H4" s="579"/>
      <c r="I4" s="99"/>
      <c r="J4" s="99"/>
    </row>
    <row r="5" spans="1:10" ht="15" customHeight="1" x14ac:dyDescent="0.3">
      <c r="A5" s="2"/>
      <c r="B5" s="28" t="s">
        <v>3</v>
      </c>
      <c r="E5" s="30"/>
      <c r="F5" s="30"/>
      <c r="G5" s="30"/>
      <c r="H5" s="30"/>
    </row>
    <row r="6" spans="1:10" ht="15" customHeight="1" x14ac:dyDescent="0.3">
      <c r="A6" s="2"/>
      <c r="B6" s="574" t="s">
        <v>386</v>
      </c>
      <c r="C6" s="574"/>
      <c r="D6" s="574"/>
      <c r="E6" s="574"/>
      <c r="F6" s="574"/>
      <c r="G6" s="574"/>
      <c r="H6" s="574"/>
      <c r="I6" s="424"/>
      <c r="J6" s="424"/>
    </row>
    <row r="7" spans="1:10" ht="15" customHeight="1" x14ac:dyDescent="0.3">
      <c r="A7" s="2"/>
      <c r="B7" s="574" t="s">
        <v>387</v>
      </c>
      <c r="C7" s="574"/>
      <c r="D7" s="574"/>
      <c r="E7" s="574"/>
      <c r="F7" s="574"/>
      <c r="G7" s="574"/>
      <c r="H7" s="574"/>
      <c r="I7" s="424"/>
      <c r="J7" s="424"/>
    </row>
    <row r="8" spans="1:10" ht="15" customHeight="1" x14ac:dyDescent="0.3">
      <c r="A8" s="2"/>
      <c r="B8" s="416"/>
      <c r="C8" s="416"/>
      <c r="D8" s="416"/>
      <c r="E8" s="416"/>
      <c r="F8" s="416"/>
      <c r="G8" s="416"/>
      <c r="H8" s="416"/>
      <c r="I8" s="424"/>
      <c r="J8" s="424"/>
    </row>
    <row r="9" spans="1:10" s="373" customFormat="1" x14ac:dyDescent="0.3">
      <c r="B9" s="412"/>
      <c r="C9" s="477"/>
      <c r="D9" s="412"/>
      <c r="E9" s="412"/>
      <c r="F9" s="412"/>
      <c r="G9" s="412"/>
      <c r="H9" s="412"/>
    </row>
    <row r="10" spans="1:10" s="25" customFormat="1" x14ac:dyDescent="0.3">
      <c r="A10" s="40"/>
      <c r="B10" s="41"/>
      <c r="C10" s="172"/>
      <c r="D10" s="41"/>
      <c r="E10" s="41"/>
      <c r="F10" s="41"/>
      <c r="G10" s="41"/>
      <c r="H10" s="41"/>
    </row>
    <row r="11" spans="1:10" ht="17.25" customHeight="1" x14ac:dyDescent="0.3">
      <c r="A11" s="277"/>
      <c r="B11" s="573" t="s">
        <v>265</v>
      </c>
      <c r="C11" s="573"/>
      <c r="D11" s="573"/>
      <c r="E11" s="573"/>
      <c r="F11" s="573"/>
      <c r="G11" s="573"/>
      <c r="H11" s="573"/>
    </row>
    <row r="12" spans="1:10" ht="17.25" customHeight="1" x14ac:dyDescent="0.3">
      <c r="A12" s="277"/>
      <c r="B12" s="570" t="s">
        <v>266</v>
      </c>
      <c r="C12" s="570"/>
      <c r="D12" s="570"/>
    </row>
    <row r="13" spans="1:10" ht="17.25" customHeight="1" x14ac:dyDescent="0.3">
      <c r="A13" s="277"/>
      <c r="B13" s="571" t="s">
        <v>267</v>
      </c>
      <c r="C13" s="571"/>
      <c r="D13" s="571"/>
      <c r="E13" s="571"/>
      <c r="F13" s="571"/>
      <c r="G13" s="571"/>
      <c r="H13" s="571"/>
    </row>
    <row r="14" spans="1:10" x14ac:dyDescent="0.3">
      <c r="A14" s="10"/>
      <c r="B14" s="10"/>
      <c r="C14" s="10"/>
      <c r="D14" s="10"/>
    </row>
    <row r="15" spans="1:10" x14ac:dyDescent="0.3">
      <c r="A15" s="10"/>
      <c r="B15" s="85" t="s">
        <v>56</v>
      </c>
      <c r="C15" s="10"/>
      <c r="D15" s="10"/>
    </row>
    <row r="16" spans="1:10" s="25" customFormat="1" x14ac:dyDescent="0.3">
      <c r="A16" s="40"/>
      <c r="B16" s="76" t="s">
        <v>117</v>
      </c>
      <c r="C16" s="173" t="s">
        <v>119</v>
      </c>
      <c r="D16" s="475">
        <v>4</v>
      </c>
      <c r="F16" s="41"/>
      <c r="G16" s="41"/>
      <c r="H16" s="41"/>
    </row>
    <row r="17" spans="1:10" s="25" customFormat="1" x14ac:dyDescent="0.3">
      <c r="A17" s="40"/>
      <c r="B17" s="76" t="s">
        <v>389</v>
      </c>
      <c r="C17" s="76"/>
      <c r="D17" s="476">
        <v>0.06</v>
      </c>
      <c r="E17" s="174" t="s">
        <v>0</v>
      </c>
      <c r="F17" s="41"/>
      <c r="G17" s="41"/>
      <c r="H17" s="41"/>
    </row>
    <row r="18" spans="1:10" s="25" customFormat="1" x14ac:dyDescent="0.3">
      <c r="A18" s="40"/>
      <c r="B18" s="76" t="s">
        <v>118</v>
      </c>
      <c r="C18" s="173" t="s">
        <v>119</v>
      </c>
      <c r="D18" s="475">
        <v>2.5</v>
      </c>
      <c r="E18" s="41"/>
      <c r="F18" s="41"/>
      <c r="G18" s="41"/>
      <c r="H18" s="41"/>
    </row>
    <row r="20" spans="1:10" s="89" customFormat="1" x14ac:dyDescent="0.3">
      <c r="A20" s="370"/>
      <c r="B20" s="412" t="s">
        <v>0</v>
      </c>
      <c r="C20" s="412"/>
      <c r="E20" s="472"/>
      <c r="F20" s="472"/>
      <c r="G20" s="370"/>
    </row>
    <row r="21" spans="1:10" x14ac:dyDescent="0.3">
      <c r="A21" s="5"/>
      <c r="B21" s="76"/>
      <c r="C21" s="76"/>
      <c r="D21" s="6"/>
      <c r="E21" s="6"/>
      <c r="F21" s="6"/>
    </row>
    <row r="22" spans="1:10" x14ac:dyDescent="0.3">
      <c r="A22" s="9"/>
      <c r="B22" s="5" t="s">
        <v>1</v>
      </c>
      <c r="C22" s="5"/>
      <c r="G22" s="5"/>
    </row>
    <row r="23" spans="1:10" x14ac:dyDescent="0.3">
      <c r="A23" s="9"/>
      <c r="B23" s="5" t="s">
        <v>9</v>
      </c>
      <c r="C23" s="5"/>
      <c r="G23" s="34"/>
      <c r="H23" s="34"/>
      <c r="I23" s="34"/>
      <c r="J23" s="34"/>
    </row>
    <row r="24" spans="1:10" x14ac:dyDescent="0.3">
      <c r="A24" s="9"/>
      <c r="B24" s="28" t="s">
        <v>390</v>
      </c>
      <c r="C24" s="173" t="s">
        <v>119</v>
      </c>
      <c r="D24" s="150">
        <f>D16/D17</f>
        <v>66.666666666666671</v>
      </c>
      <c r="G24" s="34"/>
      <c r="H24" s="34"/>
      <c r="I24" s="34"/>
      <c r="J24" s="34"/>
    </row>
    <row r="25" spans="1:10" x14ac:dyDescent="0.3">
      <c r="A25" s="9"/>
      <c r="B25" s="28" t="s">
        <v>0</v>
      </c>
      <c r="D25" s="133" t="s">
        <v>0</v>
      </c>
      <c r="G25" s="36"/>
      <c r="H25" s="37"/>
      <c r="I25" s="34"/>
      <c r="J25" s="37"/>
    </row>
    <row r="26" spans="1:10" x14ac:dyDescent="0.3">
      <c r="A26" s="9"/>
      <c r="B26" s="5" t="s">
        <v>5</v>
      </c>
      <c r="C26" s="5"/>
      <c r="D26" s="133" t="s">
        <v>0</v>
      </c>
      <c r="G26" s="34"/>
      <c r="H26" s="34"/>
      <c r="I26" s="34"/>
      <c r="J26" s="34"/>
    </row>
    <row r="27" spans="1:10" x14ac:dyDescent="0.3">
      <c r="A27" s="9"/>
      <c r="B27" s="28" t="s">
        <v>390</v>
      </c>
      <c r="C27" s="173" t="s">
        <v>119</v>
      </c>
      <c r="D27" s="150">
        <f>D18/D17</f>
        <v>41.666666666666671</v>
      </c>
      <c r="G27" s="34"/>
      <c r="H27" s="34"/>
      <c r="I27" s="34"/>
      <c r="J27" s="37"/>
    </row>
    <row r="28" spans="1:10" x14ac:dyDescent="0.3">
      <c r="A28" s="9"/>
      <c r="D28" s="31"/>
      <c r="H28" s="44"/>
    </row>
  </sheetData>
  <mergeCells count="6">
    <mergeCell ref="B13:H13"/>
    <mergeCell ref="B6:H6"/>
    <mergeCell ref="B7:H7"/>
    <mergeCell ref="B4:H4"/>
    <mergeCell ref="B11:H11"/>
    <mergeCell ref="B12:D12"/>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31"/>
  <sheetViews>
    <sheetView workbookViewId="0"/>
  </sheetViews>
  <sheetFormatPr defaultColWidth="9.109375" defaultRowHeight="14.4" x14ac:dyDescent="0.3"/>
  <cols>
    <col min="1" max="1" width="18.33203125" style="28" customWidth="1"/>
    <col min="2" max="2" width="24.33203125" style="28" customWidth="1"/>
    <col min="3" max="3" width="14.88671875" style="28" customWidth="1"/>
    <col min="4" max="5" width="9.109375" style="28"/>
    <col min="6" max="6" width="10.5546875" style="28" bestFit="1" customWidth="1"/>
    <col min="7" max="7" width="16.109375" style="28" customWidth="1"/>
    <col min="8" max="8" width="9.109375" style="28"/>
    <col min="9" max="9" width="11.88671875" style="28" bestFit="1" customWidth="1"/>
    <col min="10" max="16384" width="9.109375" style="28"/>
  </cols>
  <sheetData>
    <row r="1" spans="1:10" x14ac:dyDescent="0.3">
      <c r="A1" s="5" t="s">
        <v>569</v>
      </c>
      <c r="B1" s="5"/>
    </row>
    <row r="2" spans="1:10" s="89" customFormat="1" x14ac:dyDescent="0.3">
      <c r="A2" s="370"/>
      <c r="B2" s="370"/>
    </row>
    <row r="3" spans="1:10" x14ac:dyDescent="0.3">
      <c r="A3" s="5" t="s">
        <v>0</v>
      </c>
      <c r="B3" s="5" t="s">
        <v>268</v>
      </c>
    </row>
    <row r="4" spans="1:10" ht="15" customHeight="1" x14ac:dyDescent="0.3">
      <c r="A4" s="2"/>
      <c r="B4" s="574" t="s">
        <v>391</v>
      </c>
      <c r="C4" s="574"/>
      <c r="D4" s="574"/>
      <c r="E4" s="574"/>
      <c r="F4" s="574"/>
      <c r="G4" s="574"/>
      <c r="H4" s="424"/>
      <c r="I4" s="424"/>
      <c r="J4" s="424"/>
    </row>
    <row r="5" spans="1:10" ht="31.5" customHeight="1" x14ac:dyDescent="0.3">
      <c r="A5" s="2"/>
      <c r="B5" s="574" t="s">
        <v>392</v>
      </c>
      <c r="C5" s="574"/>
      <c r="D5" s="574"/>
      <c r="E5" s="574"/>
      <c r="F5" s="574"/>
      <c r="G5" s="574"/>
      <c r="H5" s="424"/>
      <c r="I5" s="424"/>
      <c r="J5" s="424"/>
    </row>
    <row r="6" spans="1:10" s="25" customFormat="1" x14ac:dyDescent="0.3">
      <c r="A6" s="40"/>
      <c r="B6" s="41"/>
      <c r="C6" s="41"/>
      <c r="D6" s="41"/>
      <c r="E6" s="41"/>
      <c r="F6" s="41"/>
      <c r="G6" s="41"/>
      <c r="H6" s="41"/>
    </row>
    <row r="7" spans="1:10" s="474" customFormat="1" x14ac:dyDescent="0.3">
      <c r="B7" s="306"/>
      <c r="C7" s="306"/>
      <c r="D7" s="306"/>
      <c r="E7" s="306"/>
      <c r="F7" s="306"/>
      <c r="G7" s="306"/>
      <c r="H7" s="306"/>
    </row>
    <row r="8" spans="1:10" s="25" customFormat="1" x14ac:dyDescent="0.3">
      <c r="A8" s="40"/>
      <c r="B8" s="41"/>
      <c r="C8" s="41"/>
      <c r="D8" s="41"/>
      <c r="E8" s="41"/>
      <c r="F8" s="41"/>
      <c r="G8" s="41"/>
      <c r="H8" s="41"/>
    </row>
    <row r="9" spans="1:10" ht="17.25" customHeight="1" x14ac:dyDescent="0.3">
      <c r="A9" s="277"/>
      <c r="B9" s="573" t="s">
        <v>265</v>
      </c>
      <c r="C9" s="573"/>
      <c r="D9" s="573"/>
      <c r="E9" s="573"/>
      <c r="F9" s="573"/>
      <c r="G9" s="573"/>
      <c r="H9" s="429"/>
    </row>
    <row r="10" spans="1:10" ht="17.25" customHeight="1" x14ac:dyDescent="0.3">
      <c r="A10" s="277"/>
      <c r="B10" s="570" t="s">
        <v>266</v>
      </c>
      <c r="C10" s="570"/>
      <c r="D10" s="570"/>
    </row>
    <row r="11" spans="1:10" ht="17.25" customHeight="1" x14ac:dyDescent="0.3">
      <c r="A11" s="277"/>
      <c r="B11" s="571" t="s">
        <v>267</v>
      </c>
      <c r="C11" s="571"/>
      <c r="D11" s="571"/>
      <c r="E11" s="571"/>
      <c r="F11" s="571"/>
      <c r="G11" s="571"/>
      <c r="H11" s="571"/>
    </row>
    <row r="12" spans="1:10" x14ac:dyDescent="0.3">
      <c r="A12" s="10"/>
      <c r="B12" s="10"/>
      <c r="C12" s="10"/>
      <c r="D12" s="10"/>
    </row>
    <row r="13" spans="1:10" x14ac:dyDescent="0.3">
      <c r="A13" s="10"/>
      <c r="B13" s="85" t="s">
        <v>56</v>
      </c>
      <c r="C13" s="10"/>
      <c r="D13" s="10"/>
    </row>
    <row r="14" spans="1:10" s="25" customFormat="1" x14ac:dyDescent="0.3">
      <c r="A14" s="40"/>
      <c r="B14" s="76" t="s">
        <v>122</v>
      </c>
      <c r="C14" s="78">
        <v>3</v>
      </c>
      <c r="D14" s="41"/>
      <c r="E14" s="41"/>
      <c r="F14" s="41"/>
      <c r="G14" s="41"/>
      <c r="H14" s="41"/>
    </row>
    <row r="15" spans="1:10" s="25" customFormat="1" x14ac:dyDescent="0.3">
      <c r="A15" s="40"/>
      <c r="B15" s="76" t="s">
        <v>120</v>
      </c>
      <c r="C15" s="125">
        <v>100</v>
      </c>
      <c r="D15" s="41"/>
      <c r="E15" s="41"/>
      <c r="F15" s="41"/>
      <c r="G15" s="41"/>
      <c r="H15" s="41"/>
    </row>
    <row r="16" spans="1:10" s="25" customFormat="1" x14ac:dyDescent="0.3">
      <c r="A16" s="40"/>
      <c r="B16" s="76" t="s">
        <v>28</v>
      </c>
      <c r="C16" s="79">
        <v>0.06</v>
      </c>
      <c r="D16" s="76" t="s">
        <v>0</v>
      </c>
      <c r="E16" s="41"/>
      <c r="F16" s="41"/>
      <c r="G16" s="41"/>
      <c r="H16" s="41"/>
    </row>
    <row r="17" spans="1:10" s="25" customFormat="1" x14ac:dyDescent="0.3">
      <c r="A17" s="40"/>
      <c r="B17" s="76" t="s">
        <v>121</v>
      </c>
      <c r="C17" s="78">
        <v>1</v>
      </c>
      <c r="D17" s="41"/>
      <c r="E17" s="41"/>
      <c r="F17" s="41"/>
      <c r="G17" s="41"/>
      <c r="H17" s="41"/>
    </row>
    <row r="18" spans="1:10" s="25" customFormat="1" x14ac:dyDescent="0.3">
      <c r="A18" s="40"/>
      <c r="B18" s="41"/>
      <c r="C18" s="41"/>
      <c r="D18" s="41"/>
      <c r="E18" s="41"/>
      <c r="F18" s="41"/>
      <c r="G18" s="41"/>
      <c r="H18" s="41"/>
    </row>
    <row r="19" spans="1:10" s="89" customFormat="1" x14ac:dyDescent="0.3">
      <c r="A19" s="370"/>
      <c r="B19" s="472"/>
      <c r="C19" s="472"/>
      <c r="D19" s="472"/>
      <c r="E19" s="472"/>
      <c r="F19" s="472"/>
      <c r="G19" s="472"/>
      <c r="H19" s="472"/>
    </row>
    <row r="20" spans="1:10" x14ac:dyDescent="0.3">
      <c r="A20" s="5"/>
      <c r="B20" s="6"/>
      <c r="C20" s="6"/>
      <c r="D20" s="6"/>
      <c r="E20" s="6"/>
    </row>
    <row r="21" spans="1:10" x14ac:dyDescent="0.3">
      <c r="A21" s="9"/>
      <c r="B21" s="5" t="s">
        <v>1</v>
      </c>
      <c r="F21" s="5" t="s">
        <v>415</v>
      </c>
    </row>
    <row r="22" spans="1:10" x14ac:dyDescent="0.3">
      <c r="A22" s="9"/>
      <c r="B22" s="5" t="s">
        <v>9</v>
      </c>
      <c r="F22" s="34">
        <f>C14</f>
        <v>3</v>
      </c>
      <c r="H22" s="177">
        <f>C16*100</f>
        <v>6</v>
      </c>
      <c r="I22" s="56">
        <f>-C15</f>
        <v>-100</v>
      </c>
      <c r="J22" s="34" t="s">
        <v>0</v>
      </c>
    </row>
    <row r="23" spans="1:10" x14ac:dyDescent="0.3">
      <c r="A23" s="9"/>
      <c r="B23" s="28" t="s">
        <v>30</v>
      </c>
      <c r="C23" s="143">
        <f>C15/C16*(1-(1/(1+C16)^C14))</f>
        <v>267.301194946164</v>
      </c>
      <c r="F23" s="34" t="s">
        <v>13</v>
      </c>
      <c r="G23" s="34" t="s">
        <v>14</v>
      </c>
      <c r="H23" s="34" t="s">
        <v>15</v>
      </c>
      <c r="I23" s="34" t="s">
        <v>16</v>
      </c>
      <c r="J23" s="34" t="s">
        <v>17</v>
      </c>
    </row>
    <row r="24" spans="1:10" x14ac:dyDescent="0.3">
      <c r="A24" s="9"/>
      <c r="B24" s="28" t="s">
        <v>0</v>
      </c>
      <c r="C24" s="133" t="s">
        <v>0</v>
      </c>
      <c r="G24" s="193">
        <f>PV(H22/100,F22,I22,0)</f>
        <v>267.301194946164</v>
      </c>
    </row>
    <row r="25" spans="1:10" x14ac:dyDescent="0.3">
      <c r="A25" s="9"/>
      <c r="C25" s="133"/>
      <c r="F25" s="36"/>
      <c r="H25" s="34"/>
      <c r="I25" s="34"/>
      <c r="J25" s="37"/>
    </row>
    <row r="26" spans="1:10" x14ac:dyDescent="0.3">
      <c r="A26" s="9"/>
      <c r="B26" s="5" t="s">
        <v>5</v>
      </c>
      <c r="C26" s="133" t="s">
        <v>0</v>
      </c>
    </row>
    <row r="27" spans="1:10" x14ac:dyDescent="0.3">
      <c r="A27" s="9"/>
      <c r="B27" s="28" t="s">
        <v>29</v>
      </c>
      <c r="C27" s="143">
        <f>(C15/C16*(1-(1/(1+C16)^C14)))/(1+C16)^C17</f>
        <v>252.17093862845658</v>
      </c>
      <c r="F27" s="34">
        <f>C17</f>
        <v>1</v>
      </c>
      <c r="H27" s="177">
        <f>C16*100</f>
        <v>6</v>
      </c>
      <c r="J27" s="478">
        <f>-G24</f>
        <v>-267.301194946164</v>
      </c>
    </row>
    <row r="28" spans="1:10" x14ac:dyDescent="0.3">
      <c r="A28" s="9"/>
      <c r="C28" s="31"/>
      <c r="F28" s="34" t="s">
        <v>13</v>
      </c>
      <c r="G28" s="34" t="s">
        <v>14</v>
      </c>
      <c r="H28" s="34" t="s">
        <v>15</v>
      </c>
      <c r="I28" s="34" t="s">
        <v>16</v>
      </c>
      <c r="J28" s="34" t="s">
        <v>17</v>
      </c>
    </row>
    <row r="29" spans="1:10" x14ac:dyDescent="0.3">
      <c r="B29" s="6"/>
      <c r="C29" s="18"/>
      <c r="D29" s="18"/>
      <c r="E29" s="18"/>
      <c r="G29" s="234">
        <f>PV(H27/100,F27,0,J27)</f>
        <v>252.17093862845658</v>
      </c>
      <c r="I29" s="34" t="s">
        <v>0</v>
      </c>
    </row>
    <row r="30" spans="1:10" x14ac:dyDescent="0.3">
      <c r="B30" s="18"/>
      <c r="C30" s="18"/>
      <c r="D30" s="18"/>
      <c r="E30" s="18"/>
    </row>
    <row r="31" spans="1:10" x14ac:dyDescent="0.3">
      <c r="B31" s="18"/>
      <c r="C31" s="18"/>
      <c r="D31" s="18"/>
      <c r="E31" s="18"/>
      <c r="F31" s="18"/>
    </row>
  </sheetData>
  <mergeCells count="5">
    <mergeCell ref="B10:D10"/>
    <mergeCell ref="B11:H11"/>
    <mergeCell ref="B4:G4"/>
    <mergeCell ref="B5:G5"/>
    <mergeCell ref="B9:G9"/>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0"/>
  <sheetViews>
    <sheetView topLeftCell="A4" workbookViewId="0"/>
  </sheetViews>
  <sheetFormatPr defaultColWidth="9.109375" defaultRowHeight="14.4" x14ac:dyDescent="0.3"/>
  <cols>
    <col min="1" max="1" width="16.5546875" style="28" customWidth="1"/>
    <col min="2" max="2" width="25.6640625" style="28" customWidth="1"/>
    <col min="3" max="3" width="12.5546875" style="28" bestFit="1" customWidth="1"/>
    <col min="4" max="4" width="9.109375" style="28"/>
    <col min="5" max="5" width="8.44140625" style="28" customWidth="1"/>
    <col min="6" max="6" width="10.5546875" style="28" bestFit="1" customWidth="1"/>
    <col min="7" max="8" width="10.5546875" style="28" customWidth="1"/>
    <col min="9" max="9" width="11.88671875" style="28" bestFit="1" customWidth="1"/>
    <col min="10" max="16384" width="9.109375" style="28"/>
  </cols>
  <sheetData>
    <row r="1" spans="1:10" x14ac:dyDescent="0.3">
      <c r="A1" s="5" t="s">
        <v>568</v>
      </c>
      <c r="B1" s="5"/>
    </row>
    <row r="2" spans="1:10" s="89" customFormat="1" x14ac:dyDescent="0.3">
      <c r="A2" s="370"/>
      <c r="B2" s="370"/>
    </row>
    <row r="3" spans="1:10" x14ac:dyDescent="0.3">
      <c r="A3" s="5" t="s">
        <v>0</v>
      </c>
      <c r="B3" s="5" t="s">
        <v>268</v>
      </c>
    </row>
    <row r="4" spans="1:10" ht="39.75" customHeight="1" x14ac:dyDescent="0.3">
      <c r="A4" s="2"/>
      <c r="B4" s="575" t="s">
        <v>394</v>
      </c>
      <c r="C4" s="575"/>
      <c r="D4" s="575"/>
      <c r="E4" s="575"/>
      <c r="F4" s="575"/>
      <c r="G4" s="575"/>
      <c r="H4" s="575"/>
      <c r="I4" s="415"/>
      <c r="J4" s="415"/>
    </row>
    <row r="5" spans="1:10" ht="15" customHeight="1" x14ac:dyDescent="0.3">
      <c r="A5" s="2"/>
      <c r="B5" s="28" t="s">
        <v>3</v>
      </c>
      <c r="D5" s="27"/>
      <c r="E5" s="27"/>
      <c r="F5" s="27"/>
      <c r="G5" s="418"/>
      <c r="H5" s="27"/>
    </row>
    <row r="6" spans="1:10" ht="15" customHeight="1" x14ac:dyDescent="0.3">
      <c r="A6" s="2"/>
      <c r="B6" s="574" t="s">
        <v>393</v>
      </c>
      <c r="C6" s="574"/>
      <c r="D6" s="574"/>
      <c r="E6" s="574"/>
      <c r="F6" s="574"/>
      <c r="G6" s="574"/>
      <c r="H6" s="574"/>
      <c r="I6" s="424"/>
      <c r="J6" s="424"/>
    </row>
    <row r="7" spans="1:10" ht="15" customHeight="1" x14ac:dyDescent="0.3">
      <c r="A7" s="2"/>
      <c r="B7" s="581" t="s">
        <v>397</v>
      </c>
      <c r="C7" s="581"/>
      <c r="D7" s="581"/>
      <c r="E7" s="581"/>
      <c r="F7" s="581"/>
      <c r="G7" s="581"/>
      <c r="H7" s="581"/>
      <c r="I7" s="581"/>
    </row>
    <row r="8" spans="1:10" ht="33.75" customHeight="1" x14ac:dyDescent="0.3">
      <c r="A8" s="2"/>
      <c r="B8" s="579" t="s">
        <v>396</v>
      </c>
      <c r="C8" s="579"/>
      <c r="D8" s="579"/>
      <c r="E8" s="579"/>
      <c r="F8" s="579"/>
      <c r="G8" s="579"/>
      <c r="H8" s="579"/>
      <c r="I8" s="424"/>
    </row>
    <row r="9" spans="1:10" ht="15" customHeight="1" x14ac:dyDescent="0.3">
      <c r="A9" s="2"/>
      <c r="B9" s="421"/>
      <c r="C9" s="421"/>
      <c r="D9" s="421"/>
      <c r="E9" s="421"/>
      <c r="F9" s="421"/>
      <c r="G9" s="421"/>
      <c r="H9" s="421"/>
      <c r="I9" s="424"/>
    </row>
    <row r="10" spans="1:10" s="370" customFormat="1" x14ac:dyDescent="0.3">
      <c r="B10" s="472"/>
      <c r="C10" s="472"/>
      <c r="D10" s="472"/>
      <c r="E10" s="472"/>
      <c r="F10" s="472"/>
      <c r="G10" s="472"/>
      <c r="H10" s="472"/>
    </row>
    <row r="11" spans="1:10" s="25" customFormat="1" ht="13.5" customHeight="1" x14ac:dyDescent="0.3">
      <c r="A11" s="40"/>
      <c r="B11" s="41"/>
      <c r="C11" s="41"/>
      <c r="D11" s="41"/>
      <c r="E11" s="41"/>
      <c r="F11" s="41"/>
      <c r="G11" s="41"/>
      <c r="H11" s="41"/>
    </row>
    <row r="12" spans="1:10" ht="17.25" customHeight="1" x14ac:dyDescent="0.3">
      <c r="A12" s="277"/>
      <c r="B12" s="573" t="s">
        <v>265</v>
      </c>
      <c r="C12" s="573"/>
      <c r="D12" s="573"/>
      <c r="E12" s="573"/>
      <c r="F12" s="573"/>
      <c r="G12" s="573"/>
      <c r="H12" s="573"/>
    </row>
    <row r="13" spans="1:10" ht="17.25" customHeight="1" x14ac:dyDescent="0.3">
      <c r="A13" s="277"/>
      <c r="B13" s="570" t="s">
        <v>266</v>
      </c>
      <c r="C13" s="570"/>
      <c r="D13" s="570"/>
    </row>
    <row r="14" spans="1:10" ht="17.25" customHeight="1" x14ac:dyDescent="0.3">
      <c r="A14" s="277"/>
      <c r="B14" s="571" t="s">
        <v>267</v>
      </c>
      <c r="C14" s="571"/>
      <c r="D14" s="571"/>
      <c r="E14" s="571"/>
      <c r="F14" s="571"/>
      <c r="G14" s="571"/>
      <c r="H14" s="571"/>
    </row>
    <row r="15" spans="1:10" x14ac:dyDescent="0.3">
      <c r="A15" s="10"/>
      <c r="B15" s="10"/>
      <c r="C15" s="10"/>
      <c r="D15" s="10"/>
    </row>
    <row r="16" spans="1:10" x14ac:dyDescent="0.3">
      <c r="A16" s="10"/>
      <c r="B16" s="85" t="s">
        <v>56</v>
      </c>
      <c r="C16" s="10"/>
      <c r="D16" s="10"/>
    </row>
    <row r="17" spans="1:16" s="25" customFormat="1" x14ac:dyDescent="0.3">
      <c r="A17" s="40"/>
      <c r="B17" s="175" t="s">
        <v>111</v>
      </c>
      <c r="C17" s="125">
        <v>80000</v>
      </c>
      <c r="D17" s="175"/>
      <c r="E17" s="175"/>
      <c r="F17" s="41"/>
      <c r="G17" s="41"/>
      <c r="H17" s="41"/>
    </row>
    <row r="18" spans="1:16" s="25" customFormat="1" x14ac:dyDescent="0.3">
      <c r="A18" s="40"/>
      <c r="B18" s="175" t="s">
        <v>120</v>
      </c>
      <c r="C18" s="125">
        <v>600</v>
      </c>
      <c r="D18" s="175"/>
      <c r="E18" s="175"/>
      <c r="F18" s="41"/>
      <c r="G18" s="41"/>
      <c r="H18" s="41"/>
    </row>
    <row r="19" spans="1:16" s="25" customFormat="1" x14ac:dyDescent="0.3">
      <c r="A19" s="40"/>
      <c r="B19" s="175" t="s">
        <v>398</v>
      </c>
      <c r="C19" s="142">
        <v>20</v>
      </c>
      <c r="D19" s="175" t="s">
        <v>0</v>
      </c>
      <c r="E19" s="175"/>
      <c r="F19" s="41"/>
      <c r="G19" s="41"/>
      <c r="H19" s="41"/>
    </row>
    <row r="20" spans="1:16" s="25" customFormat="1" x14ac:dyDescent="0.3">
      <c r="A20" s="40"/>
      <c r="B20" s="175" t="s">
        <v>123</v>
      </c>
      <c r="C20" s="479">
        <v>5.0000000000000001E-3</v>
      </c>
      <c r="D20" s="175" t="s">
        <v>0</v>
      </c>
      <c r="E20" s="175"/>
      <c r="F20" s="41"/>
      <c r="G20" s="41"/>
      <c r="H20" s="41"/>
    </row>
    <row r="21" spans="1:16" s="25" customFormat="1" x14ac:dyDescent="0.3">
      <c r="A21" s="40"/>
      <c r="B21" s="175"/>
      <c r="C21" s="480"/>
      <c r="D21" s="175"/>
      <c r="E21" s="175"/>
      <c r="F21" s="41"/>
      <c r="G21" s="41"/>
      <c r="H21" s="41"/>
    </row>
    <row r="22" spans="1:16" s="89" customFormat="1" x14ac:dyDescent="0.3">
      <c r="A22" s="370"/>
      <c r="B22" s="481"/>
      <c r="C22" s="482"/>
      <c r="D22" s="481"/>
      <c r="E22" s="481"/>
      <c r="F22" s="472"/>
      <c r="G22" s="472"/>
      <c r="H22" s="472"/>
    </row>
    <row r="23" spans="1:16" x14ac:dyDescent="0.3">
      <c r="A23" s="5"/>
      <c r="B23" s="178"/>
      <c r="C23" s="178"/>
      <c r="D23" s="178"/>
      <c r="E23" s="178"/>
      <c r="F23" s="6"/>
      <c r="G23" s="6"/>
      <c r="H23" s="6"/>
      <c r="I23" s="10"/>
      <c r="J23" s="10"/>
      <c r="K23" s="10"/>
    </row>
    <row r="24" spans="1:16" x14ac:dyDescent="0.3">
      <c r="A24" s="387"/>
      <c r="B24" s="5" t="s">
        <v>1</v>
      </c>
      <c r="C24" s="10"/>
      <c r="D24" s="10"/>
      <c r="E24" s="10"/>
      <c r="F24" s="5" t="s">
        <v>18</v>
      </c>
      <c r="G24" s="5"/>
      <c r="H24" s="10"/>
      <c r="I24" s="10"/>
      <c r="J24" s="10"/>
      <c r="K24" s="10"/>
      <c r="N24" s="10"/>
      <c r="O24" s="10"/>
      <c r="P24" s="10"/>
    </row>
    <row r="25" spans="1:16" x14ac:dyDescent="0.3">
      <c r="A25" s="387"/>
      <c r="B25" s="5" t="s">
        <v>9</v>
      </c>
      <c r="C25" s="10"/>
      <c r="D25" s="10"/>
      <c r="E25" s="10"/>
      <c r="F25" s="483">
        <f>C19*12</f>
        <v>240</v>
      </c>
      <c r="G25" s="483"/>
      <c r="H25" s="488">
        <f>-C17</f>
        <v>-80000</v>
      </c>
      <c r="I25" s="487">
        <f>C18</f>
        <v>600</v>
      </c>
      <c r="K25" s="10"/>
    </row>
    <row r="26" spans="1:16" x14ac:dyDescent="0.3">
      <c r="A26" s="387"/>
      <c r="B26" s="10" t="s">
        <v>31</v>
      </c>
      <c r="C26" s="333">
        <f>G27/100</f>
        <v>5.5000000000000005E-3</v>
      </c>
      <c r="D26" s="10"/>
      <c r="E26" s="10"/>
      <c r="F26" s="483" t="s">
        <v>13</v>
      </c>
      <c r="G26" s="34" t="s">
        <v>98</v>
      </c>
      <c r="H26" s="483" t="s">
        <v>14</v>
      </c>
      <c r="I26" s="483" t="s">
        <v>16</v>
      </c>
      <c r="J26" s="483" t="s">
        <v>17</v>
      </c>
      <c r="K26" s="10"/>
    </row>
    <row r="27" spans="1:16" x14ac:dyDescent="0.3">
      <c r="A27" s="387" t="s">
        <v>0</v>
      </c>
      <c r="B27" s="50"/>
      <c r="C27" s="32"/>
      <c r="D27" s="10"/>
      <c r="E27" s="10"/>
      <c r="G27" s="181">
        <f>ROUND(RATE(F25,I25,H25)*100,2)</f>
        <v>0.55000000000000004</v>
      </c>
      <c r="J27" s="483" t="s">
        <v>0</v>
      </c>
      <c r="K27" s="10"/>
    </row>
    <row r="28" spans="1:16" x14ac:dyDescent="0.3">
      <c r="A28" s="387"/>
      <c r="B28" s="5" t="s">
        <v>5</v>
      </c>
      <c r="C28" s="32"/>
      <c r="D28" s="10"/>
      <c r="E28" s="10"/>
      <c r="F28" s="10"/>
      <c r="G28" s="10"/>
      <c r="H28" s="10"/>
      <c r="I28" s="10"/>
      <c r="J28" s="10"/>
      <c r="K28" s="10"/>
    </row>
    <row r="29" spans="1:16" x14ac:dyDescent="0.3">
      <c r="A29" s="387"/>
      <c r="B29" s="10" t="s">
        <v>32</v>
      </c>
      <c r="C29" s="167">
        <f>(1+G27/100)^12-1</f>
        <v>6.8033559467648441E-2</v>
      </c>
      <c r="D29" s="10"/>
      <c r="E29" s="10"/>
      <c r="F29" s="10"/>
      <c r="G29" s="10"/>
      <c r="H29" s="10"/>
      <c r="I29" s="10"/>
      <c r="J29" s="10"/>
      <c r="K29" s="10"/>
    </row>
    <row r="30" spans="1:16" x14ac:dyDescent="0.3">
      <c r="A30" s="387"/>
      <c r="B30" s="10"/>
      <c r="C30" s="387"/>
      <c r="D30" s="10"/>
      <c r="E30" s="10"/>
      <c r="F30" s="483">
        <f>C19*12</f>
        <v>240</v>
      </c>
      <c r="G30" s="486">
        <f>C20*100</f>
        <v>0.5</v>
      </c>
      <c r="H30" s="488">
        <f>-C17</f>
        <v>-80000</v>
      </c>
      <c r="J30" s="483"/>
      <c r="K30" s="10"/>
    </row>
    <row r="31" spans="1:16" x14ac:dyDescent="0.3">
      <c r="A31" s="387"/>
      <c r="B31" s="5" t="s">
        <v>6</v>
      </c>
      <c r="C31" s="31"/>
      <c r="D31" s="10"/>
      <c r="E31" s="10"/>
      <c r="F31" s="483" t="s">
        <v>13</v>
      </c>
      <c r="G31" s="34" t="s">
        <v>98</v>
      </c>
      <c r="H31" s="483" t="s">
        <v>14</v>
      </c>
      <c r="I31" s="483" t="s">
        <v>16</v>
      </c>
      <c r="J31" s="483" t="s">
        <v>17</v>
      </c>
      <c r="K31" s="10"/>
    </row>
    <row r="32" spans="1:16" x14ac:dyDescent="0.3">
      <c r="A32" s="387"/>
      <c r="B32" s="485" t="s">
        <v>33</v>
      </c>
      <c r="C32" s="152">
        <f>C17*(C20)/(1-(1/(1+C20)^(C19*12)))</f>
        <v>573.14484678254098</v>
      </c>
      <c r="D32" s="10"/>
      <c r="E32" s="10"/>
      <c r="I32" s="193">
        <f>PMT(G30/100,F30,H30,J32)</f>
        <v>573.14484678253189</v>
      </c>
      <c r="J32" s="10"/>
      <c r="K32" s="10"/>
    </row>
    <row r="33" spans="1:11" x14ac:dyDescent="0.3">
      <c r="A33" s="387"/>
      <c r="B33" s="10"/>
      <c r="C33" s="10"/>
      <c r="D33" s="10"/>
      <c r="E33" s="10"/>
      <c r="F33" s="484"/>
      <c r="G33" s="484"/>
      <c r="H33" s="107"/>
      <c r="J33" s="107"/>
      <c r="K33" s="10"/>
    </row>
    <row r="34" spans="1:11" x14ac:dyDescent="0.3">
      <c r="A34" s="16"/>
      <c r="B34" s="10"/>
      <c r="C34" s="10"/>
      <c r="D34" s="10"/>
      <c r="E34" s="10"/>
      <c r="F34" s="18"/>
      <c r="G34" s="18"/>
      <c r="H34" s="16"/>
      <c r="I34" s="10"/>
      <c r="J34" s="10"/>
      <c r="K34" s="10"/>
    </row>
    <row r="35" spans="1:11" x14ac:dyDescent="0.3">
      <c r="A35" s="10"/>
      <c r="B35" s="10"/>
      <c r="C35" s="10"/>
      <c r="D35" s="10"/>
      <c r="E35" s="10"/>
      <c r="F35" s="10"/>
      <c r="G35" s="10"/>
      <c r="H35" s="10"/>
      <c r="I35" s="10"/>
      <c r="J35" s="10"/>
      <c r="K35" s="10"/>
    </row>
    <row r="36" spans="1:11" x14ac:dyDescent="0.3">
      <c r="A36" s="10"/>
      <c r="B36" s="10"/>
      <c r="C36" s="10"/>
      <c r="D36" s="10"/>
      <c r="E36" s="10"/>
      <c r="F36" s="10"/>
      <c r="G36" s="10"/>
      <c r="H36" s="10"/>
      <c r="I36" s="10"/>
      <c r="J36" s="10"/>
      <c r="K36" s="10"/>
    </row>
    <row r="37" spans="1:11" x14ac:dyDescent="0.3">
      <c r="A37" s="10"/>
      <c r="B37" s="10"/>
      <c r="C37" s="10"/>
      <c r="D37" s="10"/>
      <c r="E37" s="10"/>
      <c r="F37" s="10"/>
      <c r="G37" s="10"/>
      <c r="H37" s="10"/>
      <c r="I37" s="10"/>
      <c r="J37" s="10"/>
      <c r="K37" s="10"/>
    </row>
    <row r="38" spans="1:11" x14ac:dyDescent="0.3">
      <c r="A38" s="10"/>
      <c r="B38" s="10"/>
      <c r="C38" s="10"/>
      <c r="D38" s="10"/>
      <c r="E38" s="10"/>
      <c r="F38" s="10"/>
      <c r="G38" s="10"/>
      <c r="H38" s="10"/>
      <c r="I38" s="10"/>
      <c r="J38" s="10"/>
      <c r="K38" s="10"/>
    </row>
    <row r="39" spans="1:11" x14ac:dyDescent="0.3">
      <c r="A39" s="10"/>
      <c r="B39" s="10"/>
      <c r="C39" s="10"/>
      <c r="D39" s="10"/>
      <c r="E39" s="10"/>
      <c r="F39" s="10"/>
      <c r="G39" s="10"/>
      <c r="H39" s="10"/>
      <c r="I39" s="10"/>
      <c r="J39" s="10"/>
      <c r="K39" s="10"/>
    </row>
    <row r="40" spans="1:11" x14ac:dyDescent="0.3">
      <c r="A40" s="10"/>
      <c r="B40" s="10"/>
      <c r="C40" s="10"/>
      <c r="D40" s="10"/>
      <c r="E40" s="10"/>
      <c r="F40" s="10"/>
      <c r="G40" s="10"/>
      <c r="H40" s="10"/>
      <c r="I40" s="10"/>
      <c r="J40" s="10"/>
      <c r="K40" s="10"/>
    </row>
  </sheetData>
  <mergeCells count="7">
    <mergeCell ref="B13:D13"/>
    <mergeCell ref="B14:H14"/>
    <mergeCell ref="B12:H12"/>
    <mergeCell ref="B4:H4"/>
    <mergeCell ref="B6:H6"/>
    <mergeCell ref="B8:H8"/>
    <mergeCell ref="B7:I7"/>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36"/>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4" width="9.109375" style="28"/>
    <col min="5" max="5" width="16.5546875" style="28" customWidth="1"/>
    <col min="6" max="6" width="10.5546875" style="28" bestFit="1" customWidth="1"/>
    <col min="7" max="7" width="10.5546875" style="28" customWidth="1"/>
    <col min="8" max="8" width="14.5546875" style="28" customWidth="1"/>
    <col min="9" max="9" width="11.88671875" style="28" bestFit="1" customWidth="1"/>
    <col min="10" max="16384" width="9.109375" style="28"/>
  </cols>
  <sheetData>
    <row r="1" spans="1:10" x14ac:dyDescent="0.3">
      <c r="A1" s="5" t="s">
        <v>567</v>
      </c>
      <c r="B1" s="5"/>
    </row>
    <row r="2" spans="1:10" s="89" customFormat="1" x14ac:dyDescent="0.3">
      <c r="A2" s="370"/>
      <c r="B2" s="370"/>
    </row>
    <row r="3" spans="1:10" x14ac:dyDescent="0.3">
      <c r="A3" s="5" t="s">
        <v>0</v>
      </c>
      <c r="B3" s="5" t="s">
        <v>268</v>
      </c>
    </row>
    <row r="4" spans="1:10" ht="45" customHeight="1" x14ac:dyDescent="0.3">
      <c r="A4" s="2"/>
      <c r="B4" s="575" t="s">
        <v>277</v>
      </c>
      <c r="C4" s="575"/>
      <c r="D4" s="575"/>
      <c r="E4" s="575"/>
      <c r="F4" s="575"/>
      <c r="G4" s="575"/>
      <c r="H4" s="446"/>
      <c r="I4" s="415"/>
      <c r="J4" s="415"/>
    </row>
    <row r="5" spans="1:10" ht="15" customHeight="1" x14ac:dyDescent="0.3">
      <c r="A5" s="2"/>
      <c r="B5" s="28" t="s">
        <v>3</v>
      </c>
      <c r="D5" s="27"/>
      <c r="E5" s="27"/>
      <c r="F5" s="27"/>
      <c r="G5" s="418"/>
      <c r="H5" s="27"/>
    </row>
    <row r="6" spans="1:10" ht="35.25" customHeight="1" x14ac:dyDescent="0.3">
      <c r="A6" s="2"/>
      <c r="B6" s="579" t="s">
        <v>403</v>
      </c>
      <c r="C6" s="579"/>
      <c r="D6" s="579"/>
      <c r="E6" s="579"/>
      <c r="F6" s="579"/>
      <c r="G6" s="579"/>
      <c r="H6" s="452"/>
      <c r="I6" s="424"/>
    </row>
    <row r="7" spans="1:10" ht="15" customHeight="1" x14ac:dyDescent="0.3">
      <c r="A7" s="2"/>
      <c r="B7" s="579" t="s">
        <v>404</v>
      </c>
      <c r="C7" s="579"/>
      <c r="D7" s="579"/>
      <c r="E7" s="579"/>
      <c r="F7" s="579"/>
      <c r="G7" s="579"/>
      <c r="H7" s="579"/>
      <c r="I7" s="579"/>
    </row>
    <row r="8" spans="1:10" s="25" customFormat="1" x14ac:dyDescent="0.3">
      <c r="A8" s="40"/>
      <c r="B8" s="41"/>
      <c r="C8" s="41"/>
      <c r="D8" s="41"/>
      <c r="E8" s="41"/>
      <c r="F8" s="41"/>
      <c r="G8" s="41"/>
      <c r="H8" s="41"/>
    </row>
    <row r="9" spans="1:10" s="21" customFormat="1" x14ac:dyDescent="0.3">
      <c r="A9" s="7"/>
      <c r="B9" s="8"/>
      <c r="C9" s="8"/>
      <c r="D9" s="8"/>
      <c r="E9" s="8"/>
      <c r="F9" s="8"/>
      <c r="G9" s="8"/>
      <c r="H9" s="8"/>
    </row>
    <row r="10" spans="1:10" s="25" customFormat="1" x14ac:dyDescent="0.3">
      <c r="A10" s="40"/>
      <c r="B10" s="41"/>
      <c r="C10" s="41"/>
      <c r="D10" s="41"/>
      <c r="E10" s="41"/>
      <c r="F10" s="41"/>
      <c r="G10" s="41"/>
      <c r="H10" s="41"/>
    </row>
    <row r="11" spans="1:10" ht="17.25" customHeight="1" x14ac:dyDescent="0.3">
      <c r="A11" s="277"/>
      <c r="B11" s="573" t="s">
        <v>265</v>
      </c>
      <c r="C11" s="573"/>
      <c r="D11" s="573"/>
      <c r="E11" s="573"/>
      <c r="F11" s="573"/>
      <c r="G11" s="573"/>
      <c r="H11" s="429"/>
    </row>
    <row r="12" spans="1:10" ht="17.25" customHeight="1" x14ac:dyDescent="0.3">
      <c r="A12" s="277"/>
      <c r="B12" s="570" t="s">
        <v>266</v>
      </c>
      <c r="C12" s="570"/>
      <c r="D12" s="570"/>
    </row>
    <row r="13" spans="1:10" ht="17.25" customHeight="1" x14ac:dyDescent="0.3">
      <c r="A13" s="277"/>
      <c r="B13" s="571" t="s">
        <v>267</v>
      </c>
      <c r="C13" s="571"/>
      <c r="D13" s="571"/>
      <c r="E13" s="571"/>
      <c r="F13" s="571"/>
      <c r="G13" s="571"/>
      <c r="H13" s="571"/>
    </row>
    <row r="14" spans="1:10" x14ac:dyDescent="0.3">
      <c r="A14" s="10"/>
      <c r="B14" s="10"/>
      <c r="C14" s="10"/>
      <c r="D14" s="10"/>
    </row>
    <row r="15" spans="1:10" x14ac:dyDescent="0.3">
      <c r="A15" s="10"/>
      <c r="B15" s="85" t="s">
        <v>56</v>
      </c>
      <c r="C15" s="10"/>
      <c r="D15" s="10"/>
    </row>
    <row r="16" spans="1:10" s="25" customFormat="1" x14ac:dyDescent="0.3">
      <c r="A16" s="40"/>
      <c r="B16" s="76" t="s">
        <v>405</v>
      </c>
      <c r="C16" s="125">
        <v>2000</v>
      </c>
      <c r="D16" s="76"/>
      <c r="E16" s="76"/>
      <c r="F16" s="41"/>
      <c r="G16" s="41"/>
      <c r="H16" s="41"/>
    </row>
    <row r="17" spans="1:10" s="25" customFormat="1" x14ac:dyDescent="0.3">
      <c r="A17" s="40"/>
      <c r="B17" s="76" t="s">
        <v>124</v>
      </c>
      <c r="C17" s="125">
        <v>400</v>
      </c>
      <c r="D17" s="76"/>
      <c r="E17" s="76"/>
      <c r="F17" s="41"/>
      <c r="G17" s="41"/>
      <c r="H17" s="41"/>
    </row>
    <row r="18" spans="1:10" s="25" customFormat="1" x14ac:dyDescent="0.3">
      <c r="A18" s="40"/>
      <c r="B18" s="76" t="s">
        <v>406</v>
      </c>
      <c r="C18" s="79">
        <v>0.12</v>
      </c>
      <c r="D18" s="76" t="s">
        <v>0</v>
      </c>
      <c r="E18" s="76"/>
      <c r="F18" s="41"/>
      <c r="G18" s="41"/>
      <c r="H18" s="41"/>
    </row>
    <row r="19" spans="1:10" s="25" customFormat="1" x14ac:dyDescent="0.3">
      <c r="A19" s="40"/>
      <c r="B19" s="76" t="s">
        <v>125</v>
      </c>
      <c r="C19" s="78">
        <v>48</v>
      </c>
      <c r="D19" s="76"/>
      <c r="E19" s="76"/>
      <c r="F19" s="41"/>
      <c r="G19" s="41"/>
      <c r="H19" s="41"/>
    </row>
    <row r="20" spans="1:10" s="25" customFormat="1" x14ac:dyDescent="0.3">
      <c r="A20" s="40"/>
      <c r="B20" s="76" t="s">
        <v>126</v>
      </c>
      <c r="C20" s="78">
        <v>60</v>
      </c>
      <c r="D20" s="76"/>
      <c r="E20" s="76"/>
      <c r="F20" s="41"/>
      <c r="G20" s="41"/>
      <c r="H20" s="41"/>
    </row>
    <row r="21" spans="1:10" s="25" customFormat="1" x14ac:dyDescent="0.3">
      <c r="A21" s="40"/>
      <c r="B21" s="76"/>
      <c r="C21" s="76"/>
      <c r="D21" s="76"/>
      <c r="E21" s="76"/>
      <c r="F21" s="41"/>
      <c r="G21" s="41"/>
      <c r="H21" s="41"/>
    </row>
    <row r="22" spans="1:10" s="89" customFormat="1" x14ac:dyDescent="0.3">
      <c r="A22" s="370"/>
      <c r="B22" s="412"/>
      <c r="C22" s="412"/>
      <c r="D22" s="412"/>
      <c r="E22" s="412"/>
      <c r="F22" s="472"/>
      <c r="G22" s="472"/>
      <c r="H22" s="472"/>
    </row>
    <row r="23" spans="1:10" x14ac:dyDescent="0.3">
      <c r="A23" s="5"/>
      <c r="B23" s="18"/>
      <c r="C23" s="18"/>
      <c r="D23" s="18"/>
      <c r="E23" s="18"/>
      <c r="F23" s="6"/>
      <c r="G23" s="6"/>
      <c r="H23" s="6"/>
    </row>
    <row r="24" spans="1:10" x14ac:dyDescent="0.3">
      <c r="A24" s="9"/>
      <c r="B24" s="5" t="s">
        <v>1</v>
      </c>
      <c r="F24" s="5" t="s">
        <v>18</v>
      </c>
      <c r="G24" s="5"/>
    </row>
    <row r="25" spans="1:10" x14ac:dyDescent="0.3">
      <c r="A25" s="9"/>
      <c r="B25" s="5" t="s">
        <v>9</v>
      </c>
      <c r="F25" s="34">
        <f>C19</f>
        <v>48</v>
      </c>
      <c r="G25" s="180">
        <f>C18/12*100</f>
        <v>1</v>
      </c>
      <c r="I25" s="56">
        <f>-C17</f>
        <v>-400</v>
      </c>
    </row>
    <row r="26" spans="1:10" x14ac:dyDescent="0.3">
      <c r="A26" s="9"/>
      <c r="B26" s="28" t="s">
        <v>34</v>
      </c>
      <c r="C26" s="152">
        <f>C16+C17/(C18/12)*(1-(1/((1+C18/12)^C19)))</f>
        <v>17189.583797392112</v>
      </c>
      <c r="F26" s="34" t="s">
        <v>13</v>
      </c>
      <c r="G26" s="34" t="s">
        <v>98</v>
      </c>
      <c r="H26" s="34" t="s">
        <v>14</v>
      </c>
      <c r="I26" s="34" t="s">
        <v>16</v>
      </c>
      <c r="J26" s="34" t="s">
        <v>17</v>
      </c>
    </row>
    <row r="27" spans="1:10" x14ac:dyDescent="0.3">
      <c r="A27" s="9"/>
      <c r="C27" s="143"/>
      <c r="H27" s="197">
        <f>PV(G25/100,F25,I25)</f>
        <v>15189.583797392112</v>
      </c>
      <c r="J27" s="34" t="s">
        <v>0</v>
      </c>
    </row>
    <row r="28" spans="1:10" x14ac:dyDescent="0.3">
      <c r="A28" s="9"/>
      <c r="C28" s="143"/>
      <c r="F28" s="34"/>
      <c r="G28" s="35"/>
      <c r="I28" s="34"/>
      <c r="J28" s="34"/>
    </row>
    <row r="29" spans="1:10" x14ac:dyDescent="0.3">
      <c r="A29" s="9"/>
      <c r="B29" s="5" t="s">
        <v>5</v>
      </c>
      <c r="C29" s="130"/>
      <c r="F29" s="34">
        <f>C20</f>
        <v>60</v>
      </c>
      <c r="G29" s="180">
        <f>C18/12*100</f>
        <v>1</v>
      </c>
      <c r="I29" s="473">
        <f>-C17</f>
        <v>-400</v>
      </c>
    </row>
    <row r="30" spans="1:10" x14ac:dyDescent="0.3">
      <c r="A30" s="9"/>
      <c r="B30" s="28" t="s">
        <v>34</v>
      </c>
      <c r="C30" s="152">
        <f>C16+C17/(C18/12)*(1-(1/((1+C18/12)^C20)))</f>
        <v>19982.015362489616</v>
      </c>
      <c r="F30" s="34" t="s">
        <v>13</v>
      </c>
      <c r="G30" s="34" t="s">
        <v>98</v>
      </c>
      <c r="H30" s="34" t="s">
        <v>14</v>
      </c>
      <c r="I30" s="34" t="s">
        <v>16</v>
      </c>
      <c r="J30" s="34" t="s">
        <v>17</v>
      </c>
    </row>
    <row r="31" spans="1:10" x14ac:dyDescent="0.3">
      <c r="A31" s="9"/>
      <c r="H31" s="197">
        <f>PV(G29/100,F29,I29)</f>
        <v>17982.015362489612</v>
      </c>
      <c r="J31" s="34" t="s">
        <v>0</v>
      </c>
    </row>
    <row r="32" spans="1:10" x14ac:dyDescent="0.3">
      <c r="A32" s="16"/>
    </row>
    <row r="35" spans="6:10" x14ac:dyDescent="0.3">
      <c r="F35" s="34"/>
      <c r="G35" s="34"/>
      <c r="I35" s="34"/>
      <c r="J35" s="34"/>
    </row>
    <row r="36" spans="6:10" x14ac:dyDescent="0.3">
      <c r="F36" s="18"/>
      <c r="G36" s="18"/>
      <c r="H36" s="16"/>
    </row>
  </sheetData>
  <mergeCells count="6">
    <mergeCell ref="B12:D12"/>
    <mergeCell ref="B13:H13"/>
    <mergeCell ref="B7:I7"/>
    <mergeCell ref="B11:G11"/>
    <mergeCell ref="B4:G4"/>
    <mergeCell ref="B6:G6"/>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34"/>
  <sheetViews>
    <sheetView workbookViewId="0"/>
  </sheetViews>
  <sheetFormatPr defaultColWidth="9.109375" defaultRowHeight="14.4" x14ac:dyDescent="0.3"/>
  <cols>
    <col min="1" max="1" width="16.5546875" style="28" customWidth="1"/>
    <col min="2" max="2" width="22" style="28" customWidth="1"/>
    <col min="3" max="3" width="12.5546875" style="28" bestFit="1" customWidth="1"/>
    <col min="4" max="4" width="9.109375" style="28"/>
    <col min="5" max="5" width="16.5546875" style="28" customWidth="1"/>
    <col min="6" max="6" width="10.5546875" style="28" bestFit="1" customWidth="1"/>
    <col min="7" max="7" width="15" style="28" customWidth="1"/>
    <col min="8" max="8" width="12.109375" style="28" customWidth="1"/>
    <col min="9" max="9" width="11.88671875" style="28" bestFit="1" customWidth="1"/>
    <col min="10" max="16384" width="9.109375" style="28"/>
  </cols>
  <sheetData>
    <row r="1" spans="1:10" x14ac:dyDescent="0.3">
      <c r="A1" s="5" t="s">
        <v>566</v>
      </c>
      <c r="B1" s="5"/>
    </row>
    <row r="2" spans="1:10" x14ac:dyDescent="0.3">
      <c r="A2" s="5"/>
      <c r="B2" s="5"/>
    </row>
    <row r="3" spans="1:10" x14ac:dyDescent="0.3">
      <c r="A3" s="5" t="s">
        <v>0</v>
      </c>
      <c r="B3" s="5" t="s">
        <v>268</v>
      </c>
    </row>
    <row r="4" spans="1:10" ht="57" customHeight="1" x14ac:dyDescent="0.3">
      <c r="A4" s="2"/>
      <c r="B4" s="575" t="s">
        <v>278</v>
      </c>
      <c r="C4" s="575"/>
      <c r="D4" s="575"/>
      <c r="E4" s="575"/>
      <c r="F4" s="575"/>
      <c r="G4" s="575"/>
      <c r="H4" s="446"/>
      <c r="I4" s="415"/>
      <c r="J4" s="415"/>
    </row>
    <row r="5" spans="1:10" ht="15" customHeight="1" x14ac:dyDescent="0.3">
      <c r="A5" s="2"/>
      <c r="B5" s="28" t="s">
        <v>3</v>
      </c>
      <c r="D5" s="27"/>
      <c r="E5" s="27"/>
      <c r="F5" s="27"/>
      <c r="G5" s="418"/>
      <c r="H5" s="27"/>
    </row>
    <row r="6" spans="1:10" ht="15" customHeight="1" x14ac:dyDescent="0.3">
      <c r="A6" s="2"/>
      <c r="B6" s="586" t="s">
        <v>407</v>
      </c>
      <c r="C6" s="586"/>
      <c r="D6" s="586"/>
      <c r="E6" s="586"/>
      <c r="F6" s="586"/>
      <c r="G6" s="586"/>
      <c r="H6" s="586"/>
      <c r="I6" s="421"/>
    </row>
    <row r="7" spans="1:10" ht="15" customHeight="1" x14ac:dyDescent="0.3">
      <c r="A7" s="2"/>
      <c r="B7" s="579" t="s">
        <v>408</v>
      </c>
      <c r="C7" s="579"/>
      <c r="D7" s="579"/>
      <c r="E7" s="579"/>
      <c r="F7" s="579"/>
      <c r="G7" s="579"/>
      <c r="H7" s="579"/>
      <c r="I7" s="421"/>
    </row>
    <row r="8" spans="1:10" ht="15" customHeight="1" x14ac:dyDescent="0.3">
      <c r="A8" s="2"/>
      <c r="B8" s="579" t="s">
        <v>409</v>
      </c>
      <c r="C8" s="579"/>
      <c r="D8" s="579"/>
      <c r="E8" s="421"/>
      <c r="F8" s="421"/>
      <c r="G8" s="421"/>
      <c r="H8" s="421"/>
      <c r="I8" s="421"/>
    </row>
    <row r="9" spans="1:10" ht="15" customHeight="1" x14ac:dyDescent="0.3">
      <c r="A9" s="2"/>
      <c r="B9" s="421"/>
      <c r="C9" s="421"/>
      <c r="D9" s="421"/>
      <c r="E9" s="421"/>
      <c r="F9" s="421"/>
      <c r="G9" s="421"/>
      <c r="H9" s="421"/>
      <c r="I9" s="421"/>
    </row>
    <row r="10" spans="1:10" s="21" customFormat="1" x14ac:dyDescent="0.3">
      <c r="A10" s="7"/>
      <c r="B10" s="8"/>
      <c r="C10" s="8"/>
      <c r="D10" s="8"/>
      <c r="E10" s="8"/>
      <c r="F10" s="8"/>
      <c r="G10" s="8"/>
      <c r="H10" s="8"/>
    </row>
    <row r="11" spans="1:10" s="25" customFormat="1" ht="13.5" customHeight="1" x14ac:dyDescent="0.3">
      <c r="A11" s="40"/>
      <c r="B11" s="41"/>
      <c r="C11" s="41"/>
      <c r="D11" s="41"/>
      <c r="E11" s="41"/>
      <c r="F11" s="41"/>
      <c r="G11" s="41"/>
      <c r="H11" s="41"/>
    </row>
    <row r="12" spans="1:10" ht="17.25" customHeight="1" x14ac:dyDescent="0.3">
      <c r="A12" s="277"/>
      <c r="B12" s="585" t="s">
        <v>265</v>
      </c>
      <c r="C12" s="585"/>
      <c r="D12" s="585"/>
      <c r="E12" s="585"/>
      <c r="F12" s="585"/>
      <c r="G12" s="585"/>
      <c r="H12" s="562"/>
    </row>
    <row r="13" spans="1:10" ht="17.25" customHeight="1" x14ac:dyDescent="0.3">
      <c r="A13" s="277"/>
      <c r="B13" s="570" t="s">
        <v>266</v>
      </c>
      <c r="C13" s="570"/>
      <c r="D13" s="570"/>
    </row>
    <row r="14" spans="1:10" ht="17.25" customHeight="1" x14ac:dyDescent="0.3">
      <c r="A14" s="277"/>
      <c r="B14" s="571" t="s">
        <v>267</v>
      </c>
      <c r="C14" s="571"/>
      <c r="D14" s="571"/>
      <c r="E14" s="571"/>
      <c r="F14" s="571"/>
      <c r="G14" s="571"/>
      <c r="H14" s="571"/>
    </row>
    <row r="15" spans="1:10" x14ac:dyDescent="0.3">
      <c r="A15" s="10"/>
      <c r="B15" s="10"/>
      <c r="C15" s="10"/>
      <c r="D15" s="10"/>
    </row>
    <row r="16" spans="1:10" x14ac:dyDescent="0.3">
      <c r="A16" s="10"/>
      <c r="B16" s="85" t="s">
        <v>56</v>
      </c>
      <c r="C16" s="10"/>
      <c r="D16" s="10"/>
    </row>
    <row r="17" spans="1:10" s="25" customFormat="1" x14ac:dyDescent="0.3">
      <c r="A17" s="40"/>
      <c r="B17" s="76" t="s">
        <v>127</v>
      </c>
      <c r="C17" s="125">
        <v>24000</v>
      </c>
      <c r="D17" s="76"/>
      <c r="E17" s="76"/>
      <c r="F17" s="41"/>
      <c r="G17" s="41"/>
      <c r="H17" s="41"/>
      <c r="J17" s="510"/>
    </row>
    <row r="18" spans="1:10" s="25" customFormat="1" x14ac:dyDescent="0.3">
      <c r="A18" s="40" t="s">
        <v>0</v>
      </c>
      <c r="B18" s="76" t="s">
        <v>128</v>
      </c>
      <c r="C18" s="125">
        <v>2000</v>
      </c>
      <c r="D18" s="76"/>
      <c r="E18" s="76"/>
      <c r="F18" s="41"/>
      <c r="G18" s="41"/>
      <c r="H18" s="41"/>
    </row>
    <row r="19" spans="1:10" s="25" customFormat="1" x14ac:dyDescent="0.3">
      <c r="A19" s="40"/>
      <c r="B19" s="76" t="s">
        <v>129</v>
      </c>
      <c r="C19" s="125">
        <v>500</v>
      </c>
      <c r="D19" s="76"/>
      <c r="E19" s="76"/>
      <c r="F19" s="41"/>
      <c r="G19" s="41"/>
      <c r="H19" s="41"/>
    </row>
    <row r="20" spans="1:10" s="25" customFormat="1" x14ac:dyDescent="0.3">
      <c r="A20" s="40"/>
      <c r="B20" s="76" t="s">
        <v>130</v>
      </c>
      <c r="C20" s="78">
        <v>4</v>
      </c>
      <c r="D20" s="76"/>
      <c r="E20" s="76"/>
      <c r="F20" s="41"/>
      <c r="G20" s="41"/>
      <c r="H20" s="41"/>
    </row>
    <row r="21" spans="1:10" s="25" customFormat="1" x14ac:dyDescent="0.3">
      <c r="A21" s="40"/>
      <c r="B21" s="76" t="s">
        <v>131</v>
      </c>
      <c r="C21" s="334">
        <v>0.01</v>
      </c>
      <c r="D21" s="76" t="s">
        <v>0</v>
      </c>
      <c r="E21" s="76"/>
      <c r="F21" s="41"/>
      <c r="G21" s="41"/>
      <c r="H21" s="41"/>
    </row>
    <row r="22" spans="1:10" s="25" customFormat="1" x14ac:dyDescent="0.3">
      <c r="A22" s="40"/>
      <c r="B22" s="41"/>
      <c r="C22" s="41"/>
      <c r="D22" s="41"/>
      <c r="E22" s="41"/>
      <c r="F22" s="41"/>
      <c r="G22" s="41"/>
      <c r="H22" s="41"/>
    </row>
    <row r="23" spans="1:10" s="21" customFormat="1" x14ac:dyDescent="0.3">
      <c r="A23" s="7"/>
      <c r="B23" s="8"/>
      <c r="C23" s="8"/>
      <c r="D23" s="8"/>
      <c r="E23" s="8"/>
      <c r="F23" s="8"/>
      <c r="G23" s="8"/>
      <c r="H23" s="8"/>
    </row>
    <row r="24" spans="1:10" x14ac:dyDescent="0.3">
      <c r="A24" s="5"/>
      <c r="B24" s="6"/>
      <c r="C24" s="6"/>
      <c r="D24" s="6"/>
      <c r="E24" s="6"/>
      <c r="F24" s="6"/>
      <c r="G24" s="6"/>
      <c r="H24" s="6"/>
    </row>
    <row r="25" spans="1:10" x14ac:dyDescent="0.3">
      <c r="A25" s="9"/>
      <c r="B25" s="5" t="s">
        <v>1</v>
      </c>
      <c r="F25" s="5" t="s">
        <v>415</v>
      </c>
      <c r="G25" s="5"/>
    </row>
    <row r="26" spans="1:10" x14ac:dyDescent="0.3">
      <c r="A26" s="9"/>
      <c r="B26" s="5" t="s">
        <v>9</v>
      </c>
      <c r="F26" s="34"/>
      <c r="G26" s="34"/>
      <c r="H26" s="34"/>
      <c r="I26" s="34"/>
      <c r="J26" s="34"/>
    </row>
    <row r="27" spans="1:10" x14ac:dyDescent="0.3">
      <c r="A27" s="9"/>
      <c r="B27" s="28" t="s">
        <v>35</v>
      </c>
      <c r="C27" s="182">
        <f>C17-C18</f>
        <v>22000</v>
      </c>
      <c r="F27" s="34"/>
      <c r="G27" s="34"/>
      <c r="H27" s="34"/>
      <c r="I27" s="34"/>
      <c r="J27" s="34"/>
    </row>
    <row r="28" spans="1:10" x14ac:dyDescent="0.3">
      <c r="A28" s="9"/>
      <c r="C28" s="183"/>
    </row>
    <row r="29" spans="1:10" x14ac:dyDescent="0.3">
      <c r="A29" s="9"/>
      <c r="B29" s="5" t="s">
        <v>5</v>
      </c>
      <c r="C29" s="184"/>
    </row>
    <row r="30" spans="1:10" x14ac:dyDescent="0.3">
      <c r="A30" s="9"/>
      <c r="B30" s="28" t="s">
        <v>35</v>
      </c>
      <c r="C30" s="511">
        <f>C19/C21*(1-(1/(1+C21)^(12*C20)))</f>
        <v>18986.97974674014</v>
      </c>
      <c r="F30" s="34">
        <f>C20*12</f>
        <v>48</v>
      </c>
      <c r="G30" s="69">
        <f>C21*100</f>
        <v>1</v>
      </c>
      <c r="I30" s="56">
        <f>-C19</f>
        <v>-500</v>
      </c>
      <c r="J30" s="34"/>
    </row>
    <row r="31" spans="1:10" x14ac:dyDescent="0.3">
      <c r="A31" s="9"/>
      <c r="C31" s="185"/>
      <c r="F31" s="34" t="s">
        <v>13</v>
      </c>
      <c r="G31" s="34" t="s">
        <v>98</v>
      </c>
      <c r="H31" s="34" t="s">
        <v>14</v>
      </c>
      <c r="I31" s="34" t="s">
        <v>16</v>
      </c>
      <c r="J31" s="34" t="s">
        <v>17</v>
      </c>
    </row>
    <row r="32" spans="1:10" x14ac:dyDescent="0.3">
      <c r="A32" s="16"/>
      <c r="B32" s="5" t="s">
        <v>6</v>
      </c>
      <c r="H32" s="141">
        <f>PV(G30/100,F30,I30)</f>
        <v>18986.97974674014</v>
      </c>
      <c r="J32" s="34" t="s">
        <v>0</v>
      </c>
    </row>
    <row r="33" spans="1:8" x14ac:dyDescent="0.3">
      <c r="A33" s="16"/>
      <c r="B33" s="10" t="s">
        <v>145</v>
      </c>
      <c r="C33" s="186" t="str">
        <f>IF(C27&lt;C30,"Option A","Option B")</f>
        <v>Option B</v>
      </c>
      <c r="F33" s="18"/>
      <c r="G33" s="18"/>
      <c r="H33" s="16"/>
    </row>
    <row r="34" spans="1:8" x14ac:dyDescent="0.3">
      <c r="A34" s="16"/>
      <c r="B34" s="5"/>
      <c r="F34" s="18"/>
      <c r="G34" s="18"/>
      <c r="H34" s="16"/>
    </row>
  </sheetData>
  <mergeCells count="7">
    <mergeCell ref="B12:G12"/>
    <mergeCell ref="B4:G4"/>
    <mergeCell ref="B13:D13"/>
    <mergeCell ref="B14:H14"/>
    <mergeCell ref="B6:H6"/>
    <mergeCell ref="B7:H7"/>
    <mergeCell ref="B8:D8"/>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38"/>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4" width="11.5546875" style="28" bestFit="1" customWidth="1"/>
    <col min="5" max="5" width="16.5546875" style="28" customWidth="1"/>
    <col min="6" max="6" width="10.5546875" style="28" bestFit="1" customWidth="1"/>
    <col min="7" max="7" width="14.5546875" style="28" customWidth="1"/>
    <col min="8" max="8" width="9.5546875" style="28" bestFit="1" customWidth="1"/>
    <col min="9" max="9" width="11.88671875" style="28" bestFit="1" customWidth="1"/>
    <col min="10" max="16384" width="9.109375" style="28"/>
  </cols>
  <sheetData>
    <row r="1" spans="1:10" x14ac:dyDescent="0.3">
      <c r="A1" s="5" t="s">
        <v>565</v>
      </c>
      <c r="B1" s="5"/>
    </row>
    <row r="2" spans="1:10" s="89" customFormat="1" x14ac:dyDescent="0.3">
      <c r="A2" s="370"/>
      <c r="B2" s="370"/>
    </row>
    <row r="3" spans="1:10" x14ac:dyDescent="0.3">
      <c r="A3" s="5" t="s">
        <v>0</v>
      </c>
      <c r="B3" s="5" t="s">
        <v>268</v>
      </c>
    </row>
    <row r="4" spans="1:10" ht="30.75" customHeight="1" x14ac:dyDescent="0.3">
      <c r="A4" s="2"/>
      <c r="B4" s="575" t="s">
        <v>279</v>
      </c>
      <c r="C4" s="575"/>
      <c r="D4" s="575"/>
      <c r="E4" s="575"/>
      <c r="F4" s="575"/>
      <c r="G4" s="575"/>
      <c r="H4" s="446"/>
      <c r="I4" s="446"/>
      <c r="J4" s="446"/>
    </row>
    <row r="5" spans="1:10" ht="15" customHeight="1" x14ac:dyDescent="0.3">
      <c r="A5" s="2"/>
      <c r="B5" s="28" t="s">
        <v>3</v>
      </c>
      <c r="D5" s="83"/>
      <c r="E5" s="83"/>
      <c r="F5" s="83"/>
      <c r="G5" s="83"/>
      <c r="H5" s="83"/>
    </row>
    <row r="6" spans="1:10" ht="15" customHeight="1" x14ac:dyDescent="0.3">
      <c r="A6" s="2"/>
      <c r="B6" s="579" t="s">
        <v>410</v>
      </c>
      <c r="C6" s="579"/>
      <c r="D6" s="579"/>
      <c r="E6" s="579"/>
      <c r="F6" s="579"/>
      <c r="G6" s="421"/>
      <c r="H6" s="421"/>
      <c r="I6" s="421"/>
    </row>
    <row r="7" spans="1:10" ht="15" customHeight="1" x14ac:dyDescent="0.3">
      <c r="A7" s="2"/>
      <c r="B7" s="416" t="s">
        <v>411</v>
      </c>
      <c r="C7" s="421"/>
      <c r="D7" s="421"/>
      <c r="E7" s="421"/>
      <c r="F7" s="421"/>
      <c r="G7" s="421"/>
      <c r="H7" s="421"/>
      <c r="I7" s="421"/>
    </row>
    <row r="8" spans="1:10" ht="15" customHeight="1" x14ac:dyDescent="0.3">
      <c r="A8" s="2"/>
      <c r="B8" s="579" t="s">
        <v>412</v>
      </c>
      <c r="C8" s="579"/>
      <c r="D8" s="579"/>
      <c r="E8" s="579"/>
      <c r="F8" s="579"/>
      <c r="G8" s="579"/>
      <c r="H8" s="579"/>
      <c r="I8" s="579"/>
    </row>
    <row r="9" spans="1:10" ht="15" customHeight="1" x14ac:dyDescent="0.3">
      <c r="A9" s="2"/>
      <c r="B9" s="579" t="s">
        <v>413</v>
      </c>
      <c r="C9" s="579"/>
      <c r="D9" s="579"/>
      <c r="E9" s="579"/>
      <c r="F9" s="579"/>
      <c r="G9" s="579"/>
      <c r="H9" s="579"/>
      <c r="I9" s="579"/>
    </row>
    <row r="10" spans="1:10" ht="15" customHeight="1" x14ac:dyDescent="0.3">
      <c r="A10" s="2"/>
      <c r="B10" s="51"/>
      <c r="C10" s="421"/>
      <c r="D10" s="421"/>
      <c r="E10" s="421"/>
      <c r="F10" s="421"/>
      <c r="G10" s="421"/>
      <c r="H10" s="421"/>
      <c r="I10" s="421"/>
      <c r="J10" s="421"/>
    </row>
    <row r="11" spans="1:10" s="21" customFormat="1" ht="16.5" customHeight="1" x14ac:dyDescent="0.3">
      <c r="A11" s="7"/>
      <c r="B11" s="8"/>
      <c r="C11" s="8"/>
      <c r="D11" s="8"/>
      <c r="E11" s="8"/>
      <c r="F11" s="8"/>
      <c r="G11" s="8"/>
      <c r="H11" s="8"/>
    </row>
    <row r="12" spans="1:10" s="25" customFormat="1" ht="13.5" customHeight="1" x14ac:dyDescent="0.3">
      <c r="A12" s="40"/>
      <c r="B12" s="41"/>
      <c r="C12" s="41"/>
      <c r="D12" s="41"/>
      <c r="E12" s="41"/>
      <c r="F12" s="41"/>
      <c r="G12" s="41"/>
      <c r="H12" s="41"/>
    </row>
    <row r="13" spans="1:10" ht="17.25" customHeight="1" x14ac:dyDescent="0.3">
      <c r="A13" s="277"/>
      <c r="B13" s="573" t="s">
        <v>265</v>
      </c>
      <c r="C13" s="573"/>
      <c r="D13" s="573"/>
      <c r="E13" s="573"/>
      <c r="F13" s="573"/>
      <c r="G13" s="573"/>
      <c r="H13" s="429"/>
    </row>
    <row r="14" spans="1:10" ht="17.25" customHeight="1" x14ac:dyDescent="0.3">
      <c r="A14" s="277"/>
      <c r="B14" s="570" t="s">
        <v>266</v>
      </c>
      <c r="C14" s="570"/>
      <c r="D14" s="570"/>
    </row>
    <row r="15" spans="1:10" ht="17.25" customHeight="1" x14ac:dyDescent="0.3">
      <c r="A15" s="277"/>
      <c r="B15" s="571" t="s">
        <v>267</v>
      </c>
      <c r="C15" s="571"/>
      <c r="D15" s="571"/>
      <c r="E15" s="571"/>
      <c r="F15" s="571"/>
      <c r="G15" s="571"/>
      <c r="H15" s="571"/>
    </row>
    <row r="16" spans="1:10" x14ac:dyDescent="0.3">
      <c r="A16" s="10"/>
      <c r="B16" s="10"/>
      <c r="C16" s="10"/>
      <c r="D16" s="10"/>
    </row>
    <row r="17" spans="1:10" x14ac:dyDescent="0.3">
      <c r="A17" s="10"/>
      <c r="B17" s="85" t="s">
        <v>56</v>
      </c>
      <c r="C17" s="10"/>
      <c r="D17" s="10"/>
    </row>
    <row r="18" spans="1:10" s="25" customFormat="1" ht="16.5" customHeight="1" x14ac:dyDescent="0.3">
      <c r="A18" s="40"/>
      <c r="B18" s="76" t="s">
        <v>132</v>
      </c>
      <c r="C18" s="189">
        <v>100000</v>
      </c>
      <c r="E18" s="41"/>
      <c r="F18" s="41"/>
      <c r="G18" s="41"/>
      <c r="H18" s="41"/>
    </row>
    <row r="19" spans="1:10" s="25" customFormat="1" ht="16.5" customHeight="1" x14ac:dyDescent="0.3">
      <c r="A19" s="40"/>
      <c r="B19" s="76" t="s">
        <v>133</v>
      </c>
      <c r="C19" s="190">
        <v>804.62</v>
      </c>
      <c r="E19" s="41"/>
      <c r="F19" s="41"/>
      <c r="G19" s="41"/>
      <c r="H19" s="41"/>
    </row>
    <row r="20" spans="1:10" s="25" customFormat="1" ht="16.5" customHeight="1" x14ac:dyDescent="0.3">
      <c r="A20" s="40"/>
      <c r="B20" s="76" t="s">
        <v>46</v>
      </c>
      <c r="C20" s="94">
        <v>30</v>
      </c>
      <c r="E20" s="41"/>
      <c r="F20" s="41"/>
      <c r="G20" s="41"/>
      <c r="H20" s="41"/>
    </row>
    <row r="21" spans="1:10" s="25" customFormat="1" ht="16.5" customHeight="1" x14ac:dyDescent="0.3">
      <c r="A21" s="40"/>
      <c r="B21" s="76" t="s">
        <v>0</v>
      </c>
      <c r="C21"/>
      <c r="E21" s="41"/>
      <c r="F21" s="41"/>
      <c r="G21" s="41"/>
      <c r="H21" s="41"/>
    </row>
    <row r="22" spans="1:10" s="21" customFormat="1" ht="16.5" customHeight="1" x14ac:dyDescent="0.3">
      <c r="A22" s="7"/>
      <c r="B22" s="8"/>
      <c r="C22" s="8"/>
      <c r="D22" s="8"/>
      <c r="E22" s="8"/>
      <c r="F22" s="8"/>
      <c r="G22" s="8"/>
      <c r="H22"/>
    </row>
    <row r="23" spans="1:10" x14ac:dyDescent="0.3">
      <c r="A23" s="5"/>
      <c r="B23" s="6"/>
      <c r="C23" s="6"/>
      <c r="D23" s="6"/>
      <c r="E23" s="6"/>
      <c r="F23" s="6"/>
      <c r="G23" s="6"/>
      <c r="H23" s="6"/>
    </row>
    <row r="24" spans="1:10" x14ac:dyDescent="0.3">
      <c r="A24" s="9"/>
      <c r="B24" s="5" t="s">
        <v>1</v>
      </c>
      <c r="F24" s="5" t="s">
        <v>415</v>
      </c>
    </row>
    <row r="25" spans="1:10" x14ac:dyDescent="0.3">
      <c r="A25" s="9"/>
      <c r="B25" s="5" t="s">
        <v>65</v>
      </c>
      <c r="F25" s="34">
        <f>C20*12</f>
        <v>360</v>
      </c>
      <c r="H25" s="211">
        <f>C18</f>
        <v>100000</v>
      </c>
      <c r="I25" s="197">
        <f>-C19</f>
        <v>-804.62</v>
      </c>
    </row>
    <row r="26" spans="1:10" x14ac:dyDescent="0.3">
      <c r="A26" s="9"/>
      <c r="B26" s="28" t="s">
        <v>131</v>
      </c>
      <c r="C26" s="188">
        <f>ROUND(G27/100,4)</f>
        <v>7.4999999999999997E-3</v>
      </c>
      <c r="D26"/>
      <c r="E26"/>
      <c r="F26" s="34" t="s">
        <v>13</v>
      </c>
      <c r="G26" s="34" t="s">
        <v>98</v>
      </c>
      <c r="H26" s="34" t="s">
        <v>14</v>
      </c>
      <c r="I26" s="34" t="s">
        <v>16</v>
      </c>
      <c r="J26" s="34" t="s">
        <v>17</v>
      </c>
    </row>
    <row r="27" spans="1:10" x14ac:dyDescent="0.3">
      <c r="A27" s="9" t="s">
        <v>0</v>
      </c>
      <c r="G27" s="181">
        <f>RATE(F25,I25,H25)*100</f>
        <v>0.74999696915480585</v>
      </c>
      <c r="J27" s="34" t="s">
        <v>0</v>
      </c>
    </row>
    <row r="28" spans="1:10" x14ac:dyDescent="0.3">
      <c r="A28" s="9"/>
      <c r="B28" s="5" t="s">
        <v>375</v>
      </c>
      <c r="C28" s="32"/>
      <c r="H28" s="48" t="s">
        <v>0</v>
      </c>
    </row>
    <row r="29" spans="1:10" x14ac:dyDescent="0.3">
      <c r="A29" s="9"/>
      <c r="B29" s="10" t="s">
        <v>40</v>
      </c>
      <c r="C29" s="167">
        <f>G27/100*12</f>
        <v>8.9999636298576713E-2</v>
      </c>
      <c r="F29" s="34"/>
      <c r="G29" s="34"/>
      <c r="H29" s="45" t="s">
        <v>0</v>
      </c>
      <c r="I29" s="34"/>
      <c r="J29" s="34"/>
    </row>
    <row r="30" spans="1:10" x14ac:dyDescent="0.3">
      <c r="A30" s="9"/>
      <c r="C30" s="150"/>
      <c r="F30" s="34"/>
      <c r="G30" s="34"/>
      <c r="H30" s="35"/>
      <c r="I30" s="34"/>
      <c r="J30" s="34"/>
    </row>
    <row r="31" spans="1:10" x14ac:dyDescent="0.3">
      <c r="A31" s="9"/>
      <c r="B31" s="5" t="s">
        <v>5</v>
      </c>
      <c r="C31" s="128"/>
      <c r="F31" s="34"/>
      <c r="G31" s="34"/>
      <c r="H31" s="34"/>
      <c r="I31" s="34"/>
      <c r="J31" s="34"/>
    </row>
    <row r="32" spans="1:10" x14ac:dyDescent="0.3">
      <c r="A32" s="9"/>
      <c r="B32" s="33" t="s">
        <v>32</v>
      </c>
      <c r="C32" s="187">
        <f>(1+G27/100)^12-1</f>
        <v>9.3806502813356341E-2</v>
      </c>
      <c r="E32" s="25"/>
      <c r="F32" s="34"/>
      <c r="G32" s="34"/>
      <c r="H32" s="47"/>
      <c r="I32" s="34"/>
      <c r="J32" s="34"/>
    </row>
    <row r="33" spans="1:10" x14ac:dyDescent="0.3">
      <c r="A33" s="9"/>
      <c r="C33" s="129"/>
      <c r="F33" s="36"/>
      <c r="G33" s="37"/>
      <c r="H33" s="34"/>
      <c r="I33" s="37"/>
      <c r="J33" s="37"/>
    </row>
    <row r="34" spans="1:10" x14ac:dyDescent="0.3">
      <c r="A34" s="9"/>
      <c r="B34" s="5" t="s">
        <v>6</v>
      </c>
      <c r="F34" s="36"/>
      <c r="G34" s="37"/>
      <c r="H34" s="34"/>
      <c r="I34" s="37"/>
      <c r="J34" s="37"/>
    </row>
    <row r="35" spans="1:10" x14ac:dyDescent="0.3">
      <c r="A35" s="9"/>
      <c r="B35" s="10" t="s">
        <v>414</v>
      </c>
      <c r="C35" s="169" t="s">
        <v>40</v>
      </c>
      <c r="F35" s="36"/>
      <c r="G35" s="37"/>
      <c r="H35" s="34"/>
      <c r="I35" s="37"/>
      <c r="J35" s="37"/>
    </row>
    <row r="36" spans="1:10" x14ac:dyDescent="0.3">
      <c r="A36" s="16"/>
      <c r="B36" s="28" t="s">
        <v>0</v>
      </c>
      <c r="C36" s="48" t="s">
        <v>0</v>
      </c>
      <c r="F36" s="18"/>
      <c r="G36" s="16"/>
      <c r="H36" s="16"/>
    </row>
    <row r="37" spans="1:10" x14ac:dyDescent="0.3">
      <c r="B37" s="18"/>
      <c r="C37" s="18"/>
      <c r="D37" s="18"/>
      <c r="E37" s="18"/>
    </row>
    <row r="38" spans="1:10" x14ac:dyDescent="0.3">
      <c r="B38" s="18"/>
      <c r="C38" s="18"/>
      <c r="D38" s="18"/>
      <c r="E38" s="18"/>
    </row>
  </sheetData>
  <mergeCells count="7">
    <mergeCell ref="B4:G4"/>
    <mergeCell ref="B14:D14"/>
    <mergeCell ref="B15:H15"/>
    <mergeCell ref="B6:F6"/>
    <mergeCell ref="B8:I8"/>
    <mergeCell ref="B9:I9"/>
    <mergeCell ref="B13:G13"/>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34"/>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5" width="9.109375" style="28"/>
    <col min="6" max="6" width="9.109375" style="28" customWidth="1"/>
    <col min="7" max="7" width="9.109375" style="28"/>
    <col min="8" max="8" width="10.6640625" style="28" customWidth="1"/>
    <col min="9" max="9" width="11.33203125" style="28" bestFit="1" customWidth="1"/>
    <col min="10" max="10" width="9.109375" style="28"/>
    <col min="11" max="11" width="11.33203125" style="28" bestFit="1" customWidth="1"/>
    <col min="12" max="16384" width="9.109375" style="28"/>
  </cols>
  <sheetData>
    <row r="1" spans="1:10" x14ac:dyDescent="0.3">
      <c r="A1" s="5" t="s">
        <v>564</v>
      </c>
      <c r="B1" s="5"/>
    </row>
    <row r="2" spans="1:10" s="89" customFormat="1" x14ac:dyDescent="0.3">
      <c r="A2" s="370"/>
      <c r="B2" s="370"/>
    </row>
    <row r="3" spans="1:10" x14ac:dyDescent="0.3">
      <c r="A3" s="5" t="s">
        <v>0</v>
      </c>
      <c r="B3" s="5" t="s">
        <v>268</v>
      </c>
    </row>
    <row r="4" spans="1:10" ht="69" customHeight="1" x14ac:dyDescent="0.3">
      <c r="A4" s="2"/>
      <c r="B4" s="584" t="s">
        <v>416</v>
      </c>
      <c r="C4" s="584"/>
      <c r="D4" s="584"/>
      <c r="E4" s="584"/>
      <c r="F4" s="584"/>
      <c r="G4" s="584"/>
      <c r="H4" s="584"/>
      <c r="I4" s="422"/>
      <c r="J4" s="422"/>
    </row>
    <row r="5" spans="1:10" ht="15" customHeight="1" x14ac:dyDescent="0.3">
      <c r="A5" s="2"/>
      <c r="B5" s="28" t="s">
        <v>3</v>
      </c>
      <c r="D5" s="27"/>
      <c r="E5" s="27"/>
      <c r="F5" s="27"/>
      <c r="G5" s="27"/>
      <c r="H5" s="27"/>
    </row>
    <row r="6" spans="1:10" s="21" customFormat="1" x14ac:dyDescent="0.3">
      <c r="A6" s="7"/>
      <c r="B6" s="8"/>
      <c r="C6" s="8"/>
      <c r="D6" s="8"/>
      <c r="E6" s="8"/>
      <c r="F6" s="8"/>
      <c r="G6" s="8"/>
      <c r="H6" s="8"/>
    </row>
    <row r="7" spans="1:10" s="77" customFormat="1" x14ac:dyDescent="0.3">
      <c r="B7" s="76"/>
      <c r="C7" s="76"/>
      <c r="D7" s="76"/>
      <c r="E7" s="76"/>
      <c r="F7" s="76"/>
      <c r="G7" s="76"/>
      <c r="H7" s="76"/>
    </row>
    <row r="8" spans="1:10" ht="17.25" customHeight="1" x14ac:dyDescent="0.3">
      <c r="A8" s="277"/>
      <c r="B8" s="573" t="s">
        <v>265</v>
      </c>
      <c r="C8" s="573"/>
      <c r="D8" s="573"/>
      <c r="E8" s="573"/>
      <c r="F8" s="573"/>
      <c r="G8" s="573"/>
      <c r="H8" s="573"/>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10"/>
    </row>
    <row r="13" spans="1:10" s="25" customFormat="1" x14ac:dyDescent="0.3">
      <c r="A13" s="40"/>
      <c r="B13" s="76" t="s">
        <v>134</v>
      </c>
      <c r="C13" s="125">
        <v>20000</v>
      </c>
      <c r="D13" s="76"/>
      <c r="E13" s="76"/>
      <c r="F13" s="76"/>
      <c r="G13" s="41"/>
      <c r="H13" s="41"/>
    </row>
    <row r="14" spans="1:10" s="25" customFormat="1" x14ac:dyDescent="0.3">
      <c r="A14" s="40"/>
      <c r="B14" s="76" t="s">
        <v>131</v>
      </c>
      <c r="C14" s="334">
        <v>5.0000000000000001E-3</v>
      </c>
      <c r="D14" s="76" t="s">
        <v>0</v>
      </c>
      <c r="E14" s="76"/>
      <c r="F14" s="76"/>
      <c r="G14" s="41"/>
      <c r="H14" s="41"/>
    </row>
    <row r="15" spans="1:10" s="25" customFormat="1" x14ac:dyDescent="0.3">
      <c r="A15" s="40"/>
      <c r="B15" s="76" t="s">
        <v>136</v>
      </c>
      <c r="C15" s="125">
        <v>30000</v>
      </c>
      <c r="D15" s="76"/>
      <c r="E15" s="76"/>
      <c r="F15" s="76"/>
      <c r="G15" s="41"/>
      <c r="H15" s="41"/>
    </row>
    <row r="16" spans="1:10" s="25" customFormat="1" x14ac:dyDescent="0.3">
      <c r="A16" s="40"/>
      <c r="B16" s="76" t="s">
        <v>135</v>
      </c>
      <c r="C16" s="125">
        <v>100</v>
      </c>
      <c r="D16" s="76"/>
      <c r="E16" s="76"/>
      <c r="F16" s="76"/>
      <c r="G16" s="41"/>
      <c r="H16" s="41"/>
    </row>
    <row r="18" spans="1:13" s="89" customFormat="1" x14ac:dyDescent="0.3">
      <c r="A18" s="370"/>
      <c r="D18" s="412"/>
      <c r="E18" s="412"/>
      <c r="F18" s="412"/>
      <c r="G18" s="472"/>
      <c r="H18" s="472"/>
    </row>
    <row r="19" spans="1:13" x14ac:dyDescent="0.3">
      <c r="A19" s="5"/>
      <c r="B19" s="6"/>
      <c r="C19" s="6"/>
      <c r="D19" s="53"/>
      <c r="E19" s="6"/>
      <c r="F19" s="6"/>
      <c r="G19" s="6"/>
      <c r="H19" s="6"/>
    </row>
    <row r="20" spans="1:13" x14ac:dyDescent="0.3">
      <c r="A20" s="9"/>
      <c r="B20" s="5" t="s">
        <v>1</v>
      </c>
      <c r="G20" s="5" t="s">
        <v>400</v>
      </c>
      <c r="L20" s="29"/>
      <c r="M20" s="29"/>
    </row>
    <row r="21" spans="1:13" x14ac:dyDescent="0.3">
      <c r="A21" s="9"/>
      <c r="B21" s="33" t="s">
        <v>137</v>
      </c>
      <c r="C21" s="146">
        <f>G23</f>
        <v>44.740189293728029</v>
      </c>
      <c r="D21" s="28" t="s">
        <v>36</v>
      </c>
      <c r="H21" s="192">
        <f>C14*100</f>
        <v>0.5</v>
      </c>
      <c r="I21" s="136">
        <f>-C13</f>
        <v>-20000</v>
      </c>
      <c r="J21" s="56">
        <f>-C16</f>
        <v>-100</v>
      </c>
      <c r="K21" s="136">
        <f>C15</f>
        <v>30000</v>
      </c>
      <c r="L21" s="29"/>
      <c r="M21" s="29"/>
    </row>
    <row r="22" spans="1:13" x14ac:dyDescent="0.3">
      <c r="A22" s="9"/>
      <c r="G22" s="34" t="s">
        <v>13</v>
      </c>
      <c r="H22" s="34" t="s">
        <v>98</v>
      </c>
      <c r="I22" s="34" t="s">
        <v>14</v>
      </c>
      <c r="J22" s="34" t="s">
        <v>16</v>
      </c>
      <c r="K22" s="34" t="s">
        <v>17</v>
      </c>
    </row>
    <row r="23" spans="1:13" x14ac:dyDescent="0.3">
      <c r="A23" s="9"/>
      <c r="B23" s="6"/>
      <c r="C23" s="18"/>
      <c r="D23" s="18"/>
      <c r="G23" s="193">
        <f>NPER(H21/100,J21,I21,K21)</f>
        <v>44.740189293728029</v>
      </c>
    </row>
    <row r="24" spans="1:13" x14ac:dyDescent="0.3">
      <c r="A24" s="16"/>
      <c r="B24" s="18"/>
      <c r="C24" s="18"/>
      <c r="D24" s="18"/>
      <c r="E24" s="18"/>
      <c r="F24" s="18"/>
      <c r="H24" s="37"/>
      <c r="I24" s="34"/>
      <c r="J24" s="34"/>
      <c r="K24" s="34"/>
    </row>
    <row r="25" spans="1:13" x14ac:dyDescent="0.3">
      <c r="A25" s="16"/>
      <c r="B25" s="18"/>
      <c r="C25" s="18"/>
      <c r="D25" s="18"/>
      <c r="E25" s="16"/>
      <c r="F25" s="18"/>
      <c r="G25" s="16"/>
      <c r="H25" s="16"/>
    </row>
    <row r="26" spans="1:13" ht="31.5" customHeight="1" x14ac:dyDescent="0.3">
      <c r="A26" s="16"/>
      <c r="E26" s="16"/>
      <c r="F26" s="18"/>
      <c r="G26" s="16"/>
      <c r="H26" s="16"/>
    </row>
    <row r="27" spans="1:13" ht="31.5" customHeight="1" x14ac:dyDescent="0.3">
      <c r="A27" s="16"/>
      <c r="E27" s="16"/>
      <c r="F27" s="18"/>
      <c r="G27" s="16"/>
      <c r="H27" s="16"/>
    </row>
    <row r="28" spans="1:13" x14ac:dyDescent="0.3">
      <c r="A28" s="16"/>
      <c r="E28" s="16"/>
      <c r="F28" s="18"/>
      <c r="G28" s="16"/>
      <c r="H28" s="16"/>
    </row>
    <row r="29" spans="1:13" x14ac:dyDescent="0.3">
      <c r="A29" s="16"/>
      <c r="E29" s="16"/>
      <c r="F29" s="18"/>
      <c r="G29" s="16"/>
      <c r="H29" s="16"/>
    </row>
    <row r="30" spans="1:13" x14ac:dyDescent="0.3">
      <c r="A30" s="16"/>
      <c r="E30" s="16"/>
      <c r="F30" s="18"/>
      <c r="G30" s="16"/>
      <c r="H30" s="16"/>
    </row>
    <row r="31" spans="1:13" x14ac:dyDescent="0.3">
      <c r="E31" s="18"/>
      <c r="F31" s="18"/>
    </row>
    <row r="32" spans="1:13" x14ac:dyDescent="0.3">
      <c r="E32" s="18"/>
      <c r="F32" s="18"/>
    </row>
    <row r="33" spans="5:6" x14ac:dyDescent="0.3">
      <c r="E33" s="18"/>
      <c r="F33" s="18"/>
    </row>
    <row r="34" spans="5:6" x14ac:dyDescent="0.3">
      <c r="E34" s="18"/>
      <c r="F34" s="18"/>
    </row>
  </sheetData>
  <mergeCells count="4">
    <mergeCell ref="B8:H8"/>
    <mergeCell ref="B9:D9"/>
    <mergeCell ref="B10:H10"/>
    <mergeCell ref="B4:H4"/>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20"/>
  <sheetViews>
    <sheetView workbookViewId="0"/>
  </sheetViews>
  <sheetFormatPr defaultColWidth="9.109375" defaultRowHeight="14.4" x14ac:dyDescent="0.3"/>
  <cols>
    <col min="1" max="1" width="16.5546875" style="28" customWidth="1"/>
    <col min="2" max="2" width="31.6640625" style="28" customWidth="1"/>
    <col min="3" max="3" width="12.5546875" style="28" bestFit="1" customWidth="1"/>
    <col min="4" max="5" width="9.109375" style="28"/>
    <col min="6" max="6" width="9.109375" style="28" customWidth="1"/>
    <col min="7" max="7" width="9.109375" style="28"/>
    <col min="8" max="8" width="3.6640625" style="28" customWidth="1"/>
    <col min="9" max="9" width="9.109375" style="28"/>
    <col min="10" max="10" width="11.5546875" style="28" bestFit="1" customWidth="1"/>
    <col min="11" max="16384" width="9.109375" style="28"/>
  </cols>
  <sheetData>
    <row r="1" spans="1:10" x14ac:dyDescent="0.3">
      <c r="A1" s="5" t="s">
        <v>563</v>
      </c>
      <c r="B1" s="5"/>
    </row>
    <row r="2" spans="1:10" s="89" customFormat="1" x14ac:dyDescent="0.3">
      <c r="A2" s="370"/>
      <c r="B2" s="370"/>
    </row>
    <row r="3" spans="1:10" x14ac:dyDescent="0.3">
      <c r="A3" s="5" t="s">
        <v>0</v>
      </c>
      <c r="B3" s="5" t="s">
        <v>268</v>
      </c>
    </row>
    <row r="4" spans="1:10" ht="69" customHeight="1" x14ac:dyDescent="0.3">
      <c r="A4" s="2"/>
      <c r="B4" s="575" t="s">
        <v>280</v>
      </c>
      <c r="C4" s="575"/>
      <c r="D4" s="575"/>
      <c r="E4" s="575"/>
      <c r="F4" s="575"/>
      <c r="G4" s="575"/>
      <c r="H4" s="575"/>
      <c r="I4" s="415"/>
      <c r="J4" s="415"/>
    </row>
    <row r="5" spans="1:10" ht="15" customHeight="1" x14ac:dyDescent="0.3">
      <c r="A5" s="2"/>
      <c r="B5" s="415"/>
      <c r="C5" s="415"/>
      <c r="D5" s="415"/>
      <c r="E5" s="415"/>
      <c r="F5" s="415"/>
      <c r="G5" s="415"/>
      <c r="H5" s="415"/>
      <c r="I5" s="415"/>
      <c r="J5" s="415"/>
    </row>
    <row r="6" spans="1:10" s="89" customFormat="1" ht="15" customHeight="1" x14ac:dyDescent="0.3">
      <c r="A6" s="358"/>
      <c r="B6" s="89" t="s">
        <v>3</v>
      </c>
      <c r="D6" s="425"/>
      <c r="E6" s="425"/>
      <c r="F6" s="425"/>
      <c r="G6" s="425"/>
      <c r="H6" s="425"/>
    </row>
    <row r="7" spans="1:10" s="25" customFormat="1" ht="13.5" customHeight="1" x14ac:dyDescent="0.3">
      <c r="A7" s="40"/>
      <c r="B7" s="41"/>
      <c r="C7" s="41"/>
      <c r="D7" s="41"/>
      <c r="E7" s="41"/>
      <c r="F7" s="41"/>
      <c r="G7" s="41"/>
      <c r="H7" s="41"/>
    </row>
    <row r="8" spans="1:10" ht="17.25" customHeight="1" x14ac:dyDescent="0.3">
      <c r="A8" s="277"/>
      <c r="B8" s="573" t="s">
        <v>265</v>
      </c>
      <c r="C8" s="573"/>
      <c r="D8" s="573"/>
      <c r="E8" s="573"/>
      <c r="F8" s="573"/>
      <c r="G8" s="573"/>
      <c r="H8" s="573"/>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10"/>
    </row>
    <row r="13" spans="1:10" s="25" customFormat="1" x14ac:dyDescent="0.3">
      <c r="A13" s="40"/>
      <c r="B13" s="76" t="s">
        <v>46</v>
      </c>
      <c r="C13" s="78">
        <v>30</v>
      </c>
      <c r="D13" s="41"/>
      <c r="E13" s="41"/>
      <c r="F13" s="41"/>
      <c r="G13" s="41"/>
      <c r="H13" s="41"/>
    </row>
    <row r="14" spans="1:10" s="25" customFormat="1" x14ac:dyDescent="0.3">
      <c r="A14" s="40"/>
      <c r="B14" s="76" t="s">
        <v>134</v>
      </c>
      <c r="C14" s="125">
        <v>450000</v>
      </c>
      <c r="D14" s="41"/>
      <c r="E14" s="41"/>
      <c r="F14" s="41"/>
      <c r="G14" s="41"/>
      <c r="H14" s="41"/>
    </row>
    <row r="15" spans="1:10" s="25" customFormat="1" x14ac:dyDescent="0.3">
      <c r="A15" s="40"/>
      <c r="B15" s="41"/>
      <c r="C15" s="41"/>
      <c r="D15" s="41"/>
      <c r="E15" s="41"/>
      <c r="F15" s="41"/>
      <c r="G15" s="41"/>
      <c r="H15" s="41"/>
    </row>
    <row r="16" spans="1:10" s="373" customFormat="1" x14ac:dyDescent="0.3">
      <c r="B16" s="412"/>
      <c r="C16" s="412"/>
      <c r="D16" s="412"/>
      <c r="E16" s="412"/>
      <c r="F16" s="412"/>
      <c r="G16" s="412"/>
      <c r="H16" s="412"/>
    </row>
    <row r="17" spans="1:13" x14ac:dyDescent="0.3">
      <c r="A17" s="5"/>
      <c r="B17" s="6"/>
      <c r="C17" s="6"/>
      <c r="D17" s="53"/>
      <c r="E17" s="6"/>
      <c r="F17" s="6"/>
      <c r="G17" s="6"/>
      <c r="H17" s="6"/>
    </row>
    <row r="18" spans="1:13" x14ac:dyDescent="0.3">
      <c r="A18" s="9"/>
      <c r="B18" s="5" t="s">
        <v>1</v>
      </c>
      <c r="G18"/>
      <c r="H18"/>
      <c r="I18"/>
      <c r="J18"/>
      <c r="K18"/>
      <c r="L18" s="29"/>
      <c r="M18" s="29"/>
    </row>
    <row r="19" spans="1:13" ht="15.6" x14ac:dyDescent="0.3">
      <c r="A19" s="9"/>
      <c r="B19" s="512" t="s">
        <v>417</v>
      </c>
      <c r="C19" s="199">
        <f>C14/C13</f>
        <v>15000</v>
      </c>
      <c r="G19"/>
      <c r="H19"/>
      <c r="I19"/>
      <c r="J19"/>
      <c r="K19"/>
      <c r="L19" s="29"/>
      <c r="M19" s="29"/>
    </row>
    <row r="20" spans="1:13" x14ac:dyDescent="0.3">
      <c r="A20" s="9"/>
      <c r="G20"/>
      <c r="H20"/>
      <c r="I20"/>
      <c r="J20"/>
      <c r="K20"/>
    </row>
  </sheetData>
  <mergeCells count="4">
    <mergeCell ref="B8:H8"/>
    <mergeCell ref="B9:D9"/>
    <mergeCell ref="B10:H10"/>
    <mergeCell ref="B4:H4"/>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29"/>
  <sheetViews>
    <sheetView workbookViewId="0"/>
  </sheetViews>
  <sheetFormatPr defaultColWidth="9.109375" defaultRowHeight="14.4" x14ac:dyDescent="0.3"/>
  <cols>
    <col min="1" max="1" width="16.5546875" style="28" customWidth="1"/>
    <col min="2" max="2" width="33.44140625" style="28" customWidth="1"/>
    <col min="3" max="3" width="12.5546875" style="28" bestFit="1" customWidth="1"/>
    <col min="4" max="4" width="9.109375" style="28"/>
    <col min="5" max="5" width="9.109375" style="28" customWidth="1"/>
    <col min="6" max="6" width="9.109375" style="28"/>
    <col min="7" max="9" width="11.5546875" style="28" bestFit="1" customWidth="1"/>
    <col min="10" max="10" width="13.44140625" style="28" customWidth="1"/>
    <col min="11" max="16384" width="9.109375" style="28"/>
  </cols>
  <sheetData>
    <row r="1" spans="1:9" x14ac:dyDescent="0.3">
      <c r="A1" s="5" t="s">
        <v>614</v>
      </c>
      <c r="B1" s="5"/>
    </row>
    <row r="2" spans="1:9" s="89" customFormat="1" x14ac:dyDescent="0.3">
      <c r="A2" s="370"/>
      <c r="B2" s="370"/>
    </row>
    <row r="3" spans="1:9" x14ac:dyDescent="0.3">
      <c r="A3" s="5" t="s">
        <v>0</v>
      </c>
      <c r="B3" s="5" t="s">
        <v>268</v>
      </c>
    </row>
    <row r="4" spans="1:9" ht="50.25" customHeight="1" x14ac:dyDescent="0.3">
      <c r="A4" s="2"/>
      <c r="B4" s="575" t="s">
        <v>418</v>
      </c>
      <c r="C4" s="575"/>
      <c r="D4" s="575"/>
      <c r="E4" s="575"/>
      <c r="F4" s="575"/>
      <c r="G4" s="575"/>
      <c r="H4" s="415"/>
      <c r="I4" s="415"/>
    </row>
    <row r="5" spans="1:9" ht="15" customHeight="1" x14ac:dyDescent="0.3">
      <c r="A5" s="2"/>
      <c r="B5" s="415"/>
      <c r="C5" s="415"/>
      <c r="D5" s="415"/>
      <c r="E5" s="415"/>
      <c r="F5" s="415"/>
      <c r="G5" s="415"/>
      <c r="H5" s="415"/>
      <c r="I5" s="415"/>
    </row>
    <row r="6" spans="1:9" s="373" customFormat="1" x14ac:dyDescent="0.3">
      <c r="B6" s="412"/>
      <c r="C6" s="412"/>
      <c r="D6" s="412"/>
      <c r="E6" s="412"/>
      <c r="F6" s="412"/>
      <c r="G6" s="412"/>
    </row>
    <row r="7" spans="1:9" ht="15" customHeight="1" x14ac:dyDescent="0.3">
      <c r="A7" s="2"/>
      <c r="B7" s="415"/>
      <c r="C7" s="415"/>
      <c r="D7" s="415"/>
      <c r="E7" s="415"/>
      <c r="F7" s="415"/>
      <c r="G7" s="415"/>
      <c r="H7" s="415"/>
      <c r="I7" s="415"/>
    </row>
    <row r="8" spans="1:9" ht="17.25" customHeight="1" x14ac:dyDescent="0.3">
      <c r="A8" s="277"/>
      <c r="B8" s="580" t="s">
        <v>265</v>
      </c>
      <c r="C8" s="580"/>
      <c r="D8" s="580"/>
      <c r="E8" s="580"/>
      <c r="F8" s="580"/>
      <c r="G8" s="580"/>
    </row>
    <row r="9" spans="1:9" ht="17.25" customHeight="1" x14ac:dyDescent="0.3">
      <c r="A9" s="277"/>
      <c r="B9" s="570" t="s">
        <v>266</v>
      </c>
      <c r="C9" s="570"/>
      <c r="D9" s="570"/>
    </row>
    <row r="10" spans="1:9" ht="17.25" customHeight="1" x14ac:dyDescent="0.3">
      <c r="A10" s="277"/>
      <c r="B10" s="571" t="s">
        <v>267</v>
      </c>
      <c r="C10" s="571"/>
      <c r="D10" s="571"/>
      <c r="E10" s="571"/>
      <c r="F10" s="571"/>
      <c r="G10" s="571"/>
    </row>
    <row r="11" spans="1:9" x14ac:dyDescent="0.3">
      <c r="A11" s="10"/>
      <c r="B11" s="10"/>
      <c r="C11" s="10"/>
      <c r="D11" s="10"/>
    </row>
    <row r="12" spans="1:9" x14ac:dyDescent="0.3">
      <c r="A12" s="10"/>
      <c r="B12" s="85" t="s">
        <v>56</v>
      </c>
      <c r="C12" s="10"/>
      <c r="D12" s="10"/>
    </row>
    <row r="13" spans="1:9" s="25" customFormat="1" x14ac:dyDescent="0.3">
      <c r="A13" s="40"/>
      <c r="B13" s="76" t="s">
        <v>120</v>
      </c>
      <c r="C13" s="125">
        <v>10000</v>
      </c>
      <c r="D13" s="76"/>
      <c r="E13" s="76"/>
      <c r="F13" s="41"/>
      <c r="G13" s="41"/>
    </row>
    <row r="14" spans="1:9" s="25" customFormat="1" x14ac:dyDescent="0.3">
      <c r="A14" s="40"/>
      <c r="B14" s="76" t="s">
        <v>46</v>
      </c>
      <c r="C14" s="78">
        <v>10</v>
      </c>
      <c r="D14" s="76"/>
      <c r="E14" s="76"/>
      <c r="F14" s="41"/>
      <c r="G14" s="41"/>
    </row>
    <row r="15" spans="1:9" s="25" customFormat="1" x14ac:dyDescent="0.3">
      <c r="A15" s="40"/>
      <c r="B15" s="76" t="s">
        <v>138</v>
      </c>
      <c r="C15" s="78">
        <v>4</v>
      </c>
      <c r="D15" s="76"/>
      <c r="E15" s="76"/>
      <c r="F15" s="41"/>
      <c r="G15" s="41"/>
    </row>
    <row r="16" spans="1:9" s="25" customFormat="1" x14ac:dyDescent="0.3">
      <c r="A16" s="40"/>
      <c r="B16" s="76" t="s">
        <v>28</v>
      </c>
      <c r="C16" s="79">
        <v>0.05</v>
      </c>
      <c r="D16" s="76" t="s">
        <v>0</v>
      </c>
      <c r="E16" s="76"/>
      <c r="F16" s="41"/>
      <c r="G16" s="41"/>
    </row>
    <row r="17" spans="1:12" s="25" customFormat="1" x14ac:dyDescent="0.3">
      <c r="A17" s="40"/>
      <c r="B17" s="76"/>
      <c r="C17" s="76"/>
      <c r="D17" s="76"/>
      <c r="E17" s="76"/>
      <c r="F17" s="41"/>
      <c r="G17" s="41"/>
    </row>
    <row r="18" spans="1:12" s="89" customFormat="1" x14ac:dyDescent="0.3">
      <c r="A18" s="370"/>
      <c r="B18" s="412"/>
      <c r="C18" s="412"/>
      <c r="D18" s="412"/>
      <c r="E18" s="412"/>
      <c r="F18" s="472"/>
      <c r="G18" s="472"/>
    </row>
    <row r="19" spans="1:12" x14ac:dyDescent="0.3">
      <c r="A19" s="5"/>
      <c r="B19" s="6"/>
      <c r="C19" s="6"/>
      <c r="D19" s="53"/>
      <c r="E19" s="6"/>
      <c r="F19" s="6"/>
      <c r="G19" s="6"/>
    </row>
    <row r="20" spans="1:12" x14ac:dyDescent="0.3">
      <c r="A20" s="9"/>
      <c r="B20" s="5" t="s">
        <v>1</v>
      </c>
      <c r="F20" s="5" t="s">
        <v>415</v>
      </c>
      <c r="K20" s="29"/>
      <c r="L20" s="29"/>
    </row>
    <row r="21" spans="1:12" x14ac:dyDescent="0.3">
      <c r="A21" s="9"/>
      <c r="B21" s="33" t="s">
        <v>139</v>
      </c>
      <c r="C21" s="196">
        <f>C13*((1/C16)-(1/(C16*(1+C16)^C14)))</f>
        <v>77217.349291848164</v>
      </c>
      <c r="F21" s="34">
        <f>C14</f>
        <v>10</v>
      </c>
      <c r="G21" s="34">
        <f>C16*100</f>
        <v>5</v>
      </c>
      <c r="I21" s="136">
        <f>-C13</f>
        <v>-10000</v>
      </c>
      <c r="K21" s="29"/>
      <c r="L21" s="29"/>
    </row>
    <row r="22" spans="1:12" x14ac:dyDescent="0.3">
      <c r="A22" s="9"/>
      <c r="B22" s="28" t="s">
        <v>140</v>
      </c>
      <c r="C22" s="143">
        <f>C21/(1+C16)^(C15-1)</f>
        <v>66703.249577236289</v>
      </c>
      <c r="F22" s="34" t="s">
        <v>13</v>
      </c>
      <c r="G22" s="34" t="s">
        <v>98</v>
      </c>
      <c r="H22" s="34" t="s">
        <v>14</v>
      </c>
      <c r="I22" s="34" t="s">
        <v>16</v>
      </c>
      <c r="J22" s="34" t="s">
        <v>17</v>
      </c>
    </row>
    <row r="23" spans="1:12" x14ac:dyDescent="0.3">
      <c r="A23" s="9"/>
      <c r="C23" s="131"/>
      <c r="H23" s="194">
        <f>PV(G21/100,F21,I21)</f>
        <v>77217.349291848135</v>
      </c>
      <c r="J23" s="34" t="s">
        <v>0</v>
      </c>
    </row>
    <row r="24" spans="1:12" x14ac:dyDescent="0.3">
      <c r="A24" s="9"/>
      <c r="F24" s="36"/>
      <c r="G24" s="191" t="s">
        <v>0</v>
      </c>
      <c r="I24" s="37"/>
      <c r="J24" s="34"/>
    </row>
    <row r="25" spans="1:12" x14ac:dyDescent="0.3">
      <c r="A25" s="16"/>
      <c r="E25" s="18"/>
      <c r="F25" s="34">
        <f>C15-1</f>
        <v>3</v>
      </c>
      <c r="G25" s="34">
        <f>C16*100</f>
        <v>5</v>
      </c>
      <c r="H25" s="34"/>
      <c r="I25" s="37"/>
      <c r="J25" s="197">
        <f>-H23</f>
        <v>-77217.349291848135</v>
      </c>
    </row>
    <row r="26" spans="1:12" x14ac:dyDescent="0.3">
      <c r="A26" s="16"/>
      <c r="E26" s="18"/>
      <c r="F26" s="34" t="s">
        <v>13</v>
      </c>
      <c r="G26" s="34" t="s">
        <v>98</v>
      </c>
      <c r="H26" s="34" t="s">
        <v>14</v>
      </c>
      <c r="I26" s="34" t="s">
        <v>16</v>
      </c>
      <c r="J26" s="34" t="s">
        <v>17</v>
      </c>
    </row>
    <row r="27" spans="1:12" x14ac:dyDescent="0.3">
      <c r="A27" s="16"/>
      <c r="E27" s="18"/>
      <c r="H27" s="195">
        <f>PV(G25/100,F25,,J25)</f>
        <v>66703.24957723626</v>
      </c>
      <c r="I27" s="34" t="s">
        <v>0</v>
      </c>
    </row>
    <row r="28" spans="1:12" ht="15" customHeight="1" x14ac:dyDescent="0.3">
      <c r="A28" s="16"/>
      <c r="E28" s="18"/>
    </row>
    <row r="29" spans="1:12" x14ac:dyDescent="0.3">
      <c r="F29" s="16"/>
      <c r="G29" s="17" t="s">
        <v>0</v>
      </c>
    </row>
  </sheetData>
  <mergeCells count="4">
    <mergeCell ref="B8:G8"/>
    <mergeCell ref="B9:D9"/>
    <mergeCell ref="B10:G10"/>
    <mergeCell ref="B4:G4"/>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40"/>
  <sheetViews>
    <sheetView workbookViewId="0"/>
  </sheetViews>
  <sheetFormatPr defaultColWidth="9.109375" defaultRowHeight="14.4" x14ac:dyDescent="0.3"/>
  <cols>
    <col min="1" max="1" width="16.5546875" style="28" customWidth="1"/>
    <col min="2" max="2" width="24.33203125" style="28" customWidth="1"/>
    <col min="3" max="3" width="17.88671875" style="28" customWidth="1"/>
    <col min="4" max="4" width="11.5546875" style="28" bestFit="1" customWidth="1"/>
    <col min="5" max="5" width="16.5546875" style="28" customWidth="1"/>
    <col min="6" max="6" width="14.33203125" style="28" customWidth="1"/>
    <col min="7" max="7" width="11.88671875" style="28" bestFit="1" customWidth="1"/>
    <col min="8" max="16384" width="9.109375" style="28"/>
  </cols>
  <sheetData>
    <row r="1" spans="1:8" x14ac:dyDescent="0.3">
      <c r="A1" s="5" t="s">
        <v>613</v>
      </c>
      <c r="B1" s="5"/>
    </row>
    <row r="2" spans="1:8" s="89" customFormat="1" x14ac:dyDescent="0.3">
      <c r="A2" s="370"/>
      <c r="B2" s="370"/>
    </row>
    <row r="3" spans="1:8" x14ac:dyDescent="0.3">
      <c r="A3" s="5" t="s">
        <v>0</v>
      </c>
      <c r="B3" s="5" t="s">
        <v>268</v>
      </c>
    </row>
    <row r="4" spans="1:8" ht="46.5" customHeight="1" x14ac:dyDescent="0.3">
      <c r="A4" s="2"/>
      <c r="B4" s="575" t="s">
        <v>419</v>
      </c>
      <c r="C4" s="575"/>
      <c r="D4" s="575"/>
      <c r="E4" s="575"/>
      <c r="F4" s="575"/>
      <c r="G4" s="415"/>
      <c r="H4" s="415"/>
    </row>
    <row r="5" spans="1:8" ht="15" customHeight="1" x14ac:dyDescent="0.3">
      <c r="A5" s="2"/>
      <c r="B5" s="28" t="s">
        <v>3</v>
      </c>
      <c r="D5" s="83"/>
      <c r="E5" s="83"/>
      <c r="F5" s="83"/>
    </row>
    <row r="6" spans="1:8" ht="15" customHeight="1" x14ac:dyDescent="0.3">
      <c r="A6" s="2"/>
      <c r="B6" s="579" t="s">
        <v>535</v>
      </c>
      <c r="C6" s="579"/>
      <c r="D6" s="579"/>
      <c r="E6" s="579"/>
      <c r="F6" s="579"/>
      <c r="G6" s="579"/>
    </row>
    <row r="7" spans="1:8" ht="15" customHeight="1" x14ac:dyDescent="0.3">
      <c r="A7" s="2"/>
      <c r="B7" s="579" t="s">
        <v>420</v>
      </c>
      <c r="C7" s="579"/>
      <c r="D7" s="579"/>
      <c r="E7" s="579"/>
      <c r="F7" s="579"/>
      <c r="G7" s="579"/>
    </row>
    <row r="8" spans="1:8" ht="15" customHeight="1" x14ac:dyDescent="0.3">
      <c r="A8" s="2"/>
      <c r="B8" s="574" t="s">
        <v>534</v>
      </c>
      <c r="C8" s="579"/>
      <c r="D8" s="579"/>
      <c r="E8" s="579"/>
      <c r="F8" s="579"/>
      <c r="G8" s="579"/>
    </row>
    <row r="9" spans="1:8" ht="15" customHeight="1" x14ac:dyDescent="0.3">
      <c r="A9" s="2"/>
      <c r="B9" s="579" t="s">
        <v>536</v>
      </c>
      <c r="C9" s="579"/>
      <c r="D9" s="579"/>
      <c r="E9" s="579"/>
      <c r="F9" s="579"/>
      <c r="G9" s="579"/>
    </row>
    <row r="10" spans="1:8" s="25" customFormat="1" ht="15" customHeight="1" x14ac:dyDescent="0.3">
      <c r="A10" s="40"/>
      <c r="B10" s="41"/>
      <c r="C10" s="41"/>
      <c r="D10" s="41"/>
      <c r="E10" s="41"/>
      <c r="F10" s="41"/>
    </row>
    <row r="11" spans="1:8" s="21" customFormat="1" ht="16.5" customHeight="1" x14ac:dyDescent="0.3">
      <c r="A11" s="7"/>
      <c r="B11" s="8"/>
      <c r="C11" s="8"/>
      <c r="D11" s="8"/>
      <c r="E11" s="8"/>
      <c r="F11" s="8"/>
    </row>
    <row r="12" spans="1:8" s="25" customFormat="1" ht="16.5" customHeight="1" x14ac:dyDescent="0.3">
      <c r="A12" s="40"/>
      <c r="B12" s="41"/>
      <c r="C12" s="41"/>
      <c r="D12" s="41"/>
      <c r="E12" s="41"/>
      <c r="F12" s="41"/>
    </row>
    <row r="13" spans="1:8" ht="17.25" customHeight="1" x14ac:dyDescent="0.3">
      <c r="A13" s="277"/>
      <c r="B13" s="573" t="s">
        <v>265</v>
      </c>
      <c r="C13" s="573"/>
      <c r="D13" s="573"/>
      <c r="E13" s="573"/>
      <c r="F13" s="573"/>
    </row>
    <row r="14" spans="1:8" ht="17.25" customHeight="1" x14ac:dyDescent="0.3">
      <c r="A14" s="277"/>
      <c r="B14" s="570" t="s">
        <v>266</v>
      </c>
      <c r="C14" s="570"/>
      <c r="D14" s="570"/>
    </row>
    <row r="15" spans="1:8" ht="17.25" customHeight="1" x14ac:dyDescent="0.3">
      <c r="A15" s="277"/>
      <c r="B15" s="571" t="s">
        <v>267</v>
      </c>
      <c r="C15" s="571"/>
      <c r="D15" s="571"/>
      <c r="E15" s="571"/>
      <c r="F15" s="571"/>
    </row>
    <row r="16" spans="1:8" x14ac:dyDescent="0.3">
      <c r="A16" s="10"/>
      <c r="B16" s="10"/>
      <c r="C16" s="10"/>
      <c r="D16" s="10"/>
      <c r="E16" s="10"/>
      <c r="F16" s="10"/>
    </row>
    <row r="17" spans="1:8" x14ac:dyDescent="0.3">
      <c r="A17" s="10"/>
      <c r="B17" s="85" t="s">
        <v>56</v>
      </c>
      <c r="C17" s="10"/>
      <c r="D17" s="10"/>
      <c r="E17" s="10"/>
      <c r="F17" s="10"/>
    </row>
    <row r="18" spans="1:8" s="25" customFormat="1" ht="16.5" customHeight="1" x14ac:dyDescent="0.3">
      <c r="A18" s="40"/>
      <c r="B18" s="76" t="s">
        <v>141</v>
      </c>
      <c r="C18" s="125">
        <v>8000</v>
      </c>
      <c r="D18" s="77"/>
      <c r="E18" s="41" t="s">
        <v>0</v>
      </c>
      <c r="F18" s="41"/>
    </row>
    <row r="19" spans="1:8" s="25" customFormat="1" ht="16.5" customHeight="1" x14ac:dyDescent="0.3">
      <c r="A19" s="40"/>
      <c r="B19" s="76" t="s">
        <v>46</v>
      </c>
      <c r="C19" s="239">
        <v>6</v>
      </c>
      <c r="D19" s="77"/>
      <c r="E19" s="41" t="s">
        <v>0</v>
      </c>
      <c r="F19" s="41"/>
    </row>
    <row r="20" spans="1:8" s="25" customFormat="1" ht="16.5" customHeight="1" x14ac:dyDescent="0.3">
      <c r="A20" s="40"/>
      <c r="B20" s="76" t="s">
        <v>142</v>
      </c>
      <c r="C20" s="125">
        <v>40000</v>
      </c>
      <c r="D20" s="77"/>
      <c r="E20" s="41"/>
      <c r="F20" s="41"/>
    </row>
    <row r="21" spans="1:8" s="25" customFormat="1" ht="16.5" customHeight="1" x14ac:dyDescent="0.3">
      <c r="A21" s="40"/>
      <c r="B21" s="76" t="s">
        <v>28</v>
      </c>
      <c r="C21" s="79">
        <v>7.0000000000000007E-2</v>
      </c>
      <c r="D21" s="513" t="s">
        <v>0</v>
      </c>
      <c r="E21" s="41"/>
      <c r="F21" s="41"/>
    </row>
    <row r="22" spans="1:8" s="25" customFormat="1" ht="16.5" customHeight="1" x14ac:dyDescent="0.3">
      <c r="A22" s="40"/>
      <c r="B22" s="41"/>
      <c r="C22" s="41"/>
      <c r="D22" s="41"/>
      <c r="E22" s="41"/>
      <c r="F22" s="41"/>
    </row>
    <row r="23" spans="1:8" s="21" customFormat="1" ht="16.5" customHeight="1" x14ac:dyDescent="0.3">
      <c r="A23" s="7"/>
      <c r="B23" s="8"/>
      <c r="C23" s="8"/>
      <c r="D23" s="8"/>
      <c r="E23" s="8"/>
      <c r="F23" s="8"/>
    </row>
    <row r="24" spans="1:8" x14ac:dyDescent="0.3">
      <c r="A24" s="5"/>
      <c r="B24" s="6"/>
      <c r="C24" s="6"/>
      <c r="D24" s="6"/>
      <c r="E24" s="6"/>
      <c r="F24" s="6"/>
    </row>
    <row r="25" spans="1:8" x14ac:dyDescent="0.3">
      <c r="A25" s="9"/>
      <c r="B25" s="5" t="s">
        <v>1</v>
      </c>
      <c r="C25" s="10"/>
      <c r="D25" s="10"/>
      <c r="E25" s="10"/>
      <c r="F25" s="5"/>
    </row>
    <row r="26" spans="1:8" x14ac:dyDescent="0.3">
      <c r="A26" s="9"/>
      <c r="B26" s="5" t="s">
        <v>9</v>
      </c>
      <c r="C26" s="10"/>
      <c r="D26" s="10"/>
      <c r="E26" s="514"/>
      <c r="F26" s="483"/>
      <c r="G26" s="34"/>
      <c r="H26" s="34"/>
    </row>
    <row r="27" spans="1:8" x14ac:dyDescent="0.3">
      <c r="A27" s="9"/>
      <c r="B27" s="485" t="s">
        <v>70</v>
      </c>
      <c r="C27" s="200">
        <f>$C$18/$C$21*(1-(1/(1+$C$21)^$C$19))</f>
        <v>38132.317278112852</v>
      </c>
      <c r="D27" s="77"/>
      <c r="E27" s="77"/>
      <c r="F27" s="483"/>
      <c r="G27" s="105"/>
      <c r="H27" s="34"/>
    </row>
    <row r="28" spans="1:8" x14ac:dyDescent="0.3">
      <c r="A28" s="9"/>
      <c r="B28" s="485"/>
      <c r="C28" s="200"/>
      <c r="D28" s="77"/>
      <c r="E28" s="77"/>
      <c r="F28" s="483"/>
      <c r="G28" s="105"/>
      <c r="H28" s="34"/>
    </row>
    <row r="29" spans="1:8" x14ac:dyDescent="0.3">
      <c r="A29" s="9" t="s">
        <v>0</v>
      </c>
      <c r="B29" s="5" t="s">
        <v>5</v>
      </c>
      <c r="C29" s="127"/>
      <c r="D29" s="10"/>
      <c r="E29" s="10"/>
      <c r="F29" s="10"/>
    </row>
    <row r="30" spans="1:8" x14ac:dyDescent="0.3">
      <c r="A30" s="9"/>
      <c r="B30" s="10" t="s">
        <v>537</v>
      </c>
      <c r="C30" s="170" t="str">
        <f>IF(C27&gt;C20,"Buy",IF(C27&lt;C20,"Lease","Indifferent"))</f>
        <v>Lease</v>
      </c>
      <c r="D30" s="514"/>
      <c r="E30" s="10"/>
      <c r="F30" s="483"/>
      <c r="G30" s="34"/>
      <c r="H30" s="34"/>
    </row>
    <row r="31" spans="1:8" x14ac:dyDescent="0.3">
      <c r="A31" s="9"/>
      <c r="B31" s="10"/>
      <c r="C31" s="167"/>
      <c r="D31" s="10"/>
      <c r="E31" s="10"/>
      <c r="F31" s="483"/>
      <c r="G31" s="34"/>
      <c r="H31" s="34"/>
    </row>
    <row r="32" spans="1:8" x14ac:dyDescent="0.3">
      <c r="A32" s="9"/>
      <c r="B32" s="5" t="s">
        <v>6</v>
      </c>
      <c r="C32" s="129"/>
      <c r="D32" s="10"/>
      <c r="E32" s="514"/>
      <c r="F32" s="483"/>
      <c r="G32" s="34"/>
      <c r="H32" s="34"/>
    </row>
    <row r="33" spans="1:8" x14ac:dyDescent="0.3">
      <c r="A33" s="9"/>
      <c r="B33" s="485" t="s">
        <v>70</v>
      </c>
      <c r="C33" s="200">
        <f>C27*(1+C21)</f>
        <v>40801.579487580755</v>
      </c>
      <c r="D33" s="77"/>
      <c r="E33" s="77"/>
      <c r="F33" s="483"/>
      <c r="G33" s="105"/>
      <c r="H33" s="34"/>
    </row>
    <row r="34" spans="1:8" x14ac:dyDescent="0.3">
      <c r="A34" s="9"/>
      <c r="B34" s="485"/>
      <c r="C34" s="200"/>
      <c r="D34" s="77"/>
      <c r="E34" s="77"/>
      <c r="F34" s="483"/>
      <c r="G34" s="105"/>
      <c r="H34" s="34"/>
    </row>
    <row r="35" spans="1:8" ht="14.25" customHeight="1" x14ac:dyDescent="0.3">
      <c r="A35" s="9" t="s">
        <v>0</v>
      </c>
      <c r="B35" s="5" t="s">
        <v>7</v>
      </c>
      <c r="C35" s="127"/>
      <c r="D35" s="10"/>
      <c r="E35" s="10"/>
      <c r="F35" s="10"/>
    </row>
    <row r="36" spans="1:8" x14ac:dyDescent="0.3">
      <c r="A36" s="9"/>
      <c r="B36" s="10" t="s">
        <v>538</v>
      </c>
      <c r="C36" s="170" t="str">
        <f>IF(C33&gt;C20,"Buy",IF(C33&lt;C20,"Lease","Indifferent"))</f>
        <v>Buy</v>
      </c>
      <c r="D36" s="10"/>
      <c r="E36" s="10"/>
      <c r="F36" s="483"/>
      <c r="G36" s="34"/>
      <c r="H36" s="34"/>
    </row>
    <row r="37" spans="1:8" x14ac:dyDescent="0.3">
      <c r="A37" s="9"/>
      <c r="B37" s="5"/>
      <c r="C37" s="10"/>
      <c r="D37" s="10"/>
      <c r="E37" s="10"/>
      <c r="F37" s="484"/>
      <c r="G37" s="37"/>
      <c r="H37" s="37"/>
    </row>
    <row r="38" spans="1:8" x14ac:dyDescent="0.3">
      <c r="A38" s="16"/>
      <c r="B38" s="10"/>
      <c r="C38" s="515"/>
      <c r="D38" s="10"/>
      <c r="E38" s="10"/>
      <c r="F38" s="18"/>
    </row>
    <row r="39" spans="1:8" x14ac:dyDescent="0.3">
      <c r="B39" s="18"/>
      <c r="C39" s="18"/>
      <c r="D39" s="18"/>
      <c r="E39" s="18"/>
      <c r="F39" s="10"/>
    </row>
    <row r="40" spans="1:8" x14ac:dyDescent="0.3">
      <c r="B40" s="10"/>
      <c r="C40" s="10"/>
      <c r="D40" s="10"/>
      <c r="E40" s="10"/>
      <c r="F40" s="10"/>
    </row>
  </sheetData>
  <mergeCells count="8">
    <mergeCell ref="B13:F13"/>
    <mergeCell ref="B14:D14"/>
    <mergeCell ref="B15:F15"/>
    <mergeCell ref="B4:F4"/>
    <mergeCell ref="B6:G6"/>
    <mergeCell ref="B7:G7"/>
    <mergeCell ref="B8:G8"/>
    <mergeCell ref="B9:G9"/>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46"/>
  <sheetViews>
    <sheetView workbookViewId="0"/>
  </sheetViews>
  <sheetFormatPr defaultColWidth="9.109375" defaultRowHeight="14.4" x14ac:dyDescent="0.3"/>
  <cols>
    <col min="1" max="1" width="16.5546875" style="28" customWidth="1"/>
    <col min="2" max="2" width="20.5546875" style="28" customWidth="1"/>
    <col min="3" max="3" width="16.44140625" style="28" bestFit="1" customWidth="1"/>
    <col min="4" max="4" width="11.5546875" style="28" bestFit="1" customWidth="1"/>
    <col min="5" max="5" width="16.5546875" style="28" customWidth="1"/>
    <col min="6" max="6" width="22.44140625" style="28" customWidth="1"/>
    <col min="7" max="7" width="14.5546875" style="28" customWidth="1"/>
    <col min="8" max="8" width="9.109375" style="28"/>
    <col min="9" max="9" width="11.88671875" style="28" bestFit="1" customWidth="1"/>
    <col min="10" max="16384" width="9.109375" style="28"/>
  </cols>
  <sheetData>
    <row r="1" spans="1:10" x14ac:dyDescent="0.3">
      <c r="A1" s="5" t="s">
        <v>612</v>
      </c>
      <c r="B1" s="5"/>
    </row>
    <row r="2" spans="1:10" s="89" customFormat="1" x14ac:dyDescent="0.3">
      <c r="A2" s="370"/>
      <c r="B2" s="370"/>
    </row>
    <row r="3" spans="1:10" x14ac:dyDescent="0.3">
      <c r="A3" s="5" t="s">
        <v>0</v>
      </c>
      <c r="B3" s="5" t="s">
        <v>268</v>
      </c>
    </row>
    <row r="4" spans="1:10" ht="53.25" customHeight="1" x14ac:dyDescent="0.3">
      <c r="A4" s="2"/>
      <c r="B4" s="575" t="s">
        <v>421</v>
      </c>
      <c r="C4" s="575"/>
      <c r="D4" s="575"/>
      <c r="E4" s="575"/>
      <c r="F4" s="575"/>
      <c r="G4" s="415"/>
      <c r="H4" s="415"/>
      <c r="I4" s="415"/>
      <c r="J4" s="415"/>
    </row>
    <row r="5" spans="1:10" ht="15" customHeight="1" x14ac:dyDescent="0.3">
      <c r="A5" s="2"/>
      <c r="B5" s="28" t="s">
        <v>3</v>
      </c>
      <c r="D5" s="83"/>
      <c r="E5" s="83"/>
      <c r="F5" s="83"/>
      <c r="G5" s="83"/>
      <c r="H5" s="83"/>
    </row>
    <row r="6" spans="1:10" ht="31.5" customHeight="1" x14ac:dyDescent="0.3">
      <c r="A6" s="2"/>
      <c r="B6" s="579" t="s">
        <v>424</v>
      </c>
      <c r="C6" s="579"/>
      <c r="D6" s="579"/>
      <c r="E6" s="579"/>
      <c r="F6" s="579"/>
      <c r="G6" s="424"/>
      <c r="H6" s="424"/>
      <c r="I6" s="424"/>
    </row>
    <row r="7" spans="1:10" ht="20.25" customHeight="1" x14ac:dyDescent="0.3">
      <c r="A7" s="2"/>
      <c r="B7" s="579" t="s">
        <v>422</v>
      </c>
      <c r="C7" s="579"/>
      <c r="D7" s="579"/>
      <c r="E7" s="579"/>
      <c r="F7" s="579"/>
      <c r="G7" s="579"/>
      <c r="H7" s="579"/>
      <c r="I7" s="579"/>
    </row>
    <row r="8" spans="1:10" ht="35.25" customHeight="1" x14ac:dyDescent="0.3">
      <c r="A8" s="2"/>
      <c r="B8" s="579" t="s">
        <v>425</v>
      </c>
      <c r="C8" s="579"/>
      <c r="D8" s="579"/>
      <c r="E8" s="579"/>
      <c r="F8" s="579"/>
      <c r="G8" s="424"/>
      <c r="H8" s="424"/>
      <c r="I8" s="424"/>
    </row>
    <row r="9" spans="1:10" ht="15" customHeight="1" x14ac:dyDescent="0.3">
      <c r="A9" s="2"/>
      <c r="B9" s="579" t="s">
        <v>423</v>
      </c>
      <c r="C9" s="579"/>
      <c r="D9" s="579"/>
      <c r="E9" s="579"/>
      <c r="F9" s="579"/>
      <c r="G9" s="579"/>
      <c r="H9" s="579"/>
      <c r="I9" s="579"/>
    </row>
    <row r="10" spans="1:10" ht="15" customHeight="1" x14ac:dyDescent="0.3">
      <c r="A10" s="2"/>
      <c r="B10" s="51"/>
      <c r="C10" s="421"/>
      <c r="D10" s="421"/>
      <c r="E10" s="421"/>
      <c r="F10" s="421"/>
      <c r="G10" s="421"/>
      <c r="H10" s="421"/>
      <c r="I10" s="421"/>
      <c r="J10" s="421"/>
    </row>
    <row r="11" spans="1:10" s="89" customFormat="1" ht="15" customHeight="1" x14ac:dyDescent="0.3">
      <c r="A11" s="358"/>
      <c r="B11" s="492"/>
      <c r="C11" s="360"/>
      <c r="D11" s="360"/>
      <c r="E11" s="360"/>
      <c r="F11" s="360"/>
      <c r="G11" s="360"/>
      <c r="H11" s="360"/>
      <c r="I11" s="360"/>
      <c r="J11" s="360"/>
    </row>
    <row r="12" spans="1:10" s="25" customFormat="1" ht="15" customHeight="1" x14ac:dyDescent="0.3">
      <c r="A12" s="299"/>
      <c r="B12" s="516"/>
      <c r="C12" s="300"/>
      <c r="D12" s="300"/>
      <c r="E12" s="300"/>
      <c r="F12" s="300"/>
      <c r="G12" s="300"/>
      <c r="H12" s="300"/>
      <c r="I12" s="300"/>
      <c r="J12" s="300"/>
    </row>
    <row r="13" spans="1:10" ht="17.25" customHeight="1" x14ac:dyDescent="0.3">
      <c r="A13" s="277"/>
      <c r="B13" s="573" t="s">
        <v>265</v>
      </c>
      <c r="C13" s="573"/>
      <c r="D13" s="573"/>
      <c r="E13" s="573"/>
      <c r="F13" s="573"/>
    </row>
    <row r="14" spans="1:10" ht="17.25" customHeight="1" x14ac:dyDescent="0.3">
      <c r="A14" s="277"/>
      <c r="B14" s="570" t="s">
        <v>266</v>
      </c>
      <c r="C14" s="570"/>
      <c r="D14" s="570"/>
    </row>
    <row r="15" spans="1:10" ht="17.25" customHeight="1" x14ac:dyDescent="0.3">
      <c r="A15" s="277"/>
      <c r="B15" s="571" t="s">
        <v>267</v>
      </c>
      <c r="C15" s="571"/>
      <c r="D15" s="571"/>
      <c r="E15" s="571"/>
      <c r="F15" s="571"/>
    </row>
    <row r="16" spans="1:10" x14ac:dyDescent="0.3">
      <c r="A16" s="10"/>
      <c r="B16" s="10"/>
      <c r="C16" s="10"/>
      <c r="D16" s="10"/>
      <c r="E16" s="10"/>
      <c r="F16" s="10"/>
    </row>
    <row r="17" spans="1:10" x14ac:dyDescent="0.3">
      <c r="A17" s="10"/>
      <c r="B17" s="85" t="s">
        <v>56</v>
      </c>
      <c r="C17" s="10"/>
      <c r="D17" s="10"/>
      <c r="E17" s="10"/>
      <c r="F17" s="10"/>
    </row>
    <row r="18" spans="1:10" s="25" customFormat="1" ht="16.5" customHeight="1" x14ac:dyDescent="0.3">
      <c r="A18" s="40"/>
      <c r="B18" s="76" t="s">
        <v>143</v>
      </c>
      <c r="C18" s="203">
        <v>0.25</v>
      </c>
      <c r="D18" s="76" t="s">
        <v>0</v>
      </c>
      <c r="F18" s="41"/>
      <c r="G18" s="41"/>
      <c r="H18" s="41"/>
    </row>
    <row r="19" spans="1:10" s="25" customFormat="1" ht="16.5" customHeight="1" x14ac:dyDescent="0.3">
      <c r="A19" s="40"/>
      <c r="B19" s="76" t="s">
        <v>144</v>
      </c>
      <c r="C19" s="203">
        <v>0.25</v>
      </c>
      <c r="D19" s="76" t="s">
        <v>0</v>
      </c>
      <c r="F19" s="41"/>
      <c r="G19" s="41"/>
      <c r="H19" s="41"/>
    </row>
    <row r="20" spans="1:10" s="25" customFormat="1" ht="16.5" customHeight="1" x14ac:dyDescent="0.3">
      <c r="A20" s="40"/>
      <c r="B20" s="76" t="s">
        <v>46</v>
      </c>
      <c r="C20" s="76">
        <v>3</v>
      </c>
      <c r="D20" s="76" t="s">
        <v>0</v>
      </c>
      <c r="F20" s="41"/>
      <c r="G20" s="41"/>
      <c r="H20" s="41"/>
    </row>
    <row r="21" spans="1:10" s="25" customFormat="1" ht="16.5" customHeight="1" x14ac:dyDescent="0.3">
      <c r="A21" s="40"/>
      <c r="B21" s="76" t="s">
        <v>427</v>
      </c>
      <c r="C21" s="79">
        <v>0.1</v>
      </c>
      <c r="D21" s="76" t="s">
        <v>0</v>
      </c>
      <c r="F21" s="41"/>
      <c r="G21" s="41"/>
      <c r="H21" s="41"/>
    </row>
    <row r="22" spans="1:10" s="25" customFormat="1" ht="16.5" customHeight="1" x14ac:dyDescent="0.3">
      <c r="A22" s="40"/>
      <c r="B22" s="76" t="s">
        <v>428</v>
      </c>
      <c r="C22" s="201">
        <v>100</v>
      </c>
      <c r="D22" s="76"/>
      <c r="F22" s="41"/>
      <c r="G22" s="41"/>
      <c r="H22" s="41"/>
    </row>
    <row r="23" spans="1:10" s="25" customFormat="1" ht="16.5" customHeight="1" x14ac:dyDescent="0.3">
      <c r="A23" s="40"/>
      <c r="B23" s="76" t="s">
        <v>358</v>
      </c>
      <c r="C23" s="79">
        <v>0.05</v>
      </c>
      <c r="D23" s="76" t="s">
        <v>0</v>
      </c>
      <c r="E23" s="41"/>
      <c r="F23" s="41"/>
      <c r="G23" s="41"/>
      <c r="H23" s="41"/>
    </row>
    <row r="24" spans="1:10" s="25" customFormat="1" ht="15" customHeight="1" x14ac:dyDescent="0.3">
      <c r="A24" s="40"/>
      <c r="B24" s="76"/>
      <c r="C24" s="517"/>
      <c r="D24" s="76"/>
      <c r="E24" s="41"/>
      <c r="F24" s="41"/>
      <c r="G24" s="41"/>
      <c r="H24" s="41"/>
    </row>
    <row r="25" spans="1:10" s="21" customFormat="1" ht="15" customHeight="1" x14ac:dyDescent="0.3">
      <c r="A25" s="7"/>
      <c r="B25" s="8"/>
      <c r="C25" s="8"/>
      <c r="D25" s="8"/>
      <c r="E25" s="8"/>
      <c r="F25" s="8"/>
      <c r="G25" s="8"/>
      <c r="H25" s="8"/>
    </row>
    <row r="26" spans="1:10" x14ac:dyDescent="0.3">
      <c r="A26" s="5"/>
      <c r="B26" s="6"/>
      <c r="C26" s="6"/>
      <c r="D26" s="6"/>
      <c r="E26" s="6"/>
      <c r="F26" s="6"/>
      <c r="G26" s="6"/>
      <c r="H26" s="6"/>
    </row>
    <row r="27" spans="1:10" x14ac:dyDescent="0.3">
      <c r="A27" s="9"/>
      <c r="B27" s="5" t="s">
        <v>1</v>
      </c>
      <c r="F27" s="5"/>
    </row>
    <row r="28" spans="1:10" x14ac:dyDescent="0.3">
      <c r="A28" s="9"/>
      <c r="B28" s="10" t="s">
        <v>262</v>
      </c>
      <c r="C28" s="131">
        <f>C22*(1-C21)</f>
        <v>90</v>
      </c>
      <c r="F28"/>
    </row>
    <row r="29" spans="1:10" x14ac:dyDescent="0.3">
      <c r="A29" s="9"/>
      <c r="B29" s="5"/>
      <c r="F29" s="5"/>
    </row>
    <row r="30" spans="1:10" x14ac:dyDescent="0.3">
      <c r="A30" s="9"/>
      <c r="B30" s="5" t="s">
        <v>65</v>
      </c>
      <c r="E30" s="106"/>
      <c r="F30" s="34"/>
      <c r="G30" s="34"/>
      <c r="H30" s="34"/>
      <c r="I30" s="34"/>
      <c r="J30" s="34"/>
    </row>
    <row r="31" spans="1:10" x14ac:dyDescent="0.3">
      <c r="A31" s="9"/>
      <c r="B31" s="33" t="s">
        <v>429</v>
      </c>
      <c r="C31" s="200">
        <f>($C$18*$C$22)+$C$19*$C$22/$C$23*(1-(1/(1+$C$23)^$C$20))</f>
        <v>93.081200734261998</v>
      </c>
      <c r="D31" s="25"/>
      <c r="E31" s="25"/>
      <c r="F31" s="34"/>
      <c r="G31" s="104"/>
      <c r="H31" s="47"/>
      <c r="I31" s="105"/>
      <c r="J31" s="34"/>
    </row>
    <row r="32" spans="1:10" x14ac:dyDescent="0.3">
      <c r="A32" s="9"/>
      <c r="B32" s="33"/>
      <c r="C32" s="202"/>
      <c r="D32" s="25"/>
      <c r="E32" s="25"/>
      <c r="F32" s="34"/>
      <c r="G32" s="104"/>
      <c r="H32" s="47"/>
      <c r="I32" s="105"/>
      <c r="J32" s="34"/>
    </row>
    <row r="33" spans="1:10" x14ac:dyDescent="0.3">
      <c r="A33" s="9" t="s">
        <v>0</v>
      </c>
      <c r="B33" s="5" t="s">
        <v>375</v>
      </c>
      <c r="C33" s="127"/>
      <c r="H33" s="48"/>
    </row>
    <row r="34" spans="1:10" x14ac:dyDescent="0.3">
      <c r="A34" s="9"/>
      <c r="B34" s="10" t="s">
        <v>145</v>
      </c>
      <c r="C34" s="170" t="str">
        <f>IF($C$31&gt;C28,"Pay-in-full",IF($C$31&lt;(1-$C$21)*$C$22,"Installment","Indifferent"))</f>
        <v>Pay-in-full</v>
      </c>
      <c r="D34" s="106"/>
      <c r="F34" s="34"/>
      <c r="G34" s="34"/>
      <c r="H34" s="45"/>
      <c r="I34" s="34"/>
      <c r="J34" s="34"/>
    </row>
    <row r="35" spans="1:10" x14ac:dyDescent="0.3">
      <c r="A35" s="9"/>
      <c r="B35" s="10"/>
      <c r="C35" s="167"/>
      <c r="F35" s="34"/>
      <c r="G35" s="34"/>
      <c r="H35" s="45"/>
      <c r="I35" s="34"/>
      <c r="J35" s="34"/>
    </row>
    <row r="36" spans="1:10" x14ac:dyDescent="0.3">
      <c r="A36" s="9"/>
      <c r="B36" s="5" t="s">
        <v>66</v>
      </c>
      <c r="C36" s="129"/>
      <c r="E36" s="106"/>
      <c r="F36" s="34"/>
      <c r="G36" s="34"/>
      <c r="H36" s="34"/>
      <c r="I36" s="34"/>
      <c r="J36" s="34"/>
    </row>
    <row r="37" spans="1:10" x14ac:dyDescent="0.3">
      <c r="A37" s="9"/>
      <c r="B37" s="33" t="s">
        <v>429</v>
      </c>
      <c r="C37" s="200">
        <f>C31/(1+C23)</f>
        <v>88.648762604059044</v>
      </c>
      <c r="D37" s="25"/>
      <c r="E37" s="25"/>
      <c r="F37" s="34"/>
      <c r="G37" s="104"/>
      <c r="H37" s="47"/>
      <c r="I37" s="105"/>
      <c r="J37" s="34"/>
    </row>
    <row r="38" spans="1:10" x14ac:dyDescent="0.3">
      <c r="A38" s="9"/>
      <c r="B38" s="33"/>
      <c r="C38" s="202"/>
      <c r="D38" s="25"/>
      <c r="E38" s="25"/>
      <c r="F38" s="34"/>
      <c r="G38" s="104"/>
      <c r="H38" s="47"/>
      <c r="I38" s="105"/>
      <c r="J38" s="34"/>
    </row>
    <row r="39" spans="1:10" x14ac:dyDescent="0.3">
      <c r="A39" s="9" t="s">
        <v>0</v>
      </c>
      <c r="B39" s="5" t="s">
        <v>378</v>
      </c>
      <c r="C39" s="127"/>
      <c r="H39" s="48"/>
    </row>
    <row r="40" spans="1:10" x14ac:dyDescent="0.3">
      <c r="A40" s="9"/>
      <c r="B40" s="10" t="s">
        <v>145</v>
      </c>
      <c r="C40" s="170" t="str">
        <f>IF($C$37&gt;C28,"Pay-in-full",IF($C$37&lt;(1-$C$21)*$C$22,"Installment plan","Indifferent"))</f>
        <v>Installment plan</v>
      </c>
      <c r="D40" s="106"/>
      <c r="F40" s="34"/>
      <c r="G40" s="34"/>
      <c r="H40" s="45"/>
      <c r="I40" s="34"/>
      <c r="J40" s="34"/>
    </row>
    <row r="41" spans="1:10" x14ac:dyDescent="0.3">
      <c r="A41" s="9"/>
      <c r="B41" s="5"/>
      <c r="F41" s="36"/>
      <c r="G41" s="37"/>
      <c r="H41" s="34"/>
      <c r="I41" s="37"/>
      <c r="J41" s="37"/>
    </row>
    <row r="42" spans="1:10" x14ac:dyDescent="0.3">
      <c r="A42" s="16"/>
      <c r="C42" s="48"/>
      <c r="F42" s="18"/>
      <c r="G42" s="16"/>
      <c r="H42" s="16"/>
    </row>
    <row r="43" spans="1:10" s="89" customFormat="1" x14ac:dyDescent="0.3">
      <c r="B43" s="412"/>
      <c r="C43" s="412"/>
      <c r="D43" s="412"/>
      <c r="E43" s="412"/>
    </row>
    <row r="44" spans="1:10" x14ac:dyDescent="0.3">
      <c r="B44" s="18"/>
      <c r="C44" s="18"/>
      <c r="D44" s="18"/>
      <c r="E44" s="18"/>
    </row>
    <row r="45" spans="1:10" x14ac:dyDescent="0.3">
      <c r="B45" s="19" t="s">
        <v>175</v>
      </c>
    </row>
    <row r="46" spans="1:10" x14ac:dyDescent="0.3">
      <c r="B46" s="19" t="s">
        <v>426</v>
      </c>
    </row>
  </sheetData>
  <mergeCells count="8">
    <mergeCell ref="B15:F15"/>
    <mergeCell ref="B7:I7"/>
    <mergeCell ref="B9:I9"/>
    <mergeCell ref="B4:F4"/>
    <mergeCell ref="B6:F6"/>
    <mergeCell ref="B8:F8"/>
    <mergeCell ref="B13:F13"/>
    <mergeCell ref="B14:D14"/>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29"/>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4" width="9.109375" style="28"/>
    <col min="5" max="5" width="16.5546875" style="28" customWidth="1"/>
    <col min="6" max="6" width="10.5546875" style="28" bestFit="1" customWidth="1"/>
    <col min="7" max="7" width="11.5546875" style="28" customWidth="1"/>
    <col min="8" max="8" width="9.5546875" style="28" bestFit="1" customWidth="1"/>
    <col min="9" max="9" width="11.88671875" style="28" bestFit="1" customWidth="1"/>
    <col min="10" max="16384" width="9.109375" style="28"/>
  </cols>
  <sheetData>
    <row r="1" spans="1:10" x14ac:dyDescent="0.3">
      <c r="A1" s="5" t="s">
        <v>611</v>
      </c>
      <c r="B1" s="5"/>
    </row>
    <row r="2" spans="1:10" s="89" customFormat="1" x14ac:dyDescent="0.3">
      <c r="A2" s="370" t="s">
        <v>0</v>
      </c>
      <c r="B2" s="370"/>
    </row>
    <row r="3" spans="1:10" ht="15" customHeight="1" x14ac:dyDescent="0.3">
      <c r="A3" s="2"/>
      <c r="B3" s="5" t="s">
        <v>268</v>
      </c>
      <c r="D3" s="27"/>
      <c r="E3" s="27"/>
      <c r="F3" s="27"/>
      <c r="G3" s="27"/>
      <c r="H3" s="27"/>
    </row>
    <row r="4" spans="1:10" ht="34.5" customHeight="1" x14ac:dyDescent="0.3">
      <c r="A4" s="2"/>
      <c r="B4" s="579" t="s">
        <v>430</v>
      </c>
      <c r="C4" s="579"/>
      <c r="D4" s="579"/>
      <c r="E4" s="579"/>
      <c r="F4" s="579"/>
      <c r="G4" s="579"/>
      <c r="H4" s="424"/>
      <c r="I4" s="424"/>
    </row>
    <row r="5" spans="1:10" ht="28.5" customHeight="1" x14ac:dyDescent="0.3">
      <c r="A5" s="2"/>
      <c r="B5" s="579" t="s">
        <v>431</v>
      </c>
      <c r="C5" s="579"/>
      <c r="D5" s="579"/>
      <c r="E5" s="579"/>
      <c r="F5" s="579"/>
      <c r="G5" s="579"/>
      <c r="H5" s="424"/>
      <c r="I5" s="424"/>
    </row>
    <row r="6" spans="1:10" ht="15" customHeight="1" x14ac:dyDescent="0.3">
      <c r="A6" s="2"/>
      <c r="B6" s="51"/>
      <c r="C6" s="26"/>
      <c r="D6" s="26"/>
      <c r="E6" s="26"/>
      <c r="F6" s="26"/>
      <c r="G6" s="26"/>
      <c r="H6" s="26"/>
      <c r="I6" s="26"/>
      <c r="J6" s="26"/>
    </row>
    <row r="7" spans="1:10" s="21" customFormat="1" x14ac:dyDescent="0.3">
      <c r="A7" s="7"/>
      <c r="B7" s="8"/>
      <c r="C7" s="8"/>
      <c r="D7" s="8"/>
      <c r="E7" s="8"/>
      <c r="F7" s="8"/>
      <c r="G7" s="8"/>
      <c r="H7" s="8"/>
    </row>
    <row r="8" spans="1:10" s="25" customFormat="1" x14ac:dyDescent="0.3">
      <c r="A8" s="40"/>
      <c r="B8" s="41"/>
      <c r="C8" s="41"/>
      <c r="D8" s="41"/>
      <c r="E8" s="41"/>
      <c r="F8" s="41"/>
      <c r="G8" s="41"/>
      <c r="H8" s="41"/>
    </row>
    <row r="9" spans="1:10" ht="17.25" customHeight="1" x14ac:dyDescent="0.3">
      <c r="A9" s="277"/>
      <c r="B9" s="573" t="s">
        <v>265</v>
      </c>
      <c r="C9" s="573"/>
      <c r="D9" s="573"/>
      <c r="E9" s="573"/>
      <c r="F9" s="573"/>
      <c r="G9" s="573"/>
      <c r="H9" s="429"/>
    </row>
    <row r="10" spans="1:10" ht="17.25" customHeight="1" x14ac:dyDescent="0.3">
      <c r="A10" s="277"/>
      <c r="B10" s="570" t="s">
        <v>266</v>
      </c>
      <c r="C10" s="570"/>
      <c r="D10" s="570"/>
    </row>
    <row r="11" spans="1:10" ht="17.25" customHeight="1" x14ac:dyDescent="0.3">
      <c r="A11" s="277"/>
      <c r="B11" s="571" t="s">
        <v>267</v>
      </c>
      <c r="C11" s="571"/>
      <c r="D11" s="571"/>
      <c r="E11" s="571"/>
      <c r="F11" s="571"/>
      <c r="G11" s="571"/>
      <c r="H11" s="571"/>
    </row>
    <row r="12" spans="1:10" x14ac:dyDescent="0.3">
      <c r="A12" s="10"/>
      <c r="B12" s="10"/>
      <c r="C12" s="10"/>
      <c r="D12" s="10"/>
    </row>
    <row r="13" spans="1:10" x14ac:dyDescent="0.3">
      <c r="A13" s="10"/>
      <c r="B13" s="85" t="s">
        <v>56</v>
      </c>
      <c r="C13" s="10"/>
      <c r="D13" s="10"/>
    </row>
    <row r="14" spans="1:10" s="25" customFormat="1" x14ac:dyDescent="0.3">
      <c r="A14" s="40"/>
      <c r="B14" s="76" t="s">
        <v>132</v>
      </c>
      <c r="C14" s="125">
        <v>1000</v>
      </c>
      <c r="D14" s="76"/>
      <c r="E14" s="41"/>
      <c r="F14" s="41"/>
      <c r="G14" s="41"/>
      <c r="H14" s="41"/>
    </row>
    <row r="15" spans="1:10" s="25" customFormat="1" x14ac:dyDescent="0.3">
      <c r="A15" s="40"/>
      <c r="B15" s="76" t="s">
        <v>146</v>
      </c>
      <c r="C15" s="78">
        <v>5</v>
      </c>
      <c r="D15" s="76"/>
      <c r="E15" s="41"/>
      <c r="F15" s="41"/>
      <c r="G15" s="41"/>
      <c r="H15" s="41"/>
    </row>
    <row r="16" spans="1:10" s="25" customFormat="1" x14ac:dyDescent="0.3">
      <c r="A16" s="40"/>
      <c r="B16" s="76" t="s">
        <v>28</v>
      </c>
      <c r="C16" s="79">
        <v>0.12</v>
      </c>
      <c r="D16" s="76" t="s">
        <v>0</v>
      </c>
      <c r="E16" s="41"/>
      <c r="F16" s="41"/>
      <c r="G16" s="41"/>
      <c r="H16" s="41"/>
    </row>
    <row r="17" spans="1:10" s="25" customFormat="1" x14ac:dyDescent="0.3">
      <c r="A17" s="40"/>
      <c r="B17" s="76"/>
      <c r="C17" s="76"/>
      <c r="D17" s="76"/>
      <c r="E17" s="41"/>
      <c r="F17" s="41"/>
      <c r="G17" s="41"/>
      <c r="H17" s="41"/>
    </row>
    <row r="18" spans="1:10" s="89" customFormat="1" x14ac:dyDescent="0.3">
      <c r="A18" s="370"/>
      <c r="B18" s="412"/>
      <c r="C18" s="412"/>
      <c r="D18" s="412"/>
      <c r="E18" s="472"/>
      <c r="F18" s="472"/>
      <c r="G18" s="472"/>
      <c r="H18" s="472"/>
    </row>
    <row r="19" spans="1:10" x14ac:dyDescent="0.3">
      <c r="A19" s="5"/>
      <c r="B19" s="6"/>
      <c r="C19" s="6"/>
      <c r="D19" s="6"/>
      <c r="E19" s="6"/>
      <c r="F19" s="6"/>
      <c r="G19" s="6"/>
      <c r="H19" s="6"/>
    </row>
    <row r="20" spans="1:10" x14ac:dyDescent="0.3">
      <c r="A20" s="9"/>
      <c r="B20" s="5" t="s">
        <v>1</v>
      </c>
      <c r="F20" s="5" t="s">
        <v>415</v>
      </c>
    </row>
    <row r="21" spans="1:10" x14ac:dyDescent="0.3">
      <c r="A21" s="9"/>
      <c r="B21" s="5" t="s">
        <v>9</v>
      </c>
      <c r="F21" s="34">
        <f>C15</f>
        <v>5</v>
      </c>
      <c r="G21" s="56">
        <f>C16*100</f>
        <v>12</v>
      </c>
      <c r="H21" s="136">
        <f>-C14</f>
        <v>-1000</v>
      </c>
    </row>
    <row r="22" spans="1:10" x14ac:dyDescent="0.3">
      <c r="A22" s="9"/>
      <c r="B22" s="33" t="s">
        <v>147</v>
      </c>
      <c r="C22" s="152">
        <f>C14/(1-1/(1+C16)^C15)*C16</f>
        <v>277.40973194104873</v>
      </c>
      <c r="F22" s="34" t="s">
        <v>13</v>
      </c>
      <c r="G22" s="34" t="s">
        <v>98</v>
      </c>
      <c r="H22" s="34" t="s">
        <v>14</v>
      </c>
      <c r="I22" s="34" t="s">
        <v>16</v>
      </c>
      <c r="J22" s="34" t="s">
        <v>17</v>
      </c>
    </row>
    <row r="23" spans="1:10" x14ac:dyDescent="0.3">
      <c r="A23" s="9"/>
      <c r="C23" s="143"/>
      <c r="I23" s="193">
        <f>PMT(G21/100,F21,H21,,0)</f>
        <v>277.4097319410489</v>
      </c>
      <c r="J23" s="34" t="s">
        <v>0</v>
      </c>
    </row>
    <row r="24" spans="1:10" x14ac:dyDescent="0.3">
      <c r="A24" s="9"/>
      <c r="B24" s="5" t="s">
        <v>5</v>
      </c>
      <c r="C24" s="130"/>
      <c r="F24" s="34"/>
      <c r="G24" s="37"/>
      <c r="H24" s="35"/>
      <c r="J24" s="36"/>
    </row>
    <row r="25" spans="1:10" x14ac:dyDescent="0.3">
      <c r="A25" s="9"/>
      <c r="B25" s="33" t="s">
        <v>148</v>
      </c>
      <c r="C25" s="152">
        <f>C22/(1+C16)</f>
        <v>247.68726066165064</v>
      </c>
      <c r="F25" s="34">
        <f>C15</f>
        <v>5</v>
      </c>
      <c r="G25" s="56">
        <f>C16*100</f>
        <v>12</v>
      </c>
      <c r="H25" s="136">
        <f>-C14</f>
        <v>-1000</v>
      </c>
    </row>
    <row r="26" spans="1:10" x14ac:dyDescent="0.3">
      <c r="A26" s="9"/>
      <c r="F26" s="34" t="s">
        <v>13</v>
      </c>
      <c r="G26" s="34" t="s">
        <v>98</v>
      </c>
      <c r="H26" s="34" t="s">
        <v>14</v>
      </c>
      <c r="I26" s="34" t="s">
        <v>16</v>
      </c>
      <c r="J26" s="34" t="s">
        <v>17</v>
      </c>
    </row>
    <row r="27" spans="1:10" x14ac:dyDescent="0.3">
      <c r="B27" s="6"/>
      <c r="C27" s="18"/>
      <c r="D27" s="18"/>
      <c r="E27" s="18"/>
      <c r="F27" s="34"/>
      <c r="G27" s="37"/>
      <c r="H27" s="35"/>
      <c r="I27" s="193">
        <f>PMT(G25/100,F25,H25,,1)</f>
        <v>247.68726066165084</v>
      </c>
      <c r="J27" s="34"/>
    </row>
    <row r="28" spans="1:10" x14ac:dyDescent="0.3">
      <c r="B28" s="18"/>
      <c r="C28" s="18"/>
      <c r="D28" s="18"/>
      <c r="E28" s="18"/>
    </row>
    <row r="29" spans="1:10" x14ac:dyDescent="0.3">
      <c r="B29" s="18"/>
      <c r="C29" s="18"/>
      <c r="D29" s="18"/>
      <c r="E29" s="18"/>
    </row>
  </sheetData>
  <mergeCells count="5">
    <mergeCell ref="B11:H11"/>
    <mergeCell ref="B9:G9"/>
    <mergeCell ref="B4:G4"/>
    <mergeCell ref="B5:G5"/>
    <mergeCell ref="B10:D10"/>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30"/>
  <sheetViews>
    <sheetView workbookViewId="0"/>
  </sheetViews>
  <sheetFormatPr defaultColWidth="9.109375" defaultRowHeight="14.4" x14ac:dyDescent="0.3"/>
  <cols>
    <col min="1" max="1" width="16.5546875" style="28" customWidth="1"/>
    <col min="2" max="2" width="22.44140625" style="28" customWidth="1"/>
    <col min="3" max="3" width="16.44140625" style="28" bestFit="1" customWidth="1"/>
    <col min="4" max="4" width="13.33203125" style="28" bestFit="1" customWidth="1"/>
    <col min="5" max="5" width="10.5546875" style="28" bestFit="1" customWidth="1"/>
    <col min="6" max="6" width="14.5546875" style="28" customWidth="1"/>
    <col min="7" max="7" width="7.33203125" style="28" customWidth="1"/>
    <col min="8" max="8" width="11.88671875" style="28" bestFit="1" customWidth="1"/>
    <col min="9" max="16384" width="9.109375" style="28"/>
  </cols>
  <sheetData>
    <row r="1" spans="1:9" ht="15.6" x14ac:dyDescent="0.3">
      <c r="A1" s="5" t="s">
        <v>610</v>
      </c>
      <c r="B1" s="5"/>
      <c r="C1" s="371"/>
    </row>
    <row r="2" spans="1:9" s="89" customFormat="1" ht="15.6" x14ac:dyDescent="0.3">
      <c r="A2" s="370"/>
      <c r="B2" s="370"/>
      <c r="C2" s="372"/>
    </row>
    <row r="3" spans="1:9" ht="15.6" x14ac:dyDescent="0.3">
      <c r="A3" s="5" t="s">
        <v>0</v>
      </c>
      <c r="B3" s="5" t="s">
        <v>268</v>
      </c>
      <c r="C3" s="371"/>
    </row>
    <row r="4" spans="1:9" ht="30" customHeight="1" x14ac:dyDescent="0.3">
      <c r="A4" s="2"/>
      <c r="B4" s="575" t="s">
        <v>432</v>
      </c>
      <c r="C4" s="575"/>
      <c r="D4" s="575"/>
      <c r="E4" s="575"/>
      <c r="F4" s="575"/>
      <c r="G4" s="575"/>
      <c r="H4" s="415"/>
      <c r="I4" s="415"/>
    </row>
    <row r="5" spans="1:9" ht="15" customHeight="1" x14ac:dyDescent="0.3">
      <c r="A5" s="2"/>
      <c r="B5" s="28" t="s">
        <v>3</v>
      </c>
      <c r="D5" s="83"/>
      <c r="E5" s="83"/>
      <c r="F5" s="83"/>
      <c r="G5" s="83"/>
    </row>
    <row r="6" spans="1:9" ht="15" customHeight="1" x14ac:dyDescent="0.3">
      <c r="A6" s="2"/>
      <c r="B6" s="579" t="s">
        <v>434</v>
      </c>
      <c r="C6" s="579"/>
      <c r="D6" s="579"/>
      <c r="E6" s="579"/>
      <c r="F6" s="579"/>
      <c r="G6" s="579"/>
      <c r="H6" s="579"/>
    </row>
    <row r="7" spans="1:9" ht="15" customHeight="1" x14ac:dyDescent="0.3">
      <c r="A7" s="2"/>
      <c r="B7" s="579" t="s">
        <v>433</v>
      </c>
      <c r="C7" s="579"/>
      <c r="D7" s="579"/>
      <c r="E7" s="579"/>
      <c r="F7" s="579"/>
      <c r="G7" s="579"/>
      <c r="H7" s="579"/>
    </row>
    <row r="8" spans="1:9" s="25" customFormat="1" ht="15" customHeight="1" x14ac:dyDescent="0.3">
      <c r="A8" s="40"/>
      <c r="B8" s="41"/>
      <c r="C8" s="41"/>
      <c r="D8" s="41"/>
      <c r="E8" s="41"/>
      <c r="F8" s="41"/>
      <c r="G8" s="41"/>
    </row>
    <row r="9" spans="1:9" s="21" customFormat="1" ht="16.5" customHeight="1" x14ac:dyDescent="0.3">
      <c r="A9" s="7" t="s">
        <v>0</v>
      </c>
      <c r="B9" s="8"/>
      <c r="C9" s="8"/>
      <c r="D9" s="8"/>
      <c r="E9" s="8"/>
      <c r="F9" s="8"/>
      <c r="G9" s="8"/>
    </row>
    <row r="10" spans="1:9" s="25" customFormat="1" ht="16.5" customHeight="1" x14ac:dyDescent="0.3">
      <c r="A10" s="40"/>
      <c r="B10" s="41"/>
      <c r="C10" s="41"/>
      <c r="D10" s="41"/>
      <c r="E10" s="41"/>
      <c r="F10" s="41"/>
      <c r="G10" s="41"/>
    </row>
    <row r="11" spans="1:9" ht="17.25" customHeight="1" x14ac:dyDescent="0.3">
      <c r="A11" s="277"/>
      <c r="B11" s="573" t="s">
        <v>265</v>
      </c>
      <c r="C11" s="573"/>
      <c r="D11" s="573"/>
      <c r="E11" s="573"/>
      <c r="F11" s="573"/>
      <c r="G11" s="573"/>
    </row>
    <row r="12" spans="1:9" ht="17.25" customHeight="1" x14ac:dyDescent="0.3">
      <c r="A12" s="277"/>
      <c r="B12" s="570" t="s">
        <v>266</v>
      </c>
      <c r="C12" s="570"/>
      <c r="D12" s="570"/>
    </row>
    <row r="13" spans="1:9" ht="17.25" customHeight="1" x14ac:dyDescent="0.3">
      <c r="A13" s="277"/>
      <c r="B13" s="571" t="s">
        <v>267</v>
      </c>
      <c r="C13" s="571"/>
      <c r="D13" s="571"/>
      <c r="E13" s="571"/>
      <c r="F13" s="571"/>
      <c r="G13" s="571"/>
    </row>
    <row r="14" spans="1:9" x14ac:dyDescent="0.3">
      <c r="A14" s="10"/>
      <c r="B14" s="10"/>
      <c r="C14" s="10"/>
      <c r="D14" s="10"/>
    </row>
    <row r="15" spans="1:9" x14ac:dyDescent="0.3">
      <c r="A15" s="10"/>
      <c r="B15" s="85" t="s">
        <v>56</v>
      </c>
      <c r="C15" s="10"/>
      <c r="D15" s="10"/>
    </row>
    <row r="16" spans="1:9" s="25" customFormat="1" ht="16.5" customHeight="1" x14ac:dyDescent="0.3">
      <c r="A16" s="40"/>
      <c r="B16" s="76" t="s">
        <v>435</v>
      </c>
      <c r="C16" s="204">
        <v>2000000</v>
      </c>
      <c r="E16" s="41"/>
      <c r="F16" s="41"/>
      <c r="G16" s="41"/>
    </row>
    <row r="17" spans="1:9" s="25" customFormat="1" ht="16.5" customHeight="1" x14ac:dyDescent="0.3">
      <c r="A17" s="40"/>
      <c r="B17" s="76" t="s">
        <v>46</v>
      </c>
      <c r="C17" s="78">
        <v>20</v>
      </c>
      <c r="E17" s="41"/>
      <c r="F17" s="41"/>
      <c r="G17" s="41"/>
    </row>
    <row r="18" spans="1:9" s="25" customFormat="1" ht="16.5" customHeight="1" x14ac:dyDescent="0.3">
      <c r="A18" s="40"/>
      <c r="B18" s="76" t="s">
        <v>28</v>
      </c>
      <c r="C18" s="79">
        <v>0.08</v>
      </c>
      <c r="E18" s="41"/>
      <c r="F18" s="41"/>
      <c r="G18" s="41"/>
    </row>
    <row r="19" spans="1:9" s="25" customFormat="1" ht="16.5" customHeight="1" x14ac:dyDescent="0.3">
      <c r="A19" s="40"/>
      <c r="B19" s="41"/>
      <c r="C19" s="41"/>
      <c r="D19" s="41"/>
      <c r="E19" s="41"/>
      <c r="F19" s="41"/>
      <c r="G19" s="41"/>
    </row>
    <row r="20" spans="1:9" s="21" customFormat="1" ht="16.5" customHeight="1" x14ac:dyDescent="0.3">
      <c r="A20" s="7"/>
      <c r="B20" s="8"/>
      <c r="C20" s="8"/>
      <c r="D20" s="8"/>
      <c r="E20" s="8"/>
      <c r="F20" s="8"/>
      <c r="G20" s="8"/>
    </row>
    <row r="21" spans="1:9" x14ac:dyDescent="0.3">
      <c r="A21" s="5"/>
      <c r="B21" s="6"/>
      <c r="C21" s="6"/>
      <c r="D21" s="6"/>
      <c r="E21" s="6"/>
      <c r="F21" s="6"/>
      <c r="G21" s="6"/>
    </row>
    <row r="22" spans="1:9" x14ac:dyDescent="0.3">
      <c r="A22" s="9"/>
      <c r="B22" s="5" t="s">
        <v>1</v>
      </c>
      <c r="E22" s="5"/>
    </row>
    <row r="23" spans="1:9" x14ac:dyDescent="0.3">
      <c r="A23" s="9"/>
      <c r="B23" s="5" t="s">
        <v>9</v>
      </c>
      <c r="E23" s="34"/>
      <c r="F23" s="34"/>
      <c r="G23" s="34"/>
      <c r="H23" s="34"/>
      <c r="I23" s="34"/>
    </row>
    <row r="24" spans="1:9" ht="15.6" x14ac:dyDescent="0.35">
      <c r="A24" s="9"/>
      <c r="B24" s="33" t="s">
        <v>149</v>
      </c>
      <c r="C24" s="200">
        <f>$C$16/$C$18*(1-1/(1+$C$18)^$C$17)</f>
        <v>19636294.814898588</v>
      </c>
      <c r="D24" s="25" t="s">
        <v>0</v>
      </c>
      <c r="E24" s="34"/>
      <c r="F24" s="104"/>
      <c r="G24" s="47"/>
      <c r="H24" s="105"/>
      <c r="I24" s="34"/>
    </row>
    <row r="25" spans="1:9" x14ac:dyDescent="0.3">
      <c r="A25" s="9"/>
      <c r="B25" s="10"/>
      <c r="C25" s="167"/>
      <c r="E25" s="34"/>
      <c r="F25" s="34"/>
      <c r="G25" s="45"/>
      <c r="H25" s="34"/>
      <c r="I25" s="34"/>
    </row>
    <row r="26" spans="1:9" x14ac:dyDescent="0.3">
      <c r="A26" s="9"/>
      <c r="B26" s="5" t="s">
        <v>395</v>
      </c>
      <c r="C26" s="129"/>
      <c r="E26" s="34"/>
      <c r="F26" s="34"/>
      <c r="G26" s="34"/>
      <c r="H26" s="34"/>
      <c r="I26" s="34"/>
    </row>
    <row r="27" spans="1:9" ht="15.6" x14ac:dyDescent="0.35">
      <c r="A27" s="9"/>
      <c r="B27" s="33" t="s">
        <v>150</v>
      </c>
      <c r="C27" s="200">
        <f>C16+$C$16/$C$18*(1-1/(1+$C$18)^($C$17-1))</f>
        <v>21207198.400090475</v>
      </c>
      <c r="D27" s="25" t="s">
        <v>0</v>
      </c>
      <c r="E27" s="34"/>
      <c r="F27" s="104"/>
      <c r="G27" s="47"/>
      <c r="H27" s="105"/>
      <c r="I27" s="34"/>
    </row>
    <row r="28" spans="1:9" x14ac:dyDescent="0.3">
      <c r="A28" s="9"/>
      <c r="B28" s="5"/>
      <c r="E28" s="36"/>
      <c r="F28" s="37"/>
      <c r="G28" s="34"/>
      <c r="H28" s="37"/>
      <c r="I28" s="37"/>
    </row>
    <row r="29" spans="1:9" x14ac:dyDescent="0.3">
      <c r="A29" s="16"/>
      <c r="C29" s="48"/>
      <c r="E29" s="18"/>
      <c r="F29" s="16"/>
      <c r="G29" s="16"/>
    </row>
    <row r="30" spans="1:9" x14ac:dyDescent="0.3">
      <c r="B30" s="18"/>
      <c r="C30" s="18"/>
      <c r="D30" s="18"/>
    </row>
  </sheetData>
  <mergeCells count="6">
    <mergeCell ref="B13:G13"/>
    <mergeCell ref="B4:G4"/>
    <mergeCell ref="B6:H6"/>
    <mergeCell ref="B7:H7"/>
    <mergeCell ref="B11:G11"/>
    <mergeCell ref="B12:D12"/>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7"/>
  <sheetViews>
    <sheetView workbookViewId="0"/>
  </sheetViews>
  <sheetFormatPr defaultColWidth="9.109375" defaultRowHeight="14.4" x14ac:dyDescent="0.3"/>
  <cols>
    <col min="1" max="1" width="16.5546875" style="28" customWidth="1"/>
    <col min="2" max="2" width="29.5546875" style="28" customWidth="1"/>
    <col min="3" max="3" width="12.5546875" style="28" bestFit="1" customWidth="1"/>
    <col min="4" max="4" width="6.5546875" style="28" customWidth="1"/>
    <col min="5" max="5" width="9.109375" style="28"/>
    <col min="6" max="6" width="14.5546875" style="28" customWidth="1"/>
    <col min="7" max="7" width="12.88671875" style="28" bestFit="1" customWidth="1"/>
    <col min="8" max="8" width="11.5546875" style="28" bestFit="1" customWidth="1"/>
    <col min="9" max="16384" width="9.109375" style="28"/>
  </cols>
  <sheetData>
    <row r="1" spans="1:8" x14ac:dyDescent="0.3">
      <c r="A1" s="5" t="s">
        <v>609</v>
      </c>
      <c r="B1" s="5"/>
    </row>
    <row r="2" spans="1:8" s="89" customFormat="1" x14ac:dyDescent="0.3">
      <c r="A2" s="370"/>
      <c r="B2" s="370"/>
    </row>
    <row r="3" spans="1:8" x14ac:dyDescent="0.3">
      <c r="A3" s="5" t="s">
        <v>0</v>
      </c>
      <c r="B3" s="5" t="s">
        <v>268</v>
      </c>
    </row>
    <row r="4" spans="1:8" ht="53.25" customHeight="1" x14ac:dyDescent="0.3">
      <c r="A4" s="2"/>
      <c r="B4" s="575" t="s">
        <v>436</v>
      </c>
      <c r="C4" s="575"/>
      <c r="D4" s="575"/>
      <c r="E4" s="575"/>
      <c r="F4" s="575"/>
      <c r="G4" s="575"/>
      <c r="H4" s="415"/>
    </row>
    <row r="5" spans="1:8" ht="15" customHeight="1" x14ac:dyDescent="0.3">
      <c r="A5" s="2"/>
      <c r="B5" s="28" t="s">
        <v>3</v>
      </c>
      <c r="D5" s="75"/>
      <c r="E5" s="75"/>
      <c r="F5" s="75"/>
    </row>
    <row r="6" spans="1:8" s="373" customFormat="1" x14ac:dyDescent="0.3">
      <c r="B6" s="412"/>
      <c r="C6" s="412"/>
      <c r="D6" s="412"/>
      <c r="E6" s="412"/>
      <c r="F6" s="412"/>
    </row>
    <row r="7" spans="1:8" s="25" customFormat="1" x14ac:dyDescent="0.3">
      <c r="A7" s="40"/>
      <c r="B7" s="41"/>
      <c r="C7" s="41"/>
      <c r="D7" s="41"/>
      <c r="E7" s="41"/>
      <c r="F7" s="41"/>
    </row>
    <row r="8" spans="1:8" ht="17.25" customHeight="1" x14ac:dyDescent="0.3">
      <c r="A8" s="277"/>
      <c r="B8" s="573" t="s">
        <v>265</v>
      </c>
      <c r="C8" s="573"/>
      <c r="D8" s="573"/>
      <c r="E8" s="573"/>
      <c r="F8" s="573"/>
      <c r="G8" s="573"/>
    </row>
    <row r="9" spans="1:8" ht="17.25" customHeight="1" x14ac:dyDescent="0.3">
      <c r="A9" s="277"/>
      <c r="B9" s="570" t="s">
        <v>266</v>
      </c>
      <c r="C9" s="570"/>
      <c r="D9" s="570"/>
    </row>
    <row r="10" spans="1:8" ht="17.25" customHeight="1" x14ac:dyDescent="0.3">
      <c r="A10" s="277"/>
      <c r="B10" s="571" t="s">
        <v>267</v>
      </c>
      <c r="C10" s="571"/>
      <c r="D10" s="571"/>
      <c r="E10" s="571"/>
      <c r="F10" s="571"/>
    </row>
    <row r="11" spans="1:8" x14ac:dyDescent="0.3">
      <c r="A11" s="10"/>
      <c r="B11" s="10"/>
      <c r="C11" s="10"/>
      <c r="D11" s="10"/>
    </row>
    <row r="12" spans="1:8" x14ac:dyDescent="0.3">
      <c r="A12" s="10"/>
      <c r="B12" s="85" t="s">
        <v>56</v>
      </c>
      <c r="C12" s="10"/>
      <c r="D12" s="10"/>
    </row>
    <row r="13" spans="1:8" s="77" customFormat="1" x14ac:dyDescent="0.3">
      <c r="B13" s="76" t="s">
        <v>46</v>
      </c>
      <c r="C13" s="78">
        <v>30</v>
      </c>
      <c r="D13" s="76" t="s">
        <v>0</v>
      </c>
      <c r="E13" s="76"/>
      <c r="F13" s="76"/>
    </row>
    <row r="14" spans="1:8" s="77" customFormat="1" x14ac:dyDescent="0.3">
      <c r="B14" s="76" t="s">
        <v>55</v>
      </c>
      <c r="C14" s="125">
        <v>100000</v>
      </c>
      <c r="D14" s="76"/>
      <c r="E14" s="76"/>
      <c r="F14" s="76"/>
    </row>
    <row r="15" spans="1:8" s="77" customFormat="1" x14ac:dyDescent="0.3">
      <c r="B15" s="76" t="s">
        <v>40</v>
      </c>
      <c r="C15" s="79">
        <v>0.06</v>
      </c>
      <c r="D15" s="76" t="s">
        <v>0</v>
      </c>
      <c r="E15" s="76"/>
      <c r="F15" s="76"/>
    </row>
    <row r="16" spans="1:8" s="77" customFormat="1" x14ac:dyDescent="0.3">
      <c r="B16" s="76" t="s">
        <v>151</v>
      </c>
      <c r="C16" s="80">
        <v>12</v>
      </c>
      <c r="D16" s="76"/>
      <c r="E16" s="76"/>
      <c r="F16" s="76"/>
    </row>
    <row r="17" spans="1:11" s="77" customFormat="1" ht="15" customHeight="1" x14ac:dyDescent="0.3">
      <c r="B17" s="76"/>
      <c r="C17" s="494"/>
      <c r="D17" s="76"/>
      <c r="E17" s="76"/>
      <c r="F17" s="76"/>
    </row>
    <row r="18" spans="1:11" s="373" customFormat="1" ht="15" customHeight="1" x14ac:dyDescent="0.3">
      <c r="B18" s="412"/>
      <c r="C18" s="493"/>
      <c r="D18" s="412"/>
      <c r="E18" s="412"/>
      <c r="F18" s="412"/>
    </row>
    <row r="19" spans="1:11" ht="15" customHeight="1" x14ac:dyDescent="0.3">
      <c r="A19" s="5"/>
      <c r="B19" s="6"/>
      <c r="C19" s="6"/>
      <c r="D19" s="53"/>
      <c r="E19" s="6"/>
      <c r="F19" s="6"/>
    </row>
    <row r="20" spans="1:11" ht="15" customHeight="1" x14ac:dyDescent="0.3">
      <c r="A20" s="9"/>
      <c r="B20" s="5" t="s">
        <v>1</v>
      </c>
      <c r="E20" s="5" t="s">
        <v>415</v>
      </c>
      <c r="J20" s="29"/>
      <c r="K20" s="29"/>
    </row>
    <row r="21" spans="1:11" ht="15" customHeight="1" x14ac:dyDescent="0.3">
      <c r="A21" s="9"/>
      <c r="B21" s="496" t="s">
        <v>124</v>
      </c>
      <c r="C21" s="335">
        <f>C14/((1/(C15/12))-(1/((C15/12)*(1+(C15/12))^(C13*12))))</f>
        <v>599.55052515275895</v>
      </c>
      <c r="E21" s="34">
        <f>C13*12</f>
        <v>360</v>
      </c>
      <c r="F21" s="518">
        <f>C15/12*100</f>
        <v>0.5</v>
      </c>
      <c r="G21" s="211">
        <f>-C14</f>
        <v>-100000</v>
      </c>
      <c r="J21" s="29"/>
      <c r="K21" s="29"/>
    </row>
    <row r="22" spans="1:11" ht="15" customHeight="1" x14ac:dyDescent="0.3">
      <c r="A22" s="9"/>
      <c r="B22" s="496" t="s">
        <v>401</v>
      </c>
      <c r="C22" s="152">
        <f>H23*((1/(C15/12))-(1/((C15/12)*(1+(C15/12))^((C13-C16)*12))))</f>
        <v>79079.371634716226</v>
      </c>
      <c r="E22" s="34" t="s">
        <v>13</v>
      </c>
      <c r="F22" s="34" t="s">
        <v>98</v>
      </c>
      <c r="G22" s="34" t="s">
        <v>14</v>
      </c>
      <c r="H22" s="34" t="s">
        <v>16</v>
      </c>
      <c r="I22" s="34" t="s">
        <v>17</v>
      </c>
    </row>
    <row r="23" spans="1:11" x14ac:dyDescent="0.3">
      <c r="A23" s="9"/>
      <c r="B23" s="497"/>
      <c r="C23" s="28" t="s">
        <v>0</v>
      </c>
      <c r="H23" s="193">
        <f>ROUND(PMT(C15/12,C13*12,-C14),2)</f>
        <v>599.54999999999995</v>
      </c>
      <c r="I23" s="34" t="s">
        <v>0</v>
      </c>
    </row>
    <row r="24" spans="1:11" x14ac:dyDescent="0.3">
      <c r="A24" s="9"/>
      <c r="B24" s="497"/>
      <c r="E24" s="36"/>
      <c r="F24" s="36"/>
      <c r="G24" s="34"/>
      <c r="I24" s="34"/>
    </row>
    <row r="25" spans="1:11" x14ac:dyDescent="0.3">
      <c r="A25" s="16"/>
      <c r="B25" s="497"/>
      <c r="E25" s="34">
        <f>(C13-C16)*12</f>
        <v>216</v>
      </c>
      <c r="F25" s="518">
        <f>C15/12*100</f>
        <v>0.5</v>
      </c>
      <c r="G25" s="46" t="s">
        <v>0</v>
      </c>
      <c r="H25" s="197">
        <f>H23</f>
        <v>599.54999999999995</v>
      </c>
      <c r="I25" s="34"/>
    </row>
    <row r="26" spans="1:11" x14ac:dyDescent="0.3">
      <c r="A26" s="16"/>
      <c r="B26" s="497"/>
      <c r="E26" s="34" t="s">
        <v>13</v>
      </c>
      <c r="F26" s="34" t="s">
        <v>98</v>
      </c>
      <c r="G26" s="34" t="s">
        <v>14</v>
      </c>
      <c r="H26" s="34" t="s">
        <v>16</v>
      </c>
      <c r="I26" s="34" t="s">
        <v>17</v>
      </c>
    </row>
    <row r="27" spans="1:11" x14ac:dyDescent="0.3">
      <c r="A27" s="16"/>
      <c r="B27" s="497"/>
      <c r="G27" s="275">
        <f>PV(C15/12,(C13-C16)*12,-H23)</f>
        <v>79079.371634716212</v>
      </c>
      <c r="I27" s="36" t="s">
        <v>0</v>
      </c>
    </row>
  </sheetData>
  <mergeCells count="4">
    <mergeCell ref="B9:D9"/>
    <mergeCell ref="B10:F10"/>
    <mergeCell ref="B8:G8"/>
    <mergeCell ref="B4:G4"/>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37"/>
  <sheetViews>
    <sheetView topLeftCell="A4" workbookViewId="0"/>
  </sheetViews>
  <sheetFormatPr defaultColWidth="9.109375" defaultRowHeight="14.4" x14ac:dyDescent="0.3"/>
  <cols>
    <col min="1" max="1" width="16.5546875" style="28" customWidth="1"/>
    <col min="2" max="2" width="20.44140625" style="28" customWidth="1"/>
    <col min="3" max="3" width="16.44140625" style="28" bestFit="1" customWidth="1"/>
    <col min="4" max="4" width="11.5546875" style="28" bestFit="1" customWidth="1"/>
    <col min="5" max="5" width="16.5546875" style="28" customWidth="1"/>
    <col min="6" max="6" width="12.88671875" style="28" customWidth="1"/>
    <col min="7" max="7" width="17.44140625" style="28" customWidth="1"/>
    <col min="8" max="8" width="9.109375" style="28"/>
    <col min="9" max="9" width="11.88671875" style="28" bestFit="1" customWidth="1"/>
    <col min="10" max="16384" width="9.109375" style="28"/>
  </cols>
  <sheetData>
    <row r="1" spans="1:10" x14ac:dyDescent="0.3">
      <c r="A1" s="5" t="s">
        <v>608</v>
      </c>
      <c r="B1" s="5"/>
      <c r="C1" s="5"/>
    </row>
    <row r="2" spans="1:10" s="89" customFormat="1" x14ac:dyDescent="0.3">
      <c r="A2" s="370"/>
      <c r="B2" s="370"/>
      <c r="C2" s="370"/>
    </row>
    <row r="3" spans="1:10" x14ac:dyDescent="0.3">
      <c r="A3" s="5" t="s">
        <v>0</v>
      </c>
      <c r="B3" s="5" t="s">
        <v>268</v>
      </c>
      <c r="C3" s="5"/>
    </row>
    <row r="4" spans="1:10" ht="33.75" customHeight="1" x14ac:dyDescent="0.3">
      <c r="A4" s="2"/>
      <c r="B4" s="575" t="s">
        <v>281</v>
      </c>
      <c r="C4" s="575"/>
      <c r="D4" s="575"/>
      <c r="E4" s="575"/>
      <c r="F4" s="575"/>
      <c r="G4" s="575"/>
      <c r="H4" s="415"/>
      <c r="I4" s="415"/>
      <c r="J4" s="415"/>
    </row>
    <row r="5" spans="1:10" ht="15" customHeight="1" x14ac:dyDescent="0.3">
      <c r="A5" s="2"/>
      <c r="B5" s="28" t="s">
        <v>3</v>
      </c>
      <c r="D5" s="83"/>
      <c r="E5" s="83"/>
      <c r="F5" s="83"/>
      <c r="G5" s="83"/>
      <c r="H5" s="83"/>
    </row>
    <row r="6" spans="1:10" ht="15" customHeight="1" x14ac:dyDescent="0.3">
      <c r="A6" s="2"/>
      <c r="B6" s="579" t="s">
        <v>438</v>
      </c>
      <c r="C6" s="579"/>
      <c r="D6" s="579"/>
      <c r="E6" s="579"/>
      <c r="F6" s="579"/>
      <c r="G6" s="579"/>
      <c r="H6" s="579"/>
      <c r="I6" s="579"/>
    </row>
    <row r="7" spans="1:10" ht="15" customHeight="1" x14ac:dyDescent="0.3">
      <c r="A7" s="2"/>
      <c r="B7" s="579" t="s">
        <v>437</v>
      </c>
      <c r="C7" s="579"/>
      <c r="D7" s="579"/>
      <c r="E7" s="579"/>
      <c r="F7" s="579"/>
      <c r="G7" s="579"/>
      <c r="H7" s="579"/>
      <c r="I7" s="579"/>
    </row>
    <row r="8" spans="1:10" ht="15" customHeight="1" x14ac:dyDescent="0.3">
      <c r="A8" s="2"/>
      <c r="B8" s="51"/>
      <c r="C8" s="421"/>
      <c r="D8" s="421"/>
      <c r="E8" s="421"/>
      <c r="F8" s="421"/>
      <c r="G8" s="421"/>
      <c r="H8" s="421"/>
      <c r="I8" s="421"/>
      <c r="J8" s="421"/>
    </row>
    <row r="9" spans="1:10" s="21" customFormat="1" ht="15" customHeight="1" x14ac:dyDescent="0.3">
      <c r="A9" s="7"/>
      <c r="B9" s="8"/>
      <c r="C9" s="8"/>
      <c r="D9" s="8"/>
      <c r="E9" s="8"/>
      <c r="F9" s="8"/>
      <c r="G9" s="8"/>
      <c r="H9" s="8"/>
    </row>
    <row r="10" spans="1:10" s="25" customFormat="1" ht="15" customHeight="1" x14ac:dyDescent="0.3">
      <c r="A10" s="40"/>
      <c r="B10" s="41"/>
      <c r="C10" s="41"/>
      <c r="D10" s="41"/>
      <c r="E10" s="41"/>
      <c r="F10" s="41"/>
      <c r="G10" s="41"/>
      <c r="H10" s="41"/>
    </row>
    <row r="11" spans="1:10" ht="15" customHeight="1" x14ac:dyDescent="0.3">
      <c r="A11" s="277"/>
      <c r="B11" s="573" t="s">
        <v>265</v>
      </c>
      <c r="C11" s="573"/>
      <c r="D11" s="573"/>
      <c r="E11" s="573"/>
      <c r="F11" s="573"/>
      <c r="G11" s="573"/>
      <c r="H11" s="429"/>
    </row>
    <row r="12" spans="1:10" ht="15" customHeight="1" x14ac:dyDescent="0.3">
      <c r="A12" s="277"/>
      <c r="B12" s="570" t="s">
        <v>266</v>
      </c>
      <c r="C12" s="570"/>
      <c r="D12" s="570"/>
    </row>
    <row r="13" spans="1:10" ht="15" customHeight="1" x14ac:dyDescent="0.3">
      <c r="A13" s="277"/>
      <c r="B13" s="571" t="s">
        <v>267</v>
      </c>
      <c r="C13" s="571"/>
      <c r="D13" s="571"/>
      <c r="E13" s="571"/>
      <c r="F13" s="571"/>
      <c r="G13" s="571"/>
      <c r="H13" s="571"/>
    </row>
    <row r="14" spans="1:10" ht="15" customHeight="1" x14ac:dyDescent="0.3">
      <c r="A14" s="10"/>
      <c r="B14" s="10"/>
      <c r="C14" s="10"/>
      <c r="D14" s="10"/>
    </row>
    <row r="15" spans="1:10" ht="15" customHeight="1" x14ac:dyDescent="0.3">
      <c r="A15" s="10"/>
      <c r="B15" s="85" t="s">
        <v>56</v>
      </c>
      <c r="C15" s="10"/>
      <c r="D15" s="10"/>
    </row>
    <row r="16" spans="1:10" s="25" customFormat="1" ht="15" customHeight="1" x14ac:dyDescent="0.3">
      <c r="A16" s="40"/>
      <c r="B16" s="76" t="s">
        <v>46</v>
      </c>
      <c r="C16" s="76">
        <v>4</v>
      </c>
      <c r="D16" s="41"/>
      <c r="F16" s="109"/>
      <c r="G16" s="41"/>
      <c r="H16" s="41"/>
    </row>
    <row r="17" spans="1:8" s="25" customFormat="1" ht="15" customHeight="1" x14ac:dyDescent="0.3">
      <c r="A17" s="40"/>
      <c r="B17" s="76" t="s">
        <v>152</v>
      </c>
      <c r="C17" s="204">
        <v>1000</v>
      </c>
      <c r="D17" s="41"/>
      <c r="F17" s="41"/>
      <c r="G17" s="41"/>
      <c r="H17" s="41"/>
    </row>
    <row r="18" spans="1:8" s="25" customFormat="1" ht="15" customHeight="1" x14ac:dyDescent="0.3">
      <c r="A18" s="40"/>
      <c r="B18" s="76" t="s">
        <v>102</v>
      </c>
      <c r="C18" s="79">
        <v>0.08</v>
      </c>
      <c r="D18" s="76" t="s">
        <v>0</v>
      </c>
      <c r="F18" s="41"/>
      <c r="G18" s="41"/>
      <c r="H18" s="41"/>
    </row>
    <row r="19" spans="1:8" s="25" customFormat="1" ht="15" customHeight="1" x14ac:dyDescent="0.3">
      <c r="A19" s="40"/>
      <c r="B19" s="41"/>
      <c r="C19" s="41"/>
      <c r="D19" s="41"/>
      <c r="E19" s="41"/>
      <c r="F19" s="41"/>
      <c r="G19" s="41"/>
      <c r="H19" s="41"/>
    </row>
    <row r="20" spans="1:8" s="21" customFormat="1" ht="15" customHeight="1" x14ac:dyDescent="0.3">
      <c r="A20" s="7"/>
      <c r="B20" s="8"/>
      <c r="C20" s="8"/>
      <c r="D20" s="8"/>
      <c r="E20" s="8"/>
      <c r="F20" s="8"/>
      <c r="G20" s="8"/>
      <c r="H20" s="8"/>
    </row>
    <row r="21" spans="1:8" ht="15" customHeight="1" x14ac:dyDescent="0.3">
      <c r="A21" s="5"/>
      <c r="B21" s="6"/>
      <c r="C21" s="6"/>
      <c r="D21" s="6"/>
      <c r="E21" s="6"/>
      <c r="F21" s="6"/>
      <c r="G21" s="6"/>
      <c r="H21" s="6"/>
    </row>
    <row r="22" spans="1:8" ht="15" customHeight="1" x14ac:dyDescent="0.3">
      <c r="A22" s="5"/>
      <c r="B22" s="6" t="s">
        <v>539</v>
      </c>
      <c r="C22" s="566">
        <f>PMT(C18,4,1000,0,0)</f>
        <v>-301.92080445403934</v>
      </c>
      <c r="D22" s="6"/>
      <c r="E22" s="6"/>
      <c r="F22" s="6"/>
      <c r="G22" s="6"/>
      <c r="H22" s="6"/>
    </row>
    <row r="23" spans="1:8" ht="15" customHeight="1" x14ac:dyDescent="0.3">
      <c r="A23" s="5"/>
      <c r="B23" s="6"/>
      <c r="C23" s="6"/>
      <c r="D23" s="6"/>
      <c r="E23" s="6"/>
      <c r="F23" s="6"/>
      <c r="G23" s="6"/>
      <c r="H23" s="6"/>
    </row>
    <row r="24" spans="1:8" ht="15" customHeight="1" x14ac:dyDescent="0.3">
      <c r="A24" s="5"/>
      <c r="B24" s="6"/>
      <c r="C24" s="6"/>
      <c r="D24" s="6"/>
      <c r="E24" s="6"/>
      <c r="F24" s="6"/>
      <c r="G24" s="6"/>
      <c r="H24" s="6"/>
    </row>
    <row r="25" spans="1:8" ht="15" customHeight="1" x14ac:dyDescent="0.3">
      <c r="A25" s="5"/>
      <c r="B25" s="6" t="s">
        <v>395</v>
      </c>
      <c r="C25" s="6"/>
      <c r="D25" s="6"/>
      <c r="E25" s="6"/>
      <c r="F25" s="6"/>
      <c r="G25" s="6"/>
      <c r="H25" s="6"/>
    </row>
    <row r="26" spans="1:8" ht="15" customHeight="1" x14ac:dyDescent="0.3">
      <c r="A26" s="9"/>
      <c r="B26" s="5" t="s">
        <v>1</v>
      </c>
      <c r="F26" s="5"/>
    </row>
    <row r="27" spans="1:8" s="25" customFormat="1" ht="15" customHeight="1" x14ac:dyDescent="0.3">
      <c r="A27" s="101"/>
      <c r="B27" s="559" t="s">
        <v>64</v>
      </c>
      <c r="C27" s="559" t="s">
        <v>71</v>
      </c>
      <c r="D27" s="559" t="s">
        <v>72</v>
      </c>
      <c r="E27" s="559" t="s">
        <v>73</v>
      </c>
      <c r="F27" s="559" t="s">
        <v>74</v>
      </c>
    </row>
    <row r="28" spans="1:8" ht="15" customHeight="1" x14ac:dyDescent="0.3">
      <c r="A28" s="9"/>
      <c r="B28" s="560">
        <v>0</v>
      </c>
      <c r="C28" s="205">
        <f>C17</f>
        <v>1000</v>
      </c>
      <c r="D28" s="207">
        <f>C28*$C$18</f>
        <v>80</v>
      </c>
      <c r="E28" s="208">
        <f>(C17/(1-1/(1+C18)^C16)*C18)</f>
        <v>301.92080445403917</v>
      </c>
      <c r="F28" s="207">
        <f>E28-D28</f>
        <v>221.92080445403917</v>
      </c>
      <c r="G28" s="10"/>
    </row>
    <row r="29" spans="1:8" ht="15" customHeight="1" x14ac:dyDescent="0.3">
      <c r="A29" s="9"/>
      <c r="B29" s="561">
        <v>1</v>
      </c>
      <c r="C29" s="206">
        <f>C28-F28</f>
        <v>778.07919554596083</v>
      </c>
      <c r="D29" s="207">
        <f>C29*$C$18</f>
        <v>62.246335643676865</v>
      </c>
      <c r="E29" s="208">
        <f>E28</f>
        <v>301.92080445403917</v>
      </c>
      <c r="F29" s="207">
        <f>E29-D29</f>
        <v>239.6744688103623</v>
      </c>
      <c r="G29" s="10"/>
    </row>
    <row r="30" spans="1:8" ht="15" customHeight="1" x14ac:dyDescent="0.3">
      <c r="A30" s="9"/>
      <c r="B30" s="561">
        <v>2</v>
      </c>
      <c r="C30" s="206">
        <f>C29-F29</f>
        <v>538.4047267355985</v>
      </c>
      <c r="D30" s="207">
        <f>C30*$C$18</f>
        <v>43.072378138847881</v>
      </c>
      <c r="E30" s="208">
        <f>E28</f>
        <v>301.92080445403917</v>
      </c>
      <c r="F30" s="207">
        <f>E30-D30</f>
        <v>258.84842631519132</v>
      </c>
      <c r="G30" s="10"/>
    </row>
    <row r="31" spans="1:8" ht="15" customHeight="1" x14ac:dyDescent="0.3">
      <c r="A31" s="9"/>
      <c r="B31" s="560">
        <v>3</v>
      </c>
      <c r="C31" s="206">
        <f>C30-F30</f>
        <v>279.55630042040718</v>
      </c>
      <c r="D31" s="207">
        <f>C31*$C$18</f>
        <v>22.364504033632574</v>
      </c>
      <c r="E31" s="208">
        <f>E28</f>
        <v>301.92080445403917</v>
      </c>
      <c r="F31" s="207">
        <f>E31-D31</f>
        <v>279.55630042040661</v>
      </c>
      <c r="G31" s="10"/>
    </row>
    <row r="32" spans="1:8" x14ac:dyDescent="0.3">
      <c r="A32" s="9"/>
      <c r="B32" s="561">
        <v>4</v>
      </c>
      <c r="C32" s="146">
        <f>C31-F31</f>
        <v>5.6843418860808015E-13</v>
      </c>
      <c r="D32" s="110">
        <v>0</v>
      </c>
      <c r="E32" s="111">
        <v>0</v>
      </c>
      <c r="F32" s="110">
        <v>0</v>
      </c>
      <c r="G32" s="107"/>
      <c r="H32" s="37"/>
    </row>
    <row r="33" spans="1:8" x14ac:dyDescent="0.3">
      <c r="A33" s="16"/>
      <c r="B33" s="29"/>
      <c r="C33" s="108"/>
      <c r="D33" s="29"/>
      <c r="E33" s="29"/>
      <c r="F33" s="66"/>
      <c r="G33" s="16"/>
      <c r="H33" s="16"/>
    </row>
    <row r="34" spans="1:8" s="89" customFormat="1" x14ac:dyDescent="0.3">
      <c r="C34" s="412"/>
      <c r="D34" s="412"/>
      <c r="E34" s="412"/>
      <c r="F34" s="412"/>
    </row>
    <row r="35" spans="1:8" x14ac:dyDescent="0.3">
      <c r="B35" s="6"/>
      <c r="C35" s="18"/>
      <c r="D35" s="18"/>
      <c r="E35" s="18"/>
      <c r="F35" s="18"/>
    </row>
    <row r="36" spans="1:8" x14ac:dyDescent="0.3">
      <c r="B36" s="19" t="s">
        <v>175</v>
      </c>
      <c r="C36" s="18"/>
      <c r="D36" s="18"/>
      <c r="E36" s="18"/>
    </row>
    <row r="37" spans="1:8" x14ac:dyDescent="0.3">
      <c r="B37" s="19" t="s">
        <v>439</v>
      </c>
      <c r="C37" s="18"/>
      <c r="D37" s="18"/>
      <c r="E37" s="18"/>
    </row>
  </sheetData>
  <mergeCells count="6">
    <mergeCell ref="B13:H13"/>
    <mergeCell ref="B11:G11"/>
    <mergeCell ref="B4:G4"/>
    <mergeCell ref="B6:I6"/>
    <mergeCell ref="B7:I7"/>
    <mergeCell ref="B12:D12"/>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54"/>
  <sheetViews>
    <sheetView workbookViewId="0"/>
  </sheetViews>
  <sheetFormatPr defaultColWidth="9.109375" defaultRowHeight="14.4" x14ac:dyDescent="0.3"/>
  <cols>
    <col min="1" max="1" width="16.5546875" style="28" customWidth="1"/>
    <col min="2" max="2" width="28.33203125" style="28" customWidth="1"/>
    <col min="3" max="3" width="12.5546875" style="28" bestFit="1" customWidth="1"/>
    <col min="4" max="4" width="9.109375" style="28"/>
    <col min="5" max="5" width="16.5546875" style="28" customWidth="1"/>
    <col min="6" max="6" width="18" style="28" customWidth="1"/>
    <col min="7" max="7" width="14.5546875" style="28" customWidth="1"/>
    <col min="8" max="9" width="11.88671875" style="28" bestFit="1" customWidth="1"/>
    <col min="10" max="10" width="12.5546875" style="28" bestFit="1" customWidth="1"/>
    <col min="11" max="16384" width="9.109375" style="28"/>
  </cols>
  <sheetData>
    <row r="1" spans="1:10" x14ac:dyDescent="0.3">
      <c r="A1" s="5" t="s">
        <v>607</v>
      </c>
      <c r="B1" s="5"/>
    </row>
    <row r="2" spans="1:10" s="89" customFormat="1" x14ac:dyDescent="0.3">
      <c r="A2" s="370"/>
      <c r="B2" s="370"/>
    </row>
    <row r="3" spans="1:10" x14ac:dyDescent="0.3">
      <c r="A3" s="5" t="s">
        <v>0</v>
      </c>
      <c r="B3" s="5" t="s">
        <v>268</v>
      </c>
    </row>
    <row r="4" spans="1:10" ht="36" customHeight="1" x14ac:dyDescent="0.5">
      <c r="A4" s="1"/>
      <c r="B4" s="587" t="s">
        <v>442</v>
      </c>
      <c r="C4" s="587"/>
      <c r="D4" s="587"/>
      <c r="E4" s="587"/>
      <c r="F4" s="587"/>
      <c r="G4" s="340"/>
      <c r="H4" s="340"/>
      <c r="I4" s="340"/>
      <c r="J4" s="340"/>
    </row>
    <row r="5" spans="1:10" ht="15" customHeight="1" x14ac:dyDescent="0.3">
      <c r="A5" s="2"/>
      <c r="B5" s="28" t="s">
        <v>3</v>
      </c>
      <c r="D5" s="27"/>
      <c r="E5" s="27"/>
      <c r="F5" s="27"/>
      <c r="G5" s="27"/>
      <c r="H5" s="27"/>
    </row>
    <row r="6" spans="1:10" ht="36" customHeight="1" x14ac:dyDescent="0.3">
      <c r="A6" s="2"/>
      <c r="B6" s="579" t="s">
        <v>441</v>
      </c>
      <c r="C6" s="579"/>
      <c r="D6" s="579"/>
      <c r="E6" s="579"/>
      <c r="F6" s="579"/>
      <c r="G6" s="424"/>
      <c r="H6" s="424"/>
      <c r="I6" s="424"/>
    </row>
    <row r="7" spans="1:10" ht="34.5" customHeight="1" x14ac:dyDescent="0.3">
      <c r="A7" s="2"/>
      <c r="B7" s="579" t="s">
        <v>443</v>
      </c>
      <c r="C7" s="579"/>
      <c r="D7" s="579"/>
      <c r="E7" s="579"/>
      <c r="F7" s="579"/>
      <c r="G7" s="424"/>
      <c r="H7" s="424"/>
      <c r="I7" s="424"/>
    </row>
    <row r="8" spans="1:10" ht="19.5" customHeight="1" x14ac:dyDescent="0.3">
      <c r="A8" s="2"/>
      <c r="B8" s="51"/>
      <c r="C8" s="26"/>
      <c r="D8" s="26"/>
      <c r="E8" s="26"/>
      <c r="F8" s="26"/>
      <c r="G8" s="26"/>
      <c r="H8" s="26"/>
      <c r="I8" s="26"/>
      <c r="J8" s="26"/>
    </row>
    <row r="9" spans="1:10" s="373" customFormat="1" x14ac:dyDescent="0.3">
      <c r="B9" s="412"/>
      <c r="C9" s="412"/>
      <c r="D9" s="412"/>
      <c r="E9" s="412"/>
      <c r="F9" s="412"/>
      <c r="G9" s="412"/>
      <c r="H9" s="412"/>
    </row>
    <row r="10" spans="1:10" s="25" customFormat="1" x14ac:dyDescent="0.3">
      <c r="A10" s="40"/>
      <c r="B10" s="41"/>
      <c r="C10" s="41"/>
      <c r="D10" s="41"/>
      <c r="E10" s="41"/>
      <c r="F10" s="41"/>
      <c r="G10" s="41"/>
      <c r="H10" s="41"/>
    </row>
    <row r="11" spans="1:10" ht="17.25" customHeight="1" x14ac:dyDescent="0.3">
      <c r="A11" s="277"/>
      <c r="B11" s="580" t="s">
        <v>265</v>
      </c>
      <c r="C11" s="580"/>
      <c r="D11" s="580"/>
      <c r="E11" s="580"/>
      <c r="F11" s="580"/>
      <c r="G11" s="429"/>
      <c r="H11" s="429"/>
    </row>
    <row r="12" spans="1:10" ht="17.25" customHeight="1" x14ac:dyDescent="0.3">
      <c r="A12" s="277"/>
      <c r="B12" s="570" t="s">
        <v>266</v>
      </c>
      <c r="C12" s="570"/>
      <c r="D12" s="570"/>
    </row>
    <row r="13" spans="1:10" ht="17.25" customHeight="1" x14ac:dyDescent="0.3">
      <c r="A13" s="277"/>
      <c r="B13" s="571" t="s">
        <v>267</v>
      </c>
      <c r="C13" s="571"/>
      <c r="D13" s="571"/>
      <c r="E13" s="571"/>
      <c r="F13" s="571"/>
      <c r="G13" s="571"/>
      <c r="H13" s="571"/>
    </row>
    <row r="14" spans="1:10" x14ac:dyDescent="0.3">
      <c r="A14" s="10"/>
      <c r="B14" s="10"/>
      <c r="C14" s="10"/>
      <c r="D14" s="10"/>
    </row>
    <row r="15" spans="1:10" x14ac:dyDescent="0.3">
      <c r="A15" s="10"/>
      <c r="B15" s="85" t="s">
        <v>56</v>
      </c>
      <c r="C15" s="10"/>
      <c r="D15" s="10"/>
    </row>
    <row r="16" spans="1:10" s="25" customFormat="1" x14ac:dyDescent="0.3">
      <c r="A16" s="40"/>
      <c r="B16" s="76" t="s">
        <v>157</v>
      </c>
      <c r="C16" s="78">
        <v>50</v>
      </c>
      <c r="D16" s="76"/>
      <c r="E16" s="76"/>
      <c r="F16" s="41"/>
      <c r="G16" s="41"/>
      <c r="H16" s="41"/>
    </row>
    <row r="17" spans="1:10" s="25" customFormat="1" x14ac:dyDescent="0.3">
      <c r="A17" s="40"/>
      <c r="B17" s="76" t="s">
        <v>158</v>
      </c>
      <c r="C17" s="125">
        <v>30000</v>
      </c>
      <c r="D17" s="76"/>
      <c r="E17" s="76"/>
      <c r="F17" s="41"/>
      <c r="G17" s="41"/>
      <c r="H17" s="41"/>
    </row>
    <row r="18" spans="1:10" s="25" customFormat="1" x14ac:dyDescent="0.3">
      <c r="A18" s="40"/>
      <c r="B18" s="76" t="s">
        <v>159</v>
      </c>
      <c r="C18" s="78">
        <v>25</v>
      </c>
      <c r="D18" s="76"/>
      <c r="E18" s="76"/>
      <c r="F18" s="41"/>
      <c r="G18" s="41"/>
      <c r="H18" s="41"/>
    </row>
    <row r="19" spans="1:10" s="25" customFormat="1" x14ac:dyDescent="0.3">
      <c r="A19" s="40"/>
      <c r="B19" s="76" t="s">
        <v>28</v>
      </c>
      <c r="C19" s="79">
        <v>0.08</v>
      </c>
      <c r="D19" s="76" t="s">
        <v>0</v>
      </c>
      <c r="E19" s="76"/>
      <c r="F19" s="41"/>
      <c r="G19" s="41"/>
      <c r="H19" s="41"/>
    </row>
    <row r="20" spans="1:10" s="25" customFormat="1" x14ac:dyDescent="0.3">
      <c r="A20" s="40"/>
      <c r="B20" s="76" t="s">
        <v>160</v>
      </c>
      <c r="C20" s="78">
        <v>20</v>
      </c>
      <c r="D20" s="76"/>
      <c r="E20" s="76"/>
      <c r="F20" s="41"/>
      <c r="G20" s="41"/>
      <c r="H20" s="41"/>
    </row>
    <row r="21" spans="1:10" s="25" customFormat="1" x14ac:dyDescent="0.3">
      <c r="A21" s="40"/>
      <c r="B21" s="76" t="s">
        <v>161</v>
      </c>
      <c r="C21" s="201">
        <v>60000</v>
      </c>
      <c r="D21" s="76"/>
      <c r="E21" s="76"/>
      <c r="F21" s="41"/>
      <c r="G21" s="41"/>
      <c r="H21" s="41"/>
    </row>
    <row r="22" spans="1:10" s="25" customFormat="1" x14ac:dyDescent="0.3">
      <c r="A22" s="40"/>
      <c r="B22" s="76"/>
      <c r="C22"/>
      <c r="D22" s="76"/>
      <c r="E22" s="76"/>
      <c r="F22" s="41"/>
      <c r="G22" s="41"/>
      <c r="H22" s="41"/>
    </row>
    <row r="23" spans="1:10" s="373" customFormat="1" x14ac:dyDescent="0.3">
      <c r="B23" s="412"/>
      <c r="D23" s="412"/>
      <c r="E23" s="412"/>
      <c r="F23" s="412"/>
      <c r="G23" s="412"/>
      <c r="H23" s="412"/>
    </row>
    <row r="24" spans="1:10" x14ac:dyDescent="0.3">
      <c r="A24" s="5"/>
      <c r="B24" s="18"/>
      <c r="C24" s="18"/>
      <c r="D24" s="18"/>
      <c r="E24" s="18"/>
      <c r="F24" s="6"/>
      <c r="G24" s="6"/>
      <c r="H24" s="6"/>
    </row>
    <row r="25" spans="1:10" x14ac:dyDescent="0.3">
      <c r="A25" s="9"/>
      <c r="B25" s="5" t="s">
        <v>1</v>
      </c>
      <c r="F25" s="5" t="s">
        <v>18</v>
      </c>
    </row>
    <row r="26" spans="1:10" x14ac:dyDescent="0.3">
      <c r="A26" s="9"/>
      <c r="B26" s="5" t="s">
        <v>9</v>
      </c>
      <c r="F26" s="34">
        <f>C18</f>
        <v>25</v>
      </c>
      <c r="G26" s="34">
        <f>C19*100</f>
        <v>8</v>
      </c>
      <c r="H26" s="47"/>
      <c r="I26" s="136">
        <f>-C17</f>
        <v>-30000</v>
      </c>
    </row>
    <row r="27" spans="1:10" x14ac:dyDescent="0.3">
      <c r="A27" s="9"/>
      <c r="B27" s="33" t="s">
        <v>162</v>
      </c>
      <c r="C27" s="221">
        <f>C17/C19*(1-1/(1+C19)^C18)</f>
        <v>320243.28565765743</v>
      </c>
      <c r="D27" s="28" t="s">
        <v>0</v>
      </c>
      <c r="E27" s="28" t="s">
        <v>0</v>
      </c>
      <c r="F27" s="34" t="s">
        <v>13</v>
      </c>
      <c r="G27" s="34" t="s">
        <v>98</v>
      </c>
      <c r="H27" s="34" t="s">
        <v>14</v>
      </c>
      <c r="I27" s="34" t="s">
        <v>16</v>
      </c>
      <c r="J27" s="34" t="s">
        <v>17</v>
      </c>
    </row>
    <row r="28" spans="1:10" x14ac:dyDescent="0.3">
      <c r="A28" s="9"/>
      <c r="B28" s="28" t="s">
        <v>163</v>
      </c>
      <c r="C28" s="130">
        <f>(C27/(1+C19)^C16)/(1-1/(1+C19)^C16)*C19</f>
        <v>558.13862411103071</v>
      </c>
      <c r="H28" s="210">
        <f>PV(G26/100,F26,I26)</f>
        <v>320243.28565765743</v>
      </c>
      <c r="J28" s="34" t="s">
        <v>0</v>
      </c>
    </row>
    <row r="29" spans="1:10" x14ac:dyDescent="0.3">
      <c r="A29" s="9"/>
      <c r="C29" s="134"/>
      <c r="F29" s="34"/>
      <c r="G29" s="37" t="s">
        <v>0</v>
      </c>
      <c r="I29" s="36"/>
      <c r="J29" s="36"/>
    </row>
    <row r="30" spans="1:10" x14ac:dyDescent="0.3">
      <c r="A30" s="9"/>
      <c r="C30" s="221"/>
      <c r="F30" s="34">
        <f>C16</f>
        <v>50</v>
      </c>
      <c r="G30" s="56">
        <f>C19*100</f>
        <v>8</v>
      </c>
      <c r="H30" s="47" t="s">
        <v>0</v>
      </c>
      <c r="I30" s="34" t="s">
        <v>0</v>
      </c>
      <c r="J30" s="197">
        <f>H28</f>
        <v>320243.28565765743</v>
      </c>
    </row>
    <row r="31" spans="1:10" x14ac:dyDescent="0.3">
      <c r="A31" s="9"/>
      <c r="C31" s="131"/>
      <c r="F31" s="34" t="s">
        <v>13</v>
      </c>
      <c r="G31" s="34" t="s">
        <v>98</v>
      </c>
      <c r="H31" s="34" t="s">
        <v>14</v>
      </c>
      <c r="I31" s="34" t="s">
        <v>16</v>
      </c>
      <c r="J31" s="34" t="s">
        <v>17</v>
      </c>
    </row>
    <row r="32" spans="1:10" x14ac:dyDescent="0.3">
      <c r="A32" s="9"/>
      <c r="C32" s="168"/>
      <c r="I32" s="193">
        <f>PMT(G30/100,F30,,-J30)</f>
        <v>558.13862411103207</v>
      </c>
    </row>
    <row r="33" spans="1:10" x14ac:dyDescent="0.3">
      <c r="A33" s="9"/>
      <c r="C33" s="168"/>
      <c r="F33" s="34"/>
      <c r="G33" s="37"/>
      <c r="H33" s="35"/>
      <c r="J33" s="34"/>
    </row>
    <row r="34" spans="1:10" x14ac:dyDescent="0.3">
      <c r="A34" s="9"/>
      <c r="C34" s="168"/>
      <c r="F34" s="34"/>
      <c r="G34" s="37"/>
      <c r="H34" s="35"/>
      <c r="I34" s="36"/>
      <c r="J34" s="34"/>
    </row>
    <row r="35" spans="1:10" x14ac:dyDescent="0.3">
      <c r="A35" s="9"/>
      <c r="C35" s="168"/>
      <c r="F35" s="34"/>
      <c r="G35" s="37"/>
      <c r="H35" s="35"/>
      <c r="I35" s="36"/>
      <c r="J35" s="34"/>
    </row>
    <row r="36" spans="1:10" ht="15" customHeight="1" x14ac:dyDescent="0.3">
      <c r="A36" s="16"/>
      <c r="B36" s="5" t="s">
        <v>5</v>
      </c>
      <c r="C36" s="168"/>
      <c r="D36" s="18"/>
      <c r="E36" s="18"/>
      <c r="F36" s="34"/>
      <c r="G36" s="37"/>
      <c r="H36" s="35"/>
      <c r="I36" s="36"/>
      <c r="J36" s="34"/>
    </row>
    <row r="37" spans="1:10" ht="15" customHeight="1" x14ac:dyDescent="0.3">
      <c r="A37" s="16"/>
      <c r="B37" s="33" t="s">
        <v>165</v>
      </c>
      <c r="C37" s="221">
        <f>(C21/(1+C19)^C20)+(C27/(1+C19)^C16)</f>
        <v>19700.872731004627</v>
      </c>
      <c r="D37" s="28" t="s">
        <v>0</v>
      </c>
      <c r="E37" s="18"/>
    </row>
    <row r="38" spans="1:10" ht="15" customHeight="1" x14ac:dyDescent="0.3">
      <c r="A38" s="16"/>
      <c r="B38" s="17" t="s">
        <v>163</v>
      </c>
      <c r="C38" s="130">
        <f>C37/((1/C19)-(1/(C19*(1+C19)^C16)))</f>
        <v>1610.4056453105509</v>
      </c>
      <c r="E38" s="18"/>
      <c r="F38" s="198" t="s">
        <v>164</v>
      </c>
    </row>
    <row r="39" spans="1:10" ht="15" customHeight="1" x14ac:dyDescent="0.3">
      <c r="A39" s="16"/>
      <c r="B39" s="17"/>
      <c r="C39" s="31"/>
      <c r="E39" s="18"/>
      <c r="F39" s="56">
        <f>C20</f>
        <v>20</v>
      </c>
      <c r="G39" s="56">
        <f>C19*100</f>
        <v>8</v>
      </c>
      <c r="H39" s="47" t="s">
        <v>0</v>
      </c>
      <c r="I39" s="34" t="s">
        <v>0</v>
      </c>
      <c r="J39" s="214">
        <f>-C21</f>
        <v>-60000</v>
      </c>
    </row>
    <row r="40" spans="1:10" ht="12.75" customHeight="1" x14ac:dyDescent="0.3">
      <c r="A40" s="16"/>
      <c r="F40" s="34" t="s">
        <v>13</v>
      </c>
      <c r="G40" s="34" t="s">
        <v>98</v>
      </c>
      <c r="H40" s="34" t="s">
        <v>14</v>
      </c>
      <c r="I40" s="34" t="s">
        <v>16</v>
      </c>
      <c r="J40" s="34" t="s">
        <v>17</v>
      </c>
    </row>
    <row r="41" spans="1:10" x14ac:dyDescent="0.3">
      <c r="A41" s="16"/>
      <c r="H41" s="210">
        <f>PV(G39/100,F39,,J39)</f>
        <v>12872.892444243393</v>
      </c>
    </row>
    <row r="42" spans="1:10" x14ac:dyDescent="0.3">
      <c r="A42" s="16"/>
      <c r="F42" s="34"/>
      <c r="G42" s="37"/>
      <c r="I42" s="36"/>
      <c r="J42" s="37" t="s">
        <v>0</v>
      </c>
    </row>
    <row r="43" spans="1:10" x14ac:dyDescent="0.3">
      <c r="A43" s="16"/>
      <c r="F43" s="215" t="s">
        <v>166</v>
      </c>
      <c r="G43" s="37"/>
      <c r="H43" s="35"/>
      <c r="I43" s="36"/>
      <c r="J43" s="37"/>
    </row>
    <row r="44" spans="1:10" x14ac:dyDescent="0.3">
      <c r="A44" s="16"/>
      <c r="F44" s="34">
        <f>C16</f>
        <v>50</v>
      </c>
      <c r="G44" s="56">
        <f>C19*100</f>
        <v>8</v>
      </c>
      <c r="H44" s="47" t="s">
        <v>0</v>
      </c>
      <c r="I44" s="34" t="s">
        <v>0</v>
      </c>
      <c r="J44" s="197">
        <f>-H28</f>
        <v>-320243.28565765743</v>
      </c>
    </row>
    <row r="45" spans="1:10" x14ac:dyDescent="0.3">
      <c r="A45" s="16"/>
      <c r="F45" s="34" t="s">
        <v>13</v>
      </c>
      <c r="G45" s="34" t="s">
        <v>98</v>
      </c>
      <c r="H45" s="34" t="s">
        <v>14</v>
      </c>
      <c r="I45" s="34" t="s">
        <v>16</v>
      </c>
      <c r="J45" s="34" t="s">
        <v>17</v>
      </c>
    </row>
    <row r="46" spans="1:10" x14ac:dyDescent="0.3">
      <c r="A46" s="16"/>
      <c r="H46" s="210">
        <f>PV(G44/100,F44,,J44)</f>
        <v>6827.9802867612343</v>
      </c>
    </row>
    <row r="47" spans="1:10" x14ac:dyDescent="0.3">
      <c r="A47" s="16"/>
      <c r="F47" s="34"/>
      <c r="G47" s="36"/>
      <c r="I47" s="34"/>
      <c r="J47" s="37"/>
    </row>
    <row r="48" spans="1:10" s="16" customFormat="1" x14ac:dyDescent="0.3">
      <c r="F48" s="34" t="s">
        <v>167</v>
      </c>
      <c r="G48" s="176">
        <f>H41+H46</f>
        <v>19700.872731004627</v>
      </c>
      <c r="H48" s="47"/>
      <c r="I48" s="34"/>
      <c r="J48" s="37"/>
    </row>
    <row r="49" spans="6:10" s="16" customFormat="1" x14ac:dyDescent="0.3">
      <c r="F49" s="34"/>
      <c r="G49" s="176"/>
      <c r="H49" s="47"/>
      <c r="I49" s="34"/>
      <c r="J49" s="37"/>
    </row>
    <row r="50" spans="6:10" x14ac:dyDescent="0.3">
      <c r="F50" s="215" t="s">
        <v>168</v>
      </c>
      <c r="G50" s="37"/>
      <c r="H50" s="35"/>
      <c r="I50" s="36"/>
      <c r="J50" s="37"/>
    </row>
    <row r="51" spans="6:10" x14ac:dyDescent="0.3">
      <c r="F51" s="34">
        <f>C16</f>
        <v>50</v>
      </c>
      <c r="G51" s="56">
        <f>C19*100</f>
        <v>8</v>
      </c>
      <c r="H51" s="210">
        <f>-G48</f>
        <v>-19700.872731004627</v>
      </c>
    </row>
    <row r="52" spans="6:10" x14ac:dyDescent="0.3">
      <c r="F52" s="34" t="s">
        <v>13</v>
      </c>
      <c r="G52" s="34" t="s">
        <v>98</v>
      </c>
      <c r="H52" s="34" t="s">
        <v>14</v>
      </c>
      <c r="I52" s="34" t="s">
        <v>16</v>
      </c>
      <c r="J52" s="34" t="s">
        <v>17</v>
      </c>
    </row>
    <row r="53" spans="6:10" x14ac:dyDescent="0.3">
      <c r="I53" s="141">
        <f>PMT(G51/100,F51,H51)</f>
        <v>1610.4056453105511</v>
      </c>
      <c r="J53" s="197" t="s">
        <v>0</v>
      </c>
    </row>
    <row r="54" spans="6:10" x14ac:dyDescent="0.3">
      <c r="F54" s="34"/>
      <c r="G54" s="36"/>
      <c r="H54" s="210" t="s">
        <v>0</v>
      </c>
      <c r="J54" s="37"/>
    </row>
  </sheetData>
  <mergeCells count="6">
    <mergeCell ref="B12:D12"/>
    <mergeCell ref="B13:H13"/>
    <mergeCell ref="B11:F11"/>
    <mergeCell ref="B4:F4"/>
    <mergeCell ref="B6:F6"/>
    <mergeCell ref="B7:F7"/>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3"/>
  <sheetViews>
    <sheetView workbookViewId="0"/>
  </sheetViews>
  <sheetFormatPr defaultColWidth="9.109375" defaultRowHeight="14.4" x14ac:dyDescent="0.3"/>
  <cols>
    <col min="1" max="1" width="16.5546875" style="28" customWidth="1"/>
    <col min="2" max="2" width="25.109375" style="28" customWidth="1"/>
    <col min="3" max="3" width="15.44140625" style="28" customWidth="1"/>
    <col min="4" max="4" width="9.109375" style="28"/>
    <col min="5" max="5" width="9.109375" style="28" customWidth="1"/>
    <col min="6" max="6" width="9.109375" style="28"/>
    <col min="7" max="7" width="19.33203125" style="28" customWidth="1"/>
    <col min="8" max="8" width="9.109375" style="28"/>
    <col min="9" max="9" width="13.5546875" style="28" bestFit="1" customWidth="1"/>
    <col min="10" max="10" width="9.5546875" style="28" bestFit="1" customWidth="1"/>
    <col min="11" max="16384" width="9.109375" style="28"/>
  </cols>
  <sheetData>
    <row r="1" spans="1:9" x14ac:dyDescent="0.3">
      <c r="A1" s="5" t="s">
        <v>606</v>
      </c>
      <c r="B1" s="5"/>
    </row>
    <row r="2" spans="1:9" s="89" customFormat="1" x14ac:dyDescent="0.3">
      <c r="A2" s="370"/>
      <c r="B2" s="370"/>
    </row>
    <row r="3" spans="1:9" x14ac:dyDescent="0.3">
      <c r="A3" s="5" t="s">
        <v>0</v>
      </c>
      <c r="B3" s="5" t="s">
        <v>268</v>
      </c>
    </row>
    <row r="4" spans="1:9" ht="59.25" customHeight="1" x14ac:dyDescent="0.3">
      <c r="A4" s="2"/>
      <c r="B4" s="575" t="s">
        <v>282</v>
      </c>
      <c r="C4" s="575"/>
      <c r="D4" s="575"/>
      <c r="E4" s="575"/>
      <c r="F4" s="575"/>
      <c r="G4" s="575"/>
      <c r="H4" s="415"/>
      <c r="I4" s="415"/>
    </row>
    <row r="5" spans="1:9" ht="15" customHeight="1" x14ac:dyDescent="0.3">
      <c r="A5" s="2"/>
      <c r="B5" s="28" t="s">
        <v>3</v>
      </c>
      <c r="D5" s="27"/>
      <c r="E5" s="27"/>
      <c r="F5" s="27"/>
      <c r="G5" s="27"/>
    </row>
    <row r="6" spans="1:9" s="474" customFormat="1" x14ac:dyDescent="0.3">
      <c r="B6" s="306"/>
      <c r="C6" s="306"/>
      <c r="D6" s="306"/>
      <c r="E6" s="306"/>
      <c r="F6" s="306"/>
      <c r="G6" s="306"/>
    </row>
    <row r="7" spans="1:9" s="25" customFormat="1" x14ac:dyDescent="0.3">
      <c r="A7" s="40"/>
      <c r="B7" s="41"/>
      <c r="C7" s="41"/>
      <c r="D7" s="41"/>
      <c r="E7" s="41"/>
      <c r="F7" s="41"/>
      <c r="G7" s="41"/>
    </row>
    <row r="8" spans="1:9" ht="17.25" customHeight="1" x14ac:dyDescent="0.3">
      <c r="A8" s="277"/>
      <c r="B8" s="573" t="s">
        <v>265</v>
      </c>
      <c r="C8" s="573"/>
      <c r="D8" s="573"/>
      <c r="E8" s="573"/>
      <c r="F8" s="573"/>
      <c r="G8" s="573"/>
    </row>
    <row r="9" spans="1:9" ht="17.25" customHeight="1" x14ac:dyDescent="0.3">
      <c r="A9" s="277"/>
      <c r="B9" s="570" t="s">
        <v>266</v>
      </c>
      <c r="C9" s="570"/>
      <c r="D9" s="570"/>
    </row>
    <row r="10" spans="1:9" ht="17.25" customHeight="1" x14ac:dyDescent="0.3">
      <c r="A10" s="277"/>
      <c r="B10" s="571" t="s">
        <v>267</v>
      </c>
      <c r="C10" s="571"/>
      <c r="D10" s="571"/>
      <c r="E10" s="571"/>
      <c r="F10" s="571"/>
      <c r="G10" s="571"/>
    </row>
    <row r="11" spans="1:9" x14ac:dyDescent="0.3">
      <c r="A11" s="10"/>
      <c r="B11" s="10"/>
      <c r="C11" s="10"/>
      <c r="D11" s="10"/>
    </row>
    <row r="12" spans="1:9" x14ac:dyDescent="0.3">
      <c r="A12" s="10"/>
      <c r="B12" s="85" t="s">
        <v>56</v>
      </c>
      <c r="C12" s="10"/>
      <c r="D12" s="10"/>
    </row>
    <row r="13" spans="1:9" s="25" customFormat="1" x14ac:dyDescent="0.3">
      <c r="A13" s="40"/>
      <c r="B13" s="76" t="s">
        <v>169</v>
      </c>
      <c r="C13" s="125">
        <v>500000</v>
      </c>
      <c r="D13" s="76"/>
      <c r="E13" s="41"/>
      <c r="F13" s="41"/>
      <c r="G13" s="41"/>
    </row>
    <row r="14" spans="1:9" s="25" customFormat="1" x14ac:dyDescent="0.3">
      <c r="A14" s="40"/>
      <c r="B14" s="76" t="s">
        <v>157</v>
      </c>
      <c r="C14" s="78">
        <v>40</v>
      </c>
      <c r="D14" s="76"/>
      <c r="E14" s="41"/>
      <c r="F14" s="41"/>
      <c r="G14" s="41"/>
    </row>
    <row r="15" spans="1:9" s="25" customFormat="1" x14ac:dyDescent="0.3">
      <c r="A15" s="40"/>
      <c r="B15" s="76" t="s">
        <v>28</v>
      </c>
      <c r="C15" s="79">
        <v>0.06</v>
      </c>
      <c r="D15" s="76" t="s">
        <v>0</v>
      </c>
      <c r="E15" s="41"/>
      <c r="F15" s="41"/>
      <c r="G15" s="41"/>
    </row>
    <row r="16" spans="1:9" s="25" customFormat="1" x14ac:dyDescent="0.3">
      <c r="A16" s="40"/>
      <c r="B16" s="76"/>
      <c r="C16" t="s">
        <v>0</v>
      </c>
      <c r="D16" s="76"/>
      <c r="E16" s="41"/>
      <c r="F16" s="41"/>
      <c r="G16" s="41"/>
    </row>
    <row r="17" spans="1:12" s="89" customFormat="1" x14ac:dyDescent="0.3">
      <c r="A17" s="370"/>
      <c r="B17" s="412"/>
      <c r="C17" s="412"/>
      <c r="D17" s="412"/>
      <c r="E17" s="472"/>
      <c r="F17" s="472"/>
      <c r="G17" s="472"/>
    </row>
    <row r="18" spans="1:12" x14ac:dyDescent="0.3">
      <c r="A18" s="5"/>
      <c r="B18" s="18"/>
      <c r="C18" s="18"/>
      <c r="D18" s="209"/>
      <c r="E18" s="6"/>
      <c r="F18" s="6"/>
      <c r="G18" s="6"/>
    </row>
    <row r="19" spans="1:12" x14ac:dyDescent="0.3">
      <c r="A19" s="9"/>
      <c r="B19" s="5" t="s">
        <v>1</v>
      </c>
      <c r="F19" s="5" t="s">
        <v>18</v>
      </c>
      <c r="K19" s="29"/>
      <c r="L19" s="29"/>
    </row>
    <row r="20" spans="1:12" x14ac:dyDescent="0.3">
      <c r="A20" s="9"/>
      <c r="B20" s="495" t="s">
        <v>444</v>
      </c>
      <c r="C20" s="161">
        <f>(C13/(1+C15)^C14)/(1-1/(1+C15)^C14)*C15</f>
        <v>3230.7679603377496</v>
      </c>
      <c r="F20" s="34">
        <f>C14</f>
        <v>40</v>
      </c>
      <c r="G20" s="34">
        <f>C15*100</f>
        <v>6</v>
      </c>
      <c r="H20" s="46" t="s">
        <v>0</v>
      </c>
      <c r="I20" s="34" t="s">
        <v>0</v>
      </c>
      <c r="J20" s="214">
        <f>-C13</f>
        <v>-500000</v>
      </c>
      <c r="K20" s="29"/>
      <c r="L20" s="29"/>
    </row>
    <row r="21" spans="1:12" x14ac:dyDescent="0.3">
      <c r="A21" s="9"/>
      <c r="F21" s="34" t="s">
        <v>13</v>
      </c>
      <c r="G21" s="34" t="s">
        <v>98</v>
      </c>
      <c r="H21" s="34" t="s">
        <v>14</v>
      </c>
      <c r="I21" s="34" t="s">
        <v>16</v>
      </c>
      <c r="J21" s="34" t="s">
        <v>17</v>
      </c>
    </row>
    <row r="22" spans="1:12" x14ac:dyDescent="0.3">
      <c r="A22" s="16"/>
      <c r="B22" s="17"/>
      <c r="C22" s="18"/>
      <c r="D22" s="18"/>
      <c r="E22" s="18"/>
      <c r="F22" s="36"/>
      <c r="G22" s="37"/>
      <c r="H22" s="34"/>
      <c r="I22" s="141">
        <f>PMT(C15,C14,,-C13)</f>
        <v>3230.7679603377542</v>
      </c>
      <c r="J22" s="34"/>
    </row>
    <row r="23" spans="1:12" x14ac:dyDescent="0.3">
      <c r="F23" s="16"/>
      <c r="G23" s="16"/>
    </row>
  </sheetData>
  <mergeCells count="4">
    <mergeCell ref="B8:G8"/>
    <mergeCell ref="B9:D9"/>
    <mergeCell ref="B10:G10"/>
    <mergeCell ref="B4:G4"/>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33"/>
  <sheetViews>
    <sheetView workbookViewId="0"/>
  </sheetViews>
  <sheetFormatPr defaultColWidth="9.109375" defaultRowHeight="14.4" x14ac:dyDescent="0.3"/>
  <cols>
    <col min="1" max="1" width="16.5546875" style="28" customWidth="1"/>
    <col min="2" max="2" width="24.88671875" style="28" customWidth="1"/>
    <col min="3" max="3" width="15.6640625" style="28" customWidth="1"/>
    <col min="4" max="4" width="21.109375" style="28" bestFit="1" customWidth="1"/>
    <col min="5" max="5" width="16.5546875" style="28" customWidth="1"/>
    <col min="6" max="6" width="12.88671875" style="28" customWidth="1"/>
    <col min="7" max="7" width="14.5546875" style="28" customWidth="1"/>
    <col min="8" max="8" width="9.109375" style="28"/>
    <col min="9" max="9" width="11.88671875" style="28" bestFit="1" customWidth="1"/>
    <col min="10" max="16384" width="9.109375" style="28"/>
  </cols>
  <sheetData>
    <row r="1" spans="1:10" x14ac:dyDescent="0.3">
      <c r="A1" s="5" t="s">
        <v>605</v>
      </c>
      <c r="B1" s="5"/>
    </row>
    <row r="2" spans="1:10" s="89" customFormat="1" x14ac:dyDescent="0.3">
      <c r="A2" s="370"/>
      <c r="B2" s="370"/>
    </row>
    <row r="3" spans="1:10" x14ac:dyDescent="0.3">
      <c r="A3" s="5" t="s">
        <v>0</v>
      </c>
      <c r="B3" s="5" t="s">
        <v>268</v>
      </c>
    </row>
    <row r="4" spans="1:10" ht="33.75" customHeight="1" x14ac:dyDescent="0.3">
      <c r="A4" s="2"/>
      <c r="B4" s="575" t="s">
        <v>447</v>
      </c>
      <c r="C4" s="575"/>
      <c r="D4" s="575"/>
      <c r="E4" s="575"/>
      <c r="F4" s="575"/>
      <c r="G4" s="415"/>
      <c r="H4" s="415"/>
      <c r="I4" s="415"/>
      <c r="J4" s="415"/>
    </row>
    <row r="5" spans="1:10" ht="15" customHeight="1" x14ac:dyDescent="0.3">
      <c r="A5" s="2"/>
      <c r="B5" s="28" t="s">
        <v>3</v>
      </c>
      <c r="D5" s="83"/>
      <c r="E5" s="83"/>
      <c r="F5" s="83"/>
      <c r="G5" s="83"/>
      <c r="H5" s="83"/>
    </row>
    <row r="6" spans="1:10" ht="15" customHeight="1" x14ac:dyDescent="0.3">
      <c r="A6" s="2"/>
      <c r="B6" s="579" t="s">
        <v>445</v>
      </c>
      <c r="C6" s="579"/>
      <c r="D6" s="579"/>
      <c r="E6" s="579"/>
      <c r="F6" s="579"/>
      <c r="G6" s="579"/>
      <c r="H6" s="579"/>
      <c r="I6" s="579"/>
    </row>
    <row r="7" spans="1:10" ht="15" customHeight="1" x14ac:dyDescent="0.3">
      <c r="A7" s="2"/>
      <c r="B7" s="577" t="s">
        <v>446</v>
      </c>
      <c r="C7" s="577"/>
      <c r="D7" s="577"/>
      <c r="E7" s="577"/>
      <c r="F7" s="577"/>
      <c r="G7" s="421"/>
      <c r="H7" s="421"/>
      <c r="I7" s="421"/>
      <c r="J7" s="421"/>
    </row>
    <row r="8" spans="1:10" ht="15" customHeight="1" x14ac:dyDescent="0.3">
      <c r="A8" s="2"/>
      <c r="B8" s="420"/>
      <c r="C8" s="420"/>
      <c r="D8" s="420"/>
      <c r="E8" s="420"/>
      <c r="F8" s="420"/>
      <c r="G8" s="421"/>
      <c r="H8" s="421"/>
      <c r="I8" s="421"/>
      <c r="J8" s="421"/>
    </row>
    <row r="9" spans="1:10" s="373" customFormat="1" ht="16.5" customHeight="1" x14ac:dyDescent="0.3">
      <c r="B9" s="412"/>
      <c r="C9" s="412"/>
      <c r="D9" s="412"/>
      <c r="E9" s="412"/>
      <c r="F9" s="412"/>
      <c r="G9" s="412"/>
      <c r="H9" s="412"/>
    </row>
    <row r="10" spans="1:10" s="77" customFormat="1" ht="16.5" customHeight="1" x14ac:dyDescent="0.3">
      <c r="B10" s="76"/>
      <c r="C10" s="76"/>
      <c r="D10" s="76"/>
      <c r="E10" s="76"/>
      <c r="F10" s="76"/>
      <c r="G10" s="76"/>
      <c r="H10" s="76"/>
    </row>
    <row r="11" spans="1:10" ht="17.25" customHeight="1" x14ac:dyDescent="0.3">
      <c r="A11" s="277"/>
      <c r="B11" s="573" t="s">
        <v>265</v>
      </c>
      <c r="C11" s="573"/>
      <c r="D11" s="573"/>
      <c r="E11" s="573"/>
      <c r="F11" s="573"/>
      <c r="G11" s="429"/>
      <c r="H11" s="429"/>
    </row>
    <row r="12" spans="1:10" ht="17.25" customHeight="1" x14ac:dyDescent="0.3">
      <c r="A12" s="277"/>
      <c r="B12" s="570" t="s">
        <v>266</v>
      </c>
      <c r="C12" s="570"/>
      <c r="D12" s="570"/>
    </row>
    <row r="13" spans="1:10" ht="17.25" customHeight="1" x14ac:dyDescent="0.3">
      <c r="A13" s="277"/>
      <c r="B13" s="571" t="s">
        <v>267</v>
      </c>
      <c r="C13" s="571"/>
      <c r="D13" s="571"/>
      <c r="E13" s="571"/>
      <c r="F13" s="571"/>
      <c r="G13" s="571"/>
      <c r="H13" s="571"/>
    </row>
    <row r="14" spans="1:10" x14ac:dyDescent="0.3">
      <c r="A14" s="10"/>
      <c r="B14" s="10"/>
      <c r="C14" s="10"/>
      <c r="D14" s="10"/>
    </row>
    <row r="15" spans="1:10" ht="15" customHeight="1" x14ac:dyDescent="0.3">
      <c r="A15" s="10"/>
      <c r="B15" s="85" t="s">
        <v>56</v>
      </c>
      <c r="C15" s="10"/>
      <c r="D15" s="10"/>
      <c r="E15" s="10"/>
    </row>
    <row r="16" spans="1:10" s="25" customFormat="1" ht="15" customHeight="1" x14ac:dyDescent="0.3">
      <c r="A16" s="40"/>
      <c r="B16" s="76" t="s">
        <v>170</v>
      </c>
      <c r="C16" s="216">
        <v>500000</v>
      </c>
      <c r="D16" s="76" t="s">
        <v>0</v>
      </c>
      <c r="E16" s="41"/>
      <c r="F16" s="41"/>
      <c r="G16" s="41"/>
    </row>
    <row r="17" spans="1:8" s="25" customFormat="1" ht="15" customHeight="1" x14ac:dyDescent="0.3">
      <c r="A17" s="40"/>
      <c r="B17" s="76" t="s">
        <v>171</v>
      </c>
      <c r="C17" s="78">
        <v>40</v>
      </c>
      <c r="D17" s="76" t="s">
        <v>54</v>
      </c>
      <c r="E17" s="109"/>
      <c r="F17" s="41"/>
      <c r="G17" s="41"/>
    </row>
    <row r="18" spans="1:8" s="25" customFormat="1" ht="15" customHeight="1" x14ac:dyDescent="0.3">
      <c r="A18" s="40"/>
      <c r="B18" s="76" t="s">
        <v>75</v>
      </c>
      <c r="C18" s="216">
        <v>100000</v>
      </c>
      <c r="D18" s="76" t="s">
        <v>0</v>
      </c>
      <c r="E18" s="41"/>
      <c r="F18" s="41"/>
      <c r="G18" s="41"/>
    </row>
    <row r="19" spans="1:8" s="25" customFormat="1" ht="15" customHeight="1" x14ac:dyDescent="0.3">
      <c r="A19" s="40"/>
      <c r="B19" s="76" t="s">
        <v>172</v>
      </c>
      <c r="C19" s="78">
        <v>10</v>
      </c>
      <c r="D19" s="76" t="s">
        <v>54</v>
      </c>
      <c r="E19" s="41"/>
      <c r="F19" s="41"/>
      <c r="G19" s="41"/>
    </row>
    <row r="20" spans="1:8" s="25" customFormat="1" ht="15" customHeight="1" x14ac:dyDescent="0.3">
      <c r="A20" s="40"/>
      <c r="B20" s="76" t="s">
        <v>28</v>
      </c>
      <c r="C20" s="79">
        <v>0.06</v>
      </c>
      <c r="D20" s="76" t="s">
        <v>0</v>
      </c>
      <c r="E20" s="41"/>
      <c r="F20" s="41"/>
      <c r="G20" s="41"/>
    </row>
    <row r="21" spans="1:8" s="25" customFormat="1" ht="16.5" customHeight="1" x14ac:dyDescent="0.3">
      <c r="A21" s="40"/>
      <c r="B21" s="76"/>
      <c r="C21" s="517"/>
      <c r="D21" s="76"/>
      <c r="E21" s="41"/>
      <c r="F21" s="41"/>
      <c r="G21" s="41"/>
    </row>
    <row r="22" spans="1:8" s="21" customFormat="1" ht="16.5" customHeight="1" x14ac:dyDescent="0.3">
      <c r="A22" s="7"/>
      <c r="B22" s="8"/>
      <c r="C22" s="8"/>
      <c r="D22" s="8"/>
      <c r="E22" s="8"/>
      <c r="F22" s="8"/>
      <c r="G22" s="8"/>
      <c r="H22" s="8"/>
    </row>
    <row r="23" spans="1:8" x14ac:dyDescent="0.3">
      <c r="B23" s="10"/>
      <c r="C23" s="10"/>
      <c r="D23" s="10"/>
      <c r="E23" s="10"/>
    </row>
    <row r="24" spans="1:8" x14ac:dyDescent="0.3">
      <c r="A24" s="9"/>
      <c r="B24" s="5" t="s">
        <v>1</v>
      </c>
      <c r="C24" s="10"/>
      <c r="D24" s="10"/>
      <c r="E24" s="10"/>
      <c r="F24" s="5"/>
    </row>
    <row r="25" spans="1:8" x14ac:dyDescent="0.3">
      <c r="A25" s="9"/>
      <c r="B25" s="10" t="s">
        <v>173</v>
      </c>
      <c r="C25" s="143">
        <f>C18*(1+C20)^(C17-C19)</f>
        <v>574349.11729132594</v>
      </c>
      <c r="D25" s="10"/>
      <c r="E25" s="10"/>
      <c r="F25" s="5"/>
    </row>
    <row r="26" spans="1:8" x14ac:dyDescent="0.3">
      <c r="A26" s="9"/>
      <c r="B26" s="10" t="s">
        <v>174</v>
      </c>
      <c r="C26" s="217">
        <f>IF(C25&gt;C16,0,"Error")</f>
        <v>0</v>
      </c>
      <c r="D26" s="10"/>
      <c r="E26" s="10"/>
      <c r="F26" s="5"/>
    </row>
    <row r="27" spans="1:8" x14ac:dyDescent="0.3">
      <c r="A27" s="9"/>
      <c r="B27" s="10"/>
      <c r="C27" s="217"/>
      <c r="D27" s="10"/>
      <c r="E27" s="10"/>
      <c r="F27" s="5"/>
    </row>
    <row r="28" spans="1:8" s="89" customFormat="1" x14ac:dyDescent="0.3">
      <c r="A28" s="88"/>
      <c r="B28" s="373"/>
      <c r="C28" s="520"/>
      <c r="D28" s="373"/>
      <c r="E28" s="373"/>
      <c r="F28" s="370"/>
    </row>
    <row r="29" spans="1:8" customFormat="1" ht="16.5" customHeight="1" x14ac:dyDescent="0.3">
      <c r="B29" s="521" t="s">
        <v>175</v>
      </c>
      <c r="C29" s="10"/>
      <c r="D29" s="10"/>
      <c r="E29" s="10"/>
    </row>
    <row r="30" spans="1:8" ht="16.5" customHeight="1" x14ac:dyDescent="0.3">
      <c r="B30" s="521" t="s">
        <v>177</v>
      </c>
      <c r="C30" s="10"/>
      <c r="D30" s="10"/>
      <c r="E30" s="10"/>
    </row>
    <row r="31" spans="1:8" ht="16.5" customHeight="1" x14ac:dyDescent="0.3">
      <c r="B31" s="19" t="s">
        <v>176</v>
      </c>
      <c r="C31" s="10"/>
      <c r="D31" s="10"/>
      <c r="E31" s="10"/>
    </row>
    <row r="32" spans="1:8" customFormat="1" ht="16.5" customHeight="1" x14ac:dyDescent="0.3">
      <c r="B32" s="10"/>
      <c r="C32" s="10"/>
      <c r="D32" s="10"/>
      <c r="E32" s="10"/>
    </row>
    <row r="33" spans="2:5" customFormat="1" ht="16.5" customHeight="1" x14ac:dyDescent="0.3">
      <c r="B33" s="10"/>
      <c r="C33" s="10"/>
      <c r="D33" s="10"/>
      <c r="E33" s="10"/>
    </row>
  </sheetData>
  <mergeCells count="6">
    <mergeCell ref="B4:F4"/>
    <mergeCell ref="B6:I6"/>
    <mergeCell ref="B12:D12"/>
    <mergeCell ref="B13:H13"/>
    <mergeCell ref="B7:F7"/>
    <mergeCell ref="B11:F11"/>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31"/>
  <sheetViews>
    <sheetView workbookViewId="0"/>
  </sheetViews>
  <sheetFormatPr defaultColWidth="9.109375" defaultRowHeight="14.4" x14ac:dyDescent="0.3"/>
  <cols>
    <col min="1" max="1" width="16.5546875" style="28" customWidth="1"/>
    <col min="2" max="2" width="30.88671875" style="28" customWidth="1"/>
    <col min="3" max="3" width="12.5546875" style="28" bestFit="1" customWidth="1"/>
    <col min="4" max="4" width="9.109375" style="28"/>
    <col min="5" max="5" width="9.109375" style="28" customWidth="1"/>
    <col min="6" max="6" width="9.109375" style="28"/>
    <col min="7" max="7" width="14.6640625" style="28" customWidth="1"/>
    <col min="8" max="8" width="12.5546875" style="28" bestFit="1" customWidth="1"/>
    <col min="9" max="9" width="11.5546875" style="28" bestFit="1" customWidth="1"/>
    <col min="10" max="10" width="12.5546875" style="28" bestFit="1" customWidth="1"/>
    <col min="11" max="11" width="9.109375" style="28"/>
    <col min="12" max="12" width="9.88671875" style="28" bestFit="1" customWidth="1"/>
    <col min="13" max="16384" width="9.109375" style="28"/>
  </cols>
  <sheetData>
    <row r="1" spans="1:9" x14ac:dyDescent="0.3">
      <c r="A1" s="5" t="s">
        <v>604</v>
      </c>
      <c r="B1" s="5"/>
    </row>
    <row r="2" spans="1:9" s="89" customFormat="1" x14ac:dyDescent="0.3">
      <c r="A2" s="370"/>
      <c r="B2" s="370"/>
    </row>
    <row r="3" spans="1:9" x14ac:dyDescent="0.3">
      <c r="A3" s="5" t="s">
        <v>0</v>
      </c>
      <c r="B3" s="5" t="s">
        <v>268</v>
      </c>
    </row>
    <row r="4" spans="1:9" ht="52.5" customHeight="1" x14ac:dyDescent="0.3">
      <c r="A4" s="2"/>
      <c r="B4" s="575" t="s">
        <v>448</v>
      </c>
      <c r="C4" s="575"/>
      <c r="D4" s="575"/>
      <c r="E4" s="575"/>
      <c r="F4" s="575"/>
      <c r="G4" s="575"/>
      <c r="H4" s="415"/>
      <c r="I4" s="415"/>
    </row>
    <row r="5" spans="1:9" ht="15" customHeight="1" x14ac:dyDescent="0.3">
      <c r="A5" s="2"/>
      <c r="B5" s="28" t="s">
        <v>3</v>
      </c>
      <c r="D5" s="27"/>
      <c r="E5" s="27"/>
      <c r="F5" s="27"/>
      <c r="G5" s="27"/>
    </row>
    <row r="6" spans="1:9" s="373" customFormat="1" x14ac:dyDescent="0.3">
      <c r="B6" s="412"/>
      <c r="C6" s="412"/>
      <c r="D6" s="412"/>
      <c r="E6" s="412"/>
      <c r="F6" s="412"/>
      <c r="G6" s="412"/>
    </row>
    <row r="7" spans="1:9" s="77" customFormat="1" x14ac:dyDescent="0.3">
      <c r="B7" s="76"/>
      <c r="C7" s="76"/>
      <c r="D7" s="76"/>
      <c r="E7" s="76"/>
      <c r="F7" s="76"/>
      <c r="G7" s="76"/>
    </row>
    <row r="8" spans="1:9" ht="17.25" customHeight="1" x14ac:dyDescent="0.3">
      <c r="A8" s="277"/>
      <c r="B8" s="573" t="s">
        <v>265</v>
      </c>
      <c r="C8" s="573"/>
      <c r="D8" s="573"/>
      <c r="E8" s="573"/>
      <c r="F8" s="573"/>
      <c r="G8" s="573"/>
    </row>
    <row r="9" spans="1:9" ht="17.25" customHeight="1" x14ac:dyDescent="0.3">
      <c r="A9" s="277"/>
      <c r="B9" s="570" t="s">
        <v>266</v>
      </c>
      <c r="C9" s="570"/>
      <c r="D9" s="570"/>
    </row>
    <row r="10" spans="1:9" ht="17.25" customHeight="1" x14ac:dyDescent="0.3">
      <c r="A10" s="277"/>
      <c r="B10" s="571" t="s">
        <v>267</v>
      </c>
      <c r="C10" s="571"/>
      <c r="D10" s="571"/>
      <c r="E10" s="571"/>
      <c r="F10" s="571"/>
      <c r="G10" s="571"/>
    </row>
    <row r="11" spans="1:9" x14ac:dyDescent="0.3">
      <c r="A11" s="10"/>
      <c r="B11" s="10"/>
      <c r="C11" s="10"/>
      <c r="D11" s="10"/>
    </row>
    <row r="12" spans="1:9" x14ac:dyDescent="0.3">
      <c r="A12" s="10"/>
      <c r="B12" s="85" t="s">
        <v>56</v>
      </c>
      <c r="C12" s="10"/>
      <c r="D12" s="10"/>
    </row>
    <row r="13" spans="1:9" s="25" customFormat="1" ht="19.5" customHeight="1" x14ac:dyDescent="0.3">
      <c r="A13" s="40"/>
      <c r="B13" s="76" t="s">
        <v>158</v>
      </c>
      <c r="C13" s="125">
        <v>40000</v>
      </c>
      <c r="D13" s="76"/>
      <c r="E13" s="41"/>
      <c r="F13" s="41"/>
      <c r="G13" s="41"/>
    </row>
    <row r="14" spans="1:9" s="25" customFormat="1" x14ac:dyDescent="0.3">
      <c r="A14" s="40"/>
      <c r="B14" s="76" t="s">
        <v>178</v>
      </c>
      <c r="C14" s="78">
        <v>20</v>
      </c>
      <c r="D14" s="76"/>
      <c r="E14" s="41"/>
      <c r="F14" s="41"/>
      <c r="G14" s="41"/>
    </row>
    <row r="15" spans="1:9" s="25" customFormat="1" x14ac:dyDescent="0.3">
      <c r="A15" s="40"/>
      <c r="B15" s="76" t="s">
        <v>179</v>
      </c>
      <c r="C15" s="78">
        <v>40</v>
      </c>
      <c r="D15" s="76"/>
      <c r="E15" s="41"/>
      <c r="F15" s="41"/>
      <c r="G15" s="41"/>
    </row>
    <row r="16" spans="1:9" s="25" customFormat="1" x14ac:dyDescent="0.3">
      <c r="A16" s="40"/>
      <c r="B16" s="76" t="s">
        <v>28</v>
      </c>
      <c r="C16" s="79">
        <v>0.06</v>
      </c>
      <c r="D16" s="76" t="s">
        <v>0</v>
      </c>
      <c r="E16" s="41"/>
      <c r="F16" s="41"/>
      <c r="G16" s="41"/>
    </row>
    <row r="17" spans="1:12" s="25" customFormat="1" x14ac:dyDescent="0.3">
      <c r="A17" s="40"/>
      <c r="B17" s="76"/>
      <c r="C17" s="76"/>
      <c r="D17" s="76"/>
      <c r="E17" s="41"/>
      <c r="F17" s="41"/>
      <c r="G17" s="41"/>
    </row>
    <row r="18" spans="1:12" s="373" customFormat="1" x14ac:dyDescent="0.3">
      <c r="B18" s="412"/>
      <c r="C18" s="412"/>
      <c r="D18" s="412"/>
      <c r="E18" s="412"/>
      <c r="F18" s="412"/>
      <c r="G18" s="412"/>
    </row>
    <row r="19" spans="1:12" x14ac:dyDescent="0.3">
      <c r="A19" s="5"/>
      <c r="B19" s="18"/>
      <c r="C19" s="18"/>
      <c r="D19" s="209"/>
      <c r="E19" s="6"/>
      <c r="F19" s="6"/>
      <c r="G19" s="6"/>
    </row>
    <row r="20" spans="1:12" x14ac:dyDescent="0.3">
      <c r="A20" s="9"/>
      <c r="B20" s="5" t="s">
        <v>1</v>
      </c>
      <c r="F20" s="5" t="s">
        <v>415</v>
      </c>
      <c r="K20" s="29"/>
      <c r="L20" s="29"/>
    </row>
    <row r="21" spans="1:12" x14ac:dyDescent="0.3">
      <c r="A21" s="9"/>
      <c r="B21" s="33" t="s">
        <v>169</v>
      </c>
      <c r="C21" s="221">
        <f>C13/C16*(1-1/(1+C16)^C14)</f>
        <v>458796.84874261054</v>
      </c>
      <c r="D21" s="28" t="s">
        <v>0</v>
      </c>
      <c r="F21" s="34">
        <f>C14</f>
        <v>20</v>
      </c>
      <c r="G21" s="34">
        <f>C16*100</f>
        <v>6</v>
      </c>
      <c r="H21" s="47" t="s">
        <v>0</v>
      </c>
      <c r="I21" s="214">
        <f>-C13</f>
        <v>-40000</v>
      </c>
      <c r="K21" s="29"/>
    </row>
    <row r="22" spans="1:12" x14ac:dyDescent="0.3">
      <c r="A22" s="9"/>
      <c r="B22" s="18" t="s">
        <v>180</v>
      </c>
      <c r="C22" s="130">
        <f>(C21/(1+C16)^C15)/(1-1/(1+C16)^C15)*C16</f>
        <v>2964.5323184431022</v>
      </c>
      <c r="F22" s="34" t="s">
        <v>13</v>
      </c>
      <c r="G22" s="34" t="s">
        <v>98</v>
      </c>
      <c r="H22" s="34" t="s">
        <v>14</v>
      </c>
      <c r="I22" s="34" t="s">
        <v>16</v>
      </c>
      <c r="J22" s="34" t="s">
        <v>17</v>
      </c>
    </row>
    <row r="23" spans="1:12" x14ac:dyDescent="0.3">
      <c r="A23" s="9"/>
      <c r="B23" s="18"/>
      <c r="C23" s="31"/>
      <c r="H23" s="54">
        <f>PV(C16,C14,-C13)</f>
        <v>458796.84874261048</v>
      </c>
      <c r="J23" s="34" t="s">
        <v>0</v>
      </c>
    </row>
    <row r="24" spans="1:12" x14ac:dyDescent="0.3">
      <c r="A24" s="9"/>
      <c r="B24" s="18"/>
      <c r="C24" s="31"/>
      <c r="F24" s="34"/>
      <c r="G24" s="37" t="s">
        <v>0</v>
      </c>
      <c r="I24" s="34"/>
      <c r="J24" s="34"/>
    </row>
    <row r="25" spans="1:12" x14ac:dyDescent="0.3">
      <c r="A25" s="9"/>
      <c r="B25" s="18"/>
      <c r="C25" s="31"/>
      <c r="F25" s="56">
        <f>C15</f>
        <v>40</v>
      </c>
      <c r="G25" s="56">
        <f>C16*100</f>
        <v>6</v>
      </c>
      <c r="H25" s="47" t="s">
        <v>0</v>
      </c>
      <c r="I25" s="34" t="s">
        <v>0</v>
      </c>
      <c r="J25" s="197">
        <f>-H23</f>
        <v>-458796.84874261048</v>
      </c>
    </row>
    <row r="26" spans="1:12" x14ac:dyDescent="0.3">
      <c r="A26" s="9"/>
      <c r="B26" s="15" t="s">
        <v>0</v>
      </c>
      <c r="F26" s="34" t="s">
        <v>13</v>
      </c>
      <c r="G26" s="34" t="s">
        <v>98</v>
      </c>
      <c r="H26" s="34" t="s">
        <v>14</v>
      </c>
      <c r="I26" s="34" t="s">
        <v>16</v>
      </c>
      <c r="J26" s="34" t="s">
        <v>17</v>
      </c>
    </row>
    <row r="27" spans="1:12" x14ac:dyDescent="0.3">
      <c r="A27" s="16"/>
      <c r="B27" s="17"/>
      <c r="C27" s="18"/>
      <c r="D27" s="18"/>
      <c r="E27" s="18"/>
      <c r="I27" s="275">
        <f>PMT(G25/100,F25,,J25)</f>
        <v>2964.5323184431086</v>
      </c>
    </row>
    <row r="28" spans="1:12" x14ac:dyDescent="0.3">
      <c r="A28" s="16"/>
      <c r="B28" s="19" t="s">
        <v>0</v>
      </c>
      <c r="C28" s="19"/>
      <c r="D28" s="19"/>
      <c r="E28" s="18"/>
      <c r="F28" s="36"/>
      <c r="G28" s="37"/>
      <c r="H28" s="35"/>
      <c r="J28" s="34"/>
    </row>
    <row r="29" spans="1:12" x14ac:dyDescent="0.3">
      <c r="A29" s="16"/>
      <c r="B29" s="19" t="s">
        <v>0</v>
      </c>
      <c r="C29" s="20" t="s">
        <v>0</v>
      </c>
      <c r="D29" s="19"/>
      <c r="E29" s="18"/>
      <c r="F29" s="16"/>
      <c r="G29" s="16"/>
    </row>
    <row r="30" spans="1:12" x14ac:dyDescent="0.3">
      <c r="A30" s="16"/>
      <c r="B30" s="19" t="s">
        <v>0</v>
      </c>
      <c r="C30" s="20" t="s">
        <v>0</v>
      </c>
      <c r="D30" s="19"/>
      <c r="E30" s="18"/>
      <c r="F30" s="16"/>
      <c r="G30" s="16"/>
    </row>
    <row r="31" spans="1:12" x14ac:dyDescent="0.3">
      <c r="A31" s="16"/>
      <c r="B31" s="19" t="s">
        <v>0</v>
      </c>
      <c r="C31" s="20" t="s">
        <v>0</v>
      </c>
      <c r="D31" s="18" t="s">
        <v>0</v>
      </c>
      <c r="E31" s="18"/>
      <c r="F31" s="16"/>
      <c r="G31" s="16"/>
    </row>
  </sheetData>
  <mergeCells count="4">
    <mergeCell ref="B8:G8"/>
    <mergeCell ref="B9:D9"/>
    <mergeCell ref="B10:G10"/>
    <mergeCell ref="B4:G4"/>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41"/>
  <sheetViews>
    <sheetView workbookViewId="0"/>
  </sheetViews>
  <sheetFormatPr defaultColWidth="9.109375" defaultRowHeight="14.4" x14ac:dyDescent="0.3"/>
  <cols>
    <col min="1" max="1" width="16.5546875" style="28" customWidth="1"/>
    <col min="2" max="2" width="32.5546875" style="28" customWidth="1"/>
    <col min="3" max="3" width="12.5546875" style="28" bestFit="1" customWidth="1"/>
    <col min="4" max="5" width="9.109375" style="28"/>
    <col min="6" max="8" width="13.88671875" style="28" customWidth="1"/>
    <col min="9" max="9" width="11.88671875" style="28" bestFit="1" customWidth="1"/>
    <col min="10" max="10" width="12.5546875" style="28" bestFit="1" customWidth="1"/>
    <col min="11" max="16384" width="9.109375" style="28"/>
  </cols>
  <sheetData>
    <row r="1" spans="1:10" x14ac:dyDescent="0.3">
      <c r="A1" s="5" t="s">
        <v>603</v>
      </c>
      <c r="B1" s="5"/>
    </row>
    <row r="2" spans="1:10" x14ac:dyDescent="0.3">
      <c r="A2" s="5"/>
      <c r="B2" s="5"/>
    </row>
    <row r="3" spans="1:10" x14ac:dyDescent="0.3">
      <c r="A3" s="5" t="s">
        <v>0</v>
      </c>
      <c r="B3" s="5" t="s">
        <v>268</v>
      </c>
    </row>
    <row r="4" spans="1:10" ht="36.75" customHeight="1" x14ac:dyDescent="0.5">
      <c r="A4" s="1"/>
      <c r="B4" s="587" t="s">
        <v>283</v>
      </c>
      <c r="C4" s="587"/>
      <c r="D4" s="587"/>
      <c r="E4" s="587"/>
      <c r="F4" s="587"/>
      <c r="G4" s="587"/>
      <c r="H4" s="519"/>
      <c r="I4" s="340"/>
      <c r="J4" s="340"/>
    </row>
    <row r="5" spans="1:10" ht="15" customHeight="1" x14ac:dyDescent="0.3">
      <c r="A5" s="2"/>
      <c r="B5" s="28" t="s">
        <v>3</v>
      </c>
      <c r="D5" s="27"/>
      <c r="E5" s="418"/>
      <c r="F5" s="27"/>
      <c r="G5" s="418"/>
      <c r="H5" s="418"/>
    </row>
    <row r="6" spans="1:10" ht="15" customHeight="1" x14ac:dyDescent="0.3">
      <c r="A6" s="2"/>
      <c r="B6" s="579" t="s">
        <v>449</v>
      </c>
      <c r="C6" s="579"/>
      <c r="D6" s="579"/>
      <c r="E6" s="579"/>
      <c r="F6" s="579"/>
      <c r="G6" s="579"/>
      <c r="H6" s="579"/>
      <c r="I6" s="579"/>
    </row>
    <row r="7" spans="1:10" ht="15" customHeight="1" x14ac:dyDescent="0.3">
      <c r="A7" s="2"/>
      <c r="B7" s="579" t="s">
        <v>450</v>
      </c>
      <c r="C7" s="579"/>
      <c r="D7" s="579"/>
      <c r="E7" s="579"/>
      <c r="F7" s="579"/>
      <c r="G7" s="579"/>
      <c r="H7" s="579"/>
      <c r="I7" s="579"/>
    </row>
    <row r="8" spans="1:10" ht="15" customHeight="1" x14ac:dyDescent="0.3">
      <c r="A8" s="2"/>
      <c r="B8" s="51"/>
      <c r="C8" s="26"/>
      <c r="D8" s="26"/>
      <c r="E8" s="421"/>
      <c r="F8" s="26"/>
      <c r="G8" s="421"/>
      <c r="H8" s="421"/>
      <c r="I8" s="26"/>
      <c r="J8" s="26"/>
    </row>
    <row r="9" spans="1:10" s="373" customFormat="1" x14ac:dyDescent="0.3">
      <c r="B9" s="412"/>
      <c r="C9" s="412"/>
      <c r="D9" s="412"/>
      <c r="E9" s="412"/>
      <c r="F9" s="412"/>
      <c r="G9" s="412"/>
      <c r="H9" s="412"/>
    </row>
    <row r="10" spans="1:10" s="77" customFormat="1" x14ac:dyDescent="0.3">
      <c r="B10" s="76"/>
      <c r="C10" s="76"/>
      <c r="D10" s="76"/>
      <c r="E10" s="76"/>
      <c r="F10" s="76"/>
      <c r="G10" s="76"/>
      <c r="H10" s="76"/>
    </row>
    <row r="11" spans="1:10" ht="17.25" customHeight="1" x14ac:dyDescent="0.3">
      <c r="A11" s="277"/>
      <c r="B11" s="580" t="s">
        <v>265</v>
      </c>
      <c r="C11" s="580"/>
      <c r="D11" s="580"/>
      <c r="E11" s="580"/>
      <c r="F11" s="580"/>
      <c r="G11" s="580"/>
      <c r="H11" s="509"/>
    </row>
    <row r="12" spans="1:10" ht="17.25" customHeight="1" x14ac:dyDescent="0.3">
      <c r="A12" s="277"/>
      <c r="B12" s="570" t="s">
        <v>266</v>
      </c>
      <c r="C12" s="570"/>
      <c r="D12" s="570"/>
      <c r="E12" s="413"/>
    </row>
    <row r="13" spans="1:10" ht="17.25" customHeight="1" x14ac:dyDescent="0.3">
      <c r="A13" s="277"/>
      <c r="B13" s="571" t="s">
        <v>267</v>
      </c>
      <c r="C13" s="571"/>
      <c r="D13" s="571"/>
      <c r="E13" s="571"/>
      <c r="F13" s="571"/>
      <c r="G13" s="414"/>
      <c r="H13" s="414"/>
    </row>
    <row r="14" spans="1:10" x14ac:dyDescent="0.3">
      <c r="A14" s="10"/>
      <c r="B14" s="10"/>
      <c r="C14" s="10"/>
      <c r="D14" s="10"/>
      <c r="E14" s="10"/>
    </row>
    <row r="15" spans="1:10" x14ac:dyDescent="0.3">
      <c r="A15" s="10"/>
      <c r="B15" s="85" t="s">
        <v>56</v>
      </c>
      <c r="C15" s="10"/>
      <c r="D15" s="10"/>
      <c r="E15" s="10"/>
    </row>
    <row r="16" spans="1:10" s="25" customFormat="1" x14ac:dyDescent="0.3">
      <c r="A16" s="40"/>
      <c r="B16" s="76" t="s">
        <v>181</v>
      </c>
      <c r="C16" s="125">
        <v>3000</v>
      </c>
      <c r="D16" s="76"/>
      <c r="E16" s="76"/>
      <c r="F16" s="41"/>
      <c r="G16" s="41"/>
      <c r="H16" s="41"/>
    </row>
    <row r="17" spans="1:10" s="25" customFormat="1" x14ac:dyDescent="0.3">
      <c r="A17" s="40"/>
      <c r="B17" s="76" t="s">
        <v>28</v>
      </c>
      <c r="C17" s="79">
        <v>0.08</v>
      </c>
      <c r="D17" s="76" t="s">
        <v>0</v>
      </c>
      <c r="E17" s="76"/>
      <c r="F17" s="41"/>
      <c r="G17" s="41"/>
      <c r="H17" s="41"/>
    </row>
    <row r="18" spans="1:10" s="25" customFormat="1" x14ac:dyDescent="0.3">
      <c r="A18" s="40"/>
      <c r="B18" s="25" t="s">
        <v>183</v>
      </c>
      <c r="C18" s="78">
        <v>5</v>
      </c>
      <c r="D18" s="76"/>
      <c r="E18" s="76"/>
      <c r="F18" s="41"/>
      <c r="G18" s="41"/>
      <c r="H18" s="41"/>
    </row>
    <row r="19" spans="1:10" s="25" customFormat="1" x14ac:dyDescent="0.3">
      <c r="A19" s="40"/>
      <c r="B19" s="76" t="s">
        <v>182</v>
      </c>
      <c r="C19" s="125">
        <v>10000</v>
      </c>
      <c r="D19" s="76"/>
      <c r="E19" s="76"/>
      <c r="F19" s="41"/>
      <c r="G19" s="41"/>
      <c r="H19" s="41"/>
    </row>
    <row r="20" spans="1:10" s="25" customFormat="1" x14ac:dyDescent="0.3">
      <c r="A20" s="40"/>
      <c r="B20" s="76" t="s">
        <v>179</v>
      </c>
      <c r="C20" s="78">
        <v>30</v>
      </c>
      <c r="D20" s="76"/>
      <c r="E20" s="76"/>
      <c r="F20" s="41"/>
      <c r="G20" s="41"/>
      <c r="H20" s="41"/>
    </row>
    <row r="21" spans="1:10" x14ac:dyDescent="0.3">
      <c r="A21" s="5"/>
      <c r="B21" s="18" t="s">
        <v>170</v>
      </c>
      <c r="C21" s="125">
        <v>800000</v>
      </c>
      <c r="D21" s="18"/>
      <c r="E21" s="18"/>
      <c r="F21" s="6"/>
      <c r="G21" s="6"/>
      <c r="H21" s="6"/>
    </row>
    <row r="22" spans="1:10" x14ac:dyDescent="0.3">
      <c r="A22" s="5"/>
      <c r="B22" s="18"/>
      <c r="C22" s="18"/>
      <c r="D22" s="18"/>
      <c r="E22" s="18"/>
      <c r="F22" s="6"/>
      <c r="G22" s="6"/>
      <c r="H22" s="6"/>
    </row>
    <row r="23" spans="1:10" s="89" customFormat="1" x14ac:dyDescent="0.3">
      <c r="A23" s="370"/>
      <c r="B23" s="412"/>
      <c r="C23" s="412"/>
      <c r="D23" s="412"/>
      <c r="E23" s="412"/>
      <c r="F23" s="472"/>
      <c r="G23" s="472"/>
      <c r="H23" s="472"/>
    </row>
    <row r="24" spans="1:10" x14ac:dyDescent="0.3">
      <c r="A24" s="5"/>
      <c r="B24" s="18"/>
      <c r="C24" s="18"/>
      <c r="D24" s="18"/>
      <c r="E24" s="18"/>
      <c r="F24" s="6"/>
      <c r="G24" s="6"/>
      <c r="H24" s="6"/>
    </row>
    <row r="25" spans="1:10" x14ac:dyDescent="0.3">
      <c r="A25" s="9"/>
      <c r="B25" s="5" t="s">
        <v>1</v>
      </c>
      <c r="F25" s="5" t="s">
        <v>415</v>
      </c>
      <c r="G25" s="5"/>
      <c r="H25" s="5"/>
    </row>
    <row r="26" spans="1:10" x14ac:dyDescent="0.3">
      <c r="A26" s="9"/>
      <c r="B26" s="5" t="s">
        <v>9</v>
      </c>
      <c r="F26" s="34">
        <f>C20</f>
        <v>30</v>
      </c>
      <c r="G26" s="56">
        <f>C17*100</f>
        <v>8</v>
      </c>
      <c r="H26" s="34"/>
      <c r="I26" s="214">
        <f>-C16</f>
        <v>-3000</v>
      </c>
    </row>
    <row r="27" spans="1:10" x14ac:dyDescent="0.3">
      <c r="A27" s="9"/>
      <c r="B27" s="33" t="s">
        <v>188</v>
      </c>
      <c r="C27" s="221">
        <f>C16*((1+C17)^C20-1)/C17</f>
        <v>339849.63334025419</v>
      </c>
      <c r="F27" s="34" t="s">
        <v>13</v>
      </c>
      <c r="G27" s="34" t="s">
        <v>98</v>
      </c>
      <c r="H27" s="34" t="s">
        <v>14</v>
      </c>
      <c r="I27" s="34" t="s">
        <v>16</v>
      </c>
      <c r="J27" s="34" t="s">
        <v>17</v>
      </c>
    </row>
    <row r="28" spans="1:10" x14ac:dyDescent="0.3">
      <c r="A28" s="9"/>
      <c r="B28" s="28" t="s">
        <v>187</v>
      </c>
      <c r="C28" s="134">
        <f>C19*(1+C17)^(C20-C18)</f>
        <v>68484.751962193244</v>
      </c>
      <c r="J28" s="191">
        <f>FV(G26/100,F26,I26)</f>
        <v>339849.63334025419</v>
      </c>
    </row>
    <row r="29" spans="1:10" x14ac:dyDescent="0.3">
      <c r="A29" s="9"/>
      <c r="B29" s="28" t="s">
        <v>186</v>
      </c>
      <c r="C29" s="130">
        <f>SUM(C27:C28)</f>
        <v>408334.38530244742</v>
      </c>
      <c r="F29" s="34"/>
      <c r="G29" s="34"/>
      <c r="H29" s="34"/>
      <c r="I29" s="36"/>
    </row>
    <row r="30" spans="1:10" x14ac:dyDescent="0.3">
      <c r="A30" s="9"/>
      <c r="C30" s="18"/>
      <c r="F30" s="34">
        <f>C20-C18</f>
        <v>25</v>
      </c>
      <c r="G30" s="34">
        <f>C17*100</f>
        <v>8</v>
      </c>
      <c r="H30" s="160">
        <f>-C19</f>
        <v>-10000</v>
      </c>
      <c r="I30" s="36"/>
      <c r="J30" s="36"/>
    </row>
    <row r="31" spans="1:10" x14ac:dyDescent="0.3">
      <c r="A31" s="9"/>
      <c r="C31" s="18"/>
      <c r="F31" s="34" t="s">
        <v>13</v>
      </c>
      <c r="G31" s="34" t="s">
        <v>98</v>
      </c>
      <c r="H31" s="34" t="s">
        <v>14</v>
      </c>
      <c r="I31" s="34" t="s">
        <v>16</v>
      </c>
      <c r="J31" s="34" t="s">
        <v>17</v>
      </c>
    </row>
    <row r="32" spans="1:10" x14ac:dyDescent="0.3">
      <c r="A32" s="9"/>
      <c r="C32" s="18"/>
      <c r="H32" s="34"/>
      <c r="I32" s="34" t="s">
        <v>0</v>
      </c>
      <c r="J32" s="220">
        <f>FV(G30/100,F30,,H30)</f>
        <v>68484.751962193244</v>
      </c>
    </row>
    <row r="33" spans="1:10" x14ac:dyDescent="0.3">
      <c r="A33" s="9"/>
      <c r="C33" s="18"/>
      <c r="F33" s="34"/>
      <c r="G33" s="34"/>
      <c r="H33" s="34"/>
      <c r="I33" s="34"/>
      <c r="J33" s="34"/>
    </row>
    <row r="34" spans="1:10" ht="15" customHeight="1" x14ac:dyDescent="0.3">
      <c r="A34" s="16"/>
      <c r="B34" s="5"/>
      <c r="C34" s="18"/>
      <c r="D34" s="18"/>
      <c r="E34" s="18"/>
      <c r="F34" s="34"/>
      <c r="G34" s="34"/>
      <c r="H34" s="34"/>
      <c r="I34" s="36"/>
    </row>
    <row r="35" spans="1:10" ht="15" customHeight="1" x14ac:dyDescent="0.3">
      <c r="A35" s="16"/>
      <c r="B35" s="5" t="s">
        <v>5</v>
      </c>
      <c r="C35" s="18"/>
      <c r="D35" s="18"/>
      <c r="E35" s="18"/>
      <c r="F35" s="34" t="s">
        <v>184</v>
      </c>
      <c r="G35" s="34"/>
      <c r="H35" s="34"/>
      <c r="I35" s="34"/>
      <c r="J35" s="55" t="s">
        <v>0</v>
      </c>
    </row>
    <row r="36" spans="1:10" ht="15" customHeight="1" x14ac:dyDescent="0.3">
      <c r="A36" s="16"/>
      <c r="B36" s="28" t="s">
        <v>189</v>
      </c>
      <c r="C36" s="131">
        <f>C21-C29</f>
        <v>391665.61469755258</v>
      </c>
      <c r="D36" s="28" t="s">
        <v>0</v>
      </c>
      <c r="F36" s="34">
        <f>C20</f>
        <v>30</v>
      </c>
      <c r="G36" s="34">
        <f>C17*100</f>
        <v>8</v>
      </c>
      <c r="H36" s="34"/>
      <c r="I36" s="34"/>
      <c r="J36" s="191">
        <f>-C36</f>
        <v>-391665.61469755258</v>
      </c>
    </row>
    <row r="37" spans="1:10" ht="15" customHeight="1" x14ac:dyDescent="0.3">
      <c r="A37" s="16"/>
      <c r="B37" s="33" t="s">
        <v>185</v>
      </c>
      <c r="C37" s="152">
        <f>(C36/(1+C17)^C20)/(1-1/(1+C17)^C20)*C17</f>
        <v>3457.4021238276932</v>
      </c>
      <c r="F37" s="34" t="s">
        <v>13</v>
      </c>
      <c r="G37" s="34" t="s">
        <v>98</v>
      </c>
      <c r="H37" s="34" t="s">
        <v>14</v>
      </c>
      <c r="I37" s="34" t="s">
        <v>16</v>
      </c>
      <c r="J37" s="34" t="s">
        <v>17</v>
      </c>
    </row>
    <row r="38" spans="1:10" ht="12.75" customHeight="1" x14ac:dyDescent="0.3">
      <c r="A38" s="16"/>
      <c r="G38" s="34" t="s">
        <v>0</v>
      </c>
      <c r="H38" s="34"/>
      <c r="I38" s="522">
        <f>PMT(G36/100,F36,,J36)</f>
        <v>3457.4021238277014</v>
      </c>
    </row>
    <row r="39" spans="1:10" x14ac:dyDescent="0.3">
      <c r="A39" s="16"/>
      <c r="F39" s="34"/>
      <c r="G39" s="34" t="s">
        <v>0</v>
      </c>
      <c r="H39" s="34"/>
    </row>
    <row r="40" spans="1:10" x14ac:dyDescent="0.3">
      <c r="A40" s="16"/>
    </row>
    <row r="41" spans="1:10" x14ac:dyDescent="0.3">
      <c r="A41" s="16"/>
    </row>
  </sheetData>
  <mergeCells count="6">
    <mergeCell ref="B4:G4"/>
    <mergeCell ref="B12:D12"/>
    <mergeCell ref="B13:F13"/>
    <mergeCell ref="B6:I6"/>
    <mergeCell ref="B7:I7"/>
    <mergeCell ref="B11:G11"/>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23"/>
  <sheetViews>
    <sheetView workbookViewId="0"/>
  </sheetViews>
  <sheetFormatPr defaultColWidth="9.109375" defaultRowHeight="14.4" x14ac:dyDescent="0.3"/>
  <cols>
    <col min="1" max="1" width="16.5546875" style="28" customWidth="1"/>
    <col min="2" max="2" width="18.33203125" style="28" customWidth="1"/>
    <col min="3" max="3" width="20.109375" style="28" bestFit="1" customWidth="1"/>
    <col min="4" max="4" width="21.109375" style="28" bestFit="1" customWidth="1"/>
    <col min="5" max="5" width="24.109375" style="28" customWidth="1"/>
    <col min="6" max="6" width="12.88671875" style="28" customWidth="1"/>
    <col min="7" max="7" width="14.5546875" style="28" customWidth="1"/>
    <col min="8" max="8" width="9.109375" style="28"/>
    <col min="9" max="9" width="11.88671875" style="28" bestFit="1" customWidth="1"/>
    <col min="10" max="16384" width="9.109375" style="28"/>
  </cols>
  <sheetData>
    <row r="1" spans="1:10" ht="14.25" customHeight="1" x14ac:dyDescent="0.3">
      <c r="A1" s="5" t="s">
        <v>630</v>
      </c>
      <c r="B1" s="5"/>
    </row>
    <row r="2" spans="1:10" s="89" customFormat="1" ht="14.25" customHeight="1" x14ac:dyDescent="0.3">
      <c r="A2" s="370"/>
      <c r="B2" s="370"/>
    </row>
    <row r="3" spans="1:10" ht="14.25" customHeight="1" x14ac:dyDescent="0.3">
      <c r="A3" s="5" t="s">
        <v>0</v>
      </c>
      <c r="B3" s="5" t="s">
        <v>268</v>
      </c>
    </row>
    <row r="4" spans="1:10" ht="38.25" customHeight="1" x14ac:dyDescent="0.3">
      <c r="A4" s="2"/>
      <c r="B4" s="575" t="s">
        <v>292</v>
      </c>
      <c r="C4" s="575"/>
      <c r="D4" s="575"/>
      <c r="E4" s="575"/>
      <c r="F4" s="446"/>
      <c r="G4" s="446"/>
      <c r="H4" s="446"/>
      <c r="I4" s="446"/>
      <c r="J4" s="446"/>
    </row>
    <row r="5" spans="1:10" ht="15" customHeight="1" x14ac:dyDescent="0.3">
      <c r="A5" s="2"/>
      <c r="B5" s="28" t="s">
        <v>3</v>
      </c>
      <c r="D5" s="83"/>
      <c r="E5" s="83"/>
      <c r="F5" s="83"/>
      <c r="G5" s="83"/>
      <c r="H5" s="83"/>
    </row>
    <row r="6" spans="1:10" s="21" customFormat="1" ht="16.5" customHeight="1" x14ac:dyDescent="0.3">
      <c r="A6" s="7"/>
      <c r="B6" s="8"/>
      <c r="C6" s="8"/>
      <c r="D6" s="8"/>
      <c r="E6" s="8"/>
      <c r="F6" s="8"/>
      <c r="G6" s="8"/>
      <c r="H6" s="8"/>
    </row>
    <row r="7" spans="1:10" s="77" customFormat="1" ht="16.5" customHeight="1" x14ac:dyDescent="0.3">
      <c r="B7" s="76"/>
      <c r="C7" s="76"/>
      <c r="D7" s="76"/>
      <c r="E7" s="76"/>
      <c r="F7" s="76"/>
      <c r="G7" s="76"/>
      <c r="H7" s="76"/>
    </row>
    <row r="8" spans="1:10" ht="17.25" customHeight="1" x14ac:dyDescent="0.3">
      <c r="A8" s="277"/>
      <c r="B8" s="580" t="s">
        <v>265</v>
      </c>
      <c r="C8" s="580"/>
      <c r="D8" s="580"/>
      <c r="E8" s="580"/>
      <c r="F8" s="429"/>
      <c r="G8" s="429"/>
      <c r="H8" s="429"/>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10"/>
    </row>
    <row r="13" spans="1:10" s="77" customFormat="1" ht="16.5" customHeight="1" x14ac:dyDescent="0.3">
      <c r="B13" s="76" t="s">
        <v>212</v>
      </c>
      <c r="C13" s="125">
        <v>100</v>
      </c>
      <c r="D13" s="76"/>
      <c r="E13" s="76"/>
      <c r="F13" s="76"/>
      <c r="G13" s="76"/>
      <c r="H13" s="76"/>
    </row>
    <row r="14" spans="1:10" s="77" customFormat="1" ht="16.5" customHeight="1" x14ac:dyDescent="0.3">
      <c r="B14" s="76" t="s">
        <v>225</v>
      </c>
      <c r="C14" s="238">
        <v>3</v>
      </c>
      <c r="D14" s="76" t="s">
        <v>36</v>
      </c>
      <c r="E14" s="76"/>
      <c r="F14" s="76"/>
      <c r="G14" s="76"/>
      <c r="H14" s="76"/>
    </row>
    <row r="15" spans="1:10" s="77" customFormat="1" ht="16.5" customHeight="1" x14ac:dyDescent="0.3">
      <c r="B15" s="76" t="s">
        <v>40</v>
      </c>
      <c r="C15" s="337">
        <v>0.06</v>
      </c>
      <c r="D15" s="76" t="s">
        <v>0</v>
      </c>
      <c r="E15" s="76"/>
      <c r="F15" s="76"/>
      <c r="G15" s="76"/>
      <c r="H15" s="76"/>
    </row>
    <row r="16" spans="1:10" s="77" customFormat="1" ht="16.5" customHeight="1" x14ac:dyDescent="0.3">
      <c r="B16" s="76"/>
      <c r="C16" s="76"/>
      <c r="D16" s="76"/>
      <c r="E16" s="76"/>
      <c r="F16" s="76"/>
      <c r="G16" s="76"/>
      <c r="H16" s="76"/>
    </row>
    <row r="17" spans="1:8" s="21" customFormat="1" ht="16.5" customHeight="1" x14ac:dyDescent="0.3">
      <c r="A17" s="7"/>
      <c r="B17" s="8"/>
      <c r="C17" s="8"/>
      <c r="D17" s="8"/>
      <c r="E17" s="8"/>
      <c r="F17" s="8"/>
      <c r="G17" s="8"/>
      <c r="H17" s="8"/>
    </row>
    <row r="18" spans="1:8" x14ac:dyDescent="0.3">
      <c r="A18" s="5"/>
      <c r="B18" s="6"/>
      <c r="C18" s="6"/>
      <c r="D18" s="6"/>
      <c r="E18" s="18"/>
      <c r="F18" s="6"/>
      <c r="G18" s="6"/>
      <c r="H18" s="6"/>
    </row>
    <row r="19" spans="1:8" x14ac:dyDescent="0.3">
      <c r="A19" s="9"/>
      <c r="B19" s="5" t="s">
        <v>1</v>
      </c>
      <c r="F19" s="5"/>
    </row>
    <row r="20" spans="1:8" x14ac:dyDescent="0.3">
      <c r="A20" s="16"/>
      <c r="B20" s="108" t="s">
        <v>402</v>
      </c>
      <c r="C20" s="240">
        <f>C13/(C15/(12/C14))</f>
        <v>6666.666666666667</v>
      </c>
      <c r="D20" s="29"/>
      <c r="E20" s="66"/>
      <c r="F20" s="16"/>
      <c r="G20" s="16"/>
    </row>
    <row r="21" spans="1:8" x14ac:dyDescent="0.3">
      <c r="A21" s="16"/>
      <c r="B21" s="29"/>
      <c r="C21" s="108"/>
      <c r="D21" s="29"/>
      <c r="E21" s="29"/>
      <c r="F21" s="66"/>
      <c r="G21" s="16"/>
      <c r="H21" s="16"/>
    </row>
    <row r="22" spans="1:8" x14ac:dyDescent="0.3">
      <c r="B22" s="18"/>
      <c r="C22" s="18"/>
      <c r="D22" s="18"/>
      <c r="E22" s="18"/>
    </row>
    <row r="23" spans="1:8" x14ac:dyDescent="0.3">
      <c r="B23" s="18"/>
      <c r="C23" s="18"/>
      <c r="D23" s="18"/>
      <c r="E23" s="18"/>
    </row>
  </sheetData>
  <mergeCells count="4">
    <mergeCell ref="B9:D9"/>
    <mergeCell ref="B10:H10"/>
    <mergeCell ref="B8:E8"/>
    <mergeCell ref="B4:E4"/>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M29"/>
  <sheetViews>
    <sheetView workbookViewId="0">
      <selection activeCell="A2" sqref="A2"/>
    </sheetView>
  </sheetViews>
  <sheetFormatPr defaultColWidth="9.109375" defaultRowHeight="14.4" x14ac:dyDescent="0.3"/>
  <cols>
    <col min="1" max="1" width="16.5546875" style="28" customWidth="1"/>
    <col min="2" max="2" width="26.44140625" style="28" customWidth="1"/>
    <col min="3" max="3" width="12.5546875" style="28" bestFit="1" customWidth="1"/>
    <col min="4" max="5" width="9.109375" style="28"/>
    <col min="6" max="6" width="9.109375" style="28" customWidth="1"/>
    <col min="7" max="7" width="9.109375" style="28"/>
    <col min="8" max="8" width="11.5546875" style="28" bestFit="1" customWidth="1"/>
    <col min="9" max="9" width="12.33203125" style="28" bestFit="1" customWidth="1"/>
    <col min="10" max="10" width="12.5546875" style="28" bestFit="1" customWidth="1"/>
    <col min="11" max="16384" width="9.109375" style="28"/>
  </cols>
  <sheetData>
    <row r="1" spans="1:10" x14ac:dyDescent="0.3">
      <c r="A1" s="5" t="s">
        <v>629</v>
      </c>
      <c r="B1" s="5"/>
    </row>
    <row r="2" spans="1:10" s="89" customFormat="1" x14ac:dyDescent="0.3">
      <c r="A2" s="370"/>
      <c r="B2" s="370"/>
    </row>
    <row r="3" spans="1:10" x14ac:dyDescent="0.3">
      <c r="A3" s="5" t="s">
        <v>0</v>
      </c>
      <c r="B3" s="5" t="s">
        <v>268</v>
      </c>
    </row>
    <row r="4" spans="1:10" ht="103.5" customHeight="1" x14ac:dyDescent="0.3">
      <c r="A4" s="2"/>
      <c r="B4" s="575" t="s">
        <v>440</v>
      </c>
      <c r="C4" s="575"/>
      <c r="D4" s="575"/>
      <c r="E4" s="575"/>
      <c r="F4" s="575"/>
      <c r="G4" s="575"/>
      <c r="H4" s="575"/>
      <c r="I4" s="415"/>
      <c r="J4" s="415"/>
    </row>
    <row r="5" spans="1:10" ht="15" customHeight="1" x14ac:dyDescent="0.3">
      <c r="A5" s="2"/>
      <c r="B5" s="28" t="s">
        <v>3</v>
      </c>
      <c r="D5" s="27"/>
      <c r="E5" s="27"/>
      <c r="F5" s="27"/>
      <c r="G5" s="27"/>
      <c r="H5" s="27"/>
    </row>
    <row r="6" spans="1:10" s="21" customFormat="1" x14ac:dyDescent="0.3">
      <c r="A6" s="7"/>
      <c r="B6" s="8"/>
      <c r="C6" s="8"/>
      <c r="D6" s="8"/>
      <c r="E6" s="8"/>
      <c r="F6" s="8"/>
      <c r="G6" s="8"/>
      <c r="H6" s="8"/>
    </row>
    <row r="7" spans="1:10" ht="17.25" customHeight="1" x14ac:dyDescent="0.3">
      <c r="A7" s="277"/>
      <c r="B7" s="573" t="s">
        <v>265</v>
      </c>
      <c r="C7" s="573"/>
      <c r="D7" s="573"/>
      <c r="E7" s="573"/>
      <c r="F7" s="573"/>
      <c r="G7" s="573"/>
      <c r="H7" s="573"/>
    </row>
    <row r="8" spans="1:10" ht="17.25" customHeight="1" x14ac:dyDescent="0.3">
      <c r="A8" s="277"/>
      <c r="B8" s="570" t="s">
        <v>266</v>
      </c>
      <c r="C8" s="570"/>
      <c r="D8" s="570"/>
    </row>
    <row r="9" spans="1:10" ht="17.25" customHeight="1" x14ac:dyDescent="0.3">
      <c r="A9" s="277"/>
      <c r="B9" s="571" t="s">
        <v>267</v>
      </c>
      <c r="C9" s="571"/>
      <c r="D9" s="571"/>
      <c r="E9" s="571"/>
      <c r="F9" s="571"/>
      <c r="G9" s="571"/>
      <c r="H9" s="571"/>
    </row>
    <row r="10" spans="1:10" x14ac:dyDescent="0.3">
      <c r="A10" s="10"/>
      <c r="B10" s="10"/>
      <c r="C10" s="10"/>
      <c r="D10" s="10"/>
    </row>
    <row r="11" spans="1:10" x14ac:dyDescent="0.3">
      <c r="A11" s="10"/>
      <c r="B11" s="85" t="s">
        <v>56</v>
      </c>
      <c r="C11" s="10"/>
      <c r="D11" s="10"/>
    </row>
    <row r="12" spans="1:10" s="25" customFormat="1" x14ac:dyDescent="0.3">
      <c r="A12" s="40"/>
      <c r="B12" s="76" t="s">
        <v>152</v>
      </c>
      <c r="C12" s="125">
        <v>100000</v>
      </c>
      <c r="D12" s="76"/>
      <c r="E12" s="41"/>
      <c r="F12" s="41"/>
      <c r="G12" s="41"/>
      <c r="H12" s="41"/>
    </row>
    <row r="13" spans="1:10" s="25" customFormat="1" x14ac:dyDescent="0.3">
      <c r="A13" s="40"/>
      <c r="B13" s="76" t="s">
        <v>154</v>
      </c>
      <c r="C13" s="78">
        <v>2</v>
      </c>
      <c r="D13" s="76"/>
      <c r="E13" s="41"/>
      <c r="F13" s="41"/>
      <c r="G13" s="41"/>
      <c r="H13" s="41"/>
    </row>
    <row r="14" spans="1:10" s="25" customFormat="1" x14ac:dyDescent="0.3">
      <c r="A14" s="40"/>
      <c r="B14" s="76" t="s">
        <v>153</v>
      </c>
      <c r="C14" s="175">
        <f>C12*(1-(C13*0.01))</f>
        <v>98000</v>
      </c>
      <c r="D14" s="76"/>
      <c r="E14" s="41"/>
      <c r="F14" s="41"/>
      <c r="G14" s="41"/>
      <c r="H14" s="41"/>
    </row>
    <row r="15" spans="1:10" s="25" customFormat="1" x14ac:dyDescent="0.3">
      <c r="A15" s="40"/>
      <c r="B15" s="76" t="s">
        <v>28</v>
      </c>
      <c r="C15" s="334">
        <v>0.01</v>
      </c>
      <c r="D15" s="76" t="s">
        <v>0</v>
      </c>
      <c r="E15" s="41"/>
      <c r="F15" s="41"/>
      <c r="G15" s="41"/>
      <c r="H15" s="41"/>
    </row>
    <row r="16" spans="1:10" s="25" customFormat="1" x14ac:dyDescent="0.3">
      <c r="A16" s="40"/>
      <c r="B16" s="76" t="s">
        <v>39</v>
      </c>
      <c r="C16" s="78">
        <v>360</v>
      </c>
      <c r="D16" s="76"/>
      <c r="E16" s="41"/>
      <c r="F16" s="41"/>
      <c r="G16" s="41"/>
      <c r="H16" s="41"/>
    </row>
    <row r="17" spans="1:13" s="25" customFormat="1" x14ac:dyDescent="0.3">
      <c r="A17" s="40"/>
      <c r="B17" s="76"/>
      <c r="C17" s="76"/>
      <c r="D17" s="76"/>
      <c r="E17" s="41"/>
      <c r="F17" s="41"/>
      <c r="G17" s="41"/>
      <c r="H17" s="41"/>
    </row>
    <row r="18" spans="1:13" s="89" customFormat="1" x14ac:dyDescent="0.3">
      <c r="A18" s="370"/>
      <c r="B18" s="412"/>
      <c r="C18" s="412"/>
      <c r="D18" s="412"/>
      <c r="E18" s="472"/>
      <c r="F18" s="472"/>
      <c r="G18" s="472"/>
      <c r="H18" s="472"/>
    </row>
    <row r="19" spans="1:13" x14ac:dyDescent="0.3">
      <c r="A19" s="5"/>
      <c r="B19" s="18"/>
      <c r="C19" s="18"/>
      <c r="D19" s="209"/>
      <c r="E19" s="6"/>
      <c r="F19" s="6"/>
      <c r="G19" s="6"/>
      <c r="H19" s="6"/>
    </row>
    <row r="20" spans="1:13" x14ac:dyDescent="0.3">
      <c r="A20" s="9"/>
      <c r="B20" s="5" t="s">
        <v>1</v>
      </c>
      <c r="F20" s="5" t="s">
        <v>415</v>
      </c>
      <c r="L20" s="29"/>
      <c r="M20" s="29"/>
    </row>
    <row r="21" spans="1:13" x14ac:dyDescent="0.3">
      <c r="A21" s="9"/>
      <c r="B21" s="33" t="s">
        <v>155</v>
      </c>
      <c r="C21" s="212">
        <f>C12/((1/C15)-(1/(C15*(1+C15)^C16)))</f>
        <v>1028.6125969255042</v>
      </c>
      <c r="F21" s="34">
        <f>C16</f>
        <v>360</v>
      </c>
      <c r="G21" s="339">
        <f>C15*100</f>
        <v>1</v>
      </c>
      <c r="H21" s="136">
        <f>-C12</f>
        <v>-100000</v>
      </c>
      <c r="L21" s="29"/>
      <c r="M21" s="29"/>
    </row>
    <row r="22" spans="1:13" x14ac:dyDescent="0.3">
      <c r="A22" s="9"/>
      <c r="B22" s="18" t="s">
        <v>156</v>
      </c>
      <c r="C22" s="338">
        <f>G27/100</f>
        <v>1.0226747722342748E-2</v>
      </c>
      <c r="D22" s="28" t="s">
        <v>0</v>
      </c>
      <c r="F22" s="34" t="s">
        <v>13</v>
      </c>
      <c r="G22" s="34" t="s">
        <v>98</v>
      </c>
      <c r="H22" s="34" t="s">
        <v>14</v>
      </c>
      <c r="I22" s="34" t="s">
        <v>16</v>
      </c>
      <c r="J22" s="34" t="s">
        <v>17</v>
      </c>
    </row>
    <row r="23" spans="1:13" x14ac:dyDescent="0.3">
      <c r="A23" s="9"/>
      <c r="B23" s="18" t="s">
        <v>38</v>
      </c>
      <c r="C23" s="213">
        <f>(1+(G27/100))^12-1</f>
        <v>0.12986448439579212</v>
      </c>
      <c r="I23" s="191">
        <f>PMT(C15,C16,-C12)</f>
        <v>1028.6125969255042</v>
      </c>
      <c r="J23" s="34" t="s">
        <v>0</v>
      </c>
    </row>
    <row r="24" spans="1:13" x14ac:dyDescent="0.3">
      <c r="A24" s="9"/>
      <c r="F24" s="36"/>
      <c r="G24" s="36"/>
      <c r="H24" s="34"/>
      <c r="J24" s="34"/>
    </row>
    <row r="25" spans="1:13" x14ac:dyDescent="0.3">
      <c r="A25" s="16"/>
      <c r="E25" s="18"/>
      <c r="F25" s="34">
        <f>C16</f>
        <v>360</v>
      </c>
      <c r="G25" s="29" t="s">
        <v>0</v>
      </c>
      <c r="H25" s="211">
        <f>C14</f>
        <v>98000</v>
      </c>
      <c r="I25" s="197">
        <f>-I23</f>
        <v>-1028.6125969255042</v>
      </c>
      <c r="J25" s="34"/>
    </row>
    <row r="26" spans="1:13" x14ac:dyDescent="0.3">
      <c r="A26" s="16"/>
      <c r="E26" s="16"/>
      <c r="F26" s="34" t="s">
        <v>13</v>
      </c>
      <c r="G26" s="34" t="s">
        <v>98</v>
      </c>
      <c r="H26" s="34" t="s">
        <v>14</v>
      </c>
      <c r="I26" s="34" t="s">
        <v>16</v>
      </c>
      <c r="J26" s="34" t="s">
        <v>17</v>
      </c>
    </row>
    <row r="27" spans="1:13" x14ac:dyDescent="0.3">
      <c r="A27" s="16"/>
      <c r="E27" s="16"/>
      <c r="G27" s="343">
        <f>RATE(C16,-I23,C14)*100</f>
        <v>1.0226747722342748</v>
      </c>
      <c r="J27" s="36" t="s">
        <v>0</v>
      </c>
    </row>
    <row r="28" spans="1:13" ht="17.25" customHeight="1" x14ac:dyDescent="0.3">
      <c r="A28" s="16"/>
      <c r="E28" s="16"/>
      <c r="F28" s="231"/>
      <c r="H28" s="344" t="s">
        <v>0</v>
      </c>
      <c r="I28" s="29"/>
      <c r="J28" s="29"/>
    </row>
    <row r="29" spans="1:13" x14ac:dyDescent="0.3">
      <c r="F29" s="341"/>
      <c r="G29" s="341"/>
      <c r="H29" s="342" t="s">
        <v>0</v>
      </c>
      <c r="I29" s="340"/>
      <c r="J29" s="340"/>
    </row>
  </sheetData>
  <mergeCells count="4">
    <mergeCell ref="B7:H7"/>
    <mergeCell ref="B8:D8"/>
    <mergeCell ref="B9:H9"/>
    <mergeCell ref="B4:H4"/>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25"/>
  <sheetViews>
    <sheetView tabSelected="1" workbookViewId="0">
      <selection activeCell="A2" sqref="A2"/>
    </sheetView>
  </sheetViews>
  <sheetFormatPr defaultColWidth="9.109375" defaultRowHeight="14.4" x14ac:dyDescent="0.3"/>
  <cols>
    <col min="1" max="1" width="16.5546875" style="28" customWidth="1"/>
    <col min="2" max="2" width="24.33203125" style="28" customWidth="1"/>
    <col min="3" max="3" width="12.44140625" style="28" customWidth="1"/>
    <col min="4" max="5" width="9.109375" style="28"/>
    <col min="6" max="6" width="9.109375" style="28" customWidth="1"/>
    <col min="7" max="7" width="9.109375" style="28"/>
    <col min="8" max="8" width="10.6640625" style="28" customWidth="1"/>
    <col min="9" max="9" width="9.109375" style="28"/>
    <col min="10" max="10" width="11.5546875" style="28" bestFit="1" customWidth="1"/>
    <col min="11" max="16384" width="9.109375" style="28"/>
  </cols>
  <sheetData>
    <row r="1" spans="1:10" x14ac:dyDescent="0.3">
      <c r="A1" s="5" t="s">
        <v>602</v>
      </c>
      <c r="B1" s="5"/>
    </row>
    <row r="2" spans="1:10" s="89" customFormat="1" x14ac:dyDescent="0.3">
      <c r="A2" s="370"/>
      <c r="B2" s="370"/>
    </row>
    <row r="3" spans="1:10" x14ac:dyDescent="0.3">
      <c r="A3" s="5" t="s">
        <v>0</v>
      </c>
      <c r="B3" s="5" t="s">
        <v>268</v>
      </c>
    </row>
    <row r="4" spans="1:10" ht="78" customHeight="1" x14ac:dyDescent="0.3">
      <c r="A4" s="2"/>
      <c r="B4" s="584" t="s">
        <v>284</v>
      </c>
      <c r="C4" s="584"/>
      <c r="D4" s="584"/>
      <c r="E4" s="584"/>
      <c r="F4" s="584"/>
      <c r="G4" s="584"/>
      <c r="H4" s="584"/>
      <c r="I4" s="422"/>
      <c r="J4" s="422"/>
    </row>
    <row r="5" spans="1:10" ht="15" customHeight="1" x14ac:dyDescent="0.3">
      <c r="A5" s="2"/>
      <c r="B5" s="28" t="s">
        <v>3</v>
      </c>
      <c r="D5" s="27"/>
      <c r="E5" s="27"/>
      <c r="F5" s="27"/>
      <c r="G5" s="27"/>
      <c r="H5" s="27"/>
    </row>
    <row r="6" spans="1:10" s="373" customFormat="1" x14ac:dyDescent="0.3">
      <c r="B6" s="412"/>
      <c r="C6" s="412"/>
      <c r="D6" s="412"/>
      <c r="E6" s="412"/>
      <c r="F6" s="412"/>
      <c r="G6" s="412"/>
      <c r="H6" s="412"/>
    </row>
    <row r="7" spans="1:10" s="77" customFormat="1" x14ac:dyDescent="0.3">
      <c r="B7" s="76"/>
      <c r="C7" s="76"/>
      <c r="D7" s="76"/>
      <c r="E7" s="76"/>
      <c r="F7" s="76"/>
      <c r="G7" s="76"/>
      <c r="H7" s="76"/>
    </row>
    <row r="8" spans="1:10" ht="17.25" customHeight="1" x14ac:dyDescent="0.3">
      <c r="A8" s="277"/>
      <c r="B8" s="573" t="s">
        <v>265</v>
      </c>
      <c r="C8" s="573"/>
      <c r="D8" s="573"/>
      <c r="E8" s="573"/>
      <c r="F8" s="573"/>
      <c r="G8" s="573"/>
      <c r="H8" s="573"/>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28" t="s">
        <v>0</v>
      </c>
    </row>
    <row r="13" spans="1:10" s="25" customFormat="1" x14ac:dyDescent="0.3">
      <c r="A13" s="40"/>
      <c r="B13" s="76" t="s">
        <v>69</v>
      </c>
      <c r="C13" s="79">
        <v>0.03</v>
      </c>
      <c r="D13" s="76" t="s">
        <v>0</v>
      </c>
      <c r="E13" s="76"/>
      <c r="F13" s="41"/>
      <c r="G13" s="41"/>
      <c r="H13" s="41"/>
    </row>
    <row r="14" spans="1:10" s="25" customFormat="1" x14ac:dyDescent="0.3">
      <c r="A14" s="40"/>
      <c r="B14" s="76" t="s">
        <v>190</v>
      </c>
      <c r="C14" s="78">
        <v>1</v>
      </c>
      <c r="D14" s="76"/>
      <c r="E14" s="76"/>
      <c r="F14" s="41"/>
      <c r="G14" s="41"/>
      <c r="H14" s="41"/>
    </row>
    <row r="15" spans="1:10" s="25" customFormat="1" x14ac:dyDescent="0.3">
      <c r="A15" s="40"/>
      <c r="B15" s="76"/>
      <c r="C15" s="76"/>
      <c r="D15" s="76"/>
      <c r="E15" s="76"/>
      <c r="F15" s="41"/>
      <c r="G15" s="41"/>
      <c r="H15" s="41"/>
    </row>
    <row r="16" spans="1:10" s="89" customFormat="1" x14ac:dyDescent="0.3">
      <c r="A16" s="370"/>
      <c r="B16" s="412"/>
      <c r="C16" s="412"/>
      <c r="D16" s="412"/>
      <c r="E16" s="412"/>
      <c r="F16" s="472"/>
      <c r="G16" s="472"/>
      <c r="H16" s="472"/>
    </row>
    <row r="17" spans="1:13" x14ac:dyDescent="0.3">
      <c r="A17" s="5"/>
      <c r="B17" s="18"/>
      <c r="C17" s="18"/>
      <c r="D17" s="209"/>
      <c r="E17" s="18"/>
      <c r="F17" s="6"/>
      <c r="G17" s="6"/>
      <c r="H17" s="6"/>
    </row>
    <row r="18" spans="1:13" x14ac:dyDescent="0.3">
      <c r="A18" s="9"/>
      <c r="B18" s="5" t="s">
        <v>1</v>
      </c>
      <c r="G18" s="5"/>
      <c r="L18" s="29"/>
      <c r="M18" s="29"/>
    </row>
    <row r="19" spans="1:13" x14ac:dyDescent="0.3">
      <c r="A19" s="9"/>
      <c r="B19" s="523" t="s">
        <v>399</v>
      </c>
      <c r="C19" s="45">
        <f>1/(1-C13)-1</f>
        <v>3.0927835051546504E-2</v>
      </c>
      <c r="G19" s="5"/>
      <c r="L19" s="29"/>
      <c r="M19" s="29"/>
    </row>
    <row r="20" spans="1:13" x14ac:dyDescent="0.3">
      <c r="A20" s="9"/>
      <c r="B20" s="485" t="s">
        <v>32</v>
      </c>
      <c r="C20" s="170">
        <f>(1+C19)^12-1</f>
        <v>0.44124956361172019</v>
      </c>
      <c r="G20" s="34"/>
      <c r="H20" s="34"/>
      <c r="I20" s="34"/>
      <c r="J20" s="34"/>
      <c r="K20" s="34"/>
      <c r="L20" s="29"/>
      <c r="M20" s="29"/>
    </row>
    <row r="21" spans="1:13" x14ac:dyDescent="0.3">
      <c r="A21" s="9"/>
      <c r="G21" s="34"/>
      <c r="H21" s="34"/>
      <c r="I21" s="46"/>
      <c r="J21" s="34"/>
      <c r="K21" s="34"/>
    </row>
    <row r="22" spans="1:13" x14ac:dyDescent="0.3">
      <c r="C22" s="18"/>
      <c r="D22" s="18"/>
      <c r="E22" s="18"/>
      <c r="F22" s="18"/>
    </row>
    <row r="23" spans="1:13" x14ac:dyDescent="0.3">
      <c r="B23" s="6"/>
      <c r="C23" s="18"/>
      <c r="D23" s="18"/>
      <c r="E23" s="18"/>
      <c r="F23" s="18"/>
    </row>
    <row r="24" spans="1:13" x14ac:dyDescent="0.3">
      <c r="B24" s="18"/>
      <c r="C24" s="18"/>
      <c r="D24" s="18"/>
      <c r="E24" s="18"/>
      <c r="F24" s="18"/>
    </row>
    <row r="25" spans="1:13" x14ac:dyDescent="0.3">
      <c r="B25" s="18"/>
      <c r="C25" s="18"/>
      <c r="D25" s="18"/>
      <c r="E25" s="18"/>
      <c r="F25" s="18"/>
    </row>
  </sheetData>
  <mergeCells count="4">
    <mergeCell ref="B8:H8"/>
    <mergeCell ref="B9:D9"/>
    <mergeCell ref="B10:H10"/>
    <mergeCell ref="B4:H4"/>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36"/>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4" width="9.109375" style="28"/>
    <col min="5" max="5" width="16.5546875" style="28" customWidth="1"/>
    <col min="6" max="6" width="10.5546875" style="28" bestFit="1" customWidth="1"/>
    <col min="7" max="7" width="14.5546875" style="28" customWidth="1"/>
    <col min="8" max="8" width="9.109375" style="28"/>
    <col min="9" max="9" width="11.88671875" style="28" bestFit="1" customWidth="1"/>
    <col min="10" max="10" width="12.5546875" style="28" bestFit="1" customWidth="1"/>
    <col min="11" max="16384" width="9.109375" style="28"/>
  </cols>
  <sheetData>
    <row r="1" spans="1:10" x14ac:dyDescent="0.3">
      <c r="A1" s="5" t="s">
        <v>601</v>
      </c>
      <c r="B1" s="5"/>
    </row>
    <row r="2" spans="1:10" s="89" customFormat="1" x14ac:dyDescent="0.3">
      <c r="A2" s="370"/>
      <c r="B2" s="370"/>
    </row>
    <row r="3" spans="1:10" x14ac:dyDescent="0.3">
      <c r="A3" s="5" t="s">
        <v>0</v>
      </c>
      <c r="B3" s="5" t="s">
        <v>268</v>
      </c>
    </row>
    <row r="4" spans="1:10" ht="35.25" customHeight="1" x14ac:dyDescent="0.5">
      <c r="A4" s="1"/>
      <c r="B4" s="587" t="s">
        <v>285</v>
      </c>
      <c r="C4" s="587"/>
      <c r="D4" s="587"/>
      <c r="E4" s="587"/>
      <c r="F4" s="587"/>
      <c r="G4" s="587"/>
      <c r="H4" s="340"/>
      <c r="I4" s="340"/>
      <c r="J4" s="340"/>
    </row>
    <row r="5" spans="1:10" ht="15" customHeight="1" x14ac:dyDescent="0.3">
      <c r="A5" s="2"/>
      <c r="B5" s="28" t="s">
        <v>3</v>
      </c>
      <c r="D5" s="27"/>
      <c r="E5" s="27"/>
      <c r="F5" s="27"/>
      <c r="G5" s="27"/>
      <c r="H5" s="27"/>
    </row>
    <row r="6" spans="1:10" ht="15" customHeight="1" x14ac:dyDescent="0.3">
      <c r="A6" s="2"/>
      <c r="B6" s="579" t="s">
        <v>451</v>
      </c>
      <c r="C6" s="579"/>
      <c r="D6" s="579"/>
      <c r="E6" s="579"/>
      <c r="F6" s="579"/>
      <c r="G6" s="579"/>
      <c r="H6" s="579"/>
      <c r="I6" s="579"/>
    </row>
    <row r="7" spans="1:10" ht="15" customHeight="1" x14ac:dyDescent="0.3">
      <c r="A7" s="2"/>
      <c r="B7" s="579" t="s">
        <v>452</v>
      </c>
      <c r="C7" s="579"/>
      <c r="D7" s="579"/>
      <c r="E7" s="579"/>
      <c r="F7" s="579"/>
      <c r="G7" s="579"/>
      <c r="H7" s="579"/>
      <c r="I7" s="579"/>
    </row>
    <row r="8" spans="1:10" ht="15" customHeight="1" x14ac:dyDescent="0.3">
      <c r="A8" s="2"/>
      <c r="B8" s="51"/>
      <c r="C8" s="26"/>
      <c r="D8" s="26"/>
      <c r="E8" s="26"/>
      <c r="F8" s="26"/>
      <c r="G8" s="26"/>
      <c r="H8" s="26"/>
      <c r="I8" s="26"/>
      <c r="J8" s="26"/>
    </row>
    <row r="9" spans="1:10" s="89" customFormat="1" ht="15.75" customHeight="1" x14ac:dyDescent="0.3">
      <c r="A9" s="358"/>
      <c r="B9" s="492"/>
      <c r="C9" s="360"/>
      <c r="D9" s="360"/>
      <c r="E9" s="360"/>
      <c r="F9" s="360"/>
      <c r="G9" s="360"/>
      <c r="H9" s="360"/>
      <c r="I9" s="360"/>
      <c r="J9" s="360"/>
    </row>
    <row r="10" spans="1:10" s="470" customFormat="1" ht="15" customHeight="1" x14ac:dyDescent="0.3">
      <c r="A10" s="489"/>
      <c r="B10" s="490"/>
      <c r="C10" s="491"/>
      <c r="D10" s="491"/>
      <c r="E10" s="491"/>
      <c r="F10" s="491"/>
      <c r="G10" s="491"/>
      <c r="H10" s="491"/>
      <c r="I10" s="491"/>
      <c r="J10" s="491"/>
    </row>
    <row r="11" spans="1:10" ht="17.25" customHeight="1" x14ac:dyDescent="0.3">
      <c r="A11" s="277"/>
      <c r="B11" s="573" t="s">
        <v>265</v>
      </c>
      <c r="C11" s="573"/>
      <c r="D11" s="573"/>
      <c r="E11" s="573"/>
      <c r="F11" s="573"/>
      <c r="G11" s="573"/>
      <c r="H11" s="429"/>
    </row>
    <row r="12" spans="1:10" ht="17.25" customHeight="1" x14ac:dyDescent="0.3">
      <c r="A12" s="277"/>
      <c r="B12" s="570" t="s">
        <v>266</v>
      </c>
      <c r="C12" s="570"/>
      <c r="D12" s="570"/>
    </row>
    <row r="13" spans="1:10" ht="17.25" customHeight="1" x14ac:dyDescent="0.3">
      <c r="A13" s="277"/>
      <c r="B13" s="571" t="s">
        <v>267</v>
      </c>
      <c r="C13" s="571"/>
      <c r="D13" s="571"/>
      <c r="E13" s="571"/>
      <c r="F13" s="571"/>
      <c r="G13" s="571"/>
      <c r="H13" s="571"/>
    </row>
    <row r="14" spans="1:10" x14ac:dyDescent="0.3">
      <c r="A14" s="10"/>
      <c r="B14" s="10"/>
      <c r="C14" s="10"/>
      <c r="D14" s="10"/>
    </row>
    <row r="15" spans="1:10" x14ac:dyDescent="0.3">
      <c r="A15" s="10"/>
      <c r="B15" s="85" t="s">
        <v>56</v>
      </c>
      <c r="C15" s="10"/>
      <c r="D15" s="10"/>
    </row>
    <row r="16" spans="1:10" s="77" customFormat="1" x14ac:dyDescent="0.3">
      <c r="B16" s="76" t="s">
        <v>132</v>
      </c>
      <c r="C16" s="223">
        <v>4248.68</v>
      </c>
      <c r="D16" s="76"/>
      <c r="E16" s="76"/>
      <c r="F16" s="76"/>
      <c r="G16" s="76"/>
      <c r="H16" s="76"/>
    </row>
    <row r="17" spans="1:10" s="77" customFormat="1" x14ac:dyDescent="0.3">
      <c r="B17" s="76" t="s">
        <v>124</v>
      </c>
      <c r="C17" s="125">
        <v>200</v>
      </c>
      <c r="D17" s="76"/>
      <c r="E17" s="76"/>
      <c r="F17" s="76"/>
      <c r="G17" s="76"/>
      <c r="H17" s="76"/>
    </row>
    <row r="18" spans="1:10" s="77" customFormat="1" x14ac:dyDescent="0.3">
      <c r="B18" s="76" t="s">
        <v>40</v>
      </c>
      <c r="C18" s="79">
        <v>0.12</v>
      </c>
      <c r="D18" s="76" t="s">
        <v>0</v>
      </c>
      <c r="E18" s="76"/>
      <c r="F18" s="76"/>
      <c r="G18" s="76"/>
      <c r="H18" s="76"/>
    </row>
    <row r="19" spans="1:10" s="77" customFormat="1" x14ac:dyDescent="0.3">
      <c r="B19" s="76"/>
      <c r="C19" s="76"/>
      <c r="D19" s="76"/>
      <c r="E19" s="76"/>
      <c r="F19" s="76"/>
      <c r="G19" s="76"/>
      <c r="H19" s="76"/>
    </row>
    <row r="20" spans="1:10" s="373" customFormat="1" x14ac:dyDescent="0.3">
      <c r="B20" s="412"/>
      <c r="C20" s="412"/>
      <c r="D20" s="412"/>
      <c r="E20" s="412"/>
      <c r="F20" s="412"/>
      <c r="G20" s="412"/>
      <c r="H20" s="412"/>
    </row>
    <row r="21" spans="1:10" s="77" customFormat="1" x14ac:dyDescent="0.3">
      <c r="B21" s="76"/>
      <c r="C21" s="76"/>
      <c r="D21" s="76"/>
      <c r="E21" s="76"/>
      <c r="F21" s="76"/>
      <c r="G21" s="76"/>
      <c r="H21" s="76"/>
    </row>
    <row r="22" spans="1:10" x14ac:dyDescent="0.3">
      <c r="A22" s="9"/>
      <c r="B22" s="5" t="s">
        <v>1</v>
      </c>
      <c r="F22" s="5" t="s">
        <v>454</v>
      </c>
    </row>
    <row r="23" spans="1:10" x14ac:dyDescent="0.3">
      <c r="A23" s="9"/>
      <c r="B23" s="5" t="s">
        <v>9</v>
      </c>
      <c r="G23" s="34">
        <f>C18*100/12</f>
        <v>1</v>
      </c>
      <c r="H23" s="210">
        <f>C16</f>
        <v>4248.68</v>
      </c>
      <c r="I23" s="34">
        <v>-200</v>
      </c>
    </row>
    <row r="24" spans="1:10" x14ac:dyDescent="0.3">
      <c r="A24" s="9"/>
      <c r="B24" s="33" t="s">
        <v>453</v>
      </c>
      <c r="C24" s="225">
        <f>(1/(-C16/C17+(1/(C18/12))))/(C18/12)</f>
        <v>1.2697348539677946</v>
      </c>
      <c r="F24" s="34" t="s">
        <v>13</v>
      </c>
      <c r="G24" s="34" t="s">
        <v>98</v>
      </c>
      <c r="H24" s="34" t="s">
        <v>14</v>
      </c>
      <c r="I24" s="34" t="s">
        <v>16</v>
      </c>
      <c r="J24" s="34" t="s">
        <v>17</v>
      </c>
    </row>
    <row r="25" spans="1:10" x14ac:dyDescent="0.3">
      <c r="A25" s="9"/>
      <c r="B25" s="33" t="s">
        <v>453</v>
      </c>
      <c r="C25" s="226">
        <f>LN(C24)</f>
        <v>0.23880810227036145</v>
      </c>
      <c r="F25" s="224">
        <f>NPER(C18/12,I23,H23)</f>
        <v>24.000016260195729</v>
      </c>
      <c r="J25" s="34" t="s">
        <v>0</v>
      </c>
    </row>
    <row r="26" spans="1:10" x14ac:dyDescent="0.3">
      <c r="A26" s="9"/>
      <c r="B26" s="33" t="s">
        <v>453</v>
      </c>
      <c r="C26" s="227">
        <f>LN(1+(C18/12))</f>
        <v>9.950330853168092E-3</v>
      </c>
      <c r="G26" s="37"/>
      <c r="H26" s="35"/>
      <c r="I26" s="36"/>
      <c r="J26" s="36"/>
    </row>
    <row r="27" spans="1:10" x14ac:dyDescent="0.3">
      <c r="A27" s="9"/>
      <c r="B27" s="28" t="s">
        <v>39</v>
      </c>
      <c r="C27" s="147">
        <f>C25/C26</f>
        <v>24.000016260195729</v>
      </c>
      <c r="F27" s="34"/>
      <c r="G27" s="34"/>
      <c r="H27" s="34"/>
      <c r="I27" s="34"/>
      <c r="J27" s="34"/>
    </row>
    <row r="28" spans="1:10" ht="15" customHeight="1" x14ac:dyDescent="0.3">
      <c r="A28" s="16"/>
      <c r="B28" s="5"/>
      <c r="C28" s="18"/>
      <c r="D28" s="18"/>
      <c r="E28" s="18"/>
      <c r="F28" s="34"/>
      <c r="G28" s="34"/>
      <c r="H28" s="34"/>
      <c r="I28" s="34"/>
      <c r="J28" s="55"/>
    </row>
    <row r="29" spans="1:10" ht="15" customHeight="1" x14ac:dyDescent="0.3">
      <c r="A29" s="16"/>
      <c r="B29" s="5" t="s">
        <v>5</v>
      </c>
      <c r="C29" s="18"/>
      <c r="D29" s="18"/>
      <c r="E29" s="18"/>
      <c r="F29" s="34"/>
      <c r="G29" s="34"/>
      <c r="H29" s="34"/>
      <c r="I29" s="34"/>
      <c r="J29" s="55"/>
    </row>
    <row r="30" spans="1:10" ht="15" customHeight="1" x14ac:dyDescent="0.3">
      <c r="A30" s="16"/>
      <c r="B30" s="33" t="s">
        <v>32</v>
      </c>
      <c r="C30" s="170">
        <f>(1+C18/12)^12-1</f>
        <v>0.12682503013196977</v>
      </c>
      <c r="E30" s="18"/>
      <c r="F30"/>
    </row>
    <row r="31" spans="1:10" ht="15" customHeight="1" x14ac:dyDescent="0.3">
      <c r="A31" s="16"/>
      <c r="B31" s="17"/>
      <c r="C31" s="128"/>
      <c r="E31" s="18"/>
      <c r="F31"/>
    </row>
    <row r="32" spans="1:10" ht="12.75" customHeight="1" x14ac:dyDescent="0.3">
      <c r="A32" s="16"/>
      <c r="F32"/>
    </row>
    <row r="33" spans="1:10" x14ac:dyDescent="0.3">
      <c r="A33" s="16"/>
      <c r="F33"/>
    </row>
    <row r="34" spans="1:10" x14ac:dyDescent="0.3">
      <c r="A34" s="16"/>
      <c r="F34" s="34"/>
      <c r="G34" s="37"/>
      <c r="H34" s="35"/>
      <c r="I34" s="36"/>
      <c r="J34" s="34"/>
    </row>
    <row r="35" spans="1:10" x14ac:dyDescent="0.3">
      <c r="A35" s="16"/>
      <c r="F35" s="18"/>
      <c r="G35" s="16"/>
      <c r="H35" s="16"/>
    </row>
    <row r="36" spans="1:10" x14ac:dyDescent="0.3">
      <c r="F36" s="18"/>
    </row>
  </sheetData>
  <mergeCells count="6">
    <mergeCell ref="B12:D12"/>
    <mergeCell ref="B13:H13"/>
    <mergeCell ref="B11:G11"/>
    <mergeCell ref="B4:G4"/>
    <mergeCell ref="B6:I6"/>
    <mergeCell ref="B7:I7"/>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32"/>
  <sheetViews>
    <sheetView zoomScaleNormal="100" workbookViewId="0">
      <selection activeCell="B27" sqref="B27"/>
    </sheetView>
  </sheetViews>
  <sheetFormatPr defaultColWidth="9.109375" defaultRowHeight="14.4" x14ac:dyDescent="0.3"/>
  <cols>
    <col min="1" max="1" width="16.5546875" style="28" customWidth="1"/>
    <col min="2" max="2" width="28.5546875" style="28" customWidth="1"/>
    <col min="3" max="3" width="12.5546875" style="28" bestFit="1" customWidth="1"/>
    <col min="4" max="4" width="9.109375" style="28"/>
    <col min="5" max="5" width="16.5546875" style="28" customWidth="1"/>
    <col min="6" max="6" width="10.5546875" style="28" bestFit="1" customWidth="1"/>
    <col min="7" max="7" width="14.5546875" style="28" customWidth="1"/>
    <col min="8" max="8" width="9.109375" style="28"/>
    <col min="9" max="9" width="11.88671875" style="28" bestFit="1" customWidth="1"/>
    <col min="10" max="10" width="11.6640625" style="28" customWidth="1"/>
    <col min="11" max="16384" width="9.109375" style="28"/>
  </cols>
  <sheetData>
    <row r="1" spans="1:10" x14ac:dyDescent="0.3">
      <c r="A1" s="5" t="s">
        <v>600</v>
      </c>
      <c r="B1" s="5"/>
    </row>
    <row r="2" spans="1:10" s="89" customFormat="1" x14ac:dyDescent="0.3">
      <c r="A2" s="370"/>
      <c r="B2" s="370"/>
    </row>
    <row r="3" spans="1:10" x14ac:dyDescent="0.3">
      <c r="A3" s="5" t="s">
        <v>0</v>
      </c>
      <c r="B3" s="5" t="s">
        <v>268</v>
      </c>
    </row>
    <row r="4" spans="1:10" ht="33" customHeight="1" x14ac:dyDescent="0.5">
      <c r="A4" s="1"/>
      <c r="B4" s="575" t="s">
        <v>621</v>
      </c>
      <c r="C4" s="575"/>
      <c r="D4" s="575"/>
      <c r="E4" s="575"/>
      <c r="F4" s="575"/>
      <c r="G4" s="575"/>
      <c r="H4" s="340"/>
      <c r="I4" s="340"/>
      <c r="J4" s="340"/>
    </row>
    <row r="5" spans="1:10" ht="19.5" customHeight="1" x14ac:dyDescent="0.3">
      <c r="A5" s="2"/>
      <c r="B5" s="51"/>
      <c r="C5" s="26"/>
      <c r="D5" s="26"/>
      <c r="E5" s="26"/>
      <c r="F5" s="26"/>
      <c r="G5" s="26"/>
      <c r="H5" s="26"/>
      <c r="I5" s="26"/>
      <c r="J5" s="26"/>
    </row>
    <row r="6" spans="1:10" s="21" customFormat="1" x14ac:dyDescent="0.3">
      <c r="A6" s="7"/>
      <c r="B6" s="8"/>
      <c r="C6" s="8"/>
      <c r="D6" s="8"/>
      <c r="E6" s="8"/>
      <c r="F6" s="8"/>
      <c r="G6" s="8"/>
      <c r="H6" s="8"/>
    </row>
    <row r="8" spans="1:10" ht="17.25" customHeight="1" x14ac:dyDescent="0.3">
      <c r="A8" s="277"/>
      <c r="B8" s="573" t="s">
        <v>265</v>
      </c>
      <c r="C8" s="573"/>
      <c r="D8" s="573"/>
      <c r="E8" s="573"/>
      <c r="F8" s="573"/>
      <c r="G8" s="573"/>
      <c r="H8" s="429"/>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10"/>
    </row>
    <row r="13" spans="1:10" s="77" customFormat="1" x14ac:dyDescent="0.3">
      <c r="B13" s="76" t="s">
        <v>63</v>
      </c>
      <c r="C13" s="125">
        <v>1000</v>
      </c>
      <c r="D13" s="76"/>
      <c r="E13" s="76"/>
      <c r="F13" s="76"/>
      <c r="G13" s="76"/>
      <c r="H13" s="76"/>
    </row>
    <row r="14" spans="1:10" s="77" customFormat="1" x14ac:dyDescent="0.3">
      <c r="B14" s="76" t="s">
        <v>40</v>
      </c>
      <c r="C14" s="79">
        <v>0.06</v>
      </c>
      <c r="D14" s="76" t="s">
        <v>0</v>
      </c>
      <c r="E14" s="76"/>
      <c r="F14" s="76"/>
      <c r="G14" s="76"/>
      <c r="H14" s="76"/>
    </row>
    <row r="15" spans="1:10" s="77" customFormat="1" x14ac:dyDescent="0.3">
      <c r="B15" s="76" t="s">
        <v>455</v>
      </c>
      <c r="C15" s="124">
        <v>1</v>
      </c>
      <c r="D15" s="76" t="s">
        <v>0</v>
      </c>
      <c r="E15" s="76"/>
      <c r="F15" s="76"/>
      <c r="G15" s="76"/>
      <c r="H15" s="76"/>
    </row>
    <row r="16" spans="1:10" s="77" customFormat="1" x14ac:dyDescent="0.3">
      <c r="B16" s="76" t="s">
        <v>456</v>
      </c>
      <c r="C16" s="124">
        <v>1.5</v>
      </c>
      <c r="D16" s="76" t="s">
        <v>0</v>
      </c>
      <c r="E16" s="76"/>
      <c r="F16" s="76"/>
      <c r="G16" s="76"/>
      <c r="H16" s="76"/>
    </row>
    <row r="17" spans="1:10" s="77" customFormat="1" x14ac:dyDescent="0.3">
      <c r="B17" s="76"/>
      <c r="C17" s="76"/>
      <c r="D17" s="76"/>
      <c r="E17" s="76"/>
      <c r="F17" s="76"/>
      <c r="G17" s="76"/>
      <c r="H17" s="76"/>
    </row>
    <row r="18" spans="1:10" s="373" customFormat="1" x14ac:dyDescent="0.3">
      <c r="B18" s="412"/>
      <c r="C18" s="412"/>
      <c r="D18" s="412"/>
      <c r="E18" s="412"/>
      <c r="F18" s="412"/>
      <c r="G18" s="412"/>
      <c r="H18" s="412"/>
    </row>
    <row r="19" spans="1:10" x14ac:dyDescent="0.3">
      <c r="A19" s="5"/>
      <c r="B19" s="6"/>
      <c r="C19" s="6"/>
      <c r="D19" s="6"/>
      <c r="E19" s="6"/>
      <c r="F19" s="6"/>
      <c r="G19" s="6"/>
      <c r="H19" s="6"/>
    </row>
    <row r="20" spans="1:10" x14ac:dyDescent="0.3">
      <c r="A20" s="9"/>
      <c r="B20" s="5" t="s">
        <v>1</v>
      </c>
      <c r="F20" s="5" t="s">
        <v>415</v>
      </c>
    </row>
    <row r="21" spans="1:10" x14ac:dyDescent="0.3">
      <c r="A21" s="9"/>
      <c r="B21" s="5" t="s">
        <v>9</v>
      </c>
      <c r="F21" s="34">
        <f>C15*12</f>
        <v>12</v>
      </c>
      <c r="G21" s="228">
        <f>C14/12*100</f>
        <v>0.5</v>
      </c>
      <c r="H21" s="214">
        <f>-C13</f>
        <v>-1000</v>
      </c>
    </row>
    <row r="22" spans="1:10" x14ac:dyDescent="0.3">
      <c r="A22" s="9"/>
      <c r="B22" s="33" t="s">
        <v>261</v>
      </c>
      <c r="C22" s="152">
        <f>C13*(1+(C14/12))^(C15*12)</f>
        <v>1061.6778118644977</v>
      </c>
      <c r="F22" s="34" t="s">
        <v>13</v>
      </c>
      <c r="G22" s="34" t="s">
        <v>98</v>
      </c>
      <c r="H22" s="34" t="s">
        <v>14</v>
      </c>
      <c r="I22" s="34" t="s">
        <v>16</v>
      </c>
      <c r="J22" s="34" t="s">
        <v>17</v>
      </c>
    </row>
    <row r="23" spans="1:10" x14ac:dyDescent="0.3">
      <c r="A23" s="9"/>
      <c r="C23" s="128"/>
      <c r="H23" s="34"/>
      <c r="I23" s="34" t="s">
        <v>0</v>
      </c>
      <c r="J23" s="229">
        <f>FV(G21/100,F21,,H21)</f>
        <v>1061.6778118644977</v>
      </c>
    </row>
    <row r="24" spans="1:10" ht="15" customHeight="1" x14ac:dyDescent="0.3">
      <c r="A24" s="16"/>
      <c r="B24" s="5"/>
      <c r="C24" s="129"/>
      <c r="D24" s="18"/>
      <c r="E24" s="18"/>
      <c r="F24" s="56"/>
      <c r="G24" s="37"/>
      <c r="H24" s="177"/>
      <c r="I24" s="36"/>
    </row>
    <row r="25" spans="1:10" ht="15" customHeight="1" x14ac:dyDescent="0.3">
      <c r="A25" s="16"/>
      <c r="B25" s="5" t="s">
        <v>5</v>
      </c>
      <c r="C25" s="129"/>
      <c r="D25" s="18"/>
      <c r="E25" s="18"/>
      <c r="F25" s="34">
        <f>C16*12</f>
        <v>18</v>
      </c>
      <c r="G25" s="228">
        <f>C14/12*100</f>
        <v>0.5</v>
      </c>
      <c r="H25" s="214">
        <f>-C13</f>
        <v>-1000</v>
      </c>
      <c r="I25" s="34"/>
      <c r="J25" s="55"/>
    </row>
    <row r="26" spans="1:10" ht="15" customHeight="1" x14ac:dyDescent="0.3">
      <c r="A26" s="16"/>
      <c r="B26" s="33" t="s">
        <v>261</v>
      </c>
      <c r="C26" s="152">
        <f>C13*(1+(C14/12))^(C16*12)</f>
        <v>1093.9289395675628</v>
      </c>
      <c r="E26" s="18"/>
      <c r="F26" s="34" t="s">
        <v>13</v>
      </c>
      <c r="G26" s="34" t="s">
        <v>98</v>
      </c>
      <c r="H26" s="34" t="s">
        <v>14</v>
      </c>
      <c r="I26" s="34" t="s">
        <v>16</v>
      </c>
      <c r="J26" s="34" t="s">
        <v>17</v>
      </c>
    </row>
    <row r="27" spans="1:10" ht="15" customHeight="1" x14ac:dyDescent="0.3">
      <c r="A27" s="16"/>
      <c r="B27" s="17"/>
      <c r="C27" s="31"/>
      <c r="E27" s="18"/>
      <c r="I27" s="34" t="s">
        <v>0</v>
      </c>
      <c r="J27" s="229">
        <f>FV(G25/100,F25,,H25)</f>
        <v>1093.9289395675628</v>
      </c>
    </row>
    <row r="28" spans="1:10" ht="12.75" customHeight="1" x14ac:dyDescent="0.3">
      <c r="A28" s="16"/>
      <c r="F28" s="56"/>
      <c r="G28" s="37"/>
      <c r="H28" s="35"/>
      <c r="I28" s="36"/>
    </row>
    <row r="29" spans="1:10" x14ac:dyDescent="0.3">
      <c r="A29" s="16"/>
      <c r="F29" s="34"/>
      <c r="G29" s="36"/>
      <c r="H29" s="47"/>
      <c r="I29" s="34"/>
      <c r="J29" s="37"/>
    </row>
    <row r="30" spans="1:10" x14ac:dyDescent="0.3">
      <c r="A30" s="16"/>
      <c r="F30" s="34"/>
      <c r="G30" s="37"/>
      <c r="H30" s="35"/>
      <c r="I30" s="36"/>
      <c r="J30" s="34"/>
    </row>
    <row r="31" spans="1:10" x14ac:dyDescent="0.3">
      <c r="A31" s="16"/>
      <c r="F31" s="18"/>
      <c r="G31" s="16"/>
      <c r="H31" s="16"/>
    </row>
    <row r="32" spans="1:10" x14ac:dyDescent="0.3">
      <c r="F32" s="18"/>
    </row>
  </sheetData>
  <mergeCells count="4">
    <mergeCell ref="B9:D9"/>
    <mergeCell ref="B10:H10"/>
    <mergeCell ref="B8:G8"/>
    <mergeCell ref="B4:G4"/>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M21"/>
  <sheetViews>
    <sheetView workbookViewId="0"/>
  </sheetViews>
  <sheetFormatPr defaultColWidth="9.109375" defaultRowHeight="14.4" x14ac:dyDescent="0.3"/>
  <cols>
    <col min="1" max="1" width="16.5546875" style="28" customWidth="1"/>
    <col min="2" max="2" width="24.33203125" style="28" customWidth="1"/>
    <col min="3" max="3" width="15.88671875" style="28" customWidth="1"/>
    <col min="4" max="5" width="9.109375" style="28"/>
    <col min="6" max="6" width="9.109375" style="28" customWidth="1"/>
    <col min="7" max="7" width="9.109375" style="28"/>
    <col min="8" max="8" width="7.33203125" style="28" customWidth="1"/>
    <col min="9" max="9" width="9.109375" style="28"/>
    <col min="10" max="10" width="11.5546875" style="28" bestFit="1" customWidth="1"/>
    <col min="11" max="16384" width="9.109375" style="28"/>
  </cols>
  <sheetData>
    <row r="1" spans="1:10" x14ac:dyDescent="0.3">
      <c r="A1" s="5" t="s">
        <v>599</v>
      </c>
      <c r="B1" s="5"/>
    </row>
    <row r="2" spans="1:10" s="89" customFormat="1" x14ac:dyDescent="0.3">
      <c r="A2" s="370"/>
      <c r="B2" s="370"/>
    </row>
    <row r="3" spans="1:10" x14ac:dyDescent="0.3">
      <c r="A3" s="5" t="s">
        <v>0</v>
      </c>
      <c r="B3" s="5" t="s">
        <v>268</v>
      </c>
    </row>
    <row r="4" spans="1:10" ht="15" customHeight="1" x14ac:dyDescent="0.3">
      <c r="A4" s="2"/>
      <c r="B4" s="572" t="s">
        <v>286</v>
      </c>
      <c r="C4" s="572"/>
      <c r="D4" s="572"/>
      <c r="E4" s="572"/>
      <c r="F4" s="572"/>
      <c r="G4" s="572"/>
      <c r="H4" s="572"/>
      <c r="I4" s="572"/>
      <c r="J4" s="572"/>
    </row>
    <row r="5" spans="1:10" ht="15" customHeight="1" x14ac:dyDescent="0.3">
      <c r="A5" s="2"/>
      <c r="B5" s="28" t="s">
        <v>3</v>
      </c>
      <c r="D5" s="27"/>
      <c r="E5" s="27"/>
      <c r="F5" s="27"/>
      <c r="G5" s="27"/>
      <c r="H5" s="27"/>
    </row>
    <row r="6" spans="1:10" s="373" customFormat="1" x14ac:dyDescent="0.3">
      <c r="B6" s="412"/>
      <c r="C6" s="412"/>
      <c r="D6" s="412"/>
      <c r="E6" s="412"/>
      <c r="F6" s="412"/>
      <c r="G6" s="412"/>
      <c r="H6" s="412"/>
    </row>
    <row r="7" spans="1:10" s="470" customFormat="1" x14ac:dyDescent="0.3">
      <c r="A7" s="468"/>
      <c r="B7" s="469"/>
      <c r="C7" s="469"/>
      <c r="D7" s="469"/>
      <c r="E7" s="469"/>
      <c r="F7" s="469"/>
      <c r="G7" s="469"/>
      <c r="H7" s="469"/>
    </row>
    <row r="8" spans="1:10" ht="17.25" customHeight="1" x14ac:dyDescent="0.3">
      <c r="A8" s="277"/>
      <c r="B8" s="573" t="s">
        <v>265</v>
      </c>
      <c r="C8" s="573"/>
      <c r="D8" s="573"/>
      <c r="E8" s="573"/>
      <c r="F8" s="573"/>
      <c r="G8" s="573"/>
      <c r="H8" s="573"/>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ht="15" customHeight="1" x14ac:dyDescent="0.3">
      <c r="A12" s="10"/>
      <c r="B12" s="85" t="s">
        <v>56</v>
      </c>
      <c r="C12" s="10"/>
      <c r="D12" s="10"/>
    </row>
    <row r="13" spans="1:10" s="77" customFormat="1" x14ac:dyDescent="0.3">
      <c r="B13" s="76" t="s">
        <v>457</v>
      </c>
      <c r="C13" s="336">
        <v>0.06</v>
      </c>
      <c r="D13" s="76" t="s">
        <v>0</v>
      </c>
      <c r="E13" s="76"/>
      <c r="F13" s="76"/>
      <c r="G13" s="76"/>
      <c r="H13" s="76"/>
    </row>
    <row r="14" spans="1:10" s="77" customFormat="1" x14ac:dyDescent="0.3">
      <c r="B14" s="76"/>
      <c r="C14" s="76"/>
      <c r="D14" s="76"/>
      <c r="E14" s="76"/>
      <c r="F14" s="76"/>
      <c r="G14" s="76"/>
      <c r="H14" s="76"/>
    </row>
    <row r="15" spans="1:10" s="373" customFormat="1" x14ac:dyDescent="0.3">
      <c r="B15" s="412"/>
      <c r="C15" s="412"/>
      <c r="D15" s="412"/>
      <c r="E15" s="412"/>
      <c r="F15" s="412"/>
      <c r="G15" s="412"/>
      <c r="H15" s="412"/>
    </row>
    <row r="16" spans="1:10" x14ac:dyDescent="0.3">
      <c r="A16" s="5"/>
      <c r="B16" s="6"/>
      <c r="C16" s="6"/>
      <c r="D16" s="53"/>
      <c r="E16" s="6"/>
      <c r="F16" s="6"/>
      <c r="G16" s="6"/>
      <c r="H16" s="6"/>
    </row>
    <row r="17" spans="1:13" x14ac:dyDescent="0.3">
      <c r="A17" s="9"/>
      <c r="B17" s="5" t="s">
        <v>1</v>
      </c>
      <c r="G17" s="5"/>
      <c r="L17" s="29"/>
      <c r="M17" s="29"/>
    </row>
    <row r="18" spans="1:13" x14ac:dyDescent="0.3">
      <c r="A18" s="9"/>
      <c r="B18" s="33" t="s">
        <v>38</v>
      </c>
      <c r="C18" s="170">
        <f>EXP(C13)-1</f>
        <v>6.1836546545359639E-2</v>
      </c>
      <c r="G18" s="34"/>
      <c r="H18" s="34"/>
      <c r="I18" s="34"/>
      <c r="J18" s="34"/>
      <c r="K18" s="34"/>
      <c r="L18" s="29"/>
      <c r="M18" s="29"/>
    </row>
    <row r="19" spans="1:13" x14ac:dyDescent="0.3">
      <c r="A19" s="9"/>
      <c r="G19" s="34"/>
      <c r="H19" s="34"/>
      <c r="I19" s="46"/>
      <c r="J19" s="34"/>
      <c r="K19" s="34"/>
    </row>
    <row r="20" spans="1:13" x14ac:dyDescent="0.3">
      <c r="B20" s="18"/>
      <c r="C20" s="18"/>
      <c r="D20" s="18"/>
      <c r="E20" s="18"/>
      <c r="F20" s="18"/>
    </row>
    <row r="21" spans="1:13" x14ac:dyDescent="0.3">
      <c r="B21" s="18"/>
      <c r="C21" s="18"/>
      <c r="D21" s="18"/>
      <c r="E21" s="18"/>
      <c r="F21" s="18"/>
    </row>
  </sheetData>
  <mergeCells count="4">
    <mergeCell ref="B4:J4"/>
    <mergeCell ref="B8:H8"/>
    <mergeCell ref="B9:D9"/>
    <mergeCell ref="B10:H10"/>
  </mergeCell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33"/>
  <sheetViews>
    <sheetView workbookViewId="0">
      <selection activeCell="B20" sqref="B20"/>
    </sheetView>
  </sheetViews>
  <sheetFormatPr defaultColWidth="9.109375" defaultRowHeight="14.4" x14ac:dyDescent="0.3"/>
  <cols>
    <col min="1" max="1" width="16.5546875" style="28" customWidth="1"/>
    <col min="2" max="2" width="18.33203125" style="28" customWidth="1"/>
    <col min="3" max="3" width="24.109375" style="28" customWidth="1"/>
    <col min="4" max="4" width="14.33203125" style="28" customWidth="1"/>
    <col min="5" max="5" width="16.5546875" style="28" customWidth="1"/>
    <col min="6" max="6" width="12.88671875" style="28" customWidth="1"/>
    <col min="7" max="7" width="14.5546875" style="28" customWidth="1"/>
    <col min="8" max="8" width="9.109375" style="28"/>
    <col min="9" max="9" width="11.88671875" style="28" bestFit="1" customWidth="1"/>
    <col min="10" max="16384" width="9.109375" style="28"/>
  </cols>
  <sheetData>
    <row r="1" spans="1:10" x14ac:dyDescent="0.3">
      <c r="A1" s="5" t="s">
        <v>598</v>
      </c>
      <c r="B1" s="5"/>
    </row>
    <row r="2" spans="1:10" s="89" customFormat="1" x14ac:dyDescent="0.3">
      <c r="A2" s="370"/>
      <c r="B2" s="370"/>
    </row>
    <row r="3" spans="1:10" x14ac:dyDescent="0.3">
      <c r="A3" s="5" t="s">
        <v>0</v>
      </c>
      <c r="B3" s="5" t="s">
        <v>268</v>
      </c>
    </row>
    <row r="4" spans="1:10" ht="52.5" customHeight="1" x14ac:dyDescent="0.3">
      <c r="A4" s="2"/>
      <c r="B4" s="575" t="s">
        <v>460</v>
      </c>
      <c r="C4" s="575"/>
      <c r="D4" s="575"/>
      <c r="E4" s="575"/>
      <c r="F4" s="575"/>
      <c r="G4" s="415"/>
      <c r="H4" s="415"/>
      <c r="I4" s="415"/>
      <c r="J4" s="415"/>
    </row>
    <row r="5" spans="1:10" ht="15" customHeight="1" x14ac:dyDescent="0.3">
      <c r="A5" s="2"/>
      <c r="B5" s="28" t="s">
        <v>3</v>
      </c>
      <c r="D5" s="83"/>
      <c r="E5" s="83"/>
      <c r="F5" s="83"/>
      <c r="G5" s="83"/>
      <c r="H5" s="83"/>
    </row>
    <row r="6" spans="1:10" ht="15" customHeight="1" x14ac:dyDescent="0.3">
      <c r="A6" s="2"/>
      <c r="B6" s="579" t="s">
        <v>458</v>
      </c>
      <c r="C6" s="579"/>
      <c r="D6" s="579"/>
      <c r="E6" s="579"/>
      <c r="F6" s="579"/>
      <c r="G6" s="579"/>
      <c r="H6" s="579"/>
      <c r="I6" s="579"/>
    </row>
    <row r="7" spans="1:10" ht="32.25" customHeight="1" x14ac:dyDescent="0.3">
      <c r="A7" s="2"/>
      <c r="B7" s="579" t="s">
        <v>459</v>
      </c>
      <c r="C7" s="579"/>
      <c r="D7" s="579"/>
      <c r="E7" s="579"/>
      <c r="F7" s="579"/>
      <c r="G7" s="424"/>
      <c r="H7" s="424"/>
      <c r="I7" s="424"/>
    </row>
    <row r="8" spans="1:10" ht="15" customHeight="1" x14ac:dyDescent="0.3">
      <c r="A8" s="2"/>
      <c r="B8" s="416"/>
      <c r="C8" s="421"/>
      <c r="D8" s="421"/>
      <c r="E8" s="421"/>
      <c r="F8" s="421"/>
      <c r="G8" s="421"/>
      <c r="H8" s="421"/>
      <c r="I8" s="421"/>
      <c r="J8" s="421"/>
    </row>
    <row r="9" spans="1:10" s="21" customFormat="1" ht="16.5" customHeight="1" x14ac:dyDescent="0.3">
      <c r="A9" s="7"/>
      <c r="B9" s="8"/>
      <c r="C9" s="8"/>
      <c r="D9" s="8"/>
      <c r="E9" s="8"/>
      <c r="F9" s="8"/>
      <c r="G9" s="8"/>
      <c r="H9" s="8"/>
    </row>
    <row r="10" spans="1:10" s="470" customFormat="1" ht="16.5" customHeight="1" x14ac:dyDescent="0.3">
      <c r="A10" s="468"/>
      <c r="B10" s="469"/>
      <c r="C10" s="469"/>
      <c r="D10" s="469"/>
      <c r="E10" s="469"/>
      <c r="F10" s="469"/>
      <c r="G10" s="469"/>
      <c r="H10" s="469"/>
    </row>
    <row r="11" spans="1:10" ht="17.25" customHeight="1" x14ac:dyDescent="0.3">
      <c r="A11" s="277"/>
      <c r="B11" s="573" t="s">
        <v>265</v>
      </c>
      <c r="C11" s="573"/>
      <c r="D11" s="573"/>
      <c r="E11" s="573"/>
      <c r="F11" s="573"/>
      <c r="G11" s="429"/>
      <c r="H11" s="429"/>
    </row>
    <row r="12" spans="1:10" ht="17.25" customHeight="1" x14ac:dyDescent="0.3">
      <c r="A12" s="277"/>
      <c r="B12" s="570" t="s">
        <v>266</v>
      </c>
      <c r="C12" s="570"/>
      <c r="D12" s="570"/>
    </row>
    <row r="13" spans="1:10" ht="17.25" customHeight="1" x14ac:dyDescent="0.3">
      <c r="A13" s="277"/>
      <c r="B13" s="571" t="s">
        <v>267</v>
      </c>
      <c r="C13" s="571"/>
      <c r="D13" s="571"/>
      <c r="E13" s="571"/>
      <c r="F13" s="571"/>
      <c r="G13" s="571"/>
      <c r="H13" s="571"/>
    </row>
    <row r="14" spans="1:10" x14ac:dyDescent="0.3">
      <c r="A14" s="10"/>
      <c r="B14" s="10"/>
      <c r="C14" s="10"/>
      <c r="D14" s="10"/>
    </row>
    <row r="15" spans="1:10" x14ac:dyDescent="0.3">
      <c r="A15" s="10"/>
      <c r="B15" s="85" t="s">
        <v>56</v>
      </c>
      <c r="C15" s="10"/>
      <c r="D15" s="10"/>
    </row>
    <row r="16" spans="1:10" s="25" customFormat="1" ht="16.5" customHeight="1" x14ac:dyDescent="0.3">
      <c r="A16" s="40"/>
      <c r="B16" s="76" t="s">
        <v>55</v>
      </c>
      <c r="C16" s="204">
        <v>10000</v>
      </c>
      <c r="D16" s="76"/>
      <c r="F16" s="41"/>
      <c r="G16" s="41"/>
      <c r="H16" s="41"/>
    </row>
    <row r="17" spans="1:9" s="25" customFormat="1" ht="16.5" customHeight="1" x14ac:dyDescent="0.3">
      <c r="A17" s="40"/>
      <c r="B17" s="76" t="s">
        <v>171</v>
      </c>
      <c r="C17" s="76">
        <v>1</v>
      </c>
      <c r="D17" s="76" t="s">
        <v>192</v>
      </c>
      <c r="F17" s="109"/>
      <c r="G17" s="41"/>
      <c r="H17" s="41"/>
    </row>
    <row r="18" spans="1:9" s="25" customFormat="1" ht="16.5" customHeight="1" x14ac:dyDescent="0.3">
      <c r="A18" s="40"/>
      <c r="B18" s="76" t="s">
        <v>76</v>
      </c>
      <c r="C18" s="337">
        <v>0.1</v>
      </c>
      <c r="D18" s="76" t="s">
        <v>0</v>
      </c>
      <c r="F18" s="41"/>
      <c r="G18" s="41"/>
      <c r="H18" s="41"/>
    </row>
    <row r="19" spans="1:9" s="25" customFormat="1" ht="16.5" customHeight="1" x14ac:dyDescent="0.3">
      <c r="A19" s="40"/>
      <c r="B19" s="76" t="s">
        <v>622</v>
      </c>
      <c r="C19" s="337">
        <v>0.2</v>
      </c>
      <c r="D19" s="76" t="s">
        <v>0</v>
      </c>
      <c r="F19" s="41"/>
      <c r="G19" s="41"/>
      <c r="H19" s="41"/>
    </row>
    <row r="20" spans="1:9" s="25" customFormat="1" ht="16.5" customHeight="1" x14ac:dyDescent="0.3">
      <c r="A20" s="40"/>
      <c r="B20" s="76"/>
      <c r="C20" s="337"/>
      <c r="D20" s="76"/>
      <c r="F20" s="41"/>
      <c r="G20" s="41"/>
      <c r="H20" s="41"/>
    </row>
    <row r="21" spans="1:9" s="21" customFormat="1" ht="16.5" customHeight="1" x14ac:dyDescent="0.3">
      <c r="A21" s="7"/>
      <c r="B21" s="8"/>
      <c r="C21" s="8"/>
      <c r="D21" s="8"/>
      <c r="E21" s="8"/>
      <c r="F21" s="8"/>
      <c r="G21" s="8"/>
      <c r="H21" s="8"/>
    </row>
    <row r="22" spans="1:9" x14ac:dyDescent="0.3">
      <c r="A22" s="5"/>
      <c r="B22" s="6"/>
      <c r="C22" s="6"/>
      <c r="D22" s="6"/>
      <c r="E22" s="18"/>
      <c r="F22" s="6"/>
      <c r="G22" s="6"/>
      <c r="H22" s="6"/>
    </row>
    <row r="23" spans="1:9" x14ac:dyDescent="0.3">
      <c r="A23" s="9"/>
      <c r="B23" s="5" t="s">
        <v>1</v>
      </c>
      <c r="E23" s="5" t="s">
        <v>415</v>
      </c>
      <c r="F23" s="5"/>
    </row>
    <row r="24" spans="1:9" x14ac:dyDescent="0.3">
      <c r="A24" s="16"/>
      <c r="B24" s="85" t="s">
        <v>4</v>
      </c>
      <c r="C24" s="108"/>
      <c r="D24" s="29"/>
      <c r="E24" s="29">
        <v>1</v>
      </c>
      <c r="F24" s="66"/>
      <c r="G24" s="524">
        <f>C16*(1-C18)</f>
        <v>9000</v>
      </c>
      <c r="H24" s="231"/>
      <c r="I24" s="233">
        <f>-C16</f>
        <v>-10000</v>
      </c>
    </row>
    <row r="25" spans="1:9" x14ac:dyDescent="0.3">
      <c r="A25" s="16"/>
      <c r="B25" s="235" t="s">
        <v>38</v>
      </c>
      <c r="C25" s="167">
        <f>$C$16/$C$16/(1-$C$18)-1</f>
        <v>0.11111111111111116</v>
      </c>
      <c r="D25" s="112"/>
      <c r="E25" s="29" t="s">
        <v>13</v>
      </c>
      <c r="F25" s="66" t="s">
        <v>98</v>
      </c>
      <c r="G25" s="293" t="s">
        <v>14</v>
      </c>
      <c r="H25" s="66" t="s">
        <v>16</v>
      </c>
      <c r="I25" s="29" t="s">
        <v>17</v>
      </c>
    </row>
    <row r="26" spans="1:9" x14ac:dyDescent="0.3">
      <c r="A26" s="16"/>
      <c r="D26" s="44"/>
      <c r="F26" s="234">
        <f>RATE(E24,,G24,I24)*100</f>
        <v>11.111111111111112</v>
      </c>
      <c r="G26" s="525"/>
    </row>
    <row r="27" spans="1:9" x14ac:dyDescent="0.3">
      <c r="A27" s="16"/>
      <c r="B27" s="85" t="s">
        <v>5</v>
      </c>
      <c r="C27" s="230"/>
      <c r="D27" s="29"/>
      <c r="E27" s="29"/>
      <c r="G27" s="524"/>
      <c r="H27" s="231"/>
      <c r="I27" s="233"/>
    </row>
    <row r="28" spans="1:9" x14ac:dyDescent="0.3">
      <c r="A28" s="16"/>
      <c r="B28" s="235" t="s">
        <v>38</v>
      </c>
      <c r="C28" s="167">
        <f>$C$16/$C$16/(1-$C$19)-1</f>
        <v>0.25</v>
      </c>
      <c r="D28" s="29"/>
      <c r="E28" s="29">
        <v>1</v>
      </c>
      <c r="F28" s="66"/>
      <c r="G28" s="524">
        <f>C16*(1-C19)</f>
        <v>8000</v>
      </c>
      <c r="H28" s="231"/>
      <c r="I28" s="233">
        <f>-C16</f>
        <v>-10000</v>
      </c>
    </row>
    <row r="29" spans="1:9" x14ac:dyDescent="0.3">
      <c r="A29" s="16"/>
      <c r="E29" s="29" t="s">
        <v>13</v>
      </c>
      <c r="F29" s="66" t="s">
        <v>98</v>
      </c>
      <c r="G29" s="232" t="s">
        <v>14</v>
      </c>
      <c r="H29" s="66" t="s">
        <v>16</v>
      </c>
      <c r="I29" s="233" t="s">
        <v>17</v>
      </c>
    </row>
    <row r="30" spans="1:9" x14ac:dyDescent="0.3">
      <c r="A30" s="16"/>
      <c r="F30" s="234">
        <f>RATE(E28,,G28,I28)*100</f>
        <v>25.000000000000011</v>
      </c>
    </row>
    <row r="31" spans="1:9" x14ac:dyDescent="0.3">
      <c r="B31" s="6"/>
      <c r="C31" s="18"/>
      <c r="D31" s="18"/>
      <c r="E31" s="29"/>
      <c r="G31" s="231"/>
      <c r="H31" s="231"/>
      <c r="I31" s="29"/>
    </row>
    <row r="32" spans="1:9" x14ac:dyDescent="0.3">
      <c r="B32" s="18"/>
      <c r="C32" s="18"/>
      <c r="D32" s="18"/>
      <c r="E32" s="18"/>
    </row>
    <row r="33" spans="2:5" x14ac:dyDescent="0.3">
      <c r="B33" s="18"/>
      <c r="C33" s="18"/>
      <c r="D33" s="18"/>
      <c r="E33" s="18"/>
    </row>
  </sheetData>
  <mergeCells count="6">
    <mergeCell ref="B13:H13"/>
    <mergeCell ref="B11:F11"/>
    <mergeCell ref="B4:F4"/>
    <mergeCell ref="B7:F7"/>
    <mergeCell ref="B6:I6"/>
    <mergeCell ref="B12:D12"/>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30"/>
  <sheetViews>
    <sheetView workbookViewId="0"/>
  </sheetViews>
  <sheetFormatPr defaultColWidth="9.109375" defaultRowHeight="14.4" x14ac:dyDescent="0.3"/>
  <cols>
    <col min="1" max="1" width="16.5546875" style="28" customWidth="1"/>
    <col min="2" max="2" width="24.109375" style="28" customWidth="1"/>
    <col min="3" max="3" width="18.44140625" style="28" customWidth="1"/>
    <col min="4" max="4" width="15.44140625" style="28" customWidth="1"/>
    <col min="5" max="5" width="16.5546875" style="28" customWidth="1"/>
    <col min="6" max="6" width="12.88671875" style="28" customWidth="1"/>
    <col min="7" max="7" width="14.5546875" style="28" customWidth="1"/>
    <col min="8" max="8" width="9.109375" style="28"/>
    <col min="9" max="9" width="11.88671875" style="28" bestFit="1" customWidth="1"/>
    <col min="10" max="16384" width="9.109375" style="28"/>
  </cols>
  <sheetData>
    <row r="1" spans="1:10" x14ac:dyDescent="0.3">
      <c r="A1" s="5" t="s">
        <v>597</v>
      </c>
      <c r="B1" s="5"/>
    </row>
    <row r="2" spans="1:10" s="89" customFormat="1" x14ac:dyDescent="0.3">
      <c r="A2" s="370"/>
      <c r="B2" s="370"/>
    </row>
    <row r="3" spans="1:10" x14ac:dyDescent="0.3">
      <c r="A3" s="5" t="s">
        <v>0</v>
      </c>
      <c r="B3" s="5" t="s">
        <v>268</v>
      </c>
    </row>
    <row r="4" spans="1:10" ht="53.25" customHeight="1" x14ac:dyDescent="0.3">
      <c r="A4" s="2"/>
      <c r="B4" s="575" t="s">
        <v>463</v>
      </c>
      <c r="C4" s="575"/>
      <c r="D4" s="575"/>
      <c r="E4" s="575"/>
      <c r="F4" s="575"/>
      <c r="G4" s="415"/>
      <c r="H4" s="415"/>
      <c r="I4" s="415"/>
      <c r="J4" s="415"/>
    </row>
    <row r="5" spans="1:10" ht="15" customHeight="1" x14ac:dyDescent="0.3">
      <c r="A5" s="2"/>
      <c r="B5" s="28" t="s">
        <v>3</v>
      </c>
      <c r="D5" s="83"/>
      <c r="E5" s="83"/>
      <c r="F5" s="83"/>
      <c r="G5" s="83"/>
      <c r="H5" s="83"/>
    </row>
    <row r="6" spans="1:10" x14ac:dyDescent="0.3">
      <c r="A6" s="2"/>
      <c r="B6" s="579" t="s">
        <v>461</v>
      </c>
      <c r="C6" s="577"/>
      <c r="D6" s="577"/>
      <c r="E6" s="577"/>
      <c r="F6" s="577"/>
      <c r="G6" s="577"/>
      <c r="H6" s="577"/>
      <c r="I6" s="577"/>
    </row>
    <row r="7" spans="1:10" x14ac:dyDescent="0.3">
      <c r="A7" s="2"/>
      <c r="B7" s="574" t="s">
        <v>462</v>
      </c>
      <c r="C7" s="574"/>
      <c r="D7" s="574"/>
      <c r="E7" s="574"/>
      <c r="F7" s="574"/>
      <c r="G7" s="574"/>
      <c r="H7" s="574"/>
      <c r="I7" s="574"/>
    </row>
    <row r="8" spans="1:10" x14ac:dyDescent="0.3">
      <c r="A8" s="2"/>
      <c r="B8" s="416"/>
      <c r="C8" s="416"/>
      <c r="D8" s="416"/>
      <c r="E8" s="416"/>
      <c r="F8" s="416"/>
      <c r="G8" s="416"/>
      <c r="H8" s="416"/>
      <c r="I8" s="416"/>
    </row>
    <row r="9" spans="1:10" s="373" customFormat="1" ht="16.5" customHeight="1" x14ac:dyDescent="0.3">
      <c r="B9" s="412"/>
      <c r="C9" s="412"/>
      <c r="D9" s="412"/>
      <c r="E9" s="412"/>
      <c r="F9" s="412"/>
      <c r="G9" s="412"/>
      <c r="H9" s="412"/>
    </row>
    <row r="10" spans="1:10" s="246" customFormat="1" ht="16.5" customHeight="1" x14ac:dyDescent="0.3">
      <c r="B10" s="247"/>
      <c r="C10" s="247"/>
      <c r="D10" s="247"/>
      <c r="E10" s="247"/>
      <c r="F10" s="247"/>
      <c r="G10" s="247"/>
      <c r="H10" s="247"/>
    </row>
    <row r="11" spans="1:10" ht="17.25" customHeight="1" x14ac:dyDescent="0.3">
      <c r="A11" s="277"/>
      <c r="B11" s="573" t="s">
        <v>265</v>
      </c>
      <c r="C11" s="573"/>
      <c r="D11" s="573"/>
      <c r="E11" s="573"/>
      <c r="F11" s="573"/>
      <c r="G11" s="429"/>
      <c r="H11" s="429"/>
    </row>
    <row r="12" spans="1:10" ht="17.25" customHeight="1" x14ac:dyDescent="0.3">
      <c r="A12" s="277"/>
      <c r="B12" s="570" t="s">
        <v>266</v>
      </c>
      <c r="C12" s="570"/>
      <c r="D12" s="570"/>
    </row>
    <row r="13" spans="1:10" ht="17.25" customHeight="1" x14ac:dyDescent="0.3">
      <c r="A13" s="277"/>
      <c r="B13" s="571" t="s">
        <v>267</v>
      </c>
      <c r="C13" s="571"/>
      <c r="D13" s="571"/>
      <c r="E13" s="571"/>
      <c r="F13" s="571"/>
      <c r="G13" s="571"/>
      <c r="H13" s="571"/>
    </row>
    <row r="14" spans="1:10" x14ac:dyDescent="0.3">
      <c r="A14" s="10"/>
      <c r="B14" s="10"/>
      <c r="C14" s="10"/>
      <c r="D14" s="10"/>
    </row>
    <row r="15" spans="1:10" x14ac:dyDescent="0.3">
      <c r="A15" s="10"/>
      <c r="B15" s="85" t="s">
        <v>56</v>
      </c>
      <c r="C15" s="10"/>
      <c r="D15" s="10"/>
    </row>
    <row r="16" spans="1:10" s="25" customFormat="1" ht="16.5" customHeight="1" x14ac:dyDescent="0.3">
      <c r="A16" s="40"/>
      <c r="B16" s="76" t="s">
        <v>193</v>
      </c>
      <c r="C16" s="337">
        <v>0.2</v>
      </c>
      <c r="D16" s="76" t="s">
        <v>0</v>
      </c>
      <c r="F16" s="41"/>
      <c r="G16" s="41"/>
      <c r="H16" s="41"/>
    </row>
    <row r="17" spans="1:9" s="25" customFormat="1" ht="16.5" customHeight="1" x14ac:dyDescent="0.3">
      <c r="A17" s="40"/>
      <c r="B17" s="76" t="s">
        <v>152</v>
      </c>
      <c r="C17" s="204">
        <v>1000</v>
      </c>
      <c r="D17" s="76"/>
      <c r="F17" s="41"/>
      <c r="G17" s="41"/>
      <c r="H17" s="41"/>
    </row>
    <row r="18" spans="1:9" s="25" customFormat="1" ht="16.5" customHeight="1" x14ac:dyDescent="0.3">
      <c r="A18" s="40"/>
      <c r="B18" s="76" t="s">
        <v>464</v>
      </c>
      <c r="C18" s="78">
        <v>1</v>
      </c>
      <c r="D18" s="76" t="s">
        <v>0</v>
      </c>
      <c r="F18" s="109"/>
      <c r="G18" s="41"/>
      <c r="H18" s="41"/>
    </row>
    <row r="19" spans="1:9" x14ac:dyDescent="0.3">
      <c r="B19" s="76" t="s">
        <v>124</v>
      </c>
      <c r="C19" s="190">
        <v>100</v>
      </c>
    </row>
    <row r="20" spans="1:9" s="25" customFormat="1" ht="16.5" customHeight="1" x14ac:dyDescent="0.3">
      <c r="A20" s="40"/>
      <c r="B20" s="41"/>
      <c r="C20" s="41"/>
      <c r="D20" s="113"/>
      <c r="E20" s="41"/>
      <c r="F20" s="41"/>
      <c r="G20" s="41"/>
      <c r="H20" s="41"/>
    </row>
    <row r="21" spans="1:9" s="373" customFormat="1" ht="16.5" customHeight="1" x14ac:dyDescent="0.3">
      <c r="B21" s="412"/>
      <c r="C21" s="412"/>
      <c r="D21" s="412"/>
      <c r="E21" s="412"/>
      <c r="F21" s="412"/>
      <c r="G21" s="412"/>
      <c r="H21" s="412"/>
    </row>
    <row r="22" spans="1:9" x14ac:dyDescent="0.3">
      <c r="A22" s="5"/>
      <c r="B22" s="6"/>
      <c r="C22" s="6"/>
      <c r="D22" s="6"/>
      <c r="E22" s="18"/>
      <c r="F22" s="6"/>
      <c r="G22" s="6"/>
      <c r="H22" s="6"/>
    </row>
    <row r="23" spans="1:9" x14ac:dyDescent="0.3">
      <c r="A23" s="9"/>
      <c r="B23" s="5" t="s">
        <v>1</v>
      </c>
      <c r="E23" s="5" t="s">
        <v>415</v>
      </c>
      <c r="F23" s="5"/>
    </row>
    <row r="24" spans="1:9" x14ac:dyDescent="0.3">
      <c r="A24" s="16"/>
      <c r="B24" s="218" t="s">
        <v>4</v>
      </c>
      <c r="C24" s="108"/>
      <c r="D24" s="29"/>
      <c r="E24" s="66">
        <f>C18*12</f>
        <v>12</v>
      </c>
      <c r="F24" s="66" t="s">
        <v>0</v>
      </c>
      <c r="G24" s="524">
        <f>C17</f>
        <v>1000</v>
      </c>
      <c r="H24" s="243">
        <f>-C19</f>
        <v>-100</v>
      </c>
      <c r="I24" s="29"/>
    </row>
    <row r="25" spans="1:9" x14ac:dyDescent="0.3">
      <c r="A25" s="16"/>
      <c r="B25" s="235" t="s">
        <v>40</v>
      </c>
      <c r="C25" s="167">
        <f>RATE($C$18*12,($C$17*(1+$C$16))/$C$18/12,-$C$17,0,0)*12</f>
        <v>0.35074248922966084</v>
      </c>
      <c r="D25" s="112"/>
      <c r="E25" s="66" t="s">
        <v>13</v>
      </c>
      <c r="F25" s="66" t="s">
        <v>98</v>
      </c>
      <c r="G25" s="66" t="s">
        <v>14</v>
      </c>
      <c r="H25" s="66" t="s">
        <v>16</v>
      </c>
      <c r="I25" s="66" t="s">
        <v>17</v>
      </c>
    </row>
    <row r="26" spans="1:9" x14ac:dyDescent="0.3">
      <c r="A26" s="16"/>
      <c r="B26" s="218" t="s">
        <v>5</v>
      </c>
      <c r="C26" s="236"/>
      <c r="D26" s="44"/>
      <c r="F26" s="237">
        <f>RATE(E24,H24,G24)*100</f>
        <v>2.9228540769137741</v>
      </c>
      <c r="G26" s="29"/>
      <c r="H26" s="29"/>
      <c r="I26" s="66"/>
    </row>
    <row r="27" spans="1:9" x14ac:dyDescent="0.3">
      <c r="A27" s="16"/>
      <c r="B27" s="235" t="s">
        <v>38</v>
      </c>
      <c r="C27" s="167">
        <f>(1+RATE($C$18*12,($C$17*(1+$C$16))/$C$18/12,-$C$17,0,0))^12-1</f>
        <v>0.41299898414969283</v>
      </c>
      <c r="D27" s="29"/>
      <c r="E27" s="66"/>
      <c r="G27" s="18"/>
      <c r="H27" s="18"/>
      <c r="I27" s="18"/>
    </row>
    <row r="28" spans="1:9" x14ac:dyDescent="0.3">
      <c r="A28" s="16"/>
      <c r="B28" s="29"/>
      <c r="C28" s="114"/>
      <c r="D28" s="29"/>
      <c r="E28" s="66"/>
      <c r="F28" s="66"/>
      <c r="G28" s="18"/>
      <c r="H28" s="18"/>
      <c r="I28" s="18"/>
    </row>
    <row r="29" spans="1:9" x14ac:dyDescent="0.3">
      <c r="A29" s="16"/>
      <c r="E29" s="346" t="s">
        <v>40</v>
      </c>
      <c r="F29" s="345">
        <f>F26*12/100</f>
        <v>0.3507424892296529</v>
      </c>
      <c r="G29" s="18"/>
      <c r="H29" s="18"/>
      <c r="I29" s="18"/>
    </row>
    <row r="30" spans="1:9" x14ac:dyDescent="0.3">
      <c r="E30" s="346" t="s">
        <v>38</v>
      </c>
      <c r="F30" s="61">
        <f>(1+F26/100)^12-1</f>
        <v>0.41299898414968217</v>
      </c>
      <c r="G30" s="18"/>
      <c r="H30" s="18"/>
      <c r="I30" s="18"/>
    </row>
  </sheetData>
  <mergeCells count="6">
    <mergeCell ref="B13:H13"/>
    <mergeCell ref="B4:F4"/>
    <mergeCell ref="B11:F11"/>
    <mergeCell ref="B6:I6"/>
    <mergeCell ref="B7:I7"/>
    <mergeCell ref="B12:D12"/>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M25"/>
  <sheetViews>
    <sheetView workbookViewId="0"/>
  </sheetViews>
  <sheetFormatPr defaultColWidth="9.109375" defaultRowHeight="14.4" x14ac:dyDescent="0.3"/>
  <cols>
    <col min="1" max="1" width="16.5546875" style="28" customWidth="1"/>
    <col min="2" max="2" width="24.88671875" style="28" customWidth="1"/>
    <col min="3" max="3" width="19.44140625" style="28" customWidth="1"/>
    <col min="4" max="5" width="9.109375" style="28"/>
    <col min="6" max="6" width="9.109375" style="28" customWidth="1"/>
    <col min="7" max="7" width="15" style="28" customWidth="1"/>
    <col min="8" max="8" width="10.6640625" style="28" customWidth="1"/>
    <col min="9" max="9" width="9.109375" style="28"/>
    <col min="10" max="10" width="11.5546875" style="28" bestFit="1" customWidth="1"/>
    <col min="11" max="16384" width="9.109375" style="28"/>
  </cols>
  <sheetData>
    <row r="1" spans="1:10" x14ac:dyDescent="0.3">
      <c r="A1" s="5" t="s">
        <v>596</v>
      </c>
      <c r="B1" s="5"/>
    </row>
    <row r="2" spans="1:10" s="89" customFormat="1" x14ac:dyDescent="0.3">
      <c r="A2" s="370"/>
      <c r="B2" s="370"/>
    </row>
    <row r="3" spans="1:10" x14ac:dyDescent="0.3">
      <c r="A3" s="5" t="s">
        <v>0</v>
      </c>
      <c r="B3" s="5" t="s">
        <v>268</v>
      </c>
    </row>
    <row r="4" spans="1:10" ht="66.75" customHeight="1" x14ac:dyDescent="0.3">
      <c r="A4" s="2"/>
      <c r="B4" s="579" t="s">
        <v>465</v>
      </c>
      <c r="C4" s="579"/>
      <c r="D4" s="579"/>
      <c r="E4" s="579"/>
      <c r="F4" s="579"/>
      <c r="G4" s="579"/>
      <c r="H4" s="424"/>
      <c r="I4" s="424"/>
      <c r="J4" s="424"/>
    </row>
    <row r="5" spans="1:10" ht="15" customHeight="1" x14ac:dyDescent="0.3">
      <c r="A5" s="2"/>
      <c r="B5" s="424"/>
      <c r="C5" s="424"/>
      <c r="D5" s="424"/>
      <c r="E5" s="424"/>
      <c r="F5" s="424"/>
      <c r="G5" s="424"/>
      <c r="H5" s="424"/>
      <c r="I5" s="424"/>
      <c r="J5" s="424"/>
    </row>
    <row r="6" spans="1:10" s="89" customFormat="1" ht="15" customHeight="1" x14ac:dyDescent="0.3">
      <c r="A6" s="358"/>
      <c r="B6" s="498"/>
      <c r="C6" s="498"/>
      <c r="D6" s="498"/>
      <c r="E6" s="498"/>
      <c r="F6" s="498"/>
      <c r="G6" s="498"/>
      <c r="H6" s="498"/>
      <c r="I6" s="498"/>
      <c r="J6" s="498"/>
    </row>
    <row r="7" spans="1:10" ht="15" customHeight="1" x14ac:dyDescent="0.3">
      <c r="A7" s="2"/>
      <c r="B7" s="28" t="s">
        <v>3</v>
      </c>
      <c r="D7" s="27"/>
      <c r="E7" s="27"/>
      <c r="F7" s="27"/>
      <c r="G7" s="27"/>
      <c r="H7" s="27"/>
    </row>
    <row r="8" spans="1:10" ht="17.25" customHeight="1" x14ac:dyDescent="0.3">
      <c r="A8" s="277"/>
      <c r="B8" s="573" t="s">
        <v>265</v>
      </c>
      <c r="C8" s="573"/>
      <c r="D8" s="573"/>
      <c r="E8" s="573"/>
      <c r="F8" s="573"/>
      <c r="G8" s="573"/>
      <c r="H8" s="429" t="s">
        <v>0</v>
      </c>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10"/>
    </row>
    <row r="13" spans="1:10" s="77" customFormat="1" x14ac:dyDescent="0.3">
      <c r="B13" s="76" t="s">
        <v>132</v>
      </c>
      <c r="C13" s="125">
        <v>1000</v>
      </c>
      <c r="D13" s="76"/>
      <c r="E13" s="76"/>
      <c r="F13" s="76"/>
      <c r="G13" s="76"/>
      <c r="H13" s="76"/>
    </row>
    <row r="14" spans="1:10" s="77" customFormat="1" x14ac:dyDescent="0.3">
      <c r="B14" s="76" t="s">
        <v>146</v>
      </c>
      <c r="C14" s="78">
        <v>12</v>
      </c>
      <c r="D14" s="76"/>
      <c r="E14" s="76"/>
      <c r="F14" s="76"/>
      <c r="G14" s="76"/>
      <c r="H14" s="76"/>
    </row>
    <row r="15" spans="1:10" s="77" customFormat="1" x14ac:dyDescent="0.3">
      <c r="B15" s="76" t="s">
        <v>194</v>
      </c>
      <c r="C15" s="125">
        <v>90</v>
      </c>
      <c r="D15" s="76"/>
      <c r="E15" s="76"/>
      <c r="F15" s="76"/>
      <c r="G15" s="76"/>
      <c r="H15" s="76"/>
    </row>
    <row r="16" spans="1:10" s="77" customFormat="1" x14ac:dyDescent="0.3">
      <c r="B16" s="76" t="s">
        <v>195</v>
      </c>
      <c r="C16" s="125">
        <v>20</v>
      </c>
      <c r="D16" s="76"/>
      <c r="E16" s="76"/>
      <c r="F16" s="76"/>
      <c r="G16" s="76"/>
      <c r="H16" s="76"/>
    </row>
    <row r="17" spans="1:13" s="77" customFormat="1" x14ac:dyDescent="0.3">
      <c r="B17" s="76"/>
      <c r="C17" s="245"/>
      <c r="D17" s="76"/>
      <c r="E17" s="76"/>
      <c r="F17" s="76"/>
      <c r="G17" s="76"/>
      <c r="H17" s="76"/>
    </row>
    <row r="18" spans="1:13" s="373" customFormat="1" x14ac:dyDescent="0.3">
      <c r="B18" s="412"/>
      <c r="C18" s="481"/>
      <c r="D18" s="412"/>
      <c r="E18" s="412"/>
      <c r="F18" s="412"/>
      <c r="G18" s="412"/>
      <c r="H18" s="412"/>
    </row>
    <row r="19" spans="1:13" x14ac:dyDescent="0.3">
      <c r="A19" s="5"/>
      <c r="B19" s="6"/>
      <c r="C19" s="6"/>
      <c r="D19" s="53"/>
      <c r="E19" s="6"/>
      <c r="F19" s="6"/>
      <c r="G19" s="6"/>
      <c r="H19" s="6"/>
    </row>
    <row r="20" spans="1:13" x14ac:dyDescent="0.3">
      <c r="A20" s="9"/>
      <c r="B20" s="5" t="s">
        <v>1</v>
      </c>
      <c r="E20" s="5" t="s">
        <v>415</v>
      </c>
      <c r="H20" s="5"/>
      <c r="L20" s="29"/>
      <c r="M20" s="29"/>
    </row>
    <row r="21" spans="1:13" x14ac:dyDescent="0.3">
      <c r="A21" s="9"/>
      <c r="B21" s="33" t="s">
        <v>38</v>
      </c>
      <c r="C21" s="170">
        <f>(1+F23/100)^12-1</f>
        <v>0.19950170557703428</v>
      </c>
      <c r="E21" s="34">
        <f>C14</f>
        <v>12</v>
      </c>
      <c r="F21" s="34" t="s">
        <v>0</v>
      </c>
      <c r="G21" s="211">
        <f>C13-C16</f>
        <v>980</v>
      </c>
      <c r="H21" s="214">
        <f>-C15</f>
        <v>-90</v>
      </c>
      <c r="J21" s="34"/>
      <c r="K21" s="34"/>
      <c r="L21" s="29"/>
      <c r="M21" s="29"/>
    </row>
    <row r="22" spans="1:13" x14ac:dyDescent="0.3">
      <c r="A22" s="9"/>
      <c r="B22" s="33"/>
      <c r="C22" s="57"/>
      <c r="E22" s="34" t="s">
        <v>13</v>
      </c>
      <c r="F22" s="34" t="s">
        <v>98</v>
      </c>
      <c r="G22" s="34" t="s">
        <v>14</v>
      </c>
      <c r="H22" s="34" t="s">
        <v>16</v>
      </c>
      <c r="I22" s="34" t="s">
        <v>17</v>
      </c>
      <c r="J22" s="34"/>
      <c r="K22" s="34"/>
      <c r="L22" s="29"/>
      <c r="M22" s="29"/>
    </row>
    <row r="23" spans="1:13" x14ac:dyDescent="0.3">
      <c r="A23" s="9"/>
      <c r="C23" s="57"/>
      <c r="F23" s="347">
        <f>RATE(E21,H21,G21)*100</f>
        <v>1.5274330266400766</v>
      </c>
      <c r="I23" s="34" t="s">
        <v>0</v>
      </c>
      <c r="J23" s="34"/>
      <c r="K23" s="34"/>
      <c r="L23" s="29"/>
      <c r="M23" s="29"/>
    </row>
    <row r="24" spans="1:13" x14ac:dyDescent="0.3">
      <c r="A24" s="9"/>
      <c r="D24" s="19"/>
      <c r="E24" s="18"/>
      <c r="G24" s="58" t="s">
        <v>0</v>
      </c>
      <c r="H24" s="49" t="s">
        <v>0</v>
      </c>
      <c r="I24" s="16"/>
      <c r="J24" s="34"/>
      <c r="K24" s="34"/>
    </row>
    <row r="25" spans="1:13" x14ac:dyDescent="0.3">
      <c r="B25" s="18"/>
      <c r="C25" s="18"/>
      <c r="E25" s="28" t="s">
        <v>466</v>
      </c>
      <c r="F25" s="45">
        <f>(1+F23/100)^12-1</f>
        <v>0.19950170557703428</v>
      </c>
    </row>
  </sheetData>
  <mergeCells count="4">
    <mergeCell ref="B9:D9"/>
    <mergeCell ref="B10:H10"/>
    <mergeCell ref="B8:G8"/>
    <mergeCell ref="B4:G4"/>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31"/>
  <sheetViews>
    <sheetView workbookViewId="0"/>
  </sheetViews>
  <sheetFormatPr defaultColWidth="9.109375" defaultRowHeight="14.4" x14ac:dyDescent="0.3"/>
  <cols>
    <col min="1" max="1" width="16.5546875" style="28" customWidth="1"/>
    <col min="2" max="2" width="38.88671875" style="28" customWidth="1"/>
    <col min="3" max="3" width="17.88671875" style="28" customWidth="1"/>
    <col min="4" max="4" width="11.109375" style="28" customWidth="1"/>
    <col min="5" max="5" width="16.5546875" style="28" customWidth="1"/>
    <col min="6" max="6" width="12.88671875" style="28" customWidth="1"/>
    <col min="7" max="7" width="14.5546875" style="28" customWidth="1"/>
    <col min="8" max="8" width="9.109375" style="28"/>
    <col min="9" max="9" width="11.88671875" style="28" bestFit="1" customWidth="1"/>
    <col min="10" max="16384" width="9.109375" style="28"/>
  </cols>
  <sheetData>
    <row r="1" spans="1:10" x14ac:dyDescent="0.3">
      <c r="A1" s="5" t="s">
        <v>595</v>
      </c>
      <c r="B1" s="5"/>
    </row>
    <row r="2" spans="1:10" s="89" customFormat="1" x14ac:dyDescent="0.3">
      <c r="A2" s="370"/>
      <c r="B2" s="370"/>
    </row>
    <row r="3" spans="1:10" x14ac:dyDescent="0.3">
      <c r="A3" s="5" t="s">
        <v>0</v>
      </c>
      <c r="B3" s="5" t="s">
        <v>268</v>
      </c>
    </row>
    <row r="4" spans="1:10" ht="42" customHeight="1" x14ac:dyDescent="0.3">
      <c r="A4" s="2"/>
      <c r="B4" s="575" t="s">
        <v>287</v>
      </c>
      <c r="C4" s="575"/>
      <c r="D4" s="575"/>
      <c r="E4" s="575"/>
      <c r="F4" s="415"/>
      <c r="G4" s="415"/>
      <c r="H4" s="415"/>
      <c r="I4" s="415"/>
      <c r="J4" s="415"/>
    </row>
    <row r="5" spans="1:10" ht="15" customHeight="1" x14ac:dyDescent="0.3">
      <c r="A5" s="2"/>
      <c r="B5" s="28" t="s">
        <v>3</v>
      </c>
      <c r="D5" s="83"/>
      <c r="E5" s="83"/>
      <c r="F5" s="83"/>
      <c r="G5" s="83"/>
      <c r="H5" s="83"/>
    </row>
    <row r="6" spans="1:10" ht="15" customHeight="1" x14ac:dyDescent="0.3">
      <c r="A6" s="2"/>
      <c r="B6" s="579" t="s">
        <v>467</v>
      </c>
      <c r="C6" s="577"/>
      <c r="D6" s="577"/>
      <c r="E6" s="577"/>
      <c r="F6" s="577"/>
      <c r="G6" s="577"/>
      <c r="H6" s="577"/>
      <c r="I6" s="577"/>
    </row>
    <row r="7" spans="1:10" ht="15" customHeight="1" x14ac:dyDescent="0.3">
      <c r="A7" s="2"/>
      <c r="B7" s="421"/>
      <c r="C7" s="420"/>
      <c r="D7" s="420"/>
      <c r="E7" s="420"/>
      <c r="F7" s="420"/>
      <c r="G7" s="420"/>
      <c r="H7" s="420"/>
      <c r="I7" s="420"/>
    </row>
    <row r="8" spans="1:10" s="373" customFormat="1" ht="16.5" customHeight="1" x14ac:dyDescent="0.3">
      <c r="B8" s="412"/>
      <c r="C8" s="412"/>
      <c r="D8" s="412"/>
      <c r="E8" s="412"/>
      <c r="F8" s="412"/>
      <c r="G8" s="412"/>
      <c r="H8" s="412"/>
    </row>
    <row r="9" spans="1:10" s="25" customFormat="1" ht="16.5" customHeight="1" x14ac:dyDescent="0.3">
      <c r="A9" s="40"/>
      <c r="B9" s="41"/>
      <c r="C9" s="41"/>
      <c r="D9" s="41"/>
      <c r="E9" s="41"/>
      <c r="F9" s="41"/>
      <c r="G9" s="41"/>
      <c r="H9" s="41"/>
    </row>
    <row r="10" spans="1:10" s="25" customFormat="1" ht="16.5" customHeight="1" x14ac:dyDescent="0.3">
      <c r="A10" s="40"/>
      <c r="B10" s="573" t="s">
        <v>265</v>
      </c>
      <c r="C10" s="573"/>
      <c r="D10" s="573"/>
      <c r="E10" s="573"/>
      <c r="F10" s="41"/>
      <c r="G10" s="41"/>
      <c r="H10" s="41"/>
    </row>
    <row r="11" spans="1:10" ht="17.25" customHeight="1" x14ac:dyDescent="0.3">
      <c r="A11" s="277"/>
      <c r="B11" s="570" t="s">
        <v>266</v>
      </c>
      <c r="C11" s="570"/>
      <c r="D11" s="570"/>
    </row>
    <row r="12" spans="1:10" ht="17.25" customHeight="1" x14ac:dyDescent="0.3">
      <c r="A12" s="277"/>
      <c r="B12" s="571" t="s">
        <v>267</v>
      </c>
      <c r="C12" s="571"/>
      <c r="D12" s="571"/>
      <c r="E12" s="571"/>
      <c r="F12" s="571"/>
      <c r="G12" s="571"/>
      <c r="H12" s="571"/>
    </row>
    <row r="13" spans="1:10" x14ac:dyDescent="0.3">
      <c r="A13" s="10"/>
      <c r="B13" s="10"/>
      <c r="C13" s="10"/>
      <c r="D13" s="10"/>
    </row>
    <row r="14" spans="1:10" x14ac:dyDescent="0.3">
      <c r="A14" s="10"/>
      <c r="B14" s="85" t="s">
        <v>56</v>
      </c>
      <c r="C14" s="10"/>
      <c r="D14" s="10"/>
    </row>
    <row r="15" spans="1:10" s="25" customFormat="1" ht="16.5" customHeight="1" x14ac:dyDescent="0.3">
      <c r="A15" s="40"/>
      <c r="B15" s="76" t="s">
        <v>196</v>
      </c>
      <c r="C15" s="337">
        <v>6.2E-2</v>
      </c>
      <c r="D15" s="76" t="s">
        <v>0</v>
      </c>
      <c r="F15" s="41"/>
      <c r="G15" s="41"/>
      <c r="H15" s="41"/>
    </row>
    <row r="16" spans="1:10" s="25" customFormat="1" ht="16.5" customHeight="1" x14ac:dyDescent="0.3">
      <c r="A16" s="40"/>
      <c r="B16" s="76" t="s">
        <v>197</v>
      </c>
      <c r="C16" s="337">
        <v>0.06</v>
      </c>
      <c r="D16" s="76" t="s">
        <v>0</v>
      </c>
      <c r="F16" s="109"/>
      <c r="G16" s="41"/>
      <c r="H16" s="41"/>
    </row>
    <row r="17" spans="1:8" s="25" customFormat="1" ht="16.5" customHeight="1" x14ac:dyDescent="0.3">
      <c r="A17" s="40"/>
      <c r="B17" s="76" t="s">
        <v>468</v>
      </c>
      <c r="C17" s="238">
        <v>2</v>
      </c>
      <c r="D17" s="76" t="s">
        <v>0</v>
      </c>
      <c r="F17" s="41"/>
      <c r="G17" s="41"/>
      <c r="H17" s="41"/>
    </row>
    <row r="18" spans="1:8" s="25" customFormat="1" ht="16.5" customHeight="1" x14ac:dyDescent="0.3">
      <c r="A18" s="40"/>
      <c r="B18" s="76" t="s">
        <v>469</v>
      </c>
      <c r="C18" s="238">
        <v>12</v>
      </c>
      <c r="D18" s="76" t="s">
        <v>0</v>
      </c>
      <c r="F18" s="41"/>
      <c r="G18" s="41"/>
      <c r="H18" s="41"/>
    </row>
    <row r="19" spans="1:8" s="25" customFormat="1" ht="16.5" customHeight="1" x14ac:dyDescent="0.3">
      <c r="A19" s="40"/>
      <c r="B19" s="76"/>
      <c r="C19" s="499"/>
      <c r="D19" s="76"/>
      <c r="F19" s="41"/>
      <c r="G19" s="41"/>
      <c r="H19" s="41"/>
    </row>
    <row r="20" spans="1:8" s="21" customFormat="1" ht="16.5" customHeight="1" x14ac:dyDescent="0.3">
      <c r="A20" s="7"/>
      <c r="B20" s="8"/>
      <c r="C20" s="8"/>
      <c r="D20" s="8"/>
      <c r="E20" s="8"/>
      <c r="F20" s="8"/>
      <c r="G20" s="8"/>
      <c r="H20" s="8"/>
    </row>
    <row r="21" spans="1:8" x14ac:dyDescent="0.3">
      <c r="A21" s="5"/>
      <c r="B21" s="6"/>
      <c r="C21" s="6"/>
      <c r="D21" s="6"/>
      <c r="E21" s="18"/>
      <c r="F21" s="6"/>
      <c r="G21" s="6"/>
      <c r="H21" s="6"/>
    </row>
    <row r="22" spans="1:8" x14ac:dyDescent="0.3">
      <c r="A22" s="9"/>
      <c r="B22" s="5" t="s">
        <v>1</v>
      </c>
      <c r="F22" s="5"/>
    </row>
    <row r="23" spans="1:8" x14ac:dyDescent="0.3">
      <c r="A23" s="16"/>
      <c r="B23" s="218" t="s">
        <v>198</v>
      </c>
      <c r="C23" s="108"/>
      <c r="D23" s="29"/>
      <c r="E23" s="29"/>
      <c r="F23" s="66"/>
      <c r="G23" s="16"/>
      <c r="H23" s="16"/>
    </row>
    <row r="24" spans="1:8" x14ac:dyDescent="0.3">
      <c r="A24" s="16"/>
      <c r="B24" s="235" t="s">
        <v>32</v>
      </c>
      <c r="C24" s="167">
        <f>(1+(C15/C17))^C17-1</f>
        <v>6.2960999999999823E-2</v>
      </c>
      <c r="D24" s="112"/>
      <c r="E24" s="29"/>
      <c r="F24" s="66"/>
      <c r="G24" s="16"/>
      <c r="H24" s="16"/>
    </row>
    <row r="25" spans="1:8" x14ac:dyDescent="0.3">
      <c r="A25" s="16"/>
      <c r="B25" s="235"/>
      <c r="C25" s="167"/>
      <c r="D25" s="112"/>
      <c r="E25" s="29"/>
      <c r="F25" s="66"/>
      <c r="G25" s="16"/>
      <c r="H25" s="16"/>
    </row>
    <row r="26" spans="1:8" x14ac:dyDescent="0.3">
      <c r="A26" s="16"/>
      <c r="B26" s="218" t="s">
        <v>199</v>
      </c>
      <c r="C26" s="230"/>
      <c r="D26" s="44"/>
      <c r="E26" s="29"/>
      <c r="F26" s="66"/>
      <c r="G26" s="16"/>
      <c r="H26" s="16"/>
    </row>
    <row r="27" spans="1:8" x14ac:dyDescent="0.3">
      <c r="A27" s="16"/>
      <c r="B27" s="235" t="s">
        <v>32</v>
      </c>
      <c r="C27" s="167">
        <f>(1+(C16/C18))^C18-1</f>
        <v>6.1677811864497611E-2</v>
      </c>
      <c r="D27" s="29"/>
      <c r="E27" s="29"/>
      <c r="F27" s="66"/>
      <c r="G27" s="16"/>
      <c r="H27" s="16"/>
    </row>
    <row r="28" spans="1:8" x14ac:dyDescent="0.3">
      <c r="A28" s="16"/>
      <c r="B28" s="29"/>
      <c r="C28" s="230"/>
      <c r="D28" s="29"/>
      <c r="E28" s="29"/>
      <c r="F28" s="66"/>
      <c r="G28" s="16"/>
      <c r="H28" s="16"/>
    </row>
    <row r="29" spans="1:8" x14ac:dyDescent="0.3">
      <c r="A29" s="16"/>
      <c r="B29" s="419" t="s">
        <v>470</v>
      </c>
      <c r="C29" s="526" t="str">
        <f>IF(C27&gt;C24,"Second Natioanl Bank",IF(C27&lt;C24,"First National Bank","indifferent"))</f>
        <v>First National Bank</v>
      </c>
      <c r="D29" s="29"/>
      <c r="E29" s="29"/>
      <c r="F29" s="66"/>
      <c r="G29" s="16"/>
      <c r="H29" s="16"/>
    </row>
    <row r="30" spans="1:8" x14ac:dyDescent="0.3">
      <c r="B30" s="18"/>
      <c r="C30" s="18"/>
      <c r="D30" s="18"/>
      <c r="E30" s="18"/>
    </row>
    <row r="31" spans="1:8" x14ac:dyDescent="0.3">
      <c r="B31" s="18"/>
      <c r="C31" s="18"/>
      <c r="D31" s="18"/>
      <c r="E31" s="18"/>
    </row>
  </sheetData>
  <mergeCells count="5">
    <mergeCell ref="B12:H12"/>
    <mergeCell ref="B10:E10"/>
    <mergeCell ref="B4:E4"/>
    <mergeCell ref="B6:I6"/>
    <mergeCell ref="B11:D11"/>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36"/>
  <sheetViews>
    <sheetView workbookViewId="0"/>
  </sheetViews>
  <sheetFormatPr defaultColWidth="9.109375" defaultRowHeight="14.4" x14ac:dyDescent="0.3"/>
  <cols>
    <col min="1" max="1" width="20.88671875" style="28" customWidth="1"/>
    <col min="2" max="2" width="19.33203125" style="28" customWidth="1"/>
    <col min="3" max="3" width="25.109375" style="28" bestFit="1" customWidth="1"/>
    <col min="4" max="4" width="13.109375" style="28" customWidth="1"/>
    <col min="5" max="5" width="16.5546875" style="28" customWidth="1"/>
    <col min="6" max="6" width="12.88671875" style="28" customWidth="1"/>
    <col min="7" max="7" width="14.5546875" style="28" customWidth="1"/>
    <col min="8" max="8" width="11.109375" style="28" customWidth="1"/>
    <col min="9" max="9" width="11.88671875" style="28" bestFit="1" customWidth="1"/>
    <col min="10" max="16384" width="9.109375" style="28"/>
  </cols>
  <sheetData>
    <row r="1" spans="1:10" x14ac:dyDescent="0.3">
      <c r="A1" s="5" t="s">
        <v>594</v>
      </c>
      <c r="B1" s="5"/>
      <c r="C1" s="10"/>
      <c r="D1" s="10"/>
      <c r="E1" s="10"/>
      <c r="F1" s="10"/>
      <c r="G1" s="10"/>
      <c r="H1" s="10"/>
      <c r="I1" s="10"/>
      <c r="J1" s="10"/>
    </row>
    <row r="2" spans="1:10" s="89" customFormat="1" x14ac:dyDescent="0.3">
      <c r="A2" s="370"/>
      <c r="B2" s="370"/>
      <c r="C2" s="373"/>
      <c r="D2" s="373"/>
      <c r="E2" s="373"/>
      <c r="F2" s="373"/>
      <c r="G2" s="373"/>
      <c r="H2" s="373"/>
      <c r="I2" s="373"/>
      <c r="J2" s="373"/>
    </row>
    <row r="3" spans="1:10" x14ac:dyDescent="0.3">
      <c r="A3" s="5" t="s">
        <v>0</v>
      </c>
      <c r="B3" s="5" t="s">
        <v>268</v>
      </c>
      <c r="C3" s="10"/>
      <c r="D3" s="10"/>
      <c r="E3" s="10"/>
      <c r="F3" s="10"/>
      <c r="G3" s="10"/>
      <c r="H3" s="10"/>
      <c r="I3" s="10"/>
      <c r="J3" s="10"/>
    </row>
    <row r="4" spans="1:10" ht="39" customHeight="1" x14ac:dyDescent="0.3">
      <c r="A4" s="277"/>
      <c r="B4" s="575" t="s">
        <v>471</v>
      </c>
      <c r="C4" s="588"/>
      <c r="D4" s="588"/>
      <c r="E4" s="588"/>
      <c r="F4" s="588"/>
      <c r="G4" s="385"/>
      <c r="H4" s="385"/>
      <c r="I4" s="385"/>
      <c r="J4" s="385"/>
    </row>
    <row r="5" spans="1:10" ht="15" customHeight="1" x14ac:dyDescent="0.3">
      <c r="A5" s="277"/>
      <c r="B5" s="10" t="s">
        <v>3</v>
      </c>
      <c r="C5" s="10"/>
      <c r="D5" s="386"/>
      <c r="E5" s="386"/>
      <c r="F5" s="386"/>
      <c r="G5" s="386"/>
      <c r="H5" s="386"/>
      <c r="I5" s="10"/>
      <c r="J5" s="10"/>
    </row>
    <row r="6" spans="1:10" ht="15" customHeight="1" x14ac:dyDescent="0.3">
      <c r="A6" s="277"/>
      <c r="B6" s="579" t="s">
        <v>473</v>
      </c>
      <c r="C6" s="577"/>
      <c r="D6" s="577"/>
      <c r="E6" s="577"/>
      <c r="F6" s="577"/>
      <c r="G6" s="577"/>
      <c r="H6" s="577"/>
      <c r="I6" s="577"/>
      <c r="J6" s="10"/>
    </row>
    <row r="7" spans="1:10" ht="15" customHeight="1" x14ac:dyDescent="0.3">
      <c r="A7" s="277"/>
      <c r="B7" s="389" t="s">
        <v>474</v>
      </c>
      <c r="C7" s="398"/>
      <c r="D7" s="420"/>
      <c r="E7" s="420"/>
      <c r="F7" s="420"/>
      <c r="G7" s="420"/>
      <c r="H7" s="420"/>
      <c r="I7" s="420"/>
      <c r="J7" s="10"/>
    </row>
    <row r="8" spans="1:10" ht="34.5" customHeight="1" x14ac:dyDescent="0.3">
      <c r="A8" s="277"/>
      <c r="B8" s="579" t="s">
        <v>540</v>
      </c>
      <c r="C8" s="579"/>
      <c r="D8" s="579"/>
      <c r="E8" s="579"/>
      <c r="F8" s="579"/>
      <c r="G8" s="278"/>
      <c r="H8" s="278"/>
      <c r="I8" s="278"/>
      <c r="J8" s="278"/>
    </row>
    <row r="9" spans="1:10" ht="15" customHeight="1" x14ac:dyDescent="0.3">
      <c r="A9" s="277"/>
      <c r="B9" s="421"/>
      <c r="C9" s="421"/>
      <c r="D9" s="421"/>
      <c r="E9" s="421"/>
      <c r="F9" s="421"/>
      <c r="G9" s="278"/>
      <c r="H9" s="278"/>
      <c r="I9" s="278"/>
      <c r="J9" s="278"/>
    </row>
    <row r="10" spans="1:10" s="89" customFormat="1" ht="15" customHeight="1" x14ac:dyDescent="0.3">
      <c r="A10" s="505"/>
      <c r="B10" s="360"/>
      <c r="C10" s="360"/>
      <c r="D10" s="360"/>
      <c r="E10" s="360"/>
      <c r="F10" s="360"/>
      <c r="G10" s="506"/>
      <c r="H10" s="506"/>
      <c r="I10" s="506"/>
      <c r="J10" s="506"/>
    </row>
    <row r="11" spans="1:10" s="25" customFormat="1" ht="15" customHeight="1" x14ac:dyDescent="0.3">
      <c r="A11" s="527"/>
      <c r="B11" s="589"/>
      <c r="C11" s="589"/>
      <c r="D11" s="589"/>
      <c r="E11" s="589"/>
      <c r="F11" s="589"/>
      <c r="G11" s="589"/>
      <c r="H11" s="589"/>
      <c r="I11" s="589"/>
      <c r="J11" s="77"/>
    </row>
    <row r="12" spans="1:10" ht="17.25" customHeight="1" x14ac:dyDescent="0.3">
      <c r="A12" s="277"/>
      <c r="B12" s="573" t="s">
        <v>265</v>
      </c>
      <c r="C12" s="573"/>
      <c r="D12" s="573"/>
      <c r="E12" s="573"/>
      <c r="F12" s="573"/>
      <c r="G12" s="429"/>
      <c r="H12" s="429"/>
      <c r="I12" s="10"/>
      <c r="J12" s="10"/>
    </row>
    <row r="13" spans="1:10" ht="17.25" customHeight="1" x14ac:dyDescent="0.3">
      <c r="A13" s="277"/>
      <c r="B13" s="570" t="s">
        <v>266</v>
      </c>
      <c r="C13" s="570"/>
      <c r="D13" s="570"/>
      <c r="E13" s="10"/>
      <c r="F13" s="10"/>
      <c r="G13" s="10"/>
      <c r="H13" s="10"/>
      <c r="I13" s="10"/>
      <c r="J13" s="10"/>
    </row>
    <row r="14" spans="1:10" ht="17.25" customHeight="1" x14ac:dyDescent="0.3">
      <c r="A14" s="277"/>
      <c r="B14" s="571" t="s">
        <v>267</v>
      </c>
      <c r="C14" s="571"/>
      <c r="D14" s="571"/>
      <c r="E14" s="571"/>
      <c r="F14" s="571"/>
      <c r="G14" s="571"/>
      <c r="H14" s="571"/>
      <c r="I14" s="10"/>
      <c r="J14" s="10"/>
    </row>
    <row r="15" spans="1:10" x14ac:dyDescent="0.3">
      <c r="A15" s="10"/>
      <c r="B15" s="10"/>
      <c r="C15" s="10"/>
      <c r="D15" s="10"/>
      <c r="E15" s="10"/>
      <c r="F15" s="10"/>
      <c r="G15" s="10"/>
      <c r="H15" s="10"/>
      <c r="I15" s="10"/>
      <c r="J15" s="10"/>
    </row>
    <row r="16" spans="1:10" x14ac:dyDescent="0.3">
      <c r="A16" s="10"/>
      <c r="B16" s="85" t="s">
        <v>56</v>
      </c>
      <c r="C16" s="10"/>
      <c r="D16" s="10"/>
      <c r="E16" s="10"/>
      <c r="F16" s="10"/>
      <c r="G16" s="10"/>
      <c r="H16" s="10"/>
      <c r="I16" s="10"/>
      <c r="J16" s="10"/>
    </row>
    <row r="17" spans="1:10" s="25" customFormat="1" ht="16.5" customHeight="1" x14ac:dyDescent="0.3">
      <c r="A17" s="40"/>
      <c r="B17" s="76" t="s">
        <v>77</v>
      </c>
      <c r="C17" s="204">
        <v>8000</v>
      </c>
      <c r="D17" s="76"/>
      <c r="E17" s="77"/>
      <c r="F17" s="41"/>
      <c r="G17" s="41"/>
      <c r="H17" s="41"/>
      <c r="I17" s="77"/>
      <c r="J17" s="77"/>
    </row>
    <row r="18" spans="1:10" s="25" customFormat="1" ht="16.5" customHeight="1" x14ac:dyDescent="0.3">
      <c r="A18" s="40"/>
      <c r="B18" s="76" t="s">
        <v>39</v>
      </c>
      <c r="C18" s="239">
        <v>48</v>
      </c>
      <c r="D18" s="76" t="s">
        <v>0</v>
      </c>
      <c r="E18" s="77"/>
      <c r="F18" s="109"/>
      <c r="G18" s="41"/>
      <c r="H18" s="41"/>
      <c r="I18" s="77"/>
      <c r="J18" s="77"/>
    </row>
    <row r="19" spans="1:10" s="25" customFormat="1" ht="16.5" customHeight="1" x14ac:dyDescent="0.3">
      <c r="A19" s="40"/>
      <c r="B19" s="76" t="s">
        <v>40</v>
      </c>
      <c r="C19" s="79">
        <v>0.1</v>
      </c>
      <c r="D19" s="76" t="s">
        <v>0</v>
      </c>
      <c r="E19" s="77"/>
      <c r="F19" s="41"/>
      <c r="G19" s="41"/>
      <c r="H19" s="41"/>
      <c r="I19" s="77"/>
      <c r="J19" s="77"/>
    </row>
    <row r="20" spans="1:10" s="25" customFormat="1" ht="16.5" customHeight="1" x14ac:dyDescent="0.3">
      <c r="A20" s="40"/>
      <c r="B20" s="76" t="s">
        <v>472</v>
      </c>
      <c r="C20" s="238">
        <v>4</v>
      </c>
      <c r="D20" s="76" t="s">
        <v>0</v>
      </c>
      <c r="E20" s="77"/>
      <c r="F20" s="41"/>
      <c r="G20" s="41"/>
      <c r="H20" s="41"/>
      <c r="I20" s="77"/>
      <c r="J20" s="77"/>
    </row>
    <row r="21" spans="1:10" s="25" customFormat="1" ht="16.5" customHeight="1" x14ac:dyDescent="0.3">
      <c r="A21" s="40"/>
      <c r="B21" s="76"/>
      <c r="C21" s="499"/>
      <c r="D21" s="76"/>
      <c r="E21" s="77"/>
      <c r="F21" s="41"/>
      <c r="G21" s="41"/>
      <c r="H21" s="41"/>
      <c r="I21" s="77"/>
      <c r="J21" s="77"/>
    </row>
    <row r="22" spans="1:10" s="21" customFormat="1" ht="16.5" customHeight="1" x14ac:dyDescent="0.3">
      <c r="A22" s="7"/>
      <c r="B22" s="8"/>
      <c r="C22" s="8"/>
      <c r="D22" s="8"/>
      <c r="E22" s="8"/>
      <c r="F22" s="8"/>
      <c r="G22" s="8"/>
      <c r="H22" s="8"/>
      <c r="I22" s="474"/>
      <c r="J22" s="474"/>
    </row>
    <row r="23" spans="1:10" x14ac:dyDescent="0.3">
      <c r="A23" s="5"/>
      <c r="B23" s="6"/>
      <c r="C23" s="6"/>
      <c r="D23" s="6"/>
      <c r="E23" s="18"/>
      <c r="F23" s="6"/>
      <c r="G23" s="6"/>
      <c r="H23" s="6"/>
      <c r="I23" s="10"/>
      <c r="J23" s="10"/>
    </row>
    <row r="24" spans="1:10" x14ac:dyDescent="0.3">
      <c r="A24" s="387"/>
      <c r="B24" s="5" t="s">
        <v>1</v>
      </c>
      <c r="C24" s="10"/>
      <c r="D24" s="10"/>
      <c r="E24" s="5" t="s">
        <v>415</v>
      </c>
      <c r="F24" s="5"/>
      <c r="G24" s="10"/>
      <c r="H24" s="10"/>
      <c r="I24" s="10"/>
      <c r="J24" s="10"/>
    </row>
    <row r="25" spans="1:10" x14ac:dyDescent="0.3">
      <c r="A25" s="16"/>
      <c r="B25" s="85" t="s">
        <v>4</v>
      </c>
      <c r="C25" s="287"/>
      <c r="D25" s="286"/>
      <c r="E25" s="243">
        <f>C18</f>
        <v>48</v>
      </c>
      <c r="F25" s="244">
        <f>C19*100/12</f>
        <v>0.83333333333333337</v>
      </c>
      <c r="G25" s="524">
        <f>-C17</f>
        <v>-8000</v>
      </c>
      <c r="J25" s="10"/>
    </row>
    <row r="26" spans="1:10" x14ac:dyDescent="0.3">
      <c r="A26" s="16"/>
      <c r="B26" s="235" t="s">
        <v>124</v>
      </c>
      <c r="C26" s="240">
        <f>C17/(1-1/(1+(C19/12))^C18)*(C19/12)</f>
        <v>202.90066747797832</v>
      </c>
      <c r="D26" s="286"/>
      <c r="E26" s="66" t="s">
        <v>13</v>
      </c>
      <c r="F26" s="66" t="s">
        <v>98</v>
      </c>
      <c r="G26" s="66" t="s">
        <v>14</v>
      </c>
      <c r="H26" s="66" t="s">
        <v>16</v>
      </c>
      <c r="I26" s="66" t="s">
        <v>17</v>
      </c>
      <c r="J26" s="10"/>
    </row>
    <row r="27" spans="1:10" x14ac:dyDescent="0.3">
      <c r="A27" s="16"/>
      <c r="B27" s="287"/>
      <c r="C27" s="241"/>
      <c r="D27" s="112"/>
      <c r="H27" s="234">
        <f>PMT(F25/100,E25,G25)</f>
        <v>202.90066747797752</v>
      </c>
      <c r="I27" s="286"/>
      <c r="J27" s="10"/>
    </row>
    <row r="28" spans="1:10" x14ac:dyDescent="0.3">
      <c r="A28" s="16"/>
      <c r="B28" s="85" t="s">
        <v>5</v>
      </c>
      <c r="C28" s="230"/>
      <c r="D28" s="288"/>
      <c r="E28" s="286"/>
      <c r="F28" s="66"/>
      <c r="G28" s="16"/>
      <c r="I28" s="286"/>
      <c r="J28" s="10"/>
    </row>
    <row r="29" spans="1:10" x14ac:dyDescent="0.3">
      <c r="A29" s="16"/>
      <c r="B29" s="235" t="s">
        <v>32</v>
      </c>
      <c r="C29" s="167">
        <f>(1+(C19/12))^12-1</f>
        <v>0.10471306744129683</v>
      </c>
      <c r="D29" s="286"/>
      <c r="E29" s="286"/>
      <c r="F29" s="66"/>
      <c r="G29" s="16"/>
      <c r="H29" s="16"/>
      <c r="I29" s="286"/>
      <c r="J29" s="10"/>
    </row>
    <row r="30" spans="1:10" x14ac:dyDescent="0.3">
      <c r="A30" s="16"/>
      <c r="B30" s="529"/>
      <c r="C30" s="167"/>
      <c r="D30" s="286"/>
      <c r="E30" s="286"/>
      <c r="F30" s="66"/>
      <c r="G30" s="16"/>
      <c r="H30" s="16"/>
      <c r="I30" s="286"/>
      <c r="J30" s="10"/>
    </row>
    <row r="31" spans="1:10" x14ac:dyDescent="0.3">
      <c r="A31" s="16"/>
      <c r="B31" s="85" t="s">
        <v>6</v>
      </c>
      <c r="C31" s="10"/>
      <c r="D31" s="286"/>
      <c r="E31" s="286"/>
      <c r="F31" s="66"/>
      <c r="G31" s="16"/>
      <c r="H31" s="16"/>
      <c r="I31" s="286"/>
      <c r="J31" s="10"/>
    </row>
    <row r="32" spans="1:10" x14ac:dyDescent="0.3">
      <c r="A32" s="16"/>
      <c r="B32" s="289" t="s">
        <v>37</v>
      </c>
      <c r="C32" s="240">
        <f>C17/(1-1/(1+(C19))^C20)*C19</f>
        <v>2523.7664296487815</v>
      </c>
      <c r="D32" s="286"/>
      <c r="E32" s="243">
        <f>C20</f>
        <v>4</v>
      </c>
      <c r="F32" s="243">
        <f>C19*100</f>
        <v>10</v>
      </c>
      <c r="G32" s="524">
        <f>-C17</f>
        <v>-8000</v>
      </c>
      <c r="H32" s="29"/>
      <c r="I32" s="29"/>
      <c r="J32" s="10"/>
    </row>
    <row r="33" spans="1:10" x14ac:dyDescent="0.3">
      <c r="A33" s="16"/>
      <c r="B33" s="286"/>
      <c r="C33" s="287"/>
      <c r="D33" s="286"/>
      <c r="E33" s="66" t="s">
        <v>13</v>
      </c>
      <c r="F33" s="66" t="s">
        <v>98</v>
      </c>
      <c r="G33" s="66" t="s">
        <v>14</v>
      </c>
      <c r="H33" s="66" t="s">
        <v>16</v>
      </c>
      <c r="I33" s="66" t="s">
        <v>17</v>
      </c>
      <c r="J33" s="10"/>
    </row>
    <row r="34" spans="1:10" x14ac:dyDescent="0.3">
      <c r="A34" s="16"/>
      <c r="B34" s="15" t="s">
        <v>0</v>
      </c>
      <c r="C34" s="10"/>
      <c r="D34" s="10"/>
      <c r="G34" s="29"/>
      <c r="H34" s="275">
        <f>PMT(F32/100,E32,G32)</f>
        <v>2523.7664296487828</v>
      </c>
      <c r="I34" s="286"/>
      <c r="J34" s="10"/>
    </row>
    <row r="35" spans="1:10" ht="31.5" customHeight="1" x14ac:dyDescent="0.3">
      <c r="A35" s="16"/>
      <c r="B35" s="17"/>
      <c r="C35" s="18"/>
      <c r="D35" s="18"/>
      <c r="E35" s="286"/>
      <c r="F35" s="66"/>
      <c r="G35" s="16"/>
      <c r="I35" s="286"/>
      <c r="J35" s="10"/>
    </row>
    <row r="36" spans="1:10" x14ac:dyDescent="0.3">
      <c r="A36" s="10"/>
      <c r="B36" s="18"/>
      <c r="C36" s="18"/>
      <c r="D36" s="18"/>
      <c r="E36" s="18"/>
      <c r="F36" s="10"/>
      <c r="G36" s="10"/>
      <c r="H36" s="10"/>
      <c r="I36" s="10"/>
      <c r="J36" s="10"/>
    </row>
  </sheetData>
  <mergeCells count="7">
    <mergeCell ref="B13:D13"/>
    <mergeCell ref="B14:H14"/>
    <mergeCell ref="B12:F12"/>
    <mergeCell ref="B4:F4"/>
    <mergeCell ref="B8:F8"/>
    <mergeCell ref="B6:I6"/>
    <mergeCell ref="B11:I11"/>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8"/>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4" width="9.109375" style="28"/>
    <col min="5" max="5" width="16.5546875" style="28" customWidth="1"/>
    <col min="6" max="6" width="10.5546875" style="28" bestFit="1" customWidth="1"/>
    <col min="7" max="7" width="14.5546875" style="28" customWidth="1"/>
    <col min="8" max="8" width="9.109375" style="28"/>
    <col min="9" max="9" width="11.88671875" style="28" bestFit="1" customWidth="1"/>
    <col min="10" max="10" width="12.5546875" style="28" bestFit="1" customWidth="1"/>
    <col min="11" max="16384" width="9.109375" style="28"/>
  </cols>
  <sheetData>
    <row r="1" spans="1:10" x14ac:dyDescent="0.3">
      <c r="A1" s="5" t="s">
        <v>593</v>
      </c>
      <c r="B1" s="5"/>
    </row>
    <row r="2" spans="1:10" s="89" customFormat="1" x14ac:dyDescent="0.3">
      <c r="A2" s="370"/>
      <c r="B2" s="370"/>
    </row>
    <row r="3" spans="1:10" x14ac:dyDescent="0.3">
      <c r="A3" s="5" t="s">
        <v>0</v>
      </c>
      <c r="B3" s="5" t="s">
        <v>268</v>
      </c>
    </row>
    <row r="4" spans="1:10" ht="29.25" customHeight="1" x14ac:dyDescent="0.5">
      <c r="A4" s="1"/>
      <c r="B4" s="579" t="s">
        <v>475</v>
      </c>
      <c r="C4" s="579"/>
      <c r="D4" s="579"/>
      <c r="E4" s="579"/>
      <c r="F4" s="579"/>
      <c r="G4" s="579"/>
      <c r="H4" s="99"/>
      <c r="I4" s="99"/>
      <c r="J4" s="99"/>
    </row>
    <row r="5" spans="1:10" ht="15" customHeight="1" x14ac:dyDescent="0.5">
      <c r="A5" s="1"/>
      <c r="B5" s="579" t="s">
        <v>476</v>
      </c>
      <c r="C5" s="590"/>
      <c r="D5" s="590"/>
      <c r="E5" s="590"/>
      <c r="F5" s="590"/>
      <c r="G5" s="590"/>
      <c r="H5" s="590"/>
      <c r="I5" s="590"/>
      <c r="J5" s="590"/>
    </row>
    <row r="6" spans="1:10" ht="15" customHeight="1" x14ac:dyDescent="0.5">
      <c r="A6" s="1"/>
      <c r="B6" s="421"/>
      <c r="C6" s="423"/>
      <c r="D6" s="423"/>
      <c r="E6" s="423"/>
      <c r="F6" s="423"/>
      <c r="G6" s="423"/>
      <c r="H6" s="423"/>
      <c r="I6" s="423"/>
      <c r="J6" s="423"/>
    </row>
    <row r="7" spans="1:10" s="373" customFormat="1" x14ac:dyDescent="0.3">
      <c r="B7" s="412"/>
      <c r="C7" s="412"/>
      <c r="D7" s="412"/>
      <c r="E7" s="412"/>
      <c r="F7" s="412"/>
      <c r="G7" s="412"/>
      <c r="H7" s="412"/>
    </row>
    <row r="8" spans="1:10" s="470" customFormat="1" x14ac:dyDescent="0.3">
      <c r="A8" s="468"/>
      <c r="B8" s="469"/>
      <c r="C8" s="469"/>
      <c r="D8" s="469"/>
      <c r="E8" s="469"/>
      <c r="F8" s="469"/>
      <c r="G8" s="469"/>
      <c r="H8" s="469"/>
    </row>
    <row r="9" spans="1:10" ht="17.25" customHeight="1" x14ac:dyDescent="0.3">
      <c r="A9" s="277"/>
      <c r="B9" s="573" t="s">
        <v>265</v>
      </c>
      <c r="C9" s="573"/>
      <c r="D9" s="573"/>
      <c r="E9" s="573"/>
      <c r="F9" s="573"/>
      <c r="G9" s="573"/>
      <c r="H9" s="509"/>
    </row>
    <row r="10" spans="1:10" ht="17.25" customHeight="1" x14ac:dyDescent="0.3">
      <c r="A10" s="277"/>
      <c r="B10" s="570" t="s">
        <v>266</v>
      </c>
      <c r="C10" s="570"/>
      <c r="D10" s="570"/>
    </row>
    <row r="11" spans="1:10" ht="17.25" customHeight="1" x14ac:dyDescent="0.3">
      <c r="A11" s="277"/>
      <c r="B11" s="571" t="s">
        <v>267</v>
      </c>
      <c r="C11" s="571"/>
      <c r="D11" s="571"/>
      <c r="E11" s="571"/>
      <c r="F11" s="571"/>
      <c r="G11" s="571"/>
      <c r="H11" s="571"/>
    </row>
    <row r="12" spans="1:10" x14ac:dyDescent="0.3">
      <c r="A12" s="10"/>
      <c r="B12" s="10"/>
      <c r="C12" s="10"/>
      <c r="D12" s="10"/>
    </row>
    <row r="13" spans="1:10" x14ac:dyDescent="0.3">
      <c r="A13" s="10"/>
      <c r="B13" s="85" t="s">
        <v>56</v>
      </c>
      <c r="C13" s="10"/>
      <c r="D13" s="10"/>
    </row>
    <row r="14" spans="1:10" s="77" customFormat="1" x14ac:dyDescent="0.3">
      <c r="B14" s="76" t="s">
        <v>200</v>
      </c>
      <c r="C14" s="245">
        <v>100</v>
      </c>
      <c r="D14" s="76"/>
      <c r="E14" s="76"/>
      <c r="F14" s="76"/>
      <c r="G14" s="76"/>
      <c r="H14" s="76"/>
    </row>
    <row r="15" spans="1:10" s="77" customFormat="1" x14ac:dyDescent="0.3">
      <c r="B15" s="76" t="s">
        <v>201</v>
      </c>
      <c r="C15" s="337">
        <v>0.1</v>
      </c>
      <c r="D15" s="76" t="s">
        <v>0</v>
      </c>
      <c r="E15" s="76"/>
      <c r="F15" s="76"/>
      <c r="G15" s="76"/>
      <c r="H15" s="76"/>
    </row>
    <row r="16" spans="1:10" s="77" customFormat="1" x14ac:dyDescent="0.3">
      <c r="B16" s="76" t="s">
        <v>202</v>
      </c>
      <c r="C16" s="78">
        <v>8</v>
      </c>
      <c r="D16" s="76"/>
      <c r="E16" s="76"/>
      <c r="F16" s="76"/>
      <c r="G16" s="76"/>
      <c r="H16" s="76"/>
    </row>
    <row r="17" spans="1:8" s="77" customFormat="1" x14ac:dyDescent="0.3">
      <c r="B17" s="76" t="s">
        <v>130</v>
      </c>
      <c r="C17" s="78">
        <v>10</v>
      </c>
      <c r="D17" s="76"/>
      <c r="E17" s="76"/>
      <c r="F17" s="76"/>
      <c r="G17" s="76"/>
      <c r="H17" s="76"/>
    </row>
    <row r="18" spans="1:8" s="77" customFormat="1" x14ac:dyDescent="0.3">
      <c r="B18" s="76" t="s">
        <v>203</v>
      </c>
      <c r="C18" s="79">
        <v>0.08</v>
      </c>
      <c r="D18" s="76" t="s">
        <v>0</v>
      </c>
      <c r="E18" s="76"/>
      <c r="F18" s="76"/>
      <c r="G18" s="76"/>
      <c r="H18" s="76"/>
    </row>
    <row r="19" spans="1:8" s="77" customFormat="1" x14ac:dyDescent="0.3">
      <c r="B19" s="76"/>
      <c r="C19" s="76"/>
      <c r="D19" s="76"/>
      <c r="E19" s="76"/>
      <c r="F19" s="76"/>
      <c r="G19" s="76"/>
      <c r="H19" s="76"/>
    </row>
    <row r="20" spans="1:8" s="373" customFormat="1" x14ac:dyDescent="0.3">
      <c r="B20" s="412"/>
      <c r="C20" s="412"/>
      <c r="D20" s="412"/>
      <c r="E20" s="412"/>
      <c r="F20" s="412"/>
      <c r="G20" s="412"/>
      <c r="H20" s="412"/>
    </row>
    <row r="21" spans="1:8" x14ac:dyDescent="0.3">
      <c r="A21" s="5"/>
      <c r="B21" s="6"/>
      <c r="C21" s="6"/>
      <c r="D21" s="6"/>
      <c r="E21" s="6"/>
      <c r="F21" s="6"/>
      <c r="G21" s="6"/>
      <c r="H21" s="6"/>
    </row>
    <row r="22" spans="1:8" x14ac:dyDescent="0.3">
      <c r="A22" s="9"/>
      <c r="B22" s="5" t="s">
        <v>1</v>
      </c>
    </row>
    <row r="23" spans="1:8" x14ac:dyDescent="0.3">
      <c r="A23" s="9"/>
      <c r="B23" s="5" t="s">
        <v>9</v>
      </c>
      <c r="C23" s="10"/>
      <c r="D23" s="10"/>
    </row>
    <row r="24" spans="1:8" x14ac:dyDescent="0.3">
      <c r="A24" s="9"/>
      <c r="B24" s="485" t="s">
        <v>22</v>
      </c>
      <c r="C24" s="152">
        <f>C14*EXP(C15*C16)</f>
        <v>222.55409284924679</v>
      </c>
      <c r="D24" s="10"/>
    </row>
    <row r="25" spans="1:8" x14ac:dyDescent="0.3">
      <c r="A25" s="9"/>
      <c r="B25" s="10"/>
      <c r="C25" s="130"/>
      <c r="D25" s="10"/>
    </row>
    <row r="26" spans="1:8" ht="15" customHeight="1" x14ac:dyDescent="0.3">
      <c r="A26" s="16"/>
      <c r="B26" s="5" t="s">
        <v>5</v>
      </c>
      <c r="C26" s="143"/>
      <c r="D26" s="18"/>
      <c r="E26" s="18"/>
    </row>
    <row r="27" spans="1:8" ht="15" customHeight="1" x14ac:dyDescent="0.3">
      <c r="A27" s="16"/>
      <c r="B27" s="485" t="s">
        <v>22</v>
      </c>
      <c r="C27" s="152">
        <f>C14*EXP(C18*C17)</f>
        <v>222.55409284924679</v>
      </c>
      <c r="D27" s="10"/>
      <c r="E27" s="18"/>
    </row>
    <row r="28" spans="1:8" ht="15" customHeight="1" x14ac:dyDescent="0.3">
      <c r="A28" s="16"/>
      <c r="B28" s="17"/>
      <c r="C28" s="31"/>
      <c r="D28" s="10"/>
      <c r="E28" s="18"/>
    </row>
  </sheetData>
  <mergeCells count="5">
    <mergeCell ref="B5:J5"/>
    <mergeCell ref="B10:D10"/>
    <mergeCell ref="B11:H11"/>
    <mergeCell ref="B9:G9"/>
    <mergeCell ref="B4:G4"/>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37"/>
  <sheetViews>
    <sheetView workbookViewId="0"/>
  </sheetViews>
  <sheetFormatPr defaultColWidth="9.109375" defaultRowHeight="14.4" x14ac:dyDescent="0.3"/>
  <cols>
    <col min="1" max="1" width="18.5546875" style="28" customWidth="1"/>
    <col min="2" max="2" width="17.88671875" style="28" customWidth="1"/>
    <col min="3" max="3" width="14" style="28" customWidth="1"/>
    <col min="4" max="5" width="9.109375" style="28"/>
    <col min="6" max="6" width="9.109375" style="28" customWidth="1"/>
    <col min="7" max="16384" width="9.109375" style="28"/>
  </cols>
  <sheetData>
    <row r="1" spans="1:9" x14ac:dyDescent="0.3">
      <c r="A1" s="5" t="s">
        <v>592</v>
      </c>
      <c r="B1" s="5"/>
    </row>
    <row r="2" spans="1:9" s="89" customFormat="1" x14ac:dyDescent="0.3">
      <c r="A2" s="370"/>
      <c r="B2" s="370"/>
    </row>
    <row r="3" spans="1:9" x14ac:dyDescent="0.3">
      <c r="A3" s="5" t="s">
        <v>0</v>
      </c>
      <c r="B3" s="5" t="s">
        <v>268</v>
      </c>
    </row>
    <row r="4" spans="1:9" ht="15" customHeight="1" x14ac:dyDescent="0.3">
      <c r="A4" s="2"/>
      <c r="B4" s="586" t="s">
        <v>477</v>
      </c>
      <c r="C4" s="586"/>
      <c r="D4" s="586"/>
      <c r="E4" s="586"/>
      <c r="F4" s="586"/>
    </row>
    <row r="5" spans="1:9" ht="15" customHeight="1" x14ac:dyDescent="0.3">
      <c r="A5" s="2"/>
      <c r="B5" s="424"/>
      <c r="C5" s="424"/>
      <c r="D5" s="424"/>
      <c r="E5" s="424"/>
      <c r="F5" s="424"/>
    </row>
    <row r="6" spans="1:9" s="2" customFormat="1" ht="44.25" customHeight="1" x14ac:dyDescent="0.3">
      <c r="B6" s="2" t="s">
        <v>40</v>
      </c>
      <c r="C6" s="531" t="s">
        <v>478</v>
      </c>
      <c r="D6" s="531" t="s">
        <v>41</v>
      </c>
      <c r="E6" s="424"/>
      <c r="F6" s="424"/>
    </row>
    <row r="7" spans="1:9" ht="15" customHeight="1" x14ac:dyDescent="0.3">
      <c r="A7" s="2"/>
      <c r="B7" s="530">
        <v>0.12</v>
      </c>
      <c r="C7" s="532" t="s">
        <v>479</v>
      </c>
      <c r="D7" s="424"/>
      <c r="E7" s="424"/>
      <c r="F7" s="424"/>
    </row>
    <row r="8" spans="1:9" ht="15" customHeight="1" x14ac:dyDescent="0.3">
      <c r="A8" s="2"/>
      <c r="B8" s="421">
        <v>8</v>
      </c>
      <c r="C8" s="532" t="s">
        <v>480</v>
      </c>
      <c r="D8" s="424"/>
      <c r="E8" s="424"/>
      <c r="F8" s="424"/>
    </row>
    <row r="9" spans="1:9" ht="15" customHeight="1" x14ac:dyDescent="0.3">
      <c r="A9" s="2"/>
      <c r="B9" s="421">
        <v>10</v>
      </c>
      <c r="C9" s="532" t="s">
        <v>481</v>
      </c>
      <c r="D9" s="424"/>
      <c r="E9" s="424"/>
      <c r="F9" s="424"/>
    </row>
    <row r="10" spans="1:9" ht="15" customHeight="1" x14ac:dyDescent="0.3">
      <c r="A10" s="2"/>
      <c r="B10" s="28" t="s">
        <v>3</v>
      </c>
      <c r="D10" s="27"/>
      <c r="E10" s="27"/>
      <c r="F10" s="27"/>
    </row>
    <row r="11" spans="1:9" s="373" customFormat="1" x14ac:dyDescent="0.3">
      <c r="B11" s="412"/>
      <c r="C11" s="412"/>
      <c r="D11" s="412"/>
      <c r="E11" s="412"/>
      <c r="F11" s="412"/>
    </row>
    <row r="12" spans="1:9" s="246" customFormat="1" x14ac:dyDescent="0.3">
      <c r="B12" s="247"/>
      <c r="C12" s="247"/>
      <c r="D12" s="247"/>
      <c r="E12" s="247"/>
      <c r="F12" s="247"/>
    </row>
    <row r="13" spans="1:9" ht="17.25" customHeight="1" x14ac:dyDescent="0.3">
      <c r="A13" s="277"/>
      <c r="B13" s="580" t="s">
        <v>265</v>
      </c>
      <c r="C13" s="580"/>
      <c r="D13" s="580"/>
      <c r="E13" s="580"/>
      <c r="F13" s="580"/>
      <c r="G13" s="580"/>
      <c r="H13" s="580"/>
      <c r="I13" s="580"/>
    </row>
    <row r="14" spans="1:9" ht="17.25" customHeight="1" x14ac:dyDescent="0.3">
      <c r="A14" s="277"/>
      <c r="B14" s="570" t="s">
        <v>266</v>
      </c>
      <c r="C14" s="570"/>
      <c r="D14" s="570"/>
    </row>
    <row r="15" spans="1:9" ht="17.25" customHeight="1" x14ac:dyDescent="0.3">
      <c r="A15" s="277"/>
      <c r="B15" s="571" t="s">
        <v>267</v>
      </c>
      <c r="C15" s="571"/>
      <c r="D15" s="571"/>
      <c r="E15" s="571"/>
      <c r="F15" s="571"/>
    </row>
    <row r="16" spans="1:9" x14ac:dyDescent="0.3">
      <c r="A16" s="387"/>
      <c r="B16" s="10"/>
      <c r="C16" s="10"/>
      <c r="D16" s="10"/>
      <c r="E16" s="10"/>
      <c r="F16" s="10"/>
    </row>
    <row r="17" spans="1:9" x14ac:dyDescent="0.3">
      <c r="A17" s="10"/>
      <c r="B17" s="85" t="s">
        <v>56</v>
      </c>
      <c r="C17" s="10"/>
      <c r="D17" s="10"/>
      <c r="E17" s="533"/>
      <c r="F17" s="533"/>
    </row>
    <row r="18" spans="1:9" ht="43.2" x14ac:dyDescent="0.3">
      <c r="A18" s="10"/>
      <c r="B18" s="538" t="s">
        <v>60</v>
      </c>
      <c r="C18" s="538" t="s">
        <v>482</v>
      </c>
      <c r="D18" s="10"/>
      <c r="E18" s="251" t="s">
        <v>204</v>
      </c>
      <c r="F18" s="536"/>
    </row>
    <row r="19" spans="1:9" x14ac:dyDescent="0.3">
      <c r="A19" s="10"/>
      <c r="B19" s="348">
        <v>0.12</v>
      </c>
      <c r="C19" s="537">
        <v>1</v>
      </c>
      <c r="D19" s="10"/>
      <c r="E19" s="250">
        <f>12/C19</f>
        <v>12</v>
      </c>
      <c r="F19" s="536"/>
    </row>
    <row r="20" spans="1:9" x14ac:dyDescent="0.3">
      <c r="A20" s="10"/>
      <c r="B20" s="348">
        <v>0.08</v>
      </c>
      <c r="C20" s="537">
        <v>3</v>
      </c>
      <c r="D20" s="19"/>
      <c r="E20" s="250">
        <f>12/C20</f>
        <v>4</v>
      </c>
      <c r="F20" s="536"/>
    </row>
    <row r="21" spans="1:9" x14ac:dyDescent="0.3">
      <c r="A21" s="10"/>
      <c r="B21" s="348">
        <v>0.1</v>
      </c>
      <c r="C21" s="537">
        <v>6</v>
      </c>
      <c r="D21" s="19"/>
      <c r="E21" s="250">
        <f>12/C21</f>
        <v>2</v>
      </c>
      <c r="F21" s="536"/>
    </row>
    <row r="22" spans="1:9" x14ac:dyDescent="0.3">
      <c r="A22" s="10"/>
      <c r="B22" s="10"/>
      <c r="C22" s="10"/>
      <c r="D22" s="19"/>
      <c r="E22" s="534"/>
      <c r="F22" s="533"/>
    </row>
    <row r="23" spans="1:9" s="89" customFormat="1" x14ac:dyDescent="0.3">
      <c r="A23" s="373"/>
      <c r="B23" s="373"/>
      <c r="C23" s="373"/>
      <c r="D23" s="543"/>
      <c r="E23" s="544"/>
      <c r="F23" s="412"/>
    </row>
    <row r="24" spans="1:9" x14ac:dyDescent="0.3">
      <c r="A24" s="10"/>
      <c r="B24" s="10"/>
      <c r="C24" s="10"/>
      <c r="D24" s="19"/>
      <c r="E24" s="16"/>
      <c r="F24" s="18"/>
      <c r="H24" s="535"/>
    </row>
    <row r="25" spans="1:9" x14ac:dyDescent="0.3">
      <c r="A25" s="10"/>
      <c r="B25" s="5" t="s">
        <v>1</v>
      </c>
      <c r="C25" s="10"/>
      <c r="D25" s="19"/>
      <c r="E25" s="16"/>
      <c r="F25" s="18"/>
    </row>
    <row r="26" spans="1:9" ht="28.8" x14ac:dyDescent="0.3">
      <c r="A26" s="10"/>
      <c r="B26" s="539" t="s">
        <v>41</v>
      </c>
      <c r="C26" s="10"/>
      <c r="D26" s="19"/>
      <c r="E26" s="16"/>
      <c r="F26" s="18"/>
    </row>
    <row r="27" spans="1:9" x14ac:dyDescent="0.3">
      <c r="A27" s="10"/>
      <c r="B27" s="170">
        <f>(1+(B19/E19))^E19-1</f>
        <v>0.12682503013196977</v>
      </c>
      <c r="C27" s="10"/>
      <c r="D27" s="10"/>
      <c r="E27" s="10"/>
      <c r="F27" s="10"/>
    </row>
    <row r="28" spans="1:9" x14ac:dyDescent="0.3">
      <c r="A28" s="10"/>
      <c r="B28" s="170">
        <f>(1+(B20/E20))^E20-1</f>
        <v>8.2432159999999977E-2</v>
      </c>
      <c r="C28" s="10"/>
      <c r="D28" s="10"/>
      <c r="E28" s="10"/>
      <c r="F28" s="10"/>
    </row>
    <row r="29" spans="1:9" x14ac:dyDescent="0.3">
      <c r="A29" s="10"/>
      <c r="B29" s="170">
        <f>(1+(B21/E21))^E21-1</f>
        <v>0.10250000000000004</v>
      </c>
      <c r="C29" s="10"/>
      <c r="D29" s="10"/>
      <c r="E29" s="10"/>
      <c r="F29" s="10"/>
      <c r="I29" s="463"/>
    </row>
    <row r="30" spans="1:9" x14ac:dyDescent="0.3">
      <c r="A30" s="10"/>
      <c r="B30" s="10"/>
      <c r="C30" s="10"/>
      <c r="D30" s="10"/>
      <c r="E30" s="10"/>
      <c r="F30" s="10"/>
    </row>
    <row r="31" spans="1:9" x14ac:dyDescent="0.3">
      <c r="A31" s="10"/>
      <c r="B31" s="10"/>
      <c r="C31" s="10"/>
      <c r="D31" s="10"/>
      <c r="E31" s="10"/>
      <c r="F31" s="10"/>
    </row>
    <row r="32" spans="1:9" x14ac:dyDescent="0.3">
      <c r="A32" s="10"/>
      <c r="B32" s="10"/>
      <c r="C32" s="10"/>
      <c r="D32" s="10"/>
      <c r="E32" s="10"/>
      <c r="F32" s="10"/>
    </row>
    <row r="33" spans="1:6" x14ac:dyDescent="0.3">
      <c r="A33" s="10"/>
      <c r="B33" s="10"/>
      <c r="C33" s="10"/>
      <c r="D33" s="10"/>
      <c r="E33" s="10"/>
      <c r="F33" s="10"/>
    </row>
    <row r="34" spans="1:6" x14ac:dyDescent="0.3">
      <c r="A34" s="10"/>
      <c r="B34" s="10"/>
      <c r="C34" s="10"/>
      <c r="D34" s="10"/>
      <c r="E34" s="10"/>
      <c r="F34" s="10"/>
    </row>
    <row r="35" spans="1:6" x14ac:dyDescent="0.3">
      <c r="A35" s="10"/>
      <c r="B35" s="10"/>
      <c r="C35" s="10"/>
      <c r="D35" s="10"/>
      <c r="E35" s="10"/>
      <c r="F35" s="10"/>
    </row>
    <row r="36" spans="1:6" x14ac:dyDescent="0.3">
      <c r="A36" s="10"/>
      <c r="B36" s="10"/>
      <c r="C36" s="10"/>
      <c r="D36" s="10"/>
      <c r="E36" s="10"/>
      <c r="F36" s="10"/>
    </row>
    <row r="37" spans="1:6" x14ac:dyDescent="0.3">
      <c r="A37" s="10"/>
      <c r="B37" s="10"/>
      <c r="C37" s="10"/>
      <c r="D37" s="10"/>
      <c r="E37" s="10"/>
      <c r="F37" s="10"/>
    </row>
  </sheetData>
  <mergeCells count="4">
    <mergeCell ref="B4:F4"/>
    <mergeCell ref="B14:D14"/>
    <mergeCell ref="B15:F15"/>
    <mergeCell ref="B13:I13"/>
  </mergeCell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30"/>
  <sheetViews>
    <sheetView workbookViewId="0"/>
  </sheetViews>
  <sheetFormatPr defaultColWidth="9.109375" defaultRowHeight="14.4" x14ac:dyDescent="0.3"/>
  <cols>
    <col min="1" max="1" width="18.6640625" style="28" customWidth="1"/>
    <col min="2" max="2" width="18.109375" style="28" customWidth="1"/>
    <col min="3" max="3" width="15.44140625" style="28" customWidth="1"/>
    <col min="4" max="5" width="9.109375" style="28"/>
    <col min="6" max="6" width="9.109375" style="28" customWidth="1"/>
    <col min="7" max="7" width="9.109375" style="28"/>
    <col min="8" max="8" width="15.33203125" style="28" customWidth="1"/>
    <col min="9" max="9" width="9.109375" style="28"/>
    <col min="10" max="10" width="11.5546875" style="28" bestFit="1" customWidth="1"/>
    <col min="11" max="11" width="15.109375" style="28" customWidth="1"/>
    <col min="12" max="16384" width="9.109375" style="28"/>
  </cols>
  <sheetData>
    <row r="1" spans="1:10" x14ac:dyDescent="0.3">
      <c r="A1" s="5" t="s">
        <v>591</v>
      </c>
      <c r="B1" s="5"/>
      <c r="C1" s="5"/>
    </row>
    <row r="2" spans="1:10" s="89" customFormat="1" x14ac:dyDescent="0.3">
      <c r="A2" s="370"/>
      <c r="B2" s="370"/>
      <c r="C2" s="370"/>
    </row>
    <row r="3" spans="1:10" x14ac:dyDescent="0.3">
      <c r="A3" s="5" t="s">
        <v>0</v>
      </c>
      <c r="B3" s="5" t="s">
        <v>268</v>
      </c>
      <c r="C3" s="5"/>
    </row>
    <row r="4" spans="1:10" ht="15" customHeight="1" x14ac:dyDescent="0.3">
      <c r="A4" s="2"/>
      <c r="B4" s="586" t="s">
        <v>288</v>
      </c>
      <c r="C4" s="586"/>
      <c r="D4" s="586"/>
      <c r="E4" s="586"/>
      <c r="F4" s="586"/>
      <c r="G4" s="586"/>
      <c r="H4" s="586"/>
      <c r="I4" s="586"/>
      <c r="J4" s="586"/>
    </row>
    <row r="5" spans="1:10" ht="15" customHeight="1" x14ac:dyDescent="0.3">
      <c r="A5" s="2"/>
      <c r="B5" s="424"/>
      <c r="C5" s="424"/>
      <c r="D5" s="424"/>
      <c r="E5" s="424"/>
      <c r="F5" s="424"/>
      <c r="G5" s="424"/>
      <c r="H5" s="424"/>
      <c r="I5" s="424"/>
      <c r="J5" s="424"/>
    </row>
    <row r="6" spans="1:10" s="340" customFormat="1" ht="33" customHeight="1" x14ac:dyDescent="0.3">
      <c r="B6" s="532" t="s">
        <v>483</v>
      </c>
      <c r="C6" s="532" t="s">
        <v>478</v>
      </c>
      <c r="D6" s="540" t="s">
        <v>40</v>
      </c>
      <c r="E6" s="99"/>
      <c r="F6" s="99"/>
      <c r="G6" s="99"/>
      <c r="H6" s="99"/>
      <c r="I6" s="99"/>
      <c r="J6" s="99"/>
    </row>
    <row r="7" spans="1:10" ht="15" customHeight="1" x14ac:dyDescent="0.3">
      <c r="A7" s="2"/>
      <c r="B7" s="541">
        <v>0.1</v>
      </c>
      <c r="C7" s="532" t="s">
        <v>484</v>
      </c>
      <c r="D7" s="532"/>
      <c r="E7" s="424"/>
      <c r="F7" s="424"/>
      <c r="G7" s="424"/>
      <c r="H7" s="424"/>
      <c r="I7" s="424"/>
      <c r="J7" s="424"/>
    </row>
    <row r="8" spans="1:10" ht="15" customHeight="1" x14ac:dyDescent="0.3">
      <c r="A8" s="2"/>
      <c r="B8" s="541">
        <v>6.0900000000000003E-2</v>
      </c>
      <c r="C8" s="532" t="s">
        <v>481</v>
      </c>
      <c r="D8" s="532"/>
      <c r="E8" s="424"/>
      <c r="F8" s="424"/>
      <c r="G8" s="424"/>
      <c r="H8" s="424"/>
      <c r="I8" s="424"/>
      <c r="J8" s="424"/>
    </row>
    <row r="9" spans="1:10" ht="15" customHeight="1" x14ac:dyDescent="0.3">
      <c r="A9" s="2"/>
      <c r="B9" s="45">
        <v>8.2400000000000001E-2</v>
      </c>
      <c r="C9" s="532" t="s">
        <v>480</v>
      </c>
      <c r="D9" s="439"/>
      <c r="E9" s="27"/>
      <c r="F9" s="27"/>
      <c r="G9" s="27"/>
      <c r="H9" s="27"/>
    </row>
    <row r="10" spans="1:10" s="25" customFormat="1" x14ac:dyDescent="0.3">
      <c r="A10" s="40"/>
      <c r="B10" s="41"/>
      <c r="C10" s="41"/>
      <c r="D10" s="41"/>
      <c r="E10" s="41"/>
      <c r="F10" s="41"/>
      <c r="G10" s="41"/>
      <c r="H10" s="41"/>
    </row>
    <row r="11" spans="1:10" s="21" customFormat="1" x14ac:dyDescent="0.3">
      <c r="A11" s="7"/>
      <c r="B11" s="8"/>
      <c r="C11" s="8"/>
      <c r="D11" s="8"/>
      <c r="E11" s="8"/>
      <c r="F11" s="8"/>
      <c r="G11" s="8"/>
      <c r="H11" s="8"/>
    </row>
    <row r="12" spans="1:10" s="25" customFormat="1" x14ac:dyDescent="0.3">
      <c r="A12" s="40"/>
      <c r="B12" s="41"/>
      <c r="C12" s="41"/>
      <c r="D12" s="41"/>
      <c r="E12" s="41"/>
      <c r="F12" s="41"/>
      <c r="G12" s="41"/>
      <c r="H12" s="41"/>
    </row>
    <row r="13" spans="1:10" ht="17.25" customHeight="1" x14ac:dyDescent="0.3">
      <c r="A13" s="277"/>
      <c r="B13" s="573" t="s">
        <v>265</v>
      </c>
      <c r="C13" s="573"/>
      <c r="D13" s="573"/>
      <c r="E13" s="573"/>
      <c r="F13" s="573"/>
      <c r="G13" s="573"/>
      <c r="H13" s="573"/>
    </row>
    <row r="14" spans="1:10" ht="17.25" customHeight="1" x14ac:dyDescent="0.3">
      <c r="A14" s="277"/>
      <c r="B14" s="570" t="s">
        <v>266</v>
      </c>
      <c r="C14" s="570"/>
      <c r="D14" s="570"/>
    </row>
    <row r="15" spans="1:10" ht="17.25" customHeight="1" x14ac:dyDescent="0.3">
      <c r="A15" s="277"/>
      <c r="B15" s="571" t="s">
        <v>267</v>
      </c>
      <c r="C15" s="571"/>
      <c r="D15" s="571"/>
      <c r="E15" s="571"/>
      <c r="F15" s="571"/>
      <c r="G15" s="571"/>
      <c r="H15" s="571"/>
    </row>
    <row r="16" spans="1:10" x14ac:dyDescent="0.3">
      <c r="A16" s="10"/>
      <c r="B16" s="10"/>
      <c r="C16" s="10"/>
      <c r="D16" s="10"/>
    </row>
    <row r="17" spans="1:11" x14ac:dyDescent="0.3">
      <c r="A17" s="10"/>
      <c r="B17" s="85" t="s">
        <v>56</v>
      </c>
      <c r="C17" s="10"/>
      <c r="D17" s="10"/>
    </row>
    <row r="18" spans="1:11" s="252" customFormat="1" ht="39.6" x14ac:dyDescent="0.3">
      <c r="A18" s="249"/>
      <c r="B18" s="545" t="s">
        <v>466</v>
      </c>
      <c r="C18" s="545" t="s">
        <v>485</v>
      </c>
      <c r="D18" s="250"/>
      <c r="E18" s="251" t="s">
        <v>205</v>
      </c>
      <c r="G18" s="250"/>
      <c r="H18" s="250"/>
    </row>
    <row r="19" spans="1:11" s="252" customFormat="1" x14ac:dyDescent="0.3">
      <c r="A19" s="249"/>
      <c r="B19" s="350">
        <v>0.1</v>
      </c>
      <c r="C19" s="253">
        <v>1</v>
      </c>
      <c r="D19" s="250" t="s">
        <v>0</v>
      </c>
      <c r="E19" s="250">
        <f>12/C19</f>
        <v>12</v>
      </c>
      <c r="G19" s="250"/>
      <c r="H19" s="250"/>
    </row>
    <row r="20" spans="1:11" s="252" customFormat="1" x14ac:dyDescent="0.3">
      <c r="A20" s="249"/>
      <c r="B20" s="350">
        <v>6.0900000000000003E-2</v>
      </c>
      <c r="C20" s="253">
        <v>6</v>
      </c>
      <c r="D20" s="250" t="s">
        <v>0</v>
      </c>
      <c r="E20" s="250">
        <f>12/C20</f>
        <v>2</v>
      </c>
      <c r="G20" s="250"/>
      <c r="H20" s="250"/>
    </row>
    <row r="21" spans="1:11" s="252" customFormat="1" x14ac:dyDescent="0.3">
      <c r="A21" s="249"/>
      <c r="B21" s="350">
        <v>8.2400000000000001E-2</v>
      </c>
      <c r="C21" s="253">
        <v>3</v>
      </c>
      <c r="D21" s="250" t="s">
        <v>0</v>
      </c>
      <c r="E21" s="250">
        <f>12/C21</f>
        <v>4</v>
      </c>
      <c r="G21" s="250"/>
      <c r="H21" s="250"/>
    </row>
    <row r="22" spans="1:11" x14ac:dyDescent="0.3">
      <c r="A22" s="9"/>
      <c r="E22" s="16"/>
      <c r="F22" s="18"/>
    </row>
    <row r="23" spans="1:11" s="89" customFormat="1" x14ac:dyDescent="0.3">
      <c r="A23" s="88"/>
      <c r="B23" s="542"/>
      <c r="D23" s="543"/>
      <c r="E23" s="544"/>
      <c r="F23" s="412"/>
    </row>
    <row r="24" spans="1:11" x14ac:dyDescent="0.3">
      <c r="A24" s="9"/>
      <c r="D24" s="19"/>
      <c r="E24" s="16"/>
      <c r="F24" s="18"/>
      <c r="G24" s="16"/>
      <c r="H24" s="248"/>
      <c r="I24" s="46"/>
      <c r="J24" s="34"/>
      <c r="K24" s="34"/>
    </row>
    <row r="25" spans="1:11" x14ac:dyDescent="0.3">
      <c r="A25" s="9"/>
      <c r="B25" s="5" t="s">
        <v>1</v>
      </c>
      <c r="D25" s="19"/>
      <c r="E25" s="16"/>
      <c r="F25" s="18"/>
      <c r="G25" s="16"/>
      <c r="H25" s="16"/>
      <c r="I25" s="46"/>
      <c r="J25" s="34"/>
      <c r="K25" s="34"/>
    </row>
    <row r="26" spans="1:11" x14ac:dyDescent="0.3">
      <c r="A26" s="9"/>
      <c r="B26" s="432" t="s">
        <v>40</v>
      </c>
      <c r="D26" s="19"/>
      <c r="E26" s="16"/>
      <c r="F26" s="18"/>
      <c r="G26" s="16"/>
      <c r="H26" s="16"/>
      <c r="I26" s="46"/>
      <c r="J26" s="34"/>
      <c r="K26" s="34"/>
    </row>
    <row r="27" spans="1:11" x14ac:dyDescent="0.3">
      <c r="A27" s="9"/>
      <c r="B27" s="167">
        <f>((1+B19)^(1/E19)-1)*E19</f>
        <v>9.5689685146845171E-2</v>
      </c>
      <c r="D27" s="19"/>
      <c r="E27" s="16"/>
      <c r="F27" s="18"/>
      <c r="G27" s="16"/>
      <c r="H27" s="16"/>
      <c r="I27" s="46"/>
      <c r="J27" s="34"/>
      <c r="K27" s="34"/>
    </row>
    <row r="28" spans="1:11" x14ac:dyDescent="0.3">
      <c r="A28" s="9"/>
      <c r="B28" s="167">
        <f>((1+B20)^(1/E20)-1)*E20</f>
        <v>6.0000000000000053E-2</v>
      </c>
      <c r="D28" s="19"/>
      <c r="E28" s="16"/>
      <c r="F28" s="18"/>
      <c r="G28" s="16"/>
      <c r="H28" s="16"/>
      <c r="I28" s="46"/>
      <c r="J28" s="34"/>
      <c r="K28" s="34"/>
    </row>
    <row r="29" spans="1:11" x14ac:dyDescent="0.3">
      <c r="A29" s="9"/>
      <c r="B29" s="167">
        <f>((1+B21)^(1/E21)-1)*E21</f>
        <v>7.9969694576068839E-2</v>
      </c>
      <c r="D29" s="19"/>
      <c r="E29" s="16"/>
      <c r="F29" s="18"/>
      <c r="G29" s="16"/>
      <c r="H29" s="16"/>
      <c r="I29" s="46"/>
      <c r="J29" s="34"/>
      <c r="K29" s="34"/>
    </row>
    <row r="30" spans="1:11" x14ac:dyDescent="0.3">
      <c r="A30" s="9"/>
      <c r="D30" s="19"/>
      <c r="E30" s="16"/>
      <c r="F30" s="18"/>
      <c r="G30" s="16"/>
      <c r="H30" s="16"/>
      <c r="I30" s="46"/>
      <c r="J30" s="34"/>
      <c r="K30" s="34"/>
    </row>
  </sheetData>
  <mergeCells count="4">
    <mergeCell ref="B4:J4"/>
    <mergeCell ref="B13:H13"/>
    <mergeCell ref="B14:D14"/>
    <mergeCell ref="B15:H15"/>
  </mergeCell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
  <dimension ref="A1:K35"/>
  <sheetViews>
    <sheetView workbookViewId="0"/>
  </sheetViews>
  <sheetFormatPr defaultColWidth="9.109375" defaultRowHeight="14.4" x14ac:dyDescent="0.3"/>
  <cols>
    <col min="1" max="1" width="16.5546875" style="28" customWidth="1"/>
    <col min="2" max="2" width="13.5546875" style="28" customWidth="1"/>
    <col min="3" max="3" width="12.5546875" style="28" customWidth="1"/>
    <col min="4" max="5" width="9.109375" style="28"/>
    <col min="6" max="6" width="9.109375" style="28" customWidth="1"/>
    <col min="7" max="7" width="9.109375" style="28"/>
    <col min="8" max="8" width="21" style="28" customWidth="1"/>
    <col min="9" max="9" width="9.109375" style="28"/>
    <col min="10" max="10" width="11.5546875" style="28" bestFit="1" customWidth="1"/>
    <col min="11" max="11" width="15.109375" style="28" customWidth="1"/>
    <col min="12" max="16384" width="9.109375" style="28"/>
  </cols>
  <sheetData>
    <row r="1" spans="1:10" x14ac:dyDescent="0.3">
      <c r="A1" s="5" t="s">
        <v>590</v>
      </c>
      <c r="B1" s="5"/>
      <c r="C1" s="5"/>
    </row>
    <row r="2" spans="1:10" s="89" customFormat="1" x14ac:dyDescent="0.3">
      <c r="A2" s="370"/>
      <c r="B2" s="370"/>
      <c r="C2" s="370"/>
    </row>
    <row r="3" spans="1:10" x14ac:dyDescent="0.3">
      <c r="A3" s="5" t="s">
        <v>0</v>
      </c>
      <c r="B3" s="5" t="s">
        <v>268</v>
      </c>
      <c r="C3" s="5"/>
    </row>
    <row r="4" spans="1:10" ht="44.25" customHeight="1" x14ac:dyDescent="0.3">
      <c r="A4" s="2"/>
      <c r="B4" s="579" t="s">
        <v>289</v>
      </c>
      <c r="C4" s="579"/>
      <c r="D4" s="579"/>
      <c r="E4" s="579"/>
      <c r="F4" s="579"/>
      <c r="G4" s="579"/>
      <c r="H4" s="579"/>
      <c r="I4" s="424"/>
      <c r="J4" s="424"/>
    </row>
    <row r="5" spans="1:10" ht="15" customHeight="1" x14ac:dyDescent="0.3">
      <c r="A5" s="2"/>
      <c r="B5" s="28" t="s">
        <v>3</v>
      </c>
      <c r="D5" s="27"/>
      <c r="E5" s="27"/>
      <c r="F5" s="27"/>
      <c r="G5" s="27"/>
      <c r="H5" s="27"/>
    </row>
    <row r="6" spans="1:10" s="474" customFormat="1" x14ac:dyDescent="0.3">
      <c r="B6" s="306"/>
      <c r="C6" s="306"/>
      <c r="D6" s="306"/>
      <c r="E6" s="306"/>
      <c r="F6" s="306"/>
      <c r="G6" s="306"/>
      <c r="H6" s="306"/>
    </row>
    <row r="7" spans="1:10" s="246" customFormat="1" x14ac:dyDescent="0.3">
      <c r="B7" s="247"/>
      <c r="C7" s="247"/>
      <c r="D7" s="247"/>
      <c r="E7" s="247"/>
      <c r="F7" s="247"/>
      <c r="G7" s="247"/>
      <c r="H7" s="247"/>
    </row>
    <row r="8" spans="1:10" ht="17.25" customHeight="1" x14ac:dyDescent="0.3">
      <c r="A8" s="277"/>
      <c r="B8" s="573" t="s">
        <v>265</v>
      </c>
      <c r="C8" s="573"/>
      <c r="D8" s="573"/>
      <c r="E8" s="573"/>
      <c r="F8" s="573"/>
      <c r="G8" s="573"/>
      <c r="H8" s="573"/>
    </row>
    <row r="9" spans="1:10" ht="17.25" customHeight="1" x14ac:dyDescent="0.3">
      <c r="A9" s="277"/>
      <c r="B9" s="570" t="s">
        <v>266</v>
      </c>
      <c r="C9" s="570"/>
      <c r="D9" s="570"/>
    </row>
    <row r="10" spans="1:10" s="25" customFormat="1" ht="17.25" customHeight="1" x14ac:dyDescent="0.3">
      <c r="A10" s="527"/>
      <c r="B10" s="591" t="s">
        <v>267</v>
      </c>
      <c r="C10" s="591"/>
      <c r="D10" s="591"/>
      <c r="E10" s="591"/>
      <c r="F10" s="591"/>
      <c r="G10" s="591"/>
      <c r="H10" s="591"/>
    </row>
    <row r="11" spans="1:10" s="25" customFormat="1" x14ac:dyDescent="0.3">
      <c r="A11" s="77"/>
      <c r="B11" s="77"/>
      <c r="C11" s="77"/>
      <c r="D11" s="77"/>
      <c r="E11" s="77"/>
      <c r="F11" s="77"/>
      <c r="G11" s="77"/>
      <c r="H11" s="77"/>
    </row>
    <row r="12" spans="1:10" x14ac:dyDescent="0.3">
      <c r="A12" s="10"/>
      <c r="B12" s="85" t="s">
        <v>56</v>
      </c>
      <c r="C12" s="10"/>
      <c r="D12" s="10"/>
    </row>
    <row r="13" spans="1:10" s="25" customFormat="1" x14ac:dyDescent="0.3">
      <c r="A13" s="40"/>
      <c r="B13" s="76" t="s">
        <v>206</v>
      </c>
      <c r="C13" s="337">
        <v>0.01</v>
      </c>
      <c r="D13" s="76" t="s">
        <v>0</v>
      </c>
      <c r="E13" s="41"/>
      <c r="F13" s="41"/>
      <c r="G13" s="41"/>
      <c r="H13" s="41"/>
    </row>
    <row r="14" spans="1:10" s="25" customFormat="1" x14ac:dyDescent="0.3">
      <c r="A14" s="40"/>
      <c r="B14" s="41"/>
      <c r="C14" s="41"/>
      <c r="D14" s="41"/>
      <c r="E14" s="41"/>
      <c r="F14" s="41"/>
      <c r="G14" s="41"/>
      <c r="H14" s="41"/>
    </row>
    <row r="15" spans="1:10" s="373" customFormat="1" x14ac:dyDescent="0.3">
      <c r="B15" s="412"/>
      <c r="C15" s="412"/>
      <c r="D15" s="412"/>
      <c r="E15" s="412"/>
      <c r="F15" s="412"/>
      <c r="G15" s="412"/>
      <c r="H15" s="412"/>
    </row>
    <row r="16" spans="1:10" x14ac:dyDescent="0.3">
      <c r="A16" s="5"/>
      <c r="B16" s="6"/>
      <c r="C16" s="6"/>
      <c r="D16" s="53"/>
      <c r="E16" s="6"/>
      <c r="F16" s="6"/>
    </row>
    <row r="17" spans="1:11" ht="15" customHeight="1" x14ac:dyDescent="0.3">
      <c r="A17" s="9"/>
      <c r="B17" s="5" t="s">
        <v>1</v>
      </c>
      <c r="D17" s="5" t="s">
        <v>0</v>
      </c>
      <c r="G17" s="29"/>
      <c r="H17" s="29"/>
    </row>
    <row r="18" spans="1:11" x14ac:dyDescent="0.3">
      <c r="A18" s="9"/>
      <c r="B18" s="45" t="s">
        <v>40</v>
      </c>
      <c r="C18" s="167">
        <f>C13*52</f>
        <v>0.52</v>
      </c>
      <c r="D18" s="18"/>
      <c r="E18" s="18"/>
    </row>
    <row r="19" spans="1:11" x14ac:dyDescent="0.3">
      <c r="A19" s="9"/>
      <c r="B19" s="45" t="s">
        <v>38</v>
      </c>
      <c r="C19" s="167">
        <f>((1+C13)^52)-1</f>
        <v>0.6776889214629449</v>
      </c>
      <c r="D19" s="61"/>
      <c r="E19" s="16"/>
      <c r="F19" s="18"/>
    </row>
    <row r="20" spans="1:11" x14ac:dyDescent="0.3">
      <c r="A20" s="9"/>
      <c r="B20" s="45"/>
      <c r="C20" s="45"/>
      <c r="D20" s="61"/>
      <c r="E20" s="16"/>
      <c r="F20" s="18"/>
    </row>
    <row r="21" spans="1:11" x14ac:dyDescent="0.3">
      <c r="A21" s="9"/>
      <c r="B21" s="45"/>
      <c r="C21" s="45"/>
      <c r="D21" s="61"/>
      <c r="E21" s="16"/>
      <c r="F21" s="18"/>
    </row>
    <row r="22" spans="1:11" x14ac:dyDescent="0.3">
      <c r="A22" s="9"/>
      <c r="D22" s="61"/>
      <c r="E22" s="16"/>
      <c r="F22" s="18"/>
    </row>
    <row r="23" spans="1:11" x14ac:dyDescent="0.3">
      <c r="A23" s="9"/>
      <c r="D23" s="61"/>
      <c r="E23" s="16"/>
      <c r="F23" s="18"/>
    </row>
    <row r="24" spans="1:11" x14ac:dyDescent="0.3">
      <c r="A24" s="9"/>
      <c r="D24" s="61"/>
      <c r="E24" s="16"/>
      <c r="F24" s="18"/>
    </row>
    <row r="25" spans="1:11" x14ac:dyDescent="0.3">
      <c r="A25" s="9"/>
      <c r="D25" s="61"/>
      <c r="E25" s="16"/>
      <c r="F25" s="18"/>
    </row>
    <row r="26" spans="1:11" x14ac:dyDescent="0.3">
      <c r="A26" s="9"/>
      <c r="D26" s="61"/>
      <c r="E26" s="16"/>
      <c r="F26" s="18"/>
    </row>
    <row r="27" spans="1:11" x14ac:dyDescent="0.3">
      <c r="A27" s="9"/>
      <c r="D27" s="61"/>
      <c r="E27" s="16"/>
      <c r="F27" s="18"/>
    </row>
    <row r="28" spans="1:11" x14ac:dyDescent="0.3">
      <c r="A28" s="9"/>
      <c r="D28" s="61"/>
      <c r="E28" s="16"/>
      <c r="F28" s="18"/>
    </row>
    <row r="29" spans="1:11" x14ac:dyDescent="0.3">
      <c r="A29" s="9"/>
      <c r="D29" s="61"/>
      <c r="E29" s="16"/>
      <c r="F29" s="18"/>
    </row>
    <row r="30" spans="1:11" x14ac:dyDescent="0.3">
      <c r="A30" s="9"/>
      <c r="D30" s="61"/>
      <c r="E30" s="16"/>
      <c r="F30" s="18"/>
    </row>
    <row r="31" spans="1:11" x14ac:dyDescent="0.3">
      <c r="D31" s="19"/>
      <c r="E31" s="16"/>
      <c r="F31" s="18"/>
      <c r="G31" s="16"/>
      <c r="H31" s="16"/>
      <c r="I31" s="46"/>
      <c r="J31" s="34"/>
      <c r="K31" s="34"/>
    </row>
    <row r="32" spans="1:11" x14ac:dyDescent="0.3">
      <c r="A32" s="16"/>
      <c r="C32" s="18"/>
      <c r="D32" s="18"/>
      <c r="E32" s="18"/>
      <c r="F32" s="18"/>
    </row>
    <row r="33" spans="2:6" x14ac:dyDescent="0.3">
      <c r="B33" s="6"/>
      <c r="C33" s="18"/>
      <c r="E33" s="18"/>
      <c r="F33" s="18"/>
    </row>
    <row r="34" spans="2:6" x14ac:dyDescent="0.3">
      <c r="B34" s="18"/>
      <c r="C34" s="18"/>
    </row>
    <row r="35" spans="2:6" x14ac:dyDescent="0.3">
      <c r="B35" s="18"/>
      <c r="C35" s="18"/>
    </row>
  </sheetData>
  <mergeCells count="4">
    <mergeCell ref="B8:H8"/>
    <mergeCell ref="B9:D9"/>
    <mergeCell ref="B10:H10"/>
    <mergeCell ref="B4:H4"/>
  </mergeCells>
  <pageMargins left="0.7" right="0.7" top="0.75" bottom="0.75" header="0.3" footer="0.3"/>
  <pageSetup orientation="portrait" r:id="rId1"/>
  <drawing r:id="rId2"/>
  <legacyDrawing r:id="rId3"/>
  <controls>
    <mc:AlternateContent xmlns:mc="http://schemas.openxmlformats.org/markup-compatibility/2006">
      <mc:Choice Requires="x14">
        <control shapeId="73729" r:id="rId4" name="Control 1">
          <controlPr defaultSize="0" r:id="rId5">
            <anchor moveWithCells="1">
              <from>
                <xdr:col>1</xdr:col>
                <xdr:colOff>0</xdr:colOff>
                <xdr:row>31</xdr:row>
                <xdr:rowOff>121920</xdr:rowOff>
              </from>
              <to>
                <xdr:col>1</xdr:col>
                <xdr:colOff>228600</xdr:colOff>
                <xdr:row>33</xdr:row>
                <xdr:rowOff>7620</xdr:rowOff>
              </to>
            </anchor>
          </controlPr>
        </control>
      </mc:Choice>
      <mc:Fallback>
        <control shapeId="73729" r:id="rId4" name="Control 1"/>
      </mc:Fallback>
    </mc:AlternateContent>
    <mc:AlternateContent xmlns:mc="http://schemas.openxmlformats.org/markup-compatibility/2006">
      <mc:Choice Requires="x14">
        <control shapeId="73730" r:id="rId6" name="Control 2">
          <controlPr defaultSize="0" r:id="rId5">
            <anchor moveWithCells="1">
              <from>
                <xdr:col>1</xdr:col>
                <xdr:colOff>0</xdr:colOff>
                <xdr:row>31</xdr:row>
                <xdr:rowOff>121920</xdr:rowOff>
              </from>
              <to>
                <xdr:col>1</xdr:col>
                <xdr:colOff>228600</xdr:colOff>
                <xdr:row>33</xdr:row>
                <xdr:rowOff>7620</xdr:rowOff>
              </to>
            </anchor>
          </controlPr>
        </control>
      </mc:Choice>
      <mc:Fallback>
        <control shapeId="73730" r:id="rId6" name="Control 2"/>
      </mc:Fallback>
    </mc:AlternateContent>
  </controls>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
  <dimension ref="A1:M83"/>
  <sheetViews>
    <sheetView workbookViewId="0"/>
  </sheetViews>
  <sheetFormatPr defaultColWidth="9.109375" defaultRowHeight="14.4" x14ac:dyDescent="0.3"/>
  <cols>
    <col min="1" max="1" width="16.5546875" style="28" customWidth="1"/>
    <col min="2" max="2" width="23.33203125" style="28" customWidth="1"/>
    <col min="3" max="3" width="16.5546875" style="28" customWidth="1"/>
    <col min="4" max="5" width="9.109375" style="28"/>
    <col min="6" max="6" width="9.109375" style="28" customWidth="1"/>
    <col min="7" max="7" width="18.6640625" style="28" customWidth="1"/>
    <col min="8" max="8" width="21.5546875" style="28" customWidth="1"/>
    <col min="9" max="9" width="9.109375" style="28"/>
    <col min="10" max="10" width="11.5546875" style="28" bestFit="1" customWidth="1"/>
    <col min="11" max="11" width="15.109375" style="28" customWidth="1"/>
    <col min="12" max="16384" width="9.109375" style="28"/>
  </cols>
  <sheetData>
    <row r="1" spans="1:10" x14ac:dyDescent="0.3">
      <c r="A1" s="5" t="s">
        <v>589</v>
      </c>
      <c r="B1" s="5"/>
      <c r="C1" s="5"/>
    </row>
    <row r="2" spans="1:10" s="89" customFormat="1" x14ac:dyDescent="0.3">
      <c r="A2" s="370"/>
      <c r="B2" s="370"/>
      <c r="C2" s="370"/>
    </row>
    <row r="3" spans="1:10" x14ac:dyDescent="0.3">
      <c r="A3" s="5" t="s">
        <v>0</v>
      </c>
      <c r="B3" s="5" t="s">
        <v>268</v>
      </c>
      <c r="C3" s="5"/>
    </row>
    <row r="4" spans="1:10" ht="33" customHeight="1" x14ac:dyDescent="0.3">
      <c r="A4" s="2"/>
      <c r="B4" s="579" t="s">
        <v>486</v>
      </c>
      <c r="C4" s="579"/>
      <c r="D4" s="579"/>
      <c r="E4" s="579"/>
      <c r="F4" s="579"/>
      <c r="G4" s="579"/>
      <c r="H4" s="424"/>
      <c r="I4" s="424"/>
      <c r="J4" s="424"/>
    </row>
    <row r="5" spans="1:10" ht="15" customHeight="1" x14ac:dyDescent="0.3">
      <c r="A5" s="2"/>
      <c r="B5" s="38"/>
      <c r="C5" s="38"/>
      <c r="D5" s="38"/>
      <c r="E5" s="38"/>
      <c r="F5" s="38"/>
      <c r="G5" s="38"/>
      <c r="H5" s="38"/>
      <c r="I5" s="38"/>
      <c r="J5" s="38"/>
    </row>
    <row r="6" spans="1:10" ht="15" customHeight="1" x14ac:dyDescent="0.3">
      <c r="A6" s="2"/>
      <c r="B6" s="579" t="s">
        <v>488</v>
      </c>
      <c r="C6" s="577"/>
      <c r="D6" s="577"/>
      <c r="E6" s="577"/>
      <c r="F6" s="577"/>
      <c r="G6" s="577"/>
      <c r="H6" s="577"/>
      <c r="I6" s="577"/>
    </row>
    <row r="7" spans="1:10" ht="15" customHeight="1" x14ac:dyDescent="0.3">
      <c r="A7" s="2"/>
      <c r="B7" s="579" t="s">
        <v>487</v>
      </c>
      <c r="C7" s="577"/>
      <c r="D7" s="577"/>
      <c r="E7" s="577"/>
      <c r="F7" s="577"/>
      <c r="G7" s="577"/>
      <c r="H7" s="577"/>
      <c r="I7" s="577"/>
    </row>
    <row r="8" spans="1:10" ht="15" customHeight="1" x14ac:dyDescent="0.3">
      <c r="A8" s="2"/>
      <c r="B8" s="62"/>
      <c r="C8" s="38"/>
      <c r="D8" s="38"/>
      <c r="E8" s="38"/>
      <c r="F8" s="38"/>
      <c r="G8" s="38"/>
      <c r="H8" s="38"/>
      <c r="I8" s="38"/>
      <c r="J8" s="38"/>
    </row>
    <row r="9" spans="1:10" s="21" customFormat="1" x14ac:dyDescent="0.3">
      <c r="A9" s="7"/>
      <c r="B9" s="8"/>
      <c r="C9" s="8"/>
      <c r="D9" s="8"/>
      <c r="E9" s="8"/>
      <c r="F9" s="8"/>
      <c r="G9" s="8"/>
      <c r="H9" s="8"/>
    </row>
    <row r="10" spans="1:10" s="470" customFormat="1" x14ac:dyDescent="0.3">
      <c r="A10" s="468"/>
      <c r="B10" s="469"/>
      <c r="C10" s="469"/>
      <c r="D10" s="469"/>
      <c r="E10" s="469"/>
      <c r="F10" s="469"/>
      <c r="G10" s="469"/>
      <c r="H10" s="469"/>
    </row>
    <row r="11" spans="1:10" ht="17.25" customHeight="1" x14ac:dyDescent="0.3">
      <c r="A11" s="277"/>
      <c r="B11" s="573" t="s">
        <v>265</v>
      </c>
      <c r="C11" s="573"/>
      <c r="D11" s="573"/>
      <c r="E11" s="573"/>
      <c r="F11" s="573"/>
      <c r="G11" s="573"/>
      <c r="H11" s="429"/>
    </row>
    <row r="12" spans="1:10" ht="17.25" customHeight="1" x14ac:dyDescent="0.3">
      <c r="A12" s="277"/>
      <c r="B12" s="570" t="s">
        <v>266</v>
      </c>
      <c r="C12" s="570"/>
      <c r="D12" s="570"/>
    </row>
    <row r="13" spans="1:10" ht="17.25" customHeight="1" x14ac:dyDescent="0.3">
      <c r="A13" s="277"/>
      <c r="B13" s="571" t="s">
        <v>267</v>
      </c>
      <c r="C13" s="571"/>
      <c r="D13" s="571"/>
      <c r="E13" s="571"/>
      <c r="F13" s="571"/>
      <c r="G13" s="571"/>
      <c r="H13" s="571"/>
    </row>
    <row r="14" spans="1:10" x14ac:dyDescent="0.3">
      <c r="A14" s="10"/>
      <c r="B14" s="10"/>
      <c r="C14" s="10"/>
      <c r="D14" s="10"/>
    </row>
    <row r="15" spans="1:10" x14ac:dyDescent="0.3">
      <c r="A15" s="10"/>
      <c r="B15" s="85" t="s">
        <v>56</v>
      </c>
      <c r="C15" s="10"/>
      <c r="D15" s="10"/>
    </row>
    <row r="16" spans="1:10" x14ac:dyDescent="0.3">
      <c r="A16" s="10"/>
      <c r="B16" s="289" t="s">
        <v>9</v>
      </c>
      <c r="C16" s="10"/>
      <c r="D16" s="10"/>
    </row>
    <row r="17" spans="1:13" x14ac:dyDescent="0.3">
      <c r="A17" s="10"/>
      <c r="B17" s="289" t="s">
        <v>60</v>
      </c>
      <c r="C17" s="351">
        <v>8.5999999999999993E-2</v>
      </c>
      <c r="D17" s="10"/>
    </row>
    <row r="18" spans="1:13" x14ac:dyDescent="0.3">
      <c r="A18" s="10"/>
      <c r="B18" s="289" t="s">
        <v>489</v>
      </c>
      <c r="C18" s="78">
        <v>2</v>
      </c>
      <c r="D18" s="10"/>
    </row>
    <row r="19" spans="1:13" x14ac:dyDescent="0.3">
      <c r="A19" s="10"/>
      <c r="B19" s="85"/>
      <c r="C19" s="10"/>
      <c r="D19" s="10"/>
    </row>
    <row r="20" spans="1:13" x14ac:dyDescent="0.3">
      <c r="A20" s="10"/>
      <c r="B20" s="289" t="s">
        <v>9</v>
      </c>
      <c r="C20" s="10"/>
      <c r="D20" s="10"/>
    </row>
    <row r="21" spans="1:13" x14ac:dyDescent="0.3">
      <c r="A21" s="10"/>
      <c r="B21" s="289" t="s">
        <v>60</v>
      </c>
      <c r="C21" s="351">
        <v>8.4000000000000005E-2</v>
      </c>
      <c r="D21" s="10"/>
    </row>
    <row r="22" spans="1:13" x14ac:dyDescent="0.3">
      <c r="A22" s="10"/>
      <c r="B22" s="289" t="s">
        <v>489</v>
      </c>
      <c r="C22" s="78">
        <v>12</v>
      </c>
      <c r="D22" s="10"/>
    </row>
    <row r="23" spans="1:13" s="77" customFormat="1" x14ac:dyDescent="0.3">
      <c r="B23" s="76"/>
      <c r="C23" s="76"/>
      <c r="D23" s="76"/>
      <c r="E23" s="76"/>
      <c r="F23" s="76"/>
      <c r="G23" s="76"/>
      <c r="H23" s="76"/>
    </row>
    <row r="24" spans="1:13" s="373" customFormat="1" x14ac:dyDescent="0.3">
      <c r="B24" s="412"/>
      <c r="C24" s="412"/>
      <c r="D24" s="412"/>
      <c r="E24" s="412"/>
      <c r="F24" s="412"/>
      <c r="G24" s="412"/>
      <c r="H24" s="412"/>
    </row>
    <row r="25" spans="1:13" x14ac:dyDescent="0.3">
      <c r="A25" s="5"/>
      <c r="B25" s="6"/>
      <c r="C25" s="6"/>
      <c r="D25" s="53"/>
      <c r="E25" s="6"/>
      <c r="F25" s="6"/>
      <c r="G25" s="6"/>
      <c r="H25" s="6"/>
    </row>
    <row r="26" spans="1:13" x14ac:dyDescent="0.3">
      <c r="A26" s="9"/>
      <c r="B26" s="5" t="s">
        <v>1</v>
      </c>
      <c r="D26" s="5" t="s">
        <v>0</v>
      </c>
      <c r="G26" s="5" t="s">
        <v>0</v>
      </c>
      <c r="L26" s="29"/>
      <c r="M26" s="29"/>
    </row>
    <row r="27" spans="1:13" x14ac:dyDescent="0.3">
      <c r="A27" s="9"/>
      <c r="B27" s="5" t="s">
        <v>4</v>
      </c>
      <c r="D27" s="19"/>
      <c r="E27" s="16"/>
      <c r="F27" s="18"/>
      <c r="G27" s="16"/>
      <c r="H27" s="16"/>
      <c r="I27" s="46"/>
      <c r="J27" s="34"/>
      <c r="K27" s="34"/>
    </row>
    <row r="28" spans="1:13" x14ac:dyDescent="0.3">
      <c r="A28" s="9"/>
      <c r="B28" s="52" t="s">
        <v>40</v>
      </c>
      <c r="C28" s="254" t="s">
        <v>38</v>
      </c>
      <c r="D28" s="18"/>
      <c r="E28" s="46"/>
      <c r="G28"/>
      <c r="H28"/>
      <c r="I28"/>
      <c r="J28"/>
      <c r="K28"/>
    </row>
    <row r="29" spans="1:13" x14ac:dyDescent="0.3">
      <c r="A29" s="9"/>
      <c r="B29" s="45">
        <f>C17</f>
        <v>8.5999999999999993E-2</v>
      </c>
      <c r="C29" s="167">
        <f>((1+C17/C18)^C18)-1</f>
        <v>8.7848999999999844E-2</v>
      </c>
      <c r="D29" s="18" t="s">
        <v>0</v>
      </c>
      <c r="E29" s="18"/>
      <c r="G29"/>
      <c r="H29"/>
      <c r="I29"/>
      <c r="J29"/>
      <c r="K29"/>
    </row>
    <row r="30" spans="1:13" x14ac:dyDescent="0.3">
      <c r="A30" s="9"/>
      <c r="B30" s="45">
        <f>C21</f>
        <v>8.4000000000000005E-2</v>
      </c>
      <c r="C30" s="167">
        <f>((1+C21/C22)^C22)-1</f>
        <v>8.7310661915505294E-2</v>
      </c>
      <c r="D30" s="61" t="s">
        <v>0</v>
      </c>
      <c r="E30" s="16"/>
      <c r="F30" s="18"/>
      <c r="G30"/>
      <c r="H30"/>
      <c r="I30"/>
      <c r="J30"/>
      <c r="K30"/>
    </row>
    <row r="31" spans="1:13" x14ac:dyDescent="0.3">
      <c r="A31" s="9"/>
      <c r="B31" s="45"/>
      <c r="C31" s="167"/>
      <c r="D31" s="61"/>
      <c r="E31" s="16"/>
      <c r="F31" s="18"/>
    </row>
    <row r="32" spans="1:13" x14ac:dyDescent="0.3">
      <c r="A32" s="9"/>
      <c r="B32" s="546" t="s">
        <v>5</v>
      </c>
      <c r="C32" s="167"/>
      <c r="D32" s="61"/>
      <c r="E32" s="16"/>
      <c r="F32" s="18"/>
    </row>
    <row r="33" spans="1:6" x14ac:dyDescent="0.3">
      <c r="A33" s="9"/>
      <c r="B33" s="45" t="s">
        <v>490</v>
      </c>
      <c r="C33" s="167">
        <f>IF(C29&lt;C30,B29,B30)</f>
        <v>8.4000000000000005E-2</v>
      </c>
      <c r="D33" s="61"/>
      <c r="E33" s="16"/>
      <c r="F33" s="18"/>
    </row>
    <row r="34" spans="1:6" x14ac:dyDescent="0.3">
      <c r="A34" s="9"/>
      <c r="B34" s="45"/>
      <c r="C34" s="167"/>
      <c r="D34" s="61"/>
      <c r="E34" s="16"/>
      <c r="F34" s="18"/>
    </row>
    <row r="35" spans="1:6" x14ac:dyDescent="0.3">
      <c r="A35" s="9"/>
      <c r="B35" s="45"/>
      <c r="C35" s="167"/>
      <c r="D35" s="61"/>
      <c r="E35" s="16"/>
      <c r="F35" s="18"/>
    </row>
    <row r="36" spans="1:6" x14ac:dyDescent="0.3">
      <c r="A36" s="9"/>
      <c r="B36" s="45"/>
      <c r="C36" s="167"/>
      <c r="D36" s="61"/>
      <c r="E36" s="16"/>
      <c r="F36" s="18"/>
    </row>
    <row r="37" spans="1:6" x14ac:dyDescent="0.3">
      <c r="A37" s="9"/>
      <c r="B37" s="45"/>
      <c r="C37" s="167"/>
      <c r="D37" s="61"/>
      <c r="E37" s="16"/>
      <c r="F37" s="18"/>
    </row>
    <row r="38" spans="1:6" x14ac:dyDescent="0.3">
      <c r="A38" s="9"/>
      <c r="B38" s="45"/>
      <c r="C38" s="167"/>
      <c r="D38" s="61"/>
      <c r="E38" s="16"/>
      <c r="F38" s="18"/>
    </row>
    <row r="39" spans="1:6" x14ac:dyDescent="0.3">
      <c r="A39" s="9"/>
      <c r="B39" s="45"/>
      <c r="C39" s="167"/>
      <c r="D39" s="61"/>
      <c r="E39" s="16"/>
      <c r="F39" s="18"/>
    </row>
    <row r="40" spans="1:6" x14ac:dyDescent="0.3">
      <c r="A40" s="9"/>
      <c r="B40" s="45"/>
      <c r="C40" s="167"/>
      <c r="D40" s="61"/>
      <c r="E40" s="16"/>
      <c r="F40" s="18"/>
    </row>
    <row r="41" spans="1:6" x14ac:dyDescent="0.3">
      <c r="A41" s="9"/>
      <c r="B41" s="45"/>
      <c r="C41" s="167"/>
      <c r="D41" s="61"/>
      <c r="E41" s="16"/>
      <c r="F41" s="18"/>
    </row>
    <row r="42" spans="1:6" x14ac:dyDescent="0.3">
      <c r="A42" s="9"/>
      <c r="B42" s="45"/>
      <c r="C42" s="167"/>
      <c r="D42" s="61"/>
      <c r="E42" s="16"/>
      <c r="F42" s="18"/>
    </row>
    <row r="43" spans="1:6" x14ac:dyDescent="0.3">
      <c r="A43" s="9"/>
      <c r="B43" s="45"/>
      <c r="C43" s="167"/>
      <c r="D43" s="61"/>
      <c r="E43" s="16"/>
      <c r="F43" s="18"/>
    </row>
    <row r="44" spans="1:6" x14ac:dyDescent="0.3">
      <c r="A44" s="9"/>
      <c r="B44" s="45"/>
      <c r="C44" s="167"/>
      <c r="D44" s="61"/>
      <c r="E44" s="16"/>
      <c r="F44" s="18"/>
    </row>
    <row r="45" spans="1:6" x14ac:dyDescent="0.3">
      <c r="A45" s="9"/>
      <c r="B45" s="45"/>
      <c r="C45" s="167"/>
      <c r="D45" s="61"/>
      <c r="E45" s="16"/>
      <c r="F45" s="18"/>
    </row>
    <row r="46" spans="1:6" x14ac:dyDescent="0.3">
      <c r="A46" s="9"/>
      <c r="B46" s="45"/>
      <c r="C46" s="167"/>
      <c r="D46" s="61"/>
      <c r="E46" s="16"/>
      <c r="F46" s="18"/>
    </row>
    <row r="47" spans="1:6" x14ac:dyDescent="0.3">
      <c r="A47" s="9"/>
      <c r="B47" s="45"/>
      <c r="C47" s="167"/>
      <c r="D47" s="61"/>
      <c r="E47" s="16"/>
      <c r="F47" s="18"/>
    </row>
    <row r="48" spans="1:6" x14ac:dyDescent="0.3">
      <c r="A48" s="9"/>
      <c r="B48" s="45"/>
      <c r="C48" s="167"/>
      <c r="D48" s="61"/>
      <c r="E48" s="16"/>
      <c r="F48" s="18"/>
    </row>
    <row r="49" spans="1:6" x14ac:dyDescent="0.3">
      <c r="A49" s="9"/>
      <c r="B49" s="45"/>
      <c r="C49" s="167"/>
      <c r="D49" s="61"/>
      <c r="E49" s="16"/>
      <c r="F49" s="18"/>
    </row>
    <row r="50" spans="1:6" x14ac:dyDescent="0.3">
      <c r="A50" s="9"/>
      <c r="B50" s="45"/>
      <c r="C50" s="167"/>
      <c r="D50" s="61"/>
      <c r="E50" s="16"/>
      <c r="F50" s="18"/>
    </row>
    <row r="51" spans="1:6" x14ac:dyDescent="0.3">
      <c r="A51" s="9"/>
      <c r="B51" s="45"/>
      <c r="C51" s="167"/>
      <c r="D51" s="61"/>
      <c r="E51" s="16"/>
      <c r="F51" s="18"/>
    </row>
    <row r="52" spans="1:6" x14ac:dyDescent="0.3">
      <c r="A52" s="9"/>
      <c r="B52" s="45"/>
      <c r="C52" s="167"/>
      <c r="D52" s="61"/>
      <c r="E52" s="16"/>
      <c r="F52" s="18"/>
    </row>
    <row r="53" spans="1:6" x14ac:dyDescent="0.3">
      <c r="A53" s="9"/>
      <c r="B53" s="45"/>
      <c r="C53" s="167"/>
      <c r="D53" s="61"/>
      <c r="E53" s="16"/>
      <c r="F53" s="18"/>
    </row>
    <row r="54" spans="1:6" x14ac:dyDescent="0.3">
      <c r="A54" s="9"/>
      <c r="B54" s="45"/>
      <c r="C54" s="167"/>
      <c r="D54" s="61"/>
      <c r="E54" s="16"/>
      <c r="F54" s="18"/>
    </row>
    <row r="55" spans="1:6" x14ac:dyDescent="0.3">
      <c r="A55" s="9"/>
      <c r="B55" s="45"/>
      <c r="C55" s="167"/>
      <c r="D55" s="61"/>
      <c r="E55" s="16"/>
      <c r="F55" s="18"/>
    </row>
    <row r="56" spans="1:6" x14ac:dyDescent="0.3">
      <c r="A56" s="9"/>
      <c r="B56" s="45"/>
      <c r="C56" s="167"/>
      <c r="D56" s="61"/>
      <c r="E56" s="16"/>
      <c r="F56" s="18"/>
    </row>
    <row r="57" spans="1:6" x14ac:dyDescent="0.3">
      <c r="A57" s="9"/>
      <c r="B57" s="45"/>
      <c r="C57" s="167"/>
      <c r="D57" s="61"/>
      <c r="E57" s="16"/>
      <c r="F57" s="18"/>
    </row>
    <row r="58" spans="1:6" x14ac:dyDescent="0.3">
      <c r="A58" s="9"/>
      <c r="B58" s="45"/>
      <c r="C58" s="167"/>
      <c r="D58" s="61"/>
      <c r="E58" s="16"/>
      <c r="F58" s="18"/>
    </row>
    <row r="59" spans="1:6" x14ac:dyDescent="0.3">
      <c r="A59" s="9"/>
      <c r="B59" s="45"/>
      <c r="C59" s="167"/>
      <c r="D59" s="61"/>
      <c r="E59" s="16"/>
      <c r="F59" s="18"/>
    </row>
    <row r="60" spans="1:6" x14ac:dyDescent="0.3">
      <c r="A60" s="9"/>
      <c r="B60" s="45"/>
      <c r="C60" s="167"/>
      <c r="D60" s="61"/>
      <c r="E60" s="16"/>
      <c r="F60" s="18"/>
    </row>
    <row r="61" spans="1:6" x14ac:dyDescent="0.3">
      <c r="A61" s="9"/>
      <c r="B61" s="45"/>
      <c r="C61" s="167"/>
      <c r="D61" s="61"/>
      <c r="E61" s="16"/>
      <c r="F61" s="18"/>
    </row>
    <row r="62" spans="1:6" x14ac:dyDescent="0.3">
      <c r="A62" s="9"/>
      <c r="B62" s="45"/>
      <c r="C62" s="167"/>
      <c r="D62" s="61"/>
      <c r="E62" s="16"/>
      <c r="F62" s="18"/>
    </row>
    <row r="63" spans="1:6" x14ac:dyDescent="0.3">
      <c r="A63" s="9"/>
      <c r="B63" s="45"/>
      <c r="C63" s="167"/>
      <c r="D63" s="61"/>
      <c r="E63" s="16"/>
      <c r="F63" s="18"/>
    </row>
    <row r="64" spans="1:6" x14ac:dyDescent="0.3">
      <c r="A64" s="9"/>
      <c r="B64" s="45"/>
      <c r="C64" s="167"/>
      <c r="D64" s="61"/>
      <c r="E64" s="16"/>
      <c r="F64" s="18"/>
    </row>
    <row r="65" spans="1:11" x14ac:dyDescent="0.3">
      <c r="A65" s="9"/>
      <c r="B65" s="45"/>
      <c r="C65" s="167"/>
      <c r="D65" s="61"/>
      <c r="E65" s="16"/>
      <c r="F65" s="18"/>
    </row>
    <row r="66" spans="1:11" x14ac:dyDescent="0.3">
      <c r="A66" s="9"/>
      <c r="B66" s="45"/>
      <c r="C66" s="167"/>
      <c r="D66" s="61"/>
      <c r="E66" s="16"/>
      <c r="F66" s="18"/>
    </row>
    <row r="67" spans="1:11" x14ac:dyDescent="0.3">
      <c r="A67" s="9"/>
      <c r="B67" s="45"/>
      <c r="C67" s="167"/>
      <c r="D67" s="61"/>
      <c r="E67" s="16"/>
      <c r="F67" s="18"/>
    </row>
    <row r="68" spans="1:11" x14ac:dyDescent="0.3">
      <c r="A68" s="9"/>
      <c r="B68" s="45"/>
      <c r="C68" s="167"/>
      <c r="D68" s="61"/>
      <c r="E68" s="16"/>
      <c r="F68" s="18"/>
    </row>
    <row r="69" spans="1:11" x14ac:dyDescent="0.3">
      <c r="A69" s="9"/>
      <c r="B69" s="45"/>
      <c r="C69" s="167"/>
      <c r="D69" s="61"/>
      <c r="E69" s="16"/>
      <c r="F69" s="18"/>
    </row>
    <row r="70" spans="1:11" x14ac:dyDescent="0.3">
      <c r="A70" s="9"/>
      <c r="B70" s="45"/>
      <c r="C70" s="167"/>
      <c r="D70" s="61"/>
      <c r="E70" s="16"/>
      <c r="F70" s="18"/>
    </row>
    <row r="71" spans="1:11" x14ac:dyDescent="0.3">
      <c r="A71" s="9"/>
      <c r="B71" s="45"/>
      <c r="C71" s="167"/>
      <c r="D71" s="61"/>
      <c r="E71" s="16"/>
      <c r="F71" s="18"/>
    </row>
    <row r="72" spans="1:11" x14ac:dyDescent="0.3">
      <c r="A72" s="9"/>
      <c r="B72" s="45"/>
      <c r="C72" s="167"/>
      <c r="D72" s="61"/>
      <c r="E72" s="16"/>
      <c r="F72" s="18"/>
    </row>
    <row r="73" spans="1:11" x14ac:dyDescent="0.3">
      <c r="A73" s="9"/>
      <c r="B73" s="45"/>
      <c r="C73" s="167"/>
      <c r="D73" s="61"/>
      <c r="E73" s="16"/>
      <c r="F73" s="18"/>
    </row>
    <row r="74" spans="1:11" x14ac:dyDescent="0.3">
      <c r="A74" s="9" t="s">
        <v>0</v>
      </c>
      <c r="B74" s="45"/>
      <c r="C74" s="167"/>
      <c r="D74" s="61"/>
      <c r="E74" s="16"/>
      <c r="F74" s="18"/>
    </row>
    <row r="75" spans="1:11" x14ac:dyDescent="0.3">
      <c r="A75" s="9"/>
      <c r="B75" s="45"/>
      <c r="C75" s="167"/>
      <c r="D75" s="61"/>
      <c r="E75" s="16"/>
      <c r="F75" s="18"/>
    </row>
    <row r="76" spans="1:11" x14ac:dyDescent="0.3">
      <c r="A76" s="9"/>
      <c r="B76" s="45"/>
      <c r="C76" s="167"/>
      <c r="D76" s="61"/>
      <c r="E76" s="16"/>
      <c r="F76" s="18"/>
    </row>
    <row r="77" spans="1:11" x14ac:dyDescent="0.3">
      <c r="A77" s="9"/>
      <c r="D77" s="19"/>
      <c r="E77" s="16"/>
      <c r="F77" s="18"/>
    </row>
    <row r="78" spans="1:11" customFormat="1" x14ac:dyDescent="0.3">
      <c r="B78" s="28"/>
      <c r="C78" s="28" t="s">
        <v>0</v>
      </c>
    </row>
    <row r="79" spans="1:11" customFormat="1" x14ac:dyDescent="0.3">
      <c r="B79" s="28"/>
    </row>
    <row r="80" spans="1:11" x14ac:dyDescent="0.3">
      <c r="A80" s="9"/>
      <c r="D80" s="19"/>
      <c r="E80" s="16"/>
      <c r="F80" s="18"/>
      <c r="G80" s="16"/>
      <c r="H80" s="16"/>
      <c r="I80" s="46"/>
      <c r="J80" s="34"/>
      <c r="K80" s="34"/>
    </row>
    <row r="81" spans="1:11" x14ac:dyDescent="0.3">
      <c r="A81" s="9"/>
      <c r="D81" s="19"/>
      <c r="E81" s="16"/>
      <c r="F81" s="18"/>
      <c r="G81" s="16"/>
      <c r="H81" s="16"/>
      <c r="I81" s="46"/>
      <c r="J81" s="34"/>
      <c r="K81" s="34"/>
    </row>
    <row r="82" spans="1:11" x14ac:dyDescent="0.3">
      <c r="A82" s="9"/>
      <c r="D82" s="19"/>
      <c r="E82" s="16"/>
      <c r="F82" s="18"/>
      <c r="G82" s="16"/>
      <c r="H82" s="16"/>
      <c r="I82" s="46"/>
      <c r="J82" s="34"/>
      <c r="K82" s="34"/>
    </row>
    <row r="83" spans="1:11" x14ac:dyDescent="0.3">
      <c r="A83" s="9"/>
      <c r="D83" s="19"/>
      <c r="E83" s="16"/>
      <c r="F83" s="18"/>
      <c r="G83" s="16"/>
      <c r="H83" s="16"/>
      <c r="I83" s="46"/>
      <c r="J83" s="34"/>
      <c r="K83" s="34"/>
    </row>
  </sheetData>
  <mergeCells count="6">
    <mergeCell ref="B13:H13"/>
    <mergeCell ref="B11:G11"/>
    <mergeCell ref="B4:G4"/>
    <mergeCell ref="B6:I6"/>
    <mergeCell ref="B7:I7"/>
    <mergeCell ref="B12:D12"/>
  </mergeCells>
  <pageMargins left="0.7" right="0.7" top="0.75" bottom="0.75" header="0.3" footer="0.3"/>
  <pageSetup orientation="portrait" r:id="rId1"/>
  <drawing r:id="rId2"/>
  <legacyDrawing r:id="rId3"/>
  <controls>
    <mc:AlternateContent xmlns:mc="http://schemas.openxmlformats.org/markup-compatibility/2006">
      <mc:Choice Requires="x14">
        <control shapeId="75777" r:id="rId4" name="Control 1">
          <controlPr defaultSize="0" r:id="rId5">
            <anchor moveWithCells="1">
              <from>
                <xdr:col>1</xdr:col>
                <xdr:colOff>0</xdr:colOff>
                <xdr:row>77</xdr:row>
                <xdr:rowOff>106680</xdr:rowOff>
              </from>
              <to>
                <xdr:col>1</xdr:col>
                <xdr:colOff>228600</xdr:colOff>
                <xdr:row>78</xdr:row>
                <xdr:rowOff>175260</xdr:rowOff>
              </to>
            </anchor>
          </controlPr>
        </control>
      </mc:Choice>
      <mc:Fallback>
        <control shapeId="75777" r:id="rId4" name="Control 1"/>
      </mc:Fallback>
    </mc:AlternateContent>
    <mc:AlternateContent xmlns:mc="http://schemas.openxmlformats.org/markup-compatibility/2006">
      <mc:Choice Requires="x14">
        <control shapeId="75778" r:id="rId6" name="Control 2">
          <controlPr defaultSize="0" r:id="rId7">
            <anchor moveWithCells="1">
              <from>
                <xdr:col>1</xdr:col>
                <xdr:colOff>0</xdr:colOff>
                <xdr:row>77</xdr:row>
                <xdr:rowOff>106680</xdr:rowOff>
              </from>
              <to>
                <xdr:col>1</xdr:col>
                <xdr:colOff>228600</xdr:colOff>
                <xdr:row>78</xdr:row>
                <xdr:rowOff>175260</xdr:rowOff>
              </to>
            </anchor>
          </controlPr>
        </control>
      </mc:Choice>
      <mc:Fallback>
        <control shapeId="75778" r:id="rId6" name="Control 2"/>
      </mc:Fallback>
    </mc:AlternateContent>
  </control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K32"/>
  <sheetViews>
    <sheetView workbookViewId="0"/>
  </sheetViews>
  <sheetFormatPr defaultColWidth="9.109375" defaultRowHeight="14.4" x14ac:dyDescent="0.3"/>
  <cols>
    <col min="1" max="1" width="16.5546875" style="28" customWidth="1"/>
    <col min="2" max="2" width="24.33203125" style="28" customWidth="1"/>
    <col min="3" max="3" width="12.5546875" style="28" bestFit="1" customWidth="1"/>
    <col min="4" max="4" width="9.109375" style="28"/>
    <col min="5" max="5" width="16.5546875" style="28" customWidth="1"/>
    <col min="6" max="6" width="10.5546875" style="28" bestFit="1" customWidth="1"/>
    <col min="7" max="7" width="14.5546875" style="28" customWidth="1"/>
    <col min="8" max="8" width="10.88671875" style="28" bestFit="1" customWidth="1"/>
    <col min="9" max="9" width="11.88671875" style="28" bestFit="1" customWidth="1"/>
    <col min="10" max="10" width="12.5546875" style="28" bestFit="1" customWidth="1"/>
    <col min="11" max="16384" width="9.109375" style="28"/>
  </cols>
  <sheetData>
    <row r="1" spans="1:11" x14ac:dyDescent="0.3">
      <c r="A1" s="5" t="s">
        <v>588</v>
      </c>
      <c r="B1" s="5"/>
    </row>
    <row r="2" spans="1:11" s="89" customFormat="1" x14ac:dyDescent="0.3">
      <c r="A2" s="370"/>
      <c r="B2" s="370"/>
    </row>
    <row r="3" spans="1:11" x14ac:dyDescent="0.3">
      <c r="A3" s="5" t="s">
        <v>0</v>
      </c>
      <c r="B3" s="5" t="s">
        <v>268</v>
      </c>
    </row>
    <row r="4" spans="1:11" ht="15" customHeight="1" x14ac:dyDescent="0.5">
      <c r="A4" s="1"/>
      <c r="B4" s="575" t="s">
        <v>491</v>
      </c>
      <c r="C4" s="575"/>
      <c r="D4" s="575"/>
      <c r="E4" s="575"/>
      <c r="F4" s="575"/>
      <c r="G4" s="575"/>
      <c r="H4" s="575"/>
      <c r="I4" s="575"/>
      <c r="J4" s="575"/>
      <c r="K4" s="575"/>
    </row>
    <row r="5" spans="1:11" ht="15" customHeight="1" x14ac:dyDescent="0.5">
      <c r="A5" s="1"/>
      <c r="B5" s="418"/>
      <c r="C5" s="418"/>
      <c r="D5" s="418"/>
      <c r="E5" s="418"/>
      <c r="F5" s="418"/>
      <c r="G5" s="418"/>
      <c r="H5" s="418"/>
      <c r="I5" s="418"/>
      <c r="J5" s="418"/>
      <c r="K5" s="418"/>
    </row>
    <row r="6" spans="1:11" ht="15" customHeight="1" x14ac:dyDescent="0.5">
      <c r="A6" s="1"/>
      <c r="B6" s="579" t="s">
        <v>493</v>
      </c>
      <c r="C6" s="590"/>
      <c r="D6" s="590"/>
      <c r="E6" s="590"/>
      <c r="F6" s="590"/>
      <c r="G6" s="590"/>
      <c r="H6" s="590"/>
      <c r="I6" s="590"/>
      <c r="J6" s="590"/>
    </row>
    <row r="7" spans="1:11" ht="15" customHeight="1" x14ac:dyDescent="0.5">
      <c r="A7" s="1"/>
      <c r="B7" s="579" t="s">
        <v>492</v>
      </c>
      <c r="C7" s="590"/>
      <c r="D7" s="590"/>
      <c r="E7" s="590"/>
      <c r="F7" s="590"/>
      <c r="G7" s="590"/>
      <c r="H7" s="590"/>
      <c r="I7" s="590"/>
      <c r="J7" s="590"/>
    </row>
    <row r="8" spans="1:11" ht="15" customHeight="1" x14ac:dyDescent="0.5">
      <c r="A8" s="1"/>
      <c r="B8" s="51"/>
      <c r="C8" s="421"/>
      <c r="D8" s="423"/>
      <c r="E8" s="423"/>
      <c r="F8" s="423"/>
      <c r="G8" s="423"/>
      <c r="H8" s="423"/>
      <c r="I8" s="423"/>
      <c r="J8" s="423"/>
      <c r="K8" s="423"/>
    </row>
    <row r="9" spans="1:11" s="89" customFormat="1" ht="15" customHeight="1" x14ac:dyDescent="0.5">
      <c r="A9" s="500"/>
      <c r="B9" s="492"/>
      <c r="C9" s="360"/>
      <c r="D9" s="501"/>
      <c r="E9" s="501"/>
      <c r="F9" s="501"/>
      <c r="G9" s="501"/>
      <c r="H9" s="501"/>
      <c r="I9" s="501"/>
      <c r="J9" s="501"/>
      <c r="K9" s="501"/>
    </row>
    <row r="10" spans="1:11" ht="15" customHeight="1" x14ac:dyDescent="0.5">
      <c r="A10" s="1"/>
      <c r="B10" s="51"/>
      <c r="C10" s="421"/>
      <c r="D10" s="423"/>
      <c r="E10" s="423"/>
      <c r="F10" s="423"/>
      <c r="G10" s="423"/>
      <c r="H10" s="423"/>
      <c r="I10" s="423"/>
      <c r="J10" s="423"/>
      <c r="K10" s="423"/>
    </row>
    <row r="11" spans="1:11" ht="17.25" customHeight="1" x14ac:dyDescent="0.3">
      <c r="A11" s="277"/>
      <c r="B11" s="573" t="s">
        <v>265</v>
      </c>
      <c r="C11" s="573"/>
      <c r="D11" s="573"/>
      <c r="E11" s="573"/>
      <c r="F11" s="573"/>
      <c r="G11" s="573"/>
      <c r="H11" s="429"/>
    </row>
    <row r="12" spans="1:11" ht="17.25" customHeight="1" x14ac:dyDescent="0.3">
      <c r="A12" s="277"/>
      <c r="B12" s="570" t="s">
        <v>266</v>
      </c>
      <c r="C12" s="570"/>
      <c r="D12" s="570"/>
    </row>
    <row r="13" spans="1:11" ht="17.25" customHeight="1" x14ac:dyDescent="0.3">
      <c r="A13" s="277"/>
      <c r="B13" s="571" t="s">
        <v>267</v>
      </c>
      <c r="C13" s="571"/>
      <c r="D13" s="571"/>
      <c r="E13" s="571"/>
      <c r="F13" s="571"/>
      <c r="G13" s="571"/>
      <c r="H13" s="571"/>
    </row>
    <row r="14" spans="1:11" x14ac:dyDescent="0.3">
      <c r="A14" s="10"/>
      <c r="B14" s="10"/>
      <c r="C14" s="10"/>
      <c r="D14" s="10"/>
    </row>
    <row r="15" spans="1:11" x14ac:dyDescent="0.3">
      <c r="A15" s="10"/>
      <c r="B15" s="85" t="s">
        <v>56</v>
      </c>
      <c r="C15" s="10"/>
      <c r="D15" s="10"/>
    </row>
    <row r="16" spans="1:11" s="25" customFormat="1" x14ac:dyDescent="0.3">
      <c r="A16" s="40"/>
      <c r="B16" s="76" t="s">
        <v>152</v>
      </c>
      <c r="C16" s="125">
        <v>8000</v>
      </c>
      <c r="D16" s="41"/>
      <c r="E16" s="41"/>
      <c r="F16" s="41"/>
      <c r="G16" s="41"/>
      <c r="H16" s="41"/>
    </row>
    <row r="17" spans="1:10" s="25" customFormat="1" x14ac:dyDescent="0.3">
      <c r="A17" s="40"/>
      <c r="B17" s="76" t="s">
        <v>146</v>
      </c>
      <c r="C17" s="78">
        <v>48</v>
      </c>
      <c r="D17" s="41"/>
      <c r="E17" s="41"/>
      <c r="F17" s="41"/>
      <c r="G17" s="41"/>
      <c r="H17" s="41"/>
    </row>
    <row r="18" spans="1:10" s="25" customFormat="1" x14ac:dyDescent="0.3">
      <c r="A18" s="40"/>
      <c r="B18" s="76" t="s">
        <v>194</v>
      </c>
      <c r="C18" s="125">
        <v>240</v>
      </c>
      <c r="D18" s="41"/>
      <c r="E18" s="41"/>
      <c r="F18" s="41"/>
      <c r="G18" s="41"/>
      <c r="H18" s="41"/>
    </row>
    <row r="19" spans="1:10" s="25" customFormat="1" x14ac:dyDescent="0.3">
      <c r="A19" s="40"/>
      <c r="B19" s="76"/>
      <c r="C19" s="245"/>
      <c r="D19" s="41"/>
      <c r="E19" s="41"/>
      <c r="F19" s="41"/>
      <c r="G19" s="41"/>
      <c r="H19" s="41"/>
    </row>
    <row r="20" spans="1:10" s="89" customFormat="1" x14ac:dyDescent="0.3">
      <c r="A20" s="370"/>
      <c r="B20" s="412"/>
      <c r="C20" s="481"/>
      <c r="D20" s="472"/>
      <c r="E20" s="472"/>
      <c r="F20" s="472"/>
      <c r="G20" s="472"/>
      <c r="H20" s="472"/>
    </row>
    <row r="21" spans="1:10" x14ac:dyDescent="0.3">
      <c r="A21" s="5"/>
      <c r="B21" s="6"/>
      <c r="C21" s="6"/>
      <c r="D21" s="6"/>
      <c r="E21" s="6"/>
      <c r="F21" s="6"/>
      <c r="G21" s="6"/>
      <c r="H21" s="6"/>
    </row>
    <row r="22" spans="1:10" x14ac:dyDescent="0.3">
      <c r="A22" s="9"/>
      <c r="B22" s="5" t="s">
        <v>1</v>
      </c>
      <c r="F22" s="5" t="s">
        <v>415</v>
      </c>
    </row>
    <row r="23" spans="1:10" x14ac:dyDescent="0.3">
      <c r="A23" s="9"/>
      <c r="B23" s="5" t="s">
        <v>9</v>
      </c>
      <c r="F23" s="34">
        <f>C17</f>
        <v>48</v>
      </c>
      <c r="G23" s="34" t="s">
        <v>0</v>
      </c>
      <c r="H23" s="211">
        <f>C16</f>
        <v>8000</v>
      </c>
      <c r="I23" s="214">
        <f>-C18</f>
        <v>-240</v>
      </c>
    </row>
    <row r="24" spans="1:10" x14ac:dyDescent="0.3">
      <c r="A24" s="9"/>
      <c r="B24" s="33" t="s">
        <v>40</v>
      </c>
      <c r="C24" s="167">
        <f>G25*12/100</f>
        <v>0.19189108492165552</v>
      </c>
      <c r="F24" s="34" t="s">
        <v>13</v>
      </c>
      <c r="G24" s="34" t="s">
        <v>98</v>
      </c>
      <c r="H24" s="34" t="s">
        <v>14</v>
      </c>
      <c r="I24" s="34" t="s">
        <v>16</v>
      </c>
      <c r="J24" s="34" t="s">
        <v>17</v>
      </c>
    </row>
    <row r="25" spans="1:10" x14ac:dyDescent="0.3">
      <c r="A25" s="9"/>
      <c r="C25" s="128"/>
      <c r="G25" s="255">
        <f>RATE(F23,I23,H23)*100</f>
        <v>1.5990923743471295</v>
      </c>
      <c r="J25" s="34" t="s">
        <v>0</v>
      </c>
    </row>
    <row r="26" spans="1:10" ht="15" customHeight="1" x14ac:dyDescent="0.3">
      <c r="A26" s="16"/>
      <c r="B26" s="5" t="s">
        <v>5</v>
      </c>
      <c r="C26" s="129"/>
      <c r="D26" s="18"/>
      <c r="E26" s="18"/>
      <c r="F26" s="18"/>
      <c r="H26" s="58" t="s">
        <v>0</v>
      </c>
      <c r="I26" s="49" t="s">
        <v>0</v>
      </c>
      <c r="J26" s="16"/>
    </row>
    <row r="27" spans="1:10" ht="15" customHeight="1" x14ac:dyDescent="0.3">
      <c r="A27" s="16"/>
      <c r="B27" s="33" t="s">
        <v>38</v>
      </c>
      <c r="C27" s="170">
        <f>(1+(G25/100))^12-1</f>
        <v>0.20970071920645372</v>
      </c>
      <c r="E27" s="18"/>
    </row>
    <row r="28" spans="1:10" ht="15" customHeight="1" x14ac:dyDescent="0.3">
      <c r="A28" s="16"/>
      <c r="B28" s="17"/>
      <c r="C28" s="31"/>
      <c r="E28" s="18"/>
    </row>
    <row r="29" spans="1:10" ht="12.75" customHeight="1" x14ac:dyDescent="0.3">
      <c r="A29" s="16"/>
    </row>
    <row r="30" spans="1:10" x14ac:dyDescent="0.3">
      <c r="A30" s="16"/>
      <c r="F30" s="34"/>
      <c r="G30" s="36"/>
      <c r="H30" s="47"/>
      <c r="I30" s="34"/>
      <c r="J30" s="37"/>
    </row>
    <row r="31" spans="1:10" x14ac:dyDescent="0.3">
      <c r="A31" s="16"/>
      <c r="F31" s="34"/>
      <c r="G31" s="37"/>
      <c r="H31" s="35"/>
      <c r="I31" s="36"/>
      <c r="J31" s="34"/>
    </row>
    <row r="32" spans="1:10" x14ac:dyDescent="0.3">
      <c r="A32" s="16"/>
      <c r="F32" s="18"/>
      <c r="G32" s="16"/>
      <c r="H32" s="16"/>
    </row>
  </sheetData>
  <mergeCells count="6">
    <mergeCell ref="B13:H13"/>
    <mergeCell ref="B11:G11"/>
    <mergeCell ref="B6:J6"/>
    <mergeCell ref="B7:J7"/>
    <mergeCell ref="B4:K4"/>
    <mergeCell ref="B12:D12"/>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M27"/>
  <sheetViews>
    <sheetView workbookViewId="0"/>
  </sheetViews>
  <sheetFormatPr defaultColWidth="9.109375" defaultRowHeight="14.4" x14ac:dyDescent="0.3"/>
  <cols>
    <col min="1" max="1" width="16.5546875" style="28" customWidth="1"/>
    <col min="2" max="2" width="27.33203125" style="28" customWidth="1"/>
    <col min="3" max="3" width="15.109375" style="28" customWidth="1"/>
    <col min="4" max="6" width="9.6640625" style="28" customWidth="1"/>
    <col min="7" max="7" width="13.109375" style="28" customWidth="1"/>
    <col min="8" max="9" width="9.6640625" style="28" customWidth="1"/>
    <col min="10" max="10" width="11.5546875" style="28" bestFit="1" customWidth="1"/>
    <col min="11" max="16384" width="9.109375" style="28"/>
  </cols>
  <sheetData>
    <row r="1" spans="1:10" x14ac:dyDescent="0.3">
      <c r="A1" s="5" t="s">
        <v>587</v>
      </c>
      <c r="B1" s="5"/>
    </row>
    <row r="2" spans="1:10" s="89" customFormat="1" x14ac:dyDescent="0.3">
      <c r="A2" s="370" t="s">
        <v>0</v>
      </c>
      <c r="B2" s="370"/>
    </row>
    <row r="3" spans="1:10" ht="15" customHeight="1" x14ac:dyDescent="0.5">
      <c r="A3" s="1"/>
      <c r="B3" s="5" t="s">
        <v>268</v>
      </c>
    </row>
    <row r="4" spans="1:10" ht="35.25" customHeight="1" x14ac:dyDescent="0.3">
      <c r="A4" s="2"/>
      <c r="B4" s="579" t="s">
        <v>511</v>
      </c>
      <c r="C4" s="579"/>
      <c r="D4" s="579"/>
      <c r="E4" s="579"/>
      <c r="F4" s="579"/>
      <c r="G4" s="579"/>
      <c r="H4" s="452"/>
      <c r="I4" s="452"/>
      <c r="J4" s="452"/>
    </row>
    <row r="5" spans="1:10" ht="37.5" customHeight="1" x14ac:dyDescent="0.3">
      <c r="A5" s="2"/>
      <c r="B5" s="579" t="s">
        <v>512</v>
      </c>
      <c r="C5" s="579"/>
      <c r="D5" s="579"/>
      <c r="E5" s="579"/>
      <c r="F5" s="579"/>
      <c r="G5" s="579"/>
      <c r="H5" s="452"/>
      <c r="I5" s="452"/>
      <c r="J5" s="452"/>
    </row>
    <row r="6" spans="1:10" ht="15" customHeight="1" x14ac:dyDescent="0.3">
      <c r="A6" s="2"/>
      <c r="B6" s="28" t="s">
        <v>3</v>
      </c>
      <c r="D6" s="27"/>
      <c r="E6" s="27"/>
      <c r="F6" s="27"/>
      <c r="G6" s="27"/>
      <c r="H6" s="27"/>
    </row>
    <row r="7" spans="1:10" s="21" customFormat="1" x14ac:dyDescent="0.3">
      <c r="A7" s="7"/>
      <c r="B7" s="8"/>
      <c r="C7" s="8"/>
      <c r="D7" s="8"/>
      <c r="E7" s="8"/>
      <c r="F7" s="8"/>
      <c r="G7" s="8"/>
      <c r="H7" s="8"/>
    </row>
    <row r="8" spans="1:10" s="77" customFormat="1" x14ac:dyDescent="0.3">
      <c r="B8" s="76"/>
      <c r="C8" s="76"/>
      <c r="D8" s="76"/>
      <c r="E8" s="76"/>
      <c r="F8" s="76"/>
      <c r="G8" s="76"/>
      <c r="H8" s="76"/>
    </row>
    <row r="9" spans="1:10" ht="17.25" customHeight="1" x14ac:dyDescent="0.3">
      <c r="A9" s="277"/>
      <c r="B9" s="573" t="s">
        <v>265</v>
      </c>
      <c r="C9" s="573"/>
      <c r="D9" s="573"/>
      <c r="E9" s="573"/>
      <c r="F9" s="573"/>
      <c r="G9" s="573"/>
      <c r="H9" s="429"/>
    </row>
    <row r="10" spans="1:10" ht="17.25" customHeight="1" x14ac:dyDescent="0.3">
      <c r="A10" s="277"/>
      <c r="B10" s="570" t="s">
        <v>266</v>
      </c>
      <c r="C10" s="570"/>
      <c r="D10" s="570"/>
    </row>
    <row r="11" spans="1:10" ht="17.25" customHeight="1" x14ac:dyDescent="0.3">
      <c r="A11" s="277"/>
      <c r="B11" s="571" t="s">
        <v>267</v>
      </c>
      <c r="C11" s="571"/>
      <c r="D11" s="571"/>
      <c r="E11" s="571"/>
      <c r="F11" s="571"/>
      <c r="G11" s="571"/>
      <c r="H11" s="571"/>
    </row>
    <row r="12" spans="1:10" x14ac:dyDescent="0.3">
      <c r="A12" s="10"/>
      <c r="B12" s="10"/>
      <c r="C12" s="10"/>
      <c r="D12" s="10"/>
    </row>
    <row r="13" spans="1:10" x14ac:dyDescent="0.3">
      <c r="A13" s="10"/>
      <c r="B13" s="85" t="s">
        <v>56</v>
      </c>
      <c r="C13" s="10"/>
      <c r="D13" s="10"/>
    </row>
    <row r="14" spans="1:10" s="25" customFormat="1" x14ac:dyDescent="0.3">
      <c r="A14" s="40"/>
      <c r="B14" s="76" t="s">
        <v>227</v>
      </c>
      <c r="C14" s="337">
        <v>0.06</v>
      </c>
      <c r="D14" s="76" t="s">
        <v>0</v>
      </c>
      <c r="E14" s="41"/>
      <c r="F14" s="41"/>
      <c r="G14" s="41"/>
      <c r="H14" s="41"/>
    </row>
    <row r="15" spans="1:10" s="25" customFormat="1" x14ac:dyDescent="0.3">
      <c r="A15" s="40"/>
      <c r="B15" s="76" t="s">
        <v>228</v>
      </c>
      <c r="C15" s="78">
        <v>4</v>
      </c>
      <c r="D15" s="76" t="s">
        <v>226</v>
      </c>
      <c r="E15" s="41"/>
      <c r="F15" s="41"/>
      <c r="G15" s="41"/>
      <c r="H15" s="41"/>
    </row>
    <row r="16" spans="1:10" s="25" customFormat="1" x14ac:dyDescent="0.3">
      <c r="A16" s="40"/>
      <c r="B16" s="76" t="s">
        <v>213</v>
      </c>
      <c r="C16" s="337">
        <v>0.04</v>
      </c>
      <c r="D16" s="76" t="s">
        <v>0</v>
      </c>
      <c r="E16" s="41"/>
      <c r="F16" s="41"/>
      <c r="G16" s="41"/>
      <c r="H16" s="41"/>
    </row>
    <row r="17" spans="1:13" s="25" customFormat="1" x14ac:dyDescent="0.3">
      <c r="A17" s="40"/>
      <c r="B17" s="76"/>
      <c r="C17" s="76"/>
      <c r="D17" s="41"/>
      <c r="E17" s="41"/>
      <c r="F17" s="41"/>
      <c r="G17" s="41"/>
      <c r="H17" s="41"/>
    </row>
    <row r="18" spans="1:13" s="373" customFormat="1" x14ac:dyDescent="0.3">
      <c r="B18" s="412"/>
      <c r="C18" s="412"/>
      <c r="D18" s="412"/>
      <c r="E18" s="412"/>
      <c r="F18" s="412"/>
      <c r="G18" s="412"/>
      <c r="H18" s="412"/>
    </row>
    <row r="19" spans="1:13" x14ac:dyDescent="0.3">
      <c r="A19" s="5"/>
      <c r="B19" s="6"/>
      <c r="C19" s="6"/>
      <c r="D19" s="53"/>
      <c r="E19" s="6"/>
      <c r="F19" s="6"/>
      <c r="G19" s="6"/>
      <c r="H19" s="6"/>
    </row>
    <row r="20" spans="1:13" x14ac:dyDescent="0.3">
      <c r="A20" s="9"/>
      <c r="B20" s="5" t="s">
        <v>1</v>
      </c>
      <c r="G20" s="29"/>
      <c r="H20" s="29"/>
    </row>
    <row r="21" spans="1:13" x14ac:dyDescent="0.3">
      <c r="A21" s="9"/>
      <c r="B21" s="5" t="s">
        <v>4</v>
      </c>
      <c r="G21" s="29"/>
      <c r="H21" s="29"/>
    </row>
    <row r="22" spans="1:13" x14ac:dyDescent="0.3">
      <c r="A22" s="9"/>
      <c r="B22" s="33" t="s">
        <v>46</v>
      </c>
      <c r="C22" s="271">
        <f>2*(72/(C14*100))</f>
        <v>24</v>
      </c>
      <c r="D22" s="34"/>
      <c r="E22" s="34"/>
      <c r="F22" s="34"/>
      <c r="G22" s="29"/>
      <c r="H22" s="29"/>
    </row>
    <row r="23" spans="1:13" x14ac:dyDescent="0.3">
      <c r="A23" s="9"/>
      <c r="B23" s="33"/>
      <c r="C23" s="63"/>
      <c r="D23" s="34"/>
      <c r="E23" s="34"/>
      <c r="F23" s="34"/>
      <c r="G23" s="29"/>
      <c r="H23" s="29"/>
    </row>
    <row r="24" spans="1:13" x14ac:dyDescent="0.3">
      <c r="A24" s="9"/>
      <c r="B24" s="67" t="s">
        <v>5</v>
      </c>
      <c r="C24" s="63"/>
      <c r="D24" s="34"/>
      <c r="E24" s="34"/>
      <c r="F24" s="34"/>
      <c r="G24" s="34"/>
      <c r="H24" s="34"/>
      <c r="I24" s="34"/>
      <c r="J24" s="34"/>
      <c r="K24" s="34"/>
      <c r="L24" s="29"/>
      <c r="M24" s="29"/>
    </row>
    <row r="25" spans="1:13" x14ac:dyDescent="0.3">
      <c r="A25" s="9"/>
      <c r="B25" s="549" t="s">
        <v>513</v>
      </c>
      <c r="C25" s="550" t="str">
        <f>IF(D25&gt;0,"increases by","decreases by")</f>
        <v>increases by</v>
      </c>
      <c r="D25" s="170">
        <f>(1+(((1+C14)/(1+C16))-1))^C22-1</f>
        <v>0.57957635177424227</v>
      </c>
      <c r="E25" s="66"/>
      <c r="F25" s="59"/>
      <c r="G25" s="34"/>
      <c r="H25" s="65"/>
      <c r="I25" s="34"/>
      <c r="J25" s="34"/>
      <c r="K25" s="34"/>
      <c r="L25" s="29"/>
      <c r="M25" s="29"/>
    </row>
    <row r="26" spans="1:13" x14ac:dyDescent="0.3">
      <c r="A26" s="9"/>
      <c r="B26" s="33"/>
      <c r="C26" s="63"/>
      <c r="D26" s="29"/>
      <c r="E26" s="72"/>
      <c r="F26" s="29"/>
      <c r="G26" s="29"/>
      <c r="H26" s="44"/>
      <c r="I26" s="46"/>
      <c r="J26" s="34"/>
      <c r="K26" s="34"/>
    </row>
    <row r="27" spans="1:13" x14ac:dyDescent="0.3">
      <c r="A27" s="9"/>
      <c r="B27" s="33"/>
      <c r="C27" s="63"/>
      <c r="D27" s="29"/>
      <c r="E27" s="44"/>
      <c r="F27" s="29"/>
      <c r="G27" s="29"/>
      <c r="H27" s="44"/>
      <c r="I27" s="46"/>
      <c r="J27" s="34"/>
      <c r="K27" s="34"/>
    </row>
  </sheetData>
  <mergeCells count="5">
    <mergeCell ref="B10:D10"/>
    <mergeCell ref="B11:H11"/>
    <mergeCell ref="B9:G9"/>
    <mergeCell ref="B4:G4"/>
    <mergeCell ref="B5:G5"/>
  </mergeCell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N44"/>
  <sheetViews>
    <sheetView workbookViewId="0">
      <selection activeCell="A40" sqref="A40:XFD40"/>
    </sheetView>
  </sheetViews>
  <sheetFormatPr defaultColWidth="9.109375" defaultRowHeight="14.4" x14ac:dyDescent="0.3"/>
  <cols>
    <col min="1" max="1" width="16.5546875" style="28" customWidth="1"/>
    <col min="2" max="2" width="21.5546875" style="28" customWidth="1"/>
    <col min="3" max="3" width="20.109375" style="28" bestFit="1" customWidth="1"/>
    <col min="4" max="4" width="21.109375" style="28" bestFit="1" customWidth="1"/>
    <col min="5" max="5" width="20.88671875" style="28" customWidth="1"/>
    <col min="6" max="6" width="12.88671875" style="28" customWidth="1"/>
    <col min="7" max="7" width="14.5546875" style="28" customWidth="1"/>
    <col min="8" max="8" width="9.109375" style="28"/>
    <col min="9" max="9" width="11.88671875" style="28" bestFit="1" customWidth="1"/>
    <col min="10" max="16384" width="9.109375" style="28"/>
  </cols>
  <sheetData>
    <row r="1" spans="1:10" x14ac:dyDescent="0.3">
      <c r="A1" s="5" t="s">
        <v>586</v>
      </c>
      <c r="B1" s="5"/>
      <c r="C1" s="10"/>
      <c r="D1" s="10"/>
      <c r="E1" s="10"/>
      <c r="F1" s="10"/>
      <c r="G1" s="10"/>
      <c r="H1" s="10"/>
      <c r="I1" s="10"/>
      <c r="J1" s="10"/>
    </row>
    <row r="2" spans="1:10" s="89" customFormat="1" x14ac:dyDescent="0.3">
      <c r="A2" s="370"/>
      <c r="B2" s="370"/>
      <c r="C2" s="373"/>
      <c r="D2" s="373"/>
      <c r="E2" s="373"/>
      <c r="F2" s="373"/>
      <c r="G2" s="373"/>
      <c r="H2" s="373"/>
      <c r="I2" s="373"/>
      <c r="J2" s="373"/>
    </row>
    <row r="3" spans="1:10" x14ac:dyDescent="0.3">
      <c r="A3" s="5" t="s">
        <v>0</v>
      </c>
      <c r="B3" s="5" t="s">
        <v>268</v>
      </c>
      <c r="C3" s="10"/>
      <c r="D3" s="10"/>
      <c r="E3" s="10"/>
      <c r="F3" s="10"/>
      <c r="G3" s="10"/>
      <c r="H3" s="10"/>
      <c r="I3" s="10"/>
      <c r="J3" s="10"/>
    </row>
    <row r="4" spans="1:10" ht="33.75" customHeight="1" x14ac:dyDescent="0.3">
      <c r="A4" s="277"/>
      <c r="B4" s="588" t="s">
        <v>544</v>
      </c>
      <c r="C4" s="588"/>
      <c r="D4" s="588"/>
      <c r="E4" s="588"/>
      <c r="F4" s="385"/>
      <c r="G4" s="385"/>
      <c r="H4" s="385"/>
      <c r="I4" s="385"/>
      <c r="J4" s="385"/>
    </row>
    <row r="5" spans="1:10" ht="15" customHeight="1" x14ac:dyDescent="0.3">
      <c r="A5" s="277"/>
      <c r="B5" s="10" t="s">
        <v>3</v>
      </c>
      <c r="C5" s="10"/>
      <c r="D5" s="528"/>
      <c r="E5" s="528"/>
      <c r="F5" s="528"/>
      <c r="G5" s="528"/>
      <c r="H5" s="528"/>
      <c r="I5" s="10"/>
      <c r="J5" s="10"/>
    </row>
    <row r="6" spans="1:10" ht="15" customHeight="1" x14ac:dyDescent="0.3">
      <c r="A6" s="277"/>
      <c r="B6" s="577" t="s">
        <v>494</v>
      </c>
      <c r="C6" s="577"/>
      <c r="D6" s="577"/>
      <c r="E6" s="577"/>
      <c r="F6" s="577"/>
      <c r="G6" s="577"/>
      <c r="H6" s="577"/>
      <c r="I6" s="577"/>
      <c r="J6" s="10"/>
    </row>
    <row r="7" spans="1:10" ht="15" customHeight="1" x14ac:dyDescent="0.3">
      <c r="A7" s="277"/>
      <c r="B7" s="465" t="s">
        <v>495</v>
      </c>
      <c r="C7" s="398"/>
      <c r="D7" s="448"/>
      <c r="E7" s="448"/>
      <c r="F7" s="448"/>
      <c r="G7" s="448"/>
      <c r="H7" s="448"/>
      <c r="I7" s="448"/>
      <c r="J7" s="10"/>
    </row>
    <row r="8" spans="1:10" ht="15" customHeight="1" x14ac:dyDescent="0.3">
      <c r="A8" s="277"/>
      <c r="B8" s="579" t="s">
        <v>496</v>
      </c>
      <c r="C8" s="577"/>
      <c r="D8" s="577"/>
      <c r="E8" s="577"/>
      <c r="F8" s="577"/>
      <c r="G8" s="577"/>
      <c r="H8" s="577"/>
      <c r="I8" s="577"/>
      <c r="J8" s="577"/>
    </row>
    <row r="9" spans="1:10" ht="15" customHeight="1" x14ac:dyDescent="0.3">
      <c r="A9" s="277"/>
      <c r="B9" s="451" t="s">
        <v>497</v>
      </c>
      <c r="C9" s="448"/>
      <c r="D9" s="448"/>
      <c r="E9" s="448"/>
      <c r="F9" s="448"/>
      <c r="G9" s="448"/>
      <c r="H9" s="448"/>
      <c r="I9" s="448"/>
      <c r="J9" s="448"/>
    </row>
    <row r="10" spans="1:10" ht="15" customHeight="1" x14ac:dyDescent="0.3">
      <c r="A10" s="277"/>
      <c r="B10" s="577"/>
      <c r="C10" s="577"/>
      <c r="D10" s="577"/>
      <c r="E10" s="577"/>
      <c r="F10" s="577"/>
      <c r="G10" s="577"/>
      <c r="H10" s="577"/>
      <c r="I10" s="577"/>
      <c r="J10" s="10"/>
    </row>
    <row r="11" spans="1:10" s="373" customFormat="1" ht="16.5" customHeight="1" x14ac:dyDescent="0.3">
      <c r="B11" s="412"/>
      <c r="C11" s="412"/>
      <c r="D11" s="412"/>
      <c r="E11" s="412"/>
      <c r="F11" s="412"/>
      <c r="G11" s="412"/>
      <c r="H11" s="412"/>
    </row>
    <row r="12" spans="1:10" s="470" customFormat="1" ht="16.5" customHeight="1" x14ac:dyDescent="0.3">
      <c r="A12" s="468"/>
      <c r="B12" s="469"/>
      <c r="C12" s="469"/>
      <c r="D12" s="469"/>
      <c r="E12" s="469"/>
      <c r="F12" s="469"/>
      <c r="G12" s="469"/>
      <c r="H12" s="469"/>
      <c r="I12" s="246"/>
      <c r="J12" s="246"/>
    </row>
    <row r="13" spans="1:10" ht="17.25" customHeight="1" x14ac:dyDescent="0.3">
      <c r="A13" s="277"/>
      <c r="B13" s="573" t="s">
        <v>265</v>
      </c>
      <c r="C13" s="573"/>
      <c r="D13" s="573"/>
      <c r="E13" s="573"/>
      <c r="F13" s="429"/>
      <c r="G13" s="429"/>
      <c r="H13" s="429"/>
    </row>
    <row r="14" spans="1:10" ht="17.25" customHeight="1" x14ac:dyDescent="0.3">
      <c r="A14" s="277"/>
      <c r="B14" s="570" t="s">
        <v>266</v>
      </c>
      <c r="C14" s="570"/>
      <c r="D14" s="570"/>
    </row>
    <row r="15" spans="1:10" ht="17.25" customHeight="1" x14ac:dyDescent="0.3">
      <c r="A15" s="277"/>
      <c r="B15" s="571" t="s">
        <v>267</v>
      </c>
      <c r="C15" s="571"/>
      <c r="D15" s="571"/>
      <c r="E15" s="571"/>
      <c r="F15" s="571"/>
      <c r="G15" s="571"/>
      <c r="H15" s="571"/>
    </row>
    <row r="16" spans="1:10" x14ac:dyDescent="0.3">
      <c r="A16" s="10"/>
      <c r="B16" s="10"/>
      <c r="C16" s="10"/>
      <c r="D16" s="10"/>
    </row>
    <row r="17" spans="1:9" x14ac:dyDescent="0.3">
      <c r="A17" s="10"/>
      <c r="B17" s="85" t="s">
        <v>56</v>
      </c>
      <c r="C17" s="10"/>
      <c r="D17" s="10"/>
    </row>
    <row r="18" spans="1:9" s="25" customFormat="1" ht="16.5" customHeight="1" x14ac:dyDescent="0.3">
      <c r="A18" s="40"/>
      <c r="B18" s="76" t="s">
        <v>80</v>
      </c>
      <c r="C18" s="78">
        <v>2017</v>
      </c>
      <c r="D18" s="76"/>
      <c r="E18" s="41"/>
      <c r="F18" s="41"/>
      <c r="G18" s="41"/>
      <c r="H18" s="41"/>
    </row>
    <row r="19" spans="1:9" s="25" customFormat="1" ht="16.5" customHeight="1" x14ac:dyDescent="0.3">
      <c r="A19" s="40"/>
      <c r="B19" s="76" t="s">
        <v>207</v>
      </c>
      <c r="C19" s="256">
        <v>1.32</v>
      </c>
      <c r="D19" s="76"/>
      <c r="E19" s="41"/>
      <c r="F19" s="41"/>
      <c r="G19" s="41"/>
      <c r="H19" s="41"/>
    </row>
    <row r="20" spans="1:9" s="25" customFormat="1" ht="16.5" customHeight="1" x14ac:dyDescent="0.3">
      <c r="A20" s="40"/>
      <c r="B20" s="76" t="s">
        <v>208</v>
      </c>
      <c r="C20" s="256">
        <v>1.59</v>
      </c>
      <c r="D20" s="76" t="s">
        <v>0</v>
      </c>
      <c r="E20" s="41"/>
      <c r="F20" s="41"/>
      <c r="G20" s="41"/>
      <c r="H20" s="41"/>
    </row>
    <row r="21" spans="1:9" s="25" customFormat="1" ht="16.5" customHeight="1" x14ac:dyDescent="0.3">
      <c r="A21" s="40"/>
      <c r="B21" s="76" t="s">
        <v>46</v>
      </c>
      <c r="C21" s="238">
        <v>3</v>
      </c>
      <c r="D21" s="76" t="s">
        <v>0</v>
      </c>
      <c r="E21" s="41"/>
      <c r="F21" s="41"/>
      <c r="G21" s="41"/>
      <c r="H21" s="41"/>
    </row>
    <row r="22" spans="1:9" s="25" customFormat="1" ht="16.5" customHeight="1" x14ac:dyDescent="0.3">
      <c r="A22" s="40"/>
      <c r="B22" s="76" t="s">
        <v>78</v>
      </c>
      <c r="C22" s="256">
        <v>1.36</v>
      </c>
      <c r="D22" s="76"/>
      <c r="E22" s="41"/>
      <c r="F22" s="41"/>
      <c r="G22" s="41"/>
      <c r="H22" s="41"/>
    </row>
    <row r="23" spans="1:9" s="25" customFormat="1" ht="16.5" customHeight="1" x14ac:dyDescent="0.3">
      <c r="A23" s="40"/>
      <c r="B23" s="76" t="s">
        <v>79</v>
      </c>
      <c r="C23" s="256">
        <v>1.51</v>
      </c>
      <c r="D23" s="76"/>
      <c r="F23" s="41"/>
      <c r="G23" s="41"/>
      <c r="H23" s="41"/>
    </row>
    <row r="24" spans="1:9" s="25" customFormat="1" ht="16.5" customHeight="1" x14ac:dyDescent="0.3">
      <c r="A24" s="40"/>
      <c r="B24" s="76" t="s">
        <v>81</v>
      </c>
      <c r="C24" s="239">
        <v>2030</v>
      </c>
      <c r="D24" s="76"/>
      <c r="F24" s="41"/>
      <c r="G24" s="41"/>
      <c r="H24" s="41"/>
    </row>
    <row r="25" spans="1:9" s="25" customFormat="1" ht="16.5" customHeight="1" x14ac:dyDescent="0.3">
      <c r="A25" s="40"/>
      <c r="B25" s="41"/>
      <c r="F25" s="109"/>
      <c r="G25" s="41"/>
      <c r="H25" s="41"/>
    </row>
    <row r="26" spans="1:9" s="21" customFormat="1" ht="16.5" customHeight="1" x14ac:dyDescent="0.3">
      <c r="A26" s="7"/>
      <c r="B26" s="8"/>
      <c r="C26" s="8"/>
      <c r="D26" s="8"/>
      <c r="E26" s="8"/>
      <c r="F26" s="8"/>
      <c r="G26" s="8"/>
      <c r="H26" s="8"/>
    </row>
    <row r="27" spans="1:9" x14ac:dyDescent="0.3">
      <c r="A27" s="5"/>
      <c r="B27" s="6"/>
      <c r="C27" s="6"/>
      <c r="D27" s="6"/>
      <c r="E27" s="18"/>
      <c r="F27" s="6"/>
      <c r="G27" s="6"/>
      <c r="H27" s="6"/>
    </row>
    <row r="28" spans="1:9" x14ac:dyDescent="0.3">
      <c r="A28" s="9"/>
      <c r="B28" s="5" t="s">
        <v>1</v>
      </c>
      <c r="E28" s="5" t="s">
        <v>384</v>
      </c>
      <c r="F28" s="5"/>
    </row>
    <row r="29" spans="1:9" x14ac:dyDescent="0.3">
      <c r="A29" s="16"/>
      <c r="B29" s="85" t="s">
        <v>4</v>
      </c>
      <c r="C29" s="108"/>
      <c r="D29" s="29"/>
      <c r="E29" s="243">
        <f>C21</f>
        <v>3</v>
      </c>
      <c r="F29" s="66"/>
      <c r="G29" s="244">
        <f>-C22</f>
        <v>-1.36</v>
      </c>
      <c r="H29" s="244"/>
      <c r="I29" s="244">
        <f>C19</f>
        <v>1.32</v>
      </c>
    </row>
    <row r="30" spans="1:9" x14ac:dyDescent="0.3">
      <c r="A30" s="16"/>
      <c r="B30" s="235" t="s">
        <v>82</v>
      </c>
      <c r="C30" s="170">
        <f>(C19/C22)^(1/C21)-1</f>
        <v>-9.9016404585906548E-3</v>
      </c>
      <c r="D30" s="29"/>
      <c r="E30" s="66" t="s">
        <v>13</v>
      </c>
      <c r="F30" s="66" t="s">
        <v>98</v>
      </c>
      <c r="G30" s="66" t="s">
        <v>14</v>
      </c>
      <c r="H30" s="66" t="s">
        <v>16</v>
      </c>
      <c r="I30" s="66" t="s">
        <v>17</v>
      </c>
    </row>
    <row r="31" spans="1:9" x14ac:dyDescent="0.3">
      <c r="A31" s="16"/>
      <c r="B31" s="235"/>
      <c r="C31" s="241"/>
      <c r="D31" s="112"/>
      <c r="E31" s="29"/>
      <c r="F31" s="258">
        <f>RATE(E29,,G29,I29)*100</f>
        <v>-0.99016404584315254</v>
      </c>
    </row>
    <row r="32" spans="1:9" x14ac:dyDescent="0.3">
      <c r="A32" s="16"/>
      <c r="B32" s="85" t="s">
        <v>5</v>
      </c>
      <c r="C32" s="230"/>
      <c r="D32" s="44"/>
      <c r="E32" s="66"/>
      <c r="G32" s="66"/>
      <c r="H32" s="66"/>
      <c r="I32" s="66"/>
    </row>
    <row r="33" spans="1:14" x14ac:dyDescent="0.3">
      <c r="A33" s="16"/>
      <c r="B33" s="235" t="s">
        <v>83</v>
      </c>
      <c r="C33" s="167">
        <f>(C20/C23)^(1/C21)-1</f>
        <v>1.7357034472576638E-2</v>
      </c>
      <c r="D33" s="29"/>
      <c r="E33" s="243">
        <f>C21</f>
        <v>3</v>
      </c>
      <c r="F33" s="66"/>
      <c r="G33" s="244">
        <f>-C23</f>
        <v>-1.51</v>
      </c>
      <c r="H33" s="179"/>
      <c r="I33" s="244">
        <f>C20</f>
        <v>1.59</v>
      </c>
    </row>
    <row r="34" spans="1:14" x14ac:dyDescent="0.3">
      <c r="A34" s="16"/>
      <c r="B34" s="235"/>
      <c r="C34" s="167"/>
      <c r="D34" s="29"/>
      <c r="E34" s="66" t="s">
        <v>13</v>
      </c>
      <c r="F34" s="66" t="s">
        <v>98</v>
      </c>
      <c r="G34" s="66" t="s">
        <v>14</v>
      </c>
      <c r="H34" s="66" t="s">
        <v>16</v>
      </c>
      <c r="I34" s="66" t="s">
        <v>17</v>
      </c>
    </row>
    <row r="35" spans="1:14" x14ac:dyDescent="0.3">
      <c r="A35" s="16"/>
      <c r="C35" s="242"/>
      <c r="D35" s="29"/>
      <c r="E35" s="29"/>
      <c r="F35" s="258">
        <f>RATE(E33,,G33,I33)*100</f>
        <v>1.7357034472580455</v>
      </c>
      <c r="N35" s="129"/>
    </row>
    <row r="36" spans="1:14" x14ac:dyDescent="0.3">
      <c r="A36" s="16"/>
      <c r="B36" s="85" t="s">
        <v>6</v>
      </c>
      <c r="C36" s="242"/>
      <c r="D36" s="29"/>
      <c r="E36" s="66"/>
      <c r="G36" s="66"/>
      <c r="H36" s="66"/>
      <c r="I36" s="66"/>
    </row>
    <row r="37" spans="1:14" x14ac:dyDescent="0.3">
      <c r="A37" s="16"/>
      <c r="B37" s="449" t="s">
        <v>84</v>
      </c>
      <c r="C37" s="240">
        <f>C19*(1+C30)^(C24-C18)</f>
        <v>1.1598247269940603</v>
      </c>
      <c r="D37" s="29"/>
      <c r="E37" s="243">
        <f>C24-C18</f>
        <v>13</v>
      </c>
      <c r="F37" s="244">
        <f>F31</f>
        <v>-0.99016404584315254</v>
      </c>
      <c r="G37" s="244">
        <f>-C19</f>
        <v>-1.32</v>
      </c>
      <c r="H37" s="66"/>
      <c r="I37" s="66"/>
    </row>
    <row r="38" spans="1:14" x14ac:dyDescent="0.3">
      <c r="A38" s="16"/>
      <c r="B38" s="449"/>
      <c r="C38" s="161"/>
      <c r="D38" s="29"/>
      <c r="E38" s="66" t="s">
        <v>13</v>
      </c>
      <c r="F38" s="66" t="s">
        <v>98</v>
      </c>
      <c r="G38" s="66" t="s">
        <v>14</v>
      </c>
      <c r="H38" s="66" t="s">
        <v>16</v>
      </c>
      <c r="I38" s="66" t="s">
        <v>17</v>
      </c>
    </row>
    <row r="39" spans="1:14" x14ac:dyDescent="0.3">
      <c r="A39" s="16"/>
      <c r="B39" s="449"/>
      <c r="C39" s="161"/>
      <c r="D39" s="29"/>
      <c r="E39" s="29"/>
      <c r="H39" s="244"/>
      <c r="I39" s="260">
        <f>FV(F37/100,E37,,G37)</f>
        <v>1.1598247269964834</v>
      </c>
    </row>
    <row r="40" spans="1:14" x14ac:dyDescent="0.3">
      <c r="A40" s="16"/>
      <c r="B40" s="449"/>
      <c r="C40" s="161"/>
      <c r="D40" s="29"/>
      <c r="E40" s="257"/>
      <c r="F40" s="258" t="s">
        <v>0</v>
      </c>
      <c r="G40" s="259"/>
      <c r="H40" s="66"/>
    </row>
    <row r="41" spans="1:14" x14ac:dyDescent="0.3">
      <c r="A41" s="16"/>
      <c r="B41" s="85" t="s">
        <v>7</v>
      </c>
      <c r="C41" s="240"/>
      <c r="D41" s="29"/>
      <c r="E41" s="243">
        <f>C24-C18</f>
        <v>13</v>
      </c>
      <c r="F41" s="244">
        <f>F35</f>
        <v>1.7357034472580455</v>
      </c>
      <c r="G41" s="244">
        <f>-C20</f>
        <v>-1.59</v>
      </c>
      <c r="H41" s="66"/>
      <c r="I41" s="259"/>
    </row>
    <row r="42" spans="1:14" x14ac:dyDescent="0.3">
      <c r="A42" s="16"/>
      <c r="B42" s="449" t="s">
        <v>85</v>
      </c>
      <c r="C42" s="240">
        <f>C20*(1+C33)^(C24-C18)</f>
        <v>1.9886173527808744</v>
      </c>
      <c r="D42" s="29"/>
      <c r="E42" s="66" t="s">
        <v>13</v>
      </c>
      <c r="F42" s="66" t="s">
        <v>98</v>
      </c>
      <c r="G42" s="66" t="s">
        <v>14</v>
      </c>
      <c r="H42" s="66" t="s">
        <v>16</v>
      </c>
      <c r="I42" s="66" t="s">
        <v>17</v>
      </c>
    </row>
    <row r="43" spans="1:14" x14ac:dyDescent="0.3">
      <c r="A43" s="16"/>
      <c r="B43" s="29"/>
      <c r="C43" s="108"/>
      <c r="D43" s="29"/>
      <c r="H43" s="244"/>
      <c r="I43" s="260">
        <f>FV(F41/100,E41,,G41)</f>
        <v>1.9886173527809683</v>
      </c>
    </row>
    <row r="44" spans="1:14" x14ac:dyDescent="0.3">
      <c r="E44" s="257"/>
      <c r="F44" s="258" t="s">
        <v>0</v>
      </c>
      <c r="G44" s="259"/>
      <c r="H44" s="66"/>
    </row>
  </sheetData>
  <mergeCells count="7">
    <mergeCell ref="B4:E4"/>
    <mergeCell ref="B14:D14"/>
    <mergeCell ref="B15:H15"/>
    <mergeCell ref="B6:I6"/>
    <mergeCell ref="B8:J8"/>
    <mergeCell ref="B10:I10"/>
    <mergeCell ref="B13:E13"/>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M25"/>
  <sheetViews>
    <sheetView workbookViewId="0">
      <selection activeCell="C16" sqref="C16"/>
    </sheetView>
  </sheetViews>
  <sheetFormatPr defaultColWidth="9.109375" defaultRowHeight="14.4" x14ac:dyDescent="0.3"/>
  <cols>
    <col min="1" max="1" width="16.5546875" style="28" customWidth="1"/>
    <col min="2" max="2" width="30.88671875" style="28" customWidth="1"/>
    <col min="3" max="3" width="29.109375" style="28" bestFit="1" customWidth="1"/>
    <col min="4" max="4" width="24.6640625" style="28" customWidth="1"/>
    <col min="5" max="5" width="24.33203125" style="28" bestFit="1" customWidth="1"/>
    <col min="6" max="6" width="15.33203125" style="28" customWidth="1"/>
    <col min="7" max="7" width="9.109375" style="28"/>
    <col min="8" max="8" width="10.6640625" style="28" customWidth="1"/>
    <col min="9" max="9" width="9.109375" style="28"/>
    <col min="10" max="10" width="11.5546875" style="28" bestFit="1" customWidth="1"/>
    <col min="11" max="16384" width="9.109375" style="28"/>
  </cols>
  <sheetData>
    <row r="1" spans="1:10" x14ac:dyDescent="0.3">
      <c r="A1" s="5" t="s">
        <v>585</v>
      </c>
      <c r="B1" s="5"/>
    </row>
    <row r="2" spans="1:10" s="89" customFormat="1" x14ac:dyDescent="0.3">
      <c r="A2" s="370"/>
      <c r="B2" s="370"/>
    </row>
    <row r="3" spans="1:10" x14ac:dyDescent="0.3">
      <c r="A3" s="5" t="s">
        <v>0</v>
      </c>
      <c r="B3" s="5" t="s">
        <v>268</v>
      </c>
    </row>
    <row r="4" spans="1:10" ht="52.5" customHeight="1" x14ac:dyDescent="0.3">
      <c r="A4" s="2"/>
      <c r="B4" s="579" t="s">
        <v>623</v>
      </c>
      <c r="C4" s="579"/>
      <c r="D4" s="579"/>
      <c r="E4" s="452"/>
      <c r="F4" s="452"/>
      <c r="G4" s="452"/>
      <c r="H4" s="452"/>
      <c r="I4" s="452"/>
      <c r="J4" s="452"/>
    </row>
    <row r="5" spans="1:10" ht="15" customHeight="1" x14ac:dyDescent="0.3">
      <c r="A5" s="2"/>
      <c r="B5" s="28" t="s">
        <v>3</v>
      </c>
      <c r="D5" s="27"/>
      <c r="E5" s="27"/>
      <c r="F5" s="27"/>
      <c r="G5" s="27"/>
      <c r="H5" s="27"/>
    </row>
    <row r="6" spans="1:10" s="373" customFormat="1" x14ac:dyDescent="0.3">
      <c r="B6" s="412"/>
      <c r="C6" s="412"/>
      <c r="D6" s="412"/>
      <c r="E6" s="412"/>
      <c r="F6" s="412"/>
      <c r="G6" s="412"/>
      <c r="H6" s="412"/>
    </row>
    <row r="7" spans="1:10" s="77" customFormat="1" ht="15" customHeight="1" x14ac:dyDescent="0.3">
      <c r="B7" s="76"/>
      <c r="C7" s="76"/>
      <c r="D7" s="76"/>
      <c r="E7" s="76"/>
      <c r="F7" s="76"/>
      <c r="G7" s="76"/>
      <c r="H7" s="76"/>
    </row>
    <row r="8" spans="1:10" ht="17.25" customHeight="1" x14ac:dyDescent="0.3">
      <c r="A8" s="277"/>
      <c r="B8" s="573" t="s">
        <v>265</v>
      </c>
      <c r="C8" s="573"/>
      <c r="D8" s="573"/>
      <c r="E8" s="429"/>
      <c r="F8" s="429"/>
      <c r="G8" s="429"/>
      <c r="H8" s="429"/>
    </row>
    <row r="9" spans="1:10" ht="17.25" customHeight="1" x14ac:dyDescent="0.3">
      <c r="A9" s="277"/>
      <c r="B9" s="570" t="s">
        <v>266</v>
      </c>
      <c r="C9" s="570"/>
      <c r="D9" s="570"/>
    </row>
    <row r="10" spans="1:10" ht="17.25" customHeight="1" x14ac:dyDescent="0.3">
      <c r="A10" s="277"/>
      <c r="B10" s="571" t="s">
        <v>267</v>
      </c>
      <c r="C10" s="571"/>
      <c r="D10" s="571"/>
      <c r="E10" s="571"/>
      <c r="F10" s="571"/>
      <c r="G10" s="571"/>
      <c r="H10" s="571"/>
    </row>
    <row r="11" spans="1:10" x14ac:dyDescent="0.3">
      <c r="A11" s="10"/>
      <c r="B11" s="10"/>
      <c r="C11" s="10"/>
      <c r="D11" s="10"/>
    </row>
    <row r="12" spans="1:10" x14ac:dyDescent="0.3">
      <c r="A12" s="10"/>
      <c r="B12" s="85" t="s">
        <v>56</v>
      </c>
      <c r="C12" s="10"/>
      <c r="D12" s="10"/>
    </row>
    <row r="13" spans="1:10" s="25" customFormat="1" x14ac:dyDescent="0.3">
      <c r="A13" s="40"/>
      <c r="B13" s="76" t="s">
        <v>210</v>
      </c>
      <c r="C13" s="125">
        <v>6000</v>
      </c>
      <c r="D13" s="76"/>
      <c r="E13" s="41"/>
      <c r="F13" s="41"/>
      <c r="G13" s="41"/>
      <c r="H13" s="41"/>
    </row>
    <row r="14" spans="1:10" s="25" customFormat="1" x14ac:dyDescent="0.3">
      <c r="A14" s="40"/>
      <c r="B14" s="76" t="s">
        <v>209</v>
      </c>
      <c r="C14" s="125">
        <v>80000</v>
      </c>
      <c r="D14" s="76"/>
      <c r="E14" s="41"/>
      <c r="F14" s="41"/>
      <c r="G14" s="41"/>
      <c r="H14" s="41"/>
    </row>
    <row r="15" spans="1:10" s="25" customFormat="1" ht="17.25" customHeight="1" x14ac:dyDescent="0.3">
      <c r="A15" s="40"/>
      <c r="B15" s="76" t="s">
        <v>541</v>
      </c>
      <c r="C15" s="78">
        <f>258.4/25</f>
        <v>10.335999999999999</v>
      </c>
      <c r="D15" s="76"/>
      <c r="E15" s="41"/>
      <c r="F15" s="41"/>
      <c r="G15" s="41"/>
      <c r="H15" s="41"/>
    </row>
    <row r="16" spans="1:10" s="25" customFormat="1" ht="17.25" customHeight="1" x14ac:dyDescent="0.3">
      <c r="A16" s="40"/>
      <c r="B16" s="76"/>
      <c r="C16" s="247"/>
      <c r="D16" s="76"/>
      <c r="E16" s="41"/>
      <c r="F16" s="41"/>
      <c r="G16" s="41"/>
      <c r="H16" s="41"/>
    </row>
    <row r="17" spans="1:13" s="373" customFormat="1" ht="17.25" customHeight="1" x14ac:dyDescent="0.3">
      <c r="B17" s="412"/>
      <c r="C17" s="412"/>
      <c r="D17" s="412"/>
      <c r="E17" s="412"/>
      <c r="F17" s="412"/>
      <c r="G17" s="412"/>
      <c r="H17" s="412"/>
    </row>
    <row r="18" spans="1:13" x14ac:dyDescent="0.3">
      <c r="A18" s="5"/>
      <c r="B18" s="18"/>
      <c r="C18" s="18"/>
      <c r="D18" s="209"/>
      <c r="E18" s="6"/>
      <c r="F18" s="6"/>
      <c r="G18" s="6"/>
      <c r="H18" s="6"/>
    </row>
    <row r="19" spans="1:13" x14ac:dyDescent="0.3">
      <c r="A19" s="9"/>
      <c r="B19" s="5" t="s">
        <v>1</v>
      </c>
      <c r="D19"/>
      <c r="E19"/>
      <c r="F19"/>
      <c r="G19" s="5"/>
      <c r="L19" s="29"/>
      <c r="M19" s="29"/>
    </row>
    <row r="20" spans="1:13" x14ac:dyDescent="0.3">
      <c r="A20" s="9"/>
      <c r="B20" s="485" t="s">
        <v>211</v>
      </c>
      <c r="C20" s="261">
        <f>C14/C15</f>
        <v>7739.9380804953571</v>
      </c>
      <c r="D20"/>
      <c r="E20"/>
      <c r="F20"/>
      <c r="G20" s="34"/>
      <c r="H20" s="34"/>
      <c r="I20" s="34"/>
      <c r="J20" s="34"/>
      <c r="K20" s="34"/>
      <c r="L20" s="29"/>
      <c r="M20" s="29"/>
    </row>
    <row r="21" spans="1:13" x14ac:dyDescent="0.3">
      <c r="A21" s="9"/>
      <c r="B21" s="33"/>
      <c r="C21" s="261"/>
      <c r="G21" s="34"/>
      <c r="H21" s="34"/>
      <c r="I21" s="34"/>
      <c r="J21" s="34"/>
      <c r="K21" s="34"/>
      <c r="L21" s="29"/>
      <c r="M21" s="29"/>
    </row>
    <row r="22" spans="1:13" x14ac:dyDescent="0.3">
      <c r="A22" s="9"/>
      <c r="G22" s="34"/>
      <c r="H22" s="34"/>
      <c r="I22" s="46"/>
      <c r="J22" s="34"/>
      <c r="K22" s="34"/>
    </row>
    <row r="23" spans="1:13" x14ac:dyDescent="0.3">
      <c r="A23" s="9"/>
      <c r="G23" s="34"/>
      <c r="H23" s="34"/>
      <c r="I23" s="46"/>
      <c r="J23" s="34"/>
      <c r="K23" s="34"/>
    </row>
    <row r="24" spans="1:13" x14ac:dyDescent="0.3">
      <c r="A24" s="9"/>
      <c r="G24" s="34"/>
      <c r="H24" s="34"/>
      <c r="I24" s="46"/>
      <c r="J24" s="34"/>
      <c r="K24" s="34"/>
    </row>
    <row r="25" spans="1:13" x14ac:dyDescent="0.3">
      <c r="B25" s="18"/>
      <c r="C25" s="18"/>
      <c r="D25" s="18"/>
      <c r="E25" s="18"/>
      <c r="F25" s="18"/>
    </row>
  </sheetData>
  <mergeCells count="4">
    <mergeCell ref="B9:D9"/>
    <mergeCell ref="B10:H10"/>
    <mergeCell ref="B8:D8"/>
    <mergeCell ref="B4:D4"/>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
  <dimension ref="A1:M37"/>
  <sheetViews>
    <sheetView workbookViewId="0"/>
  </sheetViews>
  <sheetFormatPr defaultColWidth="9.109375" defaultRowHeight="14.4" x14ac:dyDescent="0.3"/>
  <cols>
    <col min="1" max="1" width="17.88671875" style="28" customWidth="1"/>
    <col min="2" max="2" width="19" style="28" customWidth="1"/>
    <col min="3" max="3" width="15.6640625" style="28" customWidth="1"/>
    <col min="4" max="4" width="11.109375" style="28" bestFit="1" customWidth="1"/>
    <col min="5" max="5" width="9.109375" style="28"/>
    <col min="6" max="6" width="9.109375" style="28" customWidth="1"/>
    <col min="7" max="7" width="9.109375" style="28"/>
    <col min="8" max="8" width="12.88671875" style="28" customWidth="1"/>
    <col min="9" max="9" width="11.88671875" style="28" bestFit="1" customWidth="1"/>
    <col min="10" max="10" width="11.5546875" style="28" bestFit="1" customWidth="1"/>
    <col min="11" max="11" width="15.109375" style="28" customWidth="1"/>
    <col min="12" max="16384" width="9.109375" style="28"/>
  </cols>
  <sheetData>
    <row r="1" spans="1:10" x14ac:dyDescent="0.3">
      <c r="A1" s="5" t="s">
        <v>584</v>
      </c>
      <c r="B1" s="5"/>
      <c r="C1" s="5"/>
    </row>
    <row r="2" spans="1:10" s="89" customFormat="1" x14ac:dyDescent="0.3">
      <c r="A2" s="370"/>
      <c r="B2" s="370"/>
      <c r="C2" s="370"/>
    </row>
    <row r="3" spans="1:10" x14ac:dyDescent="0.3">
      <c r="A3" s="5" t="s">
        <v>0</v>
      </c>
      <c r="B3" s="5" t="s">
        <v>268</v>
      </c>
      <c r="C3" s="5"/>
    </row>
    <row r="4" spans="1:10" ht="54.75" customHeight="1" x14ac:dyDescent="0.3">
      <c r="A4" s="2"/>
      <c r="B4" s="579" t="s">
        <v>290</v>
      </c>
      <c r="C4" s="579"/>
      <c r="D4" s="579"/>
      <c r="E4" s="579"/>
      <c r="F4" s="579"/>
      <c r="G4" s="579"/>
      <c r="H4" s="579"/>
      <c r="I4" s="452"/>
      <c r="J4" s="452"/>
    </row>
    <row r="5" spans="1:10" ht="15" customHeight="1" x14ac:dyDescent="0.3">
      <c r="A5" s="2"/>
      <c r="B5" s="38"/>
      <c r="C5" s="38"/>
      <c r="D5" s="38"/>
      <c r="E5" s="38"/>
      <c r="F5" s="38"/>
      <c r="G5" s="38"/>
      <c r="H5" s="38"/>
      <c r="I5" s="38"/>
      <c r="J5" s="38"/>
    </row>
    <row r="6" spans="1:10" ht="15" customHeight="1" x14ac:dyDescent="0.3">
      <c r="A6" s="2"/>
      <c r="B6" s="579" t="s">
        <v>498</v>
      </c>
      <c r="C6" s="577"/>
      <c r="D6" s="577"/>
      <c r="E6" s="577"/>
      <c r="F6" s="577"/>
      <c r="G6" s="577"/>
      <c r="H6" s="577"/>
      <c r="I6" s="577"/>
    </row>
    <row r="7" spans="1:10" ht="15" customHeight="1" x14ac:dyDescent="0.3">
      <c r="A7" s="2"/>
      <c r="B7" s="579" t="s">
        <v>499</v>
      </c>
      <c r="C7" s="577"/>
      <c r="D7" s="577"/>
      <c r="E7" s="577"/>
      <c r="F7" s="577"/>
      <c r="G7" s="577"/>
      <c r="H7" s="577"/>
      <c r="I7" s="577"/>
    </row>
    <row r="8" spans="1:10" ht="15" customHeight="1" x14ac:dyDescent="0.3">
      <c r="A8" s="2"/>
      <c r="B8" s="28" t="s">
        <v>3</v>
      </c>
      <c r="D8" s="27"/>
      <c r="E8" s="27"/>
      <c r="F8" s="27"/>
      <c r="G8" s="27"/>
      <c r="H8" s="27"/>
    </row>
    <row r="9" spans="1:10" s="373" customFormat="1" x14ac:dyDescent="0.3">
      <c r="B9" s="412"/>
      <c r="C9" s="412"/>
      <c r="D9" s="412"/>
      <c r="E9" s="412"/>
      <c r="F9" s="412"/>
      <c r="G9" s="412"/>
      <c r="H9" s="412"/>
    </row>
    <row r="10" spans="1:10" s="25" customFormat="1" x14ac:dyDescent="0.3">
      <c r="A10" s="40"/>
      <c r="B10" s="41"/>
      <c r="C10" s="41"/>
      <c r="D10" s="41"/>
      <c r="E10" s="41"/>
      <c r="F10" s="41"/>
      <c r="G10" s="41"/>
      <c r="H10" s="41"/>
    </row>
    <row r="11" spans="1:10" ht="17.25" customHeight="1" x14ac:dyDescent="0.3">
      <c r="A11" s="277"/>
      <c r="B11" s="573" t="s">
        <v>265</v>
      </c>
      <c r="C11" s="573"/>
      <c r="D11" s="573"/>
      <c r="E11" s="573"/>
      <c r="F11" s="573"/>
      <c r="G11" s="573"/>
      <c r="H11" s="573"/>
    </row>
    <row r="12" spans="1:10" ht="17.25" customHeight="1" x14ac:dyDescent="0.3">
      <c r="A12" s="277"/>
      <c r="B12" s="570" t="s">
        <v>266</v>
      </c>
      <c r="C12" s="570"/>
      <c r="D12" s="570"/>
    </row>
    <row r="13" spans="1:10" ht="17.25" customHeight="1" x14ac:dyDescent="0.3">
      <c r="A13" s="277"/>
      <c r="B13" s="571" t="s">
        <v>267</v>
      </c>
      <c r="C13" s="571"/>
      <c r="D13" s="571"/>
      <c r="E13" s="571"/>
      <c r="F13" s="571"/>
      <c r="G13" s="571"/>
      <c r="H13" s="571"/>
    </row>
    <row r="14" spans="1:10" x14ac:dyDescent="0.3">
      <c r="A14" s="10"/>
      <c r="B14" s="10"/>
      <c r="C14" s="10"/>
      <c r="D14" s="10"/>
    </row>
    <row r="15" spans="1:10" x14ac:dyDescent="0.3">
      <c r="A15" s="10"/>
      <c r="B15" s="85" t="s">
        <v>56</v>
      </c>
      <c r="C15" s="10"/>
      <c r="D15" s="10"/>
    </row>
    <row r="16" spans="1:10" s="25" customFormat="1" x14ac:dyDescent="0.3">
      <c r="A16" s="40"/>
      <c r="B16" s="175" t="s">
        <v>212</v>
      </c>
      <c r="C16" s="125">
        <v>100000</v>
      </c>
      <c r="E16" s="175"/>
      <c r="F16" s="175"/>
      <c r="G16" s="41"/>
      <c r="H16" s="41"/>
      <c r="I16" s="502"/>
      <c r="J16" s="503"/>
    </row>
    <row r="17" spans="1:13" s="25" customFormat="1" x14ac:dyDescent="0.3">
      <c r="A17" s="40"/>
      <c r="B17" s="175" t="s">
        <v>28</v>
      </c>
      <c r="C17" s="337">
        <v>0.06</v>
      </c>
      <c r="E17" s="175"/>
      <c r="F17" s="175"/>
      <c r="G17" s="41"/>
      <c r="H17" s="41"/>
    </row>
    <row r="18" spans="1:13" s="25" customFormat="1" x14ac:dyDescent="0.3">
      <c r="A18" s="40"/>
      <c r="B18" s="175" t="s">
        <v>42</v>
      </c>
      <c r="C18" s="337">
        <v>0.02</v>
      </c>
      <c r="E18" s="175"/>
      <c r="F18" s="175"/>
      <c r="G18" s="41"/>
      <c r="H18" s="41"/>
    </row>
    <row r="19" spans="1:13" s="25" customFormat="1" x14ac:dyDescent="0.3">
      <c r="A19" s="40"/>
      <c r="B19" s="175" t="s">
        <v>202</v>
      </c>
      <c r="C19" s="142">
        <v>5</v>
      </c>
      <c r="E19" s="175"/>
      <c r="F19" s="175"/>
      <c r="G19" s="41"/>
      <c r="H19" s="41"/>
    </row>
    <row r="20" spans="1:13" s="25" customFormat="1" x14ac:dyDescent="0.3">
      <c r="A20" s="40"/>
      <c r="B20" s="175" t="s">
        <v>213</v>
      </c>
      <c r="C20" s="142">
        <v>0</v>
      </c>
      <c r="E20" s="175"/>
      <c r="F20" s="175"/>
      <c r="G20" s="41"/>
      <c r="H20" s="41"/>
    </row>
    <row r="21" spans="1:13" s="25" customFormat="1" x14ac:dyDescent="0.3">
      <c r="A21" s="40"/>
      <c r="B21" s="41"/>
      <c r="C21" s="175"/>
      <c r="D21" s="175"/>
      <c r="E21" s="175"/>
      <c r="F21" s="175"/>
      <c r="G21" s="41"/>
      <c r="H21" s="41"/>
    </row>
    <row r="22" spans="1:13" s="373" customFormat="1" x14ac:dyDescent="0.3">
      <c r="B22" s="412"/>
      <c r="C22" s="481"/>
      <c r="D22" s="481"/>
      <c r="E22" s="481"/>
      <c r="F22" s="481"/>
      <c r="G22" s="412"/>
      <c r="H22" s="412"/>
    </row>
    <row r="23" spans="1:13" x14ac:dyDescent="0.3">
      <c r="A23" s="5"/>
      <c r="B23" s="6"/>
      <c r="C23" s="6"/>
      <c r="D23" s="53"/>
      <c r="E23" s="6"/>
      <c r="F23" s="6"/>
      <c r="G23" s="6"/>
      <c r="H23" s="6"/>
    </row>
    <row r="24" spans="1:13" x14ac:dyDescent="0.3">
      <c r="A24" s="9"/>
      <c r="B24" s="5" t="s">
        <v>1</v>
      </c>
      <c r="D24" s="5" t="s">
        <v>0</v>
      </c>
      <c r="F24" s="5" t="s">
        <v>415</v>
      </c>
      <c r="L24" s="29"/>
      <c r="M24" s="29"/>
    </row>
    <row r="25" spans="1:13" x14ac:dyDescent="0.3">
      <c r="A25" s="9"/>
      <c r="B25" s="5" t="s">
        <v>4</v>
      </c>
      <c r="D25" s="19"/>
      <c r="E25" s="16"/>
      <c r="F25" s="243">
        <f>C19</f>
        <v>5</v>
      </c>
      <c r="G25" s="263">
        <f>((1+C17)/(1+C18)-1)*100</f>
        <v>3.9215686274509887</v>
      </c>
      <c r="I25" s="136">
        <f>-C16</f>
        <v>-100000</v>
      </c>
    </row>
    <row r="26" spans="1:13" x14ac:dyDescent="0.3">
      <c r="A26" s="9"/>
      <c r="B26" s="45" t="s">
        <v>14</v>
      </c>
      <c r="C26" s="265">
        <f>(C16/((1+C17)/(1+C18)-1))*(1-(1/(((1+C17))/((1+C18)))^C19))</f>
        <v>446164.82057591196</v>
      </c>
      <c r="D26" s="18"/>
      <c r="E26" s="46"/>
      <c r="F26" s="34" t="s">
        <v>13</v>
      </c>
      <c r="G26" s="34" t="s">
        <v>98</v>
      </c>
      <c r="H26" s="34" t="s">
        <v>14</v>
      </c>
      <c r="I26" s="34" t="s">
        <v>16</v>
      </c>
      <c r="J26" s="34" t="s">
        <v>17</v>
      </c>
    </row>
    <row r="27" spans="1:13" x14ac:dyDescent="0.3">
      <c r="A27" s="9"/>
      <c r="E27" s="18"/>
      <c r="H27" s="275">
        <f>PV(G25/100,F25,I25)</f>
        <v>446164.82057591184</v>
      </c>
      <c r="J27" s="65" t="s">
        <v>0</v>
      </c>
    </row>
    <row r="28" spans="1:13" x14ac:dyDescent="0.3">
      <c r="A28" s="9"/>
      <c r="E28" s="18"/>
      <c r="F28" s="29"/>
      <c r="G28" s="44" t="s">
        <v>0</v>
      </c>
      <c r="I28" s="29"/>
      <c r="J28" s="29"/>
    </row>
    <row r="29" spans="1:13" x14ac:dyDescent="0.3">
      <c r="A29" s="16"/>
      <c r="B29" s="6" t="s">
        <v>5</v>
      </c>
      <c r="F29" s="243">
        <f>C19</f>
        <v>5</v>
      </c>
      <c r="G29" s="264">
        <f>C17*100</f>
        <v>6</v>
      </c>
      <c r="I29" s="136">
        <f>-C16</f>
        <v>-100000</v>
      </c>
      <c r="J29" s="29"/>
    </row>
    <row r="30" spans="1:13" x14ac:dyDescent="0.3">
      <c r="A30" s="18"/>
      <c r="B30" s="28" t="s">
        <v>14</v>
      </c>
      <c r="C30" s="265">
        <f>(C16/C17)*(1-(1/(1+C17)^C19))</f>
        <v>421236.37855657184</v>
      </c>
      <c r="F30" s="34" t="s">
        <v>13</v>
      </c>
      <c r="G30" s="34" t="s">
        <v>98</v>
      </c>
      <c r="H30" s="34" t="s">
        <v>14</v>
      </c>
      <c r="I30" s="34" t="s">
        <v>16</v>
      </c>
      <c r="J30" s="34" t="s">
        <v>17</v>
      </c>
    </row>
    <row r="31" spans="1:13" x14ac:dyDescent="0.3">
      <c r="A31" s="18"/>
      <c r="B31" s="16"/>
      <c r="C31" s="16"/>
      <c r="D31" s="46"/>
      <c r="E31" s="34"/>
      <c r="H31" s="275">
        <f>PV(G29/100,F29,I29)</f>
        <v>421236.37855657184</v>
      </c>
      <c r="J31" s="65" t="s">
        <v>0</v>
      </c>
    </row>
    <row r="32" spans="1:13" x14ac:dyDescent="0.3">
      <c r="A32" s="16"/>
      <c r="B32" s="18"/>
      <c r="C32" s="16"/>
      <c r="D32" s="16"/>
      <c r="E32" s="46"/>
      <c r="F32" s="29"/>
      <c r="G32" s="44" t="s">
        <v>0</v>
      </c>
      <c r="I32" s="29"/>
      <c r="J32" s="29"/>
    </row>
    <row r="33" spans="1:11" x14ac:dyDescent="0.3">
      <c r="A33" s="9"/>
      <c r="D33" s="19"/>
      <c r="E33" s="16"/>
      <c r="F33" s="18"/>
      <c r="G33" s="16"/>
      <c r="H33" s="16"/>
      <c r="I33" s="46"/>
      <c r="J33" s="34"/>
      <c r="K33" s="34"/>
    </row>
    <row r="34" spans="1:11" x14ac:dyDescent="0.3">
      <c r="A34" s="9"/>
      <c r="D34" s="19"/>
      <c r="E34" s="16"/>
      <c r="F34" s="18"/>
      <c r="G34" s="16"/>
      <c r="H34" s="16"/>
      <c r="I34" s="46"/>
      <c r="J34" s="34"/>
      <c r="K34" s="34"/>
    </row>
    <row r="35" spans="1:11" x14ac:dyDescent="0.3">
      <c r="A35" s="9"/>
      <c r="D35" s="19"/>
      <c r="E35" s="16"/>
      <c r="F35" s="18"/>
      <c r="G35" s="16"/>
      <c r="H35" s="16"/>
      <c r="I35" s="46"/>
      <c r="J35" s="34"/>
      <c r="K35" s="34"/>
    </row>
    <row r="36" spans="1:11" x14ac:dyDescent="0.3">
      <c r="A36" s="9"/>
      <c r="D36" s="19"/>
      <c r="E36" s="16"/>
      <c r="F36" s="18"/>
      <c r="G36" s="16"/>
      <c r="H36" s="16"/>
      <c r="I36" s="46"/>
      <c r="J36" s="34"/>
      <c r="K36" s="34"/>
    </row>
    <row r="37" spans="1:11" x14ac:dyDescent="0.3">
      <c r="B37" s="18"/>
      <c r="C37" s="18"/>
    </row>
  </sheetData>
  <mergeCells count="6">
    <mergeCell ref="B4:H4"/>
    <mergeCell ref="B13:H13"/>
    <mergeCell ref="B6:I6"/>
    <mergeCell ref="B7:I7"/>
    <mergeCell ref="B11:H11"/>
    <mergeCell ref="B12:D12"/>
  </mergeCells>
  <pageMargins left="0.7" right="0.7" top="0.75" bottom="0.75" header="0.3" footer="0.3"/>
  <pageSetup orientation="portrait" r:id="rId1"/>
  <drawing r:id="rId2"/>
  <legacyDrawing r:id="rId3"/>
  <controls>
    <mc:AlternateContent xmlns:mc="http://schemas.openxmlformats.org/markup-compatibility/2006">
      <mc:Choice Requires="x14">
        <control shapeId="77825" r:id="rId4" name="Control 1">
          <controlPr defaultSize="0" r:id="rId5">
            <anchor moveWithCells="1">
              <from>
                <xdr:col>0</xdr:col>
                <xdr:colOff>0</xdr:colOff>
                <xdr:row>30</xdr:row>
                <xdr:rowOff>106680</xdr:rowOff>
              </from>
              <to>
                <xdr:col>0</xdr:col>
                <xdr:colOff>228600</xdr:colOff>
                <xdr:row>31</xdr:row>
                <xdr:rowOff>175260</xdr:rowOff>
              </to>
            </anchor>
          </controlPr>
        </control>
      </mc:Choice>
      <mc:Fallback>
        <control shapeId="77825" r:id="rId4" name="Control 1"/>
      </mc:Fallback>
    </mc:AlternateContent>
    <mc:AlternateContent xmlns:mc="http://schemas.openxmlformats.org/markup-compatibility/2006">
      <mc:Choice Requires="x14">
        <control shapeId="77826" r:id="rId6" name="Control 2">
          <controlPr defaultSize="0" r:id="rId5">
            <anchor moveWithCells="1">
              <from>
                <xdr:col>0</xdr:col>
                <xdr:colOff>0</xdr:colOff>
                <xdr:row>29</xdr:row>
                <xdr:rowOff>106680</xdr:rowOff>
              </from>
              <to>
                <xdr:col>0</xdr:col>
                <xdr:colOff>228600</xdr:colOff>
                <xdr:row>30</xdr:row>
                <xdr:rowOff>175260</xdr:rowOff>
              </to>
            </anchor>
          </controlPr>
        </control>
      </mc:Choice>
      <mc:Fallback>
        <control shapeId="77826" r:id="rId6" name="Control 2"/>
      </mc:Fallback>
    </mc:AlternateContent>
  </control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K34"/>
  <sheetViews>
    <sheetView workbookViewId="0"/>
  </sheetViews>
  <sheetFormatPr defaultColWidth="9.109375" defaultRowHeight="14.4" x14ac:dyDescent="0.3"/>
  <cols>
    <col min="1" max="1" width="16.5546875" style="28" customWidth="1"/>
    <col min="2" max="2" width="19.5546875" style="28" customWidth="1"/>
    <col min="3" max="3" width="12.5546875" style="28" customWidth="1"/>
    <col min="4" max="5" width="9.109375" style="28"/>
    <col min="6" max="6" width="9.109375" style="28" customWidth="1"/>
    <col min="7" max="7" width="9.109375" style="28"/>
    <col min="8" max="8" width="16.6640625" style="28" customWidth="1"/>
    <col min="9" max="9" width="9.109375" style="28"/>
    <col min="10" max="10" width="11.5546875" style="28" bestFit="1" customWidth="1"/>
    <col min="11" max="11" width="15.109375" style="28" customWidth="1"/>
    <col min="12" max="16384" width="9.109375" style="28"/>
  </cols>
  <sheetData>
    <row r="1" spans="1:10" x14ac:dyDescent="0.3">
      <c r="A1" s="5" t="s">
        <v>583</v>
      </c>
      <c r="B1" s="10"/>
    </row>
    <row r="2" spans="1:10" s="89" customFormat="1" x14ac:dyDescent="0.3">
      <c r="A2" s="370"/>
      <c r="B2" s="373"/>
    </row>
    <row r="3" spans="1:10" x14ac:dyDescent="0.3">
      <c r="A3" s="28" t="s">
        <v>0</v>
      </c>
      <c r="B3" s="5" t="s">
        <v>268</v>
      </c>
    </row>
    <row r="4" spans="1:10" ht="32.25" customHeight="1" x14ac:dyDescent="0.3">
      <c r="A4" s="2"/>
      <c r="B4" s="579" t="s">
        <v>500</v>
      </c>
      <c r="C4" s="579"/>
      <c r="D4" s="579"/>
      <c r="E4" s="579"/>
      <c r="F4" s="579"/>
      <c r="G4" s="579"/>
      <c r="H4" s="579"/>
      <c r="I4" s="452"/>
      <c r="J4" s="452"/>
    </row>
    <row r="5" spans="1:10" ht="15" customHeight="1" x14ac:dyDescent="0.3">
      <c r="A5" s="2"/>
      <c r="B5" s="450"/>
      <c r="C5" s="450"/>
      <c r="D5" s="450"/>
      <c r="E5" s="450"/>
      <c r="F5" s="450"/>
      <c r="G5" s="450"/>
      <c r="H5" s="450"/>
      <c r="I5" s="452"/>
      <c r="J5" s="452"/>
    </row>
    <row r="6" spans="1:10" ht="15" customHeight="1" x14ac:dyDescent="0.3">
      <c r="A6" s="2"/>
      <c r="B6" s="447" t="s">
        <v>501</v>
      </c>
      <c r="C6" s="450"/>
      <c r="D6" s="450"/>
      <c r="E6" s="450"/>
      <c r="F6" s="450"/>
      <c r="G6" s="450"/>
      <c r="H6" s="450"/>
      <c r="I6" s="452"/>
      <c r="J6" s="452"/>
    </row>
    <row r="7" spans="1:10" ht="15" customHeight="1" x14ac:dyDescent="0.3">
      <c r="A7" s="2"/>
      <c r="B7" s="450" t="s">
        <v>502</v>
      </c>
      <c r="C7" s="450"/>
      <c r="D7" s="450"/>
      <c r="E7" s="450"/>
      <c r="F7" s="450"/>
      <c r="G7" s="450"/>
      <c r="H7" s="450"/>
      <c r="I7" s="452"/>
      <c r="J7" s="452"/>
    </row>
    <row r="8" spans="1:10" ht="15" customHeight="1" x14ac:dyDescent="0.3">
      <c r="A8" s="2"/>
      <c r="B8" s="447" t="s">
        <v>503</v>
      </c>
      <c r="C8" s="450"/>
      <c r="D8" s="450"/>
      <c r="E8" s="450"/>
      <c r="F8" s="450"/>
      <c r="G8" s="450"/>
      <c r="H8" s="450"/>
      <c r="I8" s="452"/>
      <c r="J8" s="452"/>
    </row>
    <row r="9" spans="1:10" ht="15" customHeight="1" x14ac:dyDescent="0.3">
      <c r="A9" s="2"/>
      <c r="B9" s="450"/>
      <c r="C9" s="450"/>
      <c r="D9" s="450"/>
      <c r="E9" s="450"/>
      <c r="F9" s="450"/>
      <c r="G9" s="450"/>
      <c r="H9" s="450"/>
      <c r="I9" s="452"/>
      <c r="J9" s="452"/>
    </row>
    <row r="10" spans="1:10" s="373" customFormat="1" x14ac:dyDescent="0.3">
      <c r="B10" s="412"/>
      <c r="C10" s="412"/>
      <c r="D10" s="412"/>
      <c r="E10" s="412"/>
      <c r="F10" s="412"/>
      <c r="G10" s="412"/>
      <c r="H10" s="412"/>
    </row>
    <row r="11" spans="1:10" s="77" customFormat="1" x14ac:dyDescent="0.3">
      <c r="B11" s="76"/>
      <c r="C11" s="76"/>
      <c r="D11" s="76"/>
      <c r="E11" s="76"/>
      <c r="F11" s="76"/>
      <c r="G11" s="76"/>
      <c r="H11" s="76"/>
    </row>
    <row r="12" spans="1:10" ht="17.25" customHeight="1" x14ac:dyDescent="0.3">
      <c r="A12" s="277"/>
      <c r="B12" s="573" t="s">
        <v>265</v>
      </c>
      <c r="C12" s="573"/>
      <c r="D12" s="573"/>
      <c r="E12" s="573"/>
      <c r="F12" s="573"/>
      <c r="G12" s="573"/>
      <c r="H12" s="573"/>
    </row>
    <row r="13" spans="1:10" ht="17.25" customHeight="1" x14ac:dyDescent="0.3">
      <c r="A13" s="277"/>
      <c r="B13" s="570" t="s">
        <v>266</v>
      </c>
      <c r="C13" s="570"/>
      <c r="D13" s="570"/>
    </row>
    <row r="14" spans="1:10" ht="17.25" customHeight="1" x14ac:dyDescent="0.3">
      <c r="A14" s="277"/>
      <c r="B14" s="571" t="s">
        <v>267</v>
      </c>
      <c r="C14" s="571"/>
      <c r="D14" s="571"/>
      <c r="E14" s="571"/>
      <c r="F14" s="571"/>
      <c r="G14" s="571"/>
      <c r="H14" s="571"/>
    </row>
    <row r="15" spans="1:10" x14ac:dyDescent="0.3">
      <c r="A15" s="10"/>
      <c r="B15" s="10"/>
      <c r="C15" s="10"/>
      <c r="D15" s="10"/>
    </row>
    <row r="16" spans="1:10" x14ac:dyDescent="0.3">
      <c r="A16" s="10"/>
      <c r="B16" s="85" t="s">
        <v>56</v>
      </c>
      <c r="C16" s="10"/>
      <c r="D16" s="10"/>
    </row>
    <row r="17" spans="1:10" s="76" customFormat="1" x14ac:dyDescent="0.3">
      <c r="B17" s="76" t="s">
        <v>216</v>
      </c>
      <c r="C17" s="337">
        <v>0.03</v>
      </c>
      <c r="D17" s="76" t="s">
        <v>0</v>
      </c>
    </row>
    <row r="18" spans="1:10" s="76" customFormat="1" x14ac:dyDescent="0.3">
      <c r="B18" s="76" t="s">
        <v>214</v>
      </c>
      <c r="C18" s="352">
        <v>0</v>
      </c>
      <c r="D18" s="76" t="s">
        <v>0</v>
      </c>
    </row>
    <row r="19" spans="1:10" s="76" customFormat="1" x14ac:dyDescent="0.3">
      <c r="B19" s="76" t="s">
        <v>213</v>
      </c>
      <c r="C19" s="337">
        <v>0.04</v>
      </c>
      <c r="D19" s="76" t="s">
        <v>0</v>
      </c>
    </row>
    <row r="20" spans="1:10" s="76" customFormat="1" x14ac:dyDescent="0.3">
      <c r="B20" s="76" t="s">
        <v>215</v>
      </c>
      <c r="C20" s="337">
        <v>0.06</v>
      </c>
      <c r="D20" s="76" t="s">
        <v>0</v>
      </c>
    </row>
    <row r="21" spans="1:10" s="76" customFormat="1" x14ac:dyDescent="0.3">
      <c r="C21" s="352"/>
    </row>
    <row r="22" spans="1:10" s="412" customFormat="1" x14ac:dyDescent="0.3">
      <c r="C22" s="471"/>
    </row>
    <row r="23" spans="1:10" s="76" customFormat="1" ht="12.75" customHeight="1" x14ac:dyDescent="0.3">
      <c r="D23" s="266"/>
    </row>
    <row r="24" spans="1:10" x14ac:dyDescent="0.3">
      <c r="A24" s="9"/>
      <c r="B24" s="5" t="s">
        <v>1</v>
      </c>
      <c r="D24" s="5"/>
      <c r="G24" s="29"/>
      <c r="H24" s="29"/>
    </row>
    <row r="25" spans="1:10" x14ac:dyDescent="0.3">
      <c r="A25"/>
      <c r="B25" s="547" t="s">
        <v>4</v>
      </c>
      <c r="C25" s="167">
        <f>(1+C17)*(1+C18)-1</f>
        <v>3.0000000000000027E-2</v>
      </c>
      <c r="D25" s="16"/>
      <c r="E25" s="18"/>
    </row>
    <row r="26" spans="1:10" x14ac:dyDescent="0.3">
      <c r="A26"/>
      <c r="B26" s="547" t="s">
        <v>5</v>
      </c>
      <c r="C26" s="167">
        <f>(1+C17)*(1+C19)-1</f>
        <v>7.1200000000000152E-2</v>
      </c>
      <c r="D26" s="16"/>
      <c r="E26" s="18"/>
    </row>
    <row r="27" spans="1:10" x14ac:dyDescent="0.3">
      <c r="A27"/>
      <c r="B27" s="547" t="s">
        <v>6</v>
      </c>
      <c r="C27" s="167">
        <f>(1+C17)*(1+C20)-1</f>
        <v>9.1800000000000104E-2</v>
      </c>
      <c r="D27" s="16"/>
      <c r="E27" s="18"/>
    </row>
    <row r="28" spans="1:10" x14ac:dyDescent="0.3">
      <c r="A28" s="9"/>
      <c r="C28" s="19"/>
      <c r="D28" s="16"/>
      <c r="E28" s="18"/>
      <c r="F28" s="16"/>
      <c r="G28" s="16"/>
      <c r="H28" s="46"/>
      <c r="I28" s="34"/>
      <c r="J28" s="47"/>
    </row>
    <row r="29" spans="1:10" x14ac:dyDescent="0.3">
      <c r="A29" s="9"/>
      <c r="C29" s="19"/>
      <c r="D29" s="16"/>
      <c r="E29" s="18"/>
      <c r="F29" s="16"/>
      <c r="G29" s="16"/>
      <c r="H29" s="46"/>
      <c r="I29" s="34"/>
      <c r="J29" s="34"/>
    </row>
    <row r="30" spans="1:10" x14ac:dyDescent="0.3">
      <c r="A30" s="9"/>
      <c r="C30" s="19"/>
      <c r="D30" s="16"/>
      <c r="E30" s="18"/>
      <c r="F30" s="16"/>
      <c r="G30" s="16"/>
      <c r="H30" s="46"/>
      <c r="I30" s="34"/>
      <c r="J30" s="34"/>
    </row>
    <row r="31" spans="1:10" x14ac:dyDescent="0.3">
      <c r="A31" s="9"/>
      <c r="C31" s="19"/>
      <c r="D31" s="16"/>
      <c r="E31" s="18"/>
      <c r="F31" s="16"/>
      <c r="G31" s="16"/>
      <c r="H31" s="46"/>
      <c r="I31" s="34"/>
      <c r="J31" s="34"/>
    </row>
    <row r="32" spans="1:10" x14ac:dyDescent="0.3">
      <c r="A32" s="9"/>
      <c r="C32" s="19"/>
      <c r="D32" s="16"/>
      <c r="E32" s="18"/>
      <c r="F32" s="16"/>
      <c r="G32" s="16"/>
      <c r="H32" s="46"/>
      <c r="I32" s="34"/>
      <c r="J32" s="34"/>
    </row>
    <row r="33" spans="1:11" x14ac:dyDescent="0.3">
      <c r="A33" s="9"/>
      <c r="D33" s="19"/>
      <c r="E33" s="16"/>
      <c r="F33" s="18"/>
      <c r="G33" s="16"/>
      <c r="H33" s="16"/>
      <c r="I33" s="46"/>
      <c r="J33" s="34"/>
      <c r="K33" s="34"/>
    </row>
    <row r="34" spans="1:11" x14ac:dyDescent="0.3">
      <c r="B34" s="18"/>
      <c r="C34" s="18"/>
    </row>
  </sheetData>
  <mergeCells count="4">
    <mergeCell ref="B12:H12"/>
    <mergeCell ref="B13:D13"/>
    <mergeCell ref="B14:H14"/>
    <mergeCell ref="B4:H4"/>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K35"/>
  <sheetViews>
    <sheetView workbookViewId="0">
      <selection activeCell="A2" sqref="A2"/>
    </sheetView>
  </sheetViews>
  <sheetFormatPr defaultColWidth="9.109375" defaultRowHeight="14.4" x14ac:dyDescent="0.3"/>
  <cols>
    <col min="1" max="1" width="19.109375" style="28" customWidth="1"/>
    <col min="2" max="2" width="19.6640625" style="28" customWidth="1"/>
    <col min="3" max="3" width="12.5546875" style="28" customWidth="1"/>
    <col min="4" max="5" width="9.109375" style="28"/>
    <col min="6" max="6" width="9.109375" style="28" customWidth="1"/>
    <col min="7" max="7" width="9.109375" style="28"/>
    <col min="8" max="8" width="18.6640625" style="28" customWidth="1"/>
    <col min="9" max="9" width="9.109375" style="28"/>
    <col min="10" max="10" width="11.5546875" style="28" bestFit="1" customWidth="1"/>
    <col min="11" max="11" width="15.109375" style="28" customWidth="1"/>
    <col min="12" max="16384" width="9.109375" style="28"/>
  </cols>
  <sheetData>
    <row r="1" spans="1:10" x14ac:dyDescent="0.3">
      <c r="A1" s="5" t="s">
        <v>624</v>
      </c>
      <c r="B1" s="5"/>
    </row>
    <row r="2" spans="1:10" s="89" customFormat="1" x14ac:dyDescent="0.3">
      <c r="A2" s="370"/>
      <c r="B2" s="370"/>
    </row>
    <row r="3" spans="1:10" x14ac:dyDescent="0.3">
      <c r="A3" s="5" t="s">
        <v>0</v>
      </c>
      <c r="B3" s="5" t="s">
        <v>268</v>
      </c>
    </row>
    <row r="4" spans="1:10" ht="36" customHeight="1" x14ac:dyDescent="0.3">
      <c r="A4" s="2"/>
      <c r="B4" s="579" t="s">
        <v>504</v>
      </c>
      <c r="C4" s="579"/>
      <c r="D4" s="579"/>
      <c r="E4" s="579"/>
      <c r="F4" s="579"/>
      <c r="G4" s="579"/>
      <c r="H4" s="579"/>
      <c r="I4" s="424"/>
      <c r="J4" s="424"/>
    </row>
    <row r="5" spans="1:10" ht="15" customHeight="1" x14ac:dyDescent="0.3">
      <c r="A5" s="2"/>
      <c r="B5" s="450"/>
      <c r="C5" s="450"/>
      <c r="D5" s="450"/>
      <c r="E5" s="450"/>
      <c r="F5" s="450"/>
      <c r="G5" s="450"/>
      <c r="H5" s="450"/>
      <c r="I5" s="452"/>
      <c r="J5" s="452"/>
    </row>
    <row r="6" spans="1:10" ht="15" customHeight="1" x14ac:dyDescent="0.3">
      <c r="A6" s="2"/>
      <c r="B6" s="447" t="s">
        <v>501</v>
      </c>
      <c r="C6" s="450"/>
      <c r="D6" s="450"/>
      <c r="E6" s="450"/>
      <c r="F6" s="450"/>
      <c r="G6" s="450"/>
      <c r="H6" s="450"/>
      <c r="I6" s="452"/>
      <c r="J6" s="452"/>
    </row>
    <row r="7" spans="1:10" ht="15" customHeight="1" x14ac:dyDescent="0.3">
      <c r="A7" s="2"/>
      <c r="B7" s="447" t="s">
        <v>505</v>
      </c>
      <c r="C7" s="450"/>
      <c r="D7" s="450"/>
      <c r="E7" s="450"/>
      <c r="F7" s="450"/>
      <c r="G7" s="450"/>
      <c r="H7" s="450"/>
      <c r="I7" s="452"/>
      <c r="J7" s="452"/>
    </row>
    <row r="8" spans="1:10" ht="15" customHeight="1" x14ac:dyDescent="0.3">
      <c r="A8" s="2"/>
      <c r="B8" s="447" t="s">
        <v>506</v>
      </c>
      <c r="C8" s="450"/>
      <c r="D8" s="450"/>
      <c r="E8" s="450"/>
      <c r="F8" s="450"/>
      <c r="G8" s="450"/>
      <c r="H8" s="450"/>
      <c r="I8" s="452"/>
      <c r="J8" s="452"/>
    </row>
    <row r="9" spans="1:10" ht="15" customHeight="1" x14ac:dyDescent="0.3">
      <c r="A9" s="2"/>
      <c r="B9" s="424"/>
      <c r="C9" s="424"/>
      <c r="D9" s="424"/>
      <c r="E9" s="424"/>
      <c r="F9" s="424"/>
      <c r="G9" s="424"/>
      <c r="H9" s="424"/>
      <c r="I9" s="424"/>
      <c r="J9" s="424"/>
    </row>
    <row r="10" spans="1:10" s="89" customFormat="1" ht="15" customHeight="1" x14ac:dyDescent="0.3">
      <c r="A10" s="358"/>
      <c r="B10" s="498"/>
      <c r="C10" s="498"/>
      <c r="D10" s="498"/>
      <c r="E10" s="498"/>
      <c r="F10" s="498"/>
      <c r="G10" s="498"/>
      <c r="H10" s="498"/>
      <c r="I10" s="498"/>
      <c r="J10" s="498"/>
    </row>
    <row r="11" spans="1:10" ht="15" customHeight="1" x14ac:dyDescent="0.3">
      <c r="A11" s="2"/>
      <c r="B11" s="424"/>
      <c r="C11" s="424"/>
      <c r="D11" s="424"/>
      <c r="E11" s="424"/>
      <c r="F11" s="424"/>
      <c r="G11" s="424"/>
      <c r="H11" s="424"/>
      <c r="I11" s="424"/>
      <c r="J11" s="424"/>
    </row>
    <row r="12" spans="1:10" ht="17.25" customHeight="1" x14ac:dyDescent="0.3">
      <c r="A12" s="277"/>
      <c r="B12" s="573" t="s">
        <v>265</v>
      </c>
      <c r="C12" s="573"/>
      <c r="D12" s="573"/>
      <c r="E12" s="573"/>
      <c r="F12" s="573"/>
      <c r="G12" s="573"/>
      <c r="H12" s="573"/>
    </row>
    <row r="13" spans="1:10" ht="17.25" customHeight="1" x14ac:dyDescent="0.3">
      <c r="A13" s="277"/>
      <c r="B13" s="570" t="s">
        <v>266</v>
      </c>
      <c r="C13" s="570"/>
      <c r="D13" s="570"/>
    </row>
    <row r="14" spans="1:10" ht="17.25" customHeight="1" x14ac:dyDescent="0.3">
      <c r="A14" s="277"/>
      <c r="B14" s="571" t="s">
        <v>267</v>
      </c>
      <c r="C14" s="571"/>
      <c r="D14" s="571"/>
      <c r="E14" s="571"/>
      <c r="F14" s="571"/>
      <c r="G14" s="571"/>
      <c r="H14" s="571"/>
    </row>
    <row r="15" spans="1:10" x14ac:dyDescent="0.3">
      <c r="A15" s="10"/>
      <c r="B15" s="10"/>
      <c r="C15" s="10"/>
      <c r="D15" s="10"/>
    </row>
    <row r="16" spans="1:10" x14ac:dyDescent="0.3">
      <c r="A16" s="10"/>
      <c r="B16" s="85" t="s">
        <v>56</v>
      </c>
      <c r="C16" s="10"/>
      <c r="D16" s="10"/>
    </row>
    <row r="17" spans="1:10" s="76" customFormat="1" x14ac:dyDescent="0.3">
      <c r="B17" s="76" t="s">
        <v>217</v>
      </c>
      <c r="C17" s="337">
        <v>0.06</v>
      </c>
      <c r="D17" s="76" t="s">
        <v>0</v>
      </c>
    </row>
    <row r="18" spans="1:10" s="76" customFormat="1" x14ac:dyDescent="0.3">
      <c r="B18" s="76" t="s">
        <v>218</v>
      </c>
      <c r="C18" s="352">
        <v>0</v>
      </c>
      <c r="D18" s="76" t="s">
        <v>0</v>
      </c>
    </row>
    <row r="19" spans="1:10" s="76" customFormat="1" x14ac:dyDescent="0.3">
      <c r="B19" s="76" t="s">
        <v>213</v>
      </c>
      <c r="C19" s="337">
        <v>0.03</v>
      </c>
      <c r="D19" s="76" t="s">
        <v>0</v>
      </c>
    </row>
    <row r="20" spans="1:10" s="76" customFormat="1" x14ac:dyDescent="0.3">
      <c r="B20" s="76" t="s">
        <v>215</v>
      </c>
      <c r="C20" s="337">
        <v>0.06</v>
      </c>
      <c r="D20" s="76" t="s">
        <v>0</v>
      </c>
    </row>
    <row r="21" spans="1:10" s="76" customFormat="1" x14ac:dyDescent="0.3"/>
    <row r="22" spans="1:10" s="412" customFormat="1" x14ac:dyDescent="0.3"/>
    <row r="23" spans="1:10" x14ac:dyDescent="0.3">
      <c r="A23" s="5"/>
      <c r="B23" s="6"/>
      <c r="C23" s="6"/>
      <c r="D23" s="53"/>
      <c r="E23" s="6"/>
      <c r="F23" s="6"/>
      <c r="G23" s="6"/>
      <c r="H23" s="6"/>
    </row>
    <row r="24" spans="1:10" x14ac:dyDescent="0.3">
      <c r="A24" s="9"/>
      <c r="B24" s="5" t="s">
        <v>1</v>
      </c>
      <c r="D24" s="5"/>
      <c r="G24" s="29"/>
      <c r="H24" s="29"/>
    </row>
    <row r="25" spans="1:10" x14ac:dyDescent="0.3">
      <c r="B25" s="547" t="s">
        <v>4</v>
      </c>
      <c r="C25" s="167">
        <f>(1+C17)/(1+C18)-1</f>
        <v>6.0000000000000053E-2</v>
      </c>
      <c r="D25" s="16"/>
      <c r="E25" s="18"/>
    </row>
    <row r="26" spans="1:10" x14ac:dyDescent="0.3">
      <c r="B26" s="547" t="s">
        <v>5</v>
      </c>
      <c r="C26" s="167">
        <f>(1+C17)/(1+C19)-1</f>
        <v>2.9126213592232997E-2</v>
      </c>
      <c r="D26" s="16"/>
      <c r="E26" s="18"/>
    </row>
    <row r="27" spans="1:10" x14ac:dyDescent="0.3">
      <c r="B27" s="547" t="s">
        <v>6</v>
      </c>
      <c r="C27" s="167">
        <f>(1+C17)/(1+C20)-1</f>
        <v>0</v>
      </c>
      <c r="D27" s="16"/>
      <c r="E27" s="18"/>
    </row>
    <row r="28" spans="1:10" x14ac:dyDescent="0.3">
      <c r="A28" s="9"/>
      <c r="C28" s="18"/>
      <c r="D28" s="16"/>
      <c r="E28" s="18"/>
      <c r="F28" s="16"/>
      <c r="G28" s="16"/>
      <c r="H28" s="46"/>
      <c r="I28" s="34"/>
      <c r="J28" s="47"/>
    </row>
    <row r="29" spans="1:10" x14ac:dyDescent="0.3">
      <c r="A29" s="9"/>
      <c r="C29" s="19"/>
      <c r="D29" s="16"/>
      <c r="E29" s="18"/>
      <c r="F29" s="16"/>
      <c r="G29" s="16"/>
      <c r="H29" s="46"/>
      <c r="I29" s="34"/>
      <c r="J29" s="34"/>
    </row>
    <row r="30" spans="1:10" x14ac:dyDescent="0.3">
      <c r="A30" s="9"/>
      <c r="C30" s="19"/>
      <c r="D30" s="16"/>
      <c r="E30" s="18"/>
      <c r="F30" s="16"/>
      <c r="G30" s="16"/>
      <c r="H30" s="46"/>
      <c r="I30" s="34"/>
      <c r="J30" s="34"/>
    </row>
    <row r="31" spans="1:10" x14ac:dyDescent="0.3">
      <c r="A31" s="9"/>
      <c r="C31" s="19"/>
      <c r="D31" s="16"/>
      <c r="E31" s="18"/>
      <c r="F31" s="16"/>
      <c r="G31" s="16"/>
      <c r="H31" s="46"/>
      <c r="I31" s="34"/>
      <c r="J31" s="34"/>
    </row>
    <row r="32" spans="1:10" x14ac:dyDescent="0.3">
      <c r="A32" s="9"/>
      <c r="C32" s="19"/>
      <c r="D32" s="16"/>
      <c r="E32" s="18"/>
      <c r="F32" s="16"/>
      <c r="G32" s="16"/>
      <c r="H32" s="46"/>
      <c r="I32" s="34"/>
      <c r="J32" s="34"/>
    </row>
    <row r="33" spans="1:11" x14ac:dyDescent="0.3">
      <c r="A33" s="9"/>
      <c r="D33" s="19"/>
      <c r="E33" s="16"/>
      <c r="F33" s="18"/>
      <c r="G33" s="16"/>
      <c r="H33" s="16"/>
      <c r="I33" s="46"/>
      <c r="J33" s="34"/>
      <c r="K33" s="34"/>
    </row>
    <row r="34" spans="1:11" x14ac:dyDescent="0.3">
      <c r="A34" s="9"/>
      <c r="D34" s="19"/>
      <c r="E34" s="16"/>
      <c r="F34" s="18"/>
      <c r="G34" s="16"/>
      <c r="H34" s="16"/>
      <c r="I34" s="46"/>
      <c r="J34" s="34"/>
      <c r="K34" s="34"/>
    </row>
    <row r="35" spans="1:11" x14ac:dyDescent="0.3">
      <c r="B35" s="18"/>
      <c r="C35" s="18"/>
    </row>
  </sheetData>
  <mergeCells count="4">
    <mergeCell ref="B12:H12"/>
    <mergeCell ref="B13:D13"/>
    <mergeCell ref="B14:H14"/>
    <mergeCell ref="B4:H4"/>
  </mergeCell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
  <dimension ref="A1:M35"/>
  <sheetViews>
    <sheetView workbookViewId="0"/>
  </sheetViews>
  <sheetFormatPr defaultColWidth="9.109375" defaultRowHeight="14.4" x14ac:dyDescent="0.3"/>
  <cols>
    <col min="1" max="1" width="16.5546875" style="28" customWidth="1"/>
    <col min="2" max="2" width="22.88671875" style="28" customWidth="1"/>
    <col min="3" max="3" width="15.6640625" style="28" customWidth="1"/>
    <col min="4" max="5" width="9.109375" style="28"/>
    <col min="6" max="6" width="9.109375" style="28" customWidth="1"/>
    <col min="7" max="7" width="13.33203125" style="28" customWidth="1"/>
    <col min="8" max="8" width="12.88671875" style="28" customWidth="1"/>
    <col min="9" max="9" width="12.5546875" style="28" bestFit="1" customWidth="1"/>
    <col min="10" max="10" width="11.5546875" style="28" bestFit="1" customWidth="1"/>
    <col min="11" max="11" width="15.109375" style="28" customWidth="1"/>
    <col min="12" max="16384" width="9.109375" style="28"/>
  </cols>
  <sheetData>
    <row r="1" spans="1:10" x14ac:dyDescent="0.3">
      <c r="A1" s="5" t="s">
        <v>582</v>
      </c>
      <c r="B1" s="5"/>
    </row>
    <row r="2" spans="1:10" s="89" customFormat="1" x14ac:dyDescent="0.3">
      <c r="A2" s="370"/>
      <c r="B2" s="370"/>
    </row>
    <row r="3" spans="1:10" x14ac:dyDescent="0.3">
      <c r="A3" s="5" t="s">
        <v>0</v>
      </c>
      <c r="B3" s="5" t="s">
        <v>268</v>
      </c>
    </row>
    <row r="4" spans="1:10" ht="33.75" customHeight="1" x14ac:dyDescent="0.3">
      <c r="A4" s="2"/>
      <c r="B4" s="579" t="s">
        <v>293</v>
      </c>
      <c r="C4" s="579"/>
      <c r="D4" s="579"/>
      <c r="E4" s="579"/>
      <c r="F4" s="579"/>
      <c r="G4" s="579"/>
      <c r="H4" s="579"/>
      <c r="I4" s="452"/>
      <c r="J4" s="452"/>
    </row>
    <row r="5" spans="1:10" ht="15" customHeight="1" x14ac:dyDescent="0.3">
      <c r="A5" s="2"/>
      <c r="B5" s="38"/>
      <c r="C5" s="38"/>
      <c r="D5" s="38"/>
      <c r="E5" s="38"/>
      <c r="F5" s="38"/>
      <c r="G5" s="38"/>
      <c r="H5" s="38"/>
      <c r="I5" s="38"/>
      <c r="J5" s="38"/>
    </row>
    <row r="6" spans="1:10" ht="15" customHeight="1" x14ac:dyDescent="0.3">
      <c r="A6" s="2"/>
      <c r="B6" s="579" t="s">
        <v>294</v>
      </c>
      <c r="C6" s="577"/>
      <c r="D6" s="577"/>
      <c r="E6" s="577"/>
      <c r="F6" s="577"/>
      <c r="G6" s="577"/>
      <c r="H6" s="577"/>
      <c r="I6" s="577"/>
    </row>
    <row r="7" spans="1:10" ht="35.25" customHeight="1" x14ac:dyDescent="0.3">
      <c r="A7" s="2"/>
      <c r="B7" s="579" t="s">
        <v>295</v>
      </c>
      <c r="C7" s="579"/>
      <c r="D7" s="579"/>
      <c r="E7" s="579"/>
      <c r="F7" s="579"/>
      <c r="G7" s="579"/>
      <c r="H7" s="579"/>
      <c r="I7" s="278"/>
    </row>
    <row r="8" spans="1:10" ht="15" customHeight="1" x14ac:dyDescent="0.3">
      <c r="A8" s="2"/>
      <c r="B8" s="62"/>
      <c r="C8" s="38"/>
      <c r="D8" s="38"/>
      <c r="E8" s="38"/>
      <c r="F8" s="38"/>
      <c r="G8" s="38"/>
      <c r="H8" s="38"/>
      <c r="I8" s="38"/>
      <c r="J8" s="38"/>
    </row>
    <row r="9" spans="1:10" s="89" customFormat="1" ht="15" customHeight="1" x14ac:dyDescent="0.3">
      <c r="A9" s="358"/>
      <c r="B9" s="89" t="s">
        <v>3</v>
      </c>
      <c r="D9" s="425"/>
      <c r="E9" s="425"/>
      <c r="F9" s="425"/>
      <c r="G9" s="425"/>
      <c r="H9" s="425"/>
    </row>
    <row r="10" spans="1:10" s="25" customFormat="1" x14ac:dyDescent="0.3">
      <c r="A10" s="40"/>
      <c r="B10" s="41"/>
      <c r="C10" s="41"/>
      <c r="D10" s="41"/>
      <c r="E10" s="41"/>
      <c r="F10" s="41"/>
      <c r="G10" s="41"/>
      <c r="H10" s="41"/>
    </row>
    <row r="11" spans="1:10" ht="17.25" customHeight="1" x14ac:dyDescent="0.3">
      <c r="A11" s="277"/>
      <c r="B11" s="573" t="s">
        <v>265</v>
      </c>
      <c r="C11" s="573"/>
      <c r="D11" s="573"/>
      <c r="E11" s="573"/>
      <c r="F11" s="573"/>
      <c r="G11" s="573"/>
      <c r="H11" s="573"/>
    </row>
    <row r="12" spans="1:10" ht="17.25" customHeight="1" x14ac:dyDescent="0.3">
      <c r="A12" s="277"/>
      <c r="B12" s="570" t="s">
        <v>266</v>
      </c>
      <c r="C12" s="570"/>
      <c r="D12" s="570"/>
    </row>
    <row r="13" spans="1:10" ht="17.25" customHeight="1" x14ac:dyDescent="0.3">
      <c r="A13" s="277"/>
      <c r="B13" s="571" t="s">
        <v>267</v>
      </c>
      <c r="C13" s="571"/>
      <c r="D13" s="571"/>
      <c r="E13" s="571"/>
      <c r="F13" s="571"/>
      <c r="G13" s="571"/>
      <c r="H13" s="571"/>
    </row>
    <row r="14" spans="1:10" x14ac:dyDescent="0.3">
      <c r="A14" s="10"/>
      <c r="B14" s="10"/>
      <c r="C14" s="10"/>
      <c r="D14" s="10"/>
    </row>
    <row r="15" spans="1:10" x14ac:dyDescent="0.3">
      <c r="A15" s="10"/>
      <c r="B15" s="85" t="s">
        <v>56</v>
      </c>
      <c r="C15" s="10"/>
      <c r="D15" s="10"/>
    </row>
    <row r="16" spans="1:10" s="77" customFormat="1" x14ac:dyDescent="0.3">
      <c r="B16" s="76" t="s">
        <v>229</v>
      </c>
      <c r="C16" s="175">
        <v>1000000</v>
      </c>
      <c r="D16" s="76"/>
      <c r="E16" s="76"/>
      <c r="F16" s="76"/>
      <c r="G16" s="76"/>
      <c r="H16" s="76"/>
    </row>
    <row r="17" spans="1:13" s="77" customFormat="1" x14ac:dyDescent="0.3">
      <c r="B17" s="76" t="s">
        <v>157</v>
      </c>
      <c r="C17" s="78">
        <v>50</v>
      </c>
      <c r="D17" s="76"/>
      <c r="E17" s="76"/>
      <c r="F17" s="76"/>
      <c r="G17" s="76"/>
      <c r="H17" s="76"/>
    </row>
    <row r="18" spans="1:13" s="77" customFormat="1" x14ac:dyDescent="0.3">
      <c r="B18" s="76" t="s">
        <v>42</v>
      </c>
      <c r="C18" s="337">
        <v>0.03</v>
      </c>
      <c r="D18" s="76" t="s">
        <v>0</v>
      </c>
      <c r="E18" s="76"/>
      <c r="F18" s="76"/>
      <c r="G18" s="76"/>
      <c r="H18" s="76"/>
    </row>
    <row r="19" spans="1:13" s="77" customFormat="1" x14ac:dyDescent="0.3">
      <c r="B19" s="76" t="s">
        <v>263</v>
      </c>
      <c r="C19" s="337">
        <v>0.02</v>
      </c>
      <c r="D19" s="76" t="s">
        <v>0</v>
      </c>
      <c r="E19" s="76"/>
      <c r="F19" s="76"/>
      <c r="G19" s="76"/>
      <c r="H19" s="76"/>
    </row>
    <row r="20" spans="1:13" s="77" customFormat="1" x14ac:dyDescent="0.3">
      <c r="B20" s="76" t="s">
        <v>264</v>
      </c>
      <c r="C20" s="78">
        <v>20</v>
      </c>
      <c r="D20" s="76"/>
      <c r="E20" s="76"/>
      <c r="F20" s="76"/>
      <c r="G20" s="76"/>
      <c r="H20" s="76"/>
    </row>
    <row r="21" spans="1:13" s="77" customFormat="1" x14ac:dyDescent="0.3">
      <c r="B21" s="76"/>
      <c r="C21" s="76"/>
      <c r="D21" s="76"/>
      <c r="E21" s="76"/>
      <c r="F21" s="76"/>
      <c r="G21" s="76"/>
      <c r="H21" s="76"/>
    </row>
    <row r="22" spans="1:13" s="373" customFormat="1" x14ac:dyDescent="0.3">
      <c r="B22" s="412"/>
      <c r="C22" s="412"/>
      <c r="D22" s="412"/>
      <c r="E22" s="412"/>
      <c r="F22" s="412"/>
      <c r="G22" s="412"/>
      <c r="H22" s="412"/>
    </row>
    <row r="23" spans="1:13" x14ac:dyDescent="0.3">
      <c r="A23" s="5"/>
      <c r="B23" s="6"/>
      <c r="C23" s="6"/>
      <c r="D23" s="53"/>
      <c r="E23" s="6"/>
      <c r="F23" s="6"/>
      <c r="G23" s="6"/>
      <c r="H23" s="6"/>
    </row>
    <row r="24" spans="1:13" x14ac:dyDescent="0.3">
      <c r="A24" s="9"/>
      <c r="B24" s="5" t="s">
        <v>1</v>
      </c>
      <c r="D24" s="5" t="s">
        <v>0</v>
      </c>
      <c r="E24" s="5" t="s">
        <v>415</v>
      </c>
      <c r="L24" s="29"/>
      <c r="M24" s="29"/>
    </row>
    <row r="25" spans="1:13" x14ac:dyDescent="0.3">
      <c r="A25" s="9"/>
      <c r="B25" s="5" t="s">
        <v>4</v>
      </c>
      <c r="D25" s="19"/>
      <c r="E25" s="66">
        <f>C17</f>
        <v>50</v>
      </c>
      <c r="F25" s="66">
        <f>C18*100</f>
        <v>3</v>
      </c>
      <c r="G25" s="59" t="s">
        <v>0</v>
      </c>
      <c r="H25" s="34" t="s">
        <v>0</v>
      </c>
      <c r="I25" s="136">
        <f>-C16</f>
        <v>-1000000</v>
      </c>
    </row>
    <row r="26" spans="1:13" x14ac:dyDescent="0.3">
      <c r="A26" s="9"/>
      <c r="B26" s="45" t="s">
        <v>47</v>
      </c>
      <c r="C26" s="265">
        <f>C16/(1+C18)^C17</f>
        <v>228107.07978975397</v>
      </c>
      <c r="D26" s="18"/>
      <c r="E26" s="34" t="s">
        <v>13</v>
      </c>
      <c r="F26" s="34" t="s">
        <v>98</v>
      </c>
      <c r="G26" s="34" t="s">
        <v>14</v>
      </c>
      <c r="H26" s="34" t="s">
        <v>16</v>
      </c>
      <c r="I26" s="34" t="s">
        <v>17</v>
      </c>
    </row>
    <row r="27" spans="1:13" x14ac:dyDescent="0.3">
      <c r="A27" s="9"/>
      <c r="C27" s="143"/>
      <c r="G27" s="274">
        <f>PV(F25/100,E25,,I25)</f>
        <v>228107.07978975397</v>
      </c>
    </row>
    <row r="28" spans="1:13" x14ac:dyDescent="0.3">
      <c r="A28" s="16"/>
      <c r="B28" s="6" t="s">
        <v>5</v>
      </c>
      <c r="C28" s="143"/>
      <c r="E28" s="29"/>
      <c r="F28" s="73" t="s">
        <v>0</v>
      </c>
      <c r="H28" s="29"/>
      <c r="I28" s="29"/>
    </row>
    <row r="29" spans="1:13" x14ac:dyDescent="0.3">
      <c r="A29" s="18"/>
      <c r="B29" s="28" t="s">
        <v>48</v>
      </c>
      <c r="C29" s="265">
        <f>G27/(1-(1/((1+C19)^C20)))*C19</f>
        <v>13950.280381085111</v>
      </c>
      <c r="E29" s="66">
        <f>C20</f>
        <v>20</v>
      </c>
      <c r="F29" s="66">
        <f>C19*100</f>
        <v>2</v>
      </c>
      <c r="G29" s="273">
        <f>-G27</f>
        <v>-228107.07978975397</v>
      </c>
    </row>
    <row r="30" spans="1:13" x14ac:dyDescent="0.3">
      <c r="A30" s="18"/>
      <c r="B30" s="16"/>
      <c r="C30" s="16"/>
      <c r="D30" s="46"/>
      <c r="E30" s="34" t="s">
        <v>13</v>
      </c>
      <c r="F30" s="34" t="s">
        <v>98</v>
      </c>
      <c r="G30" s="34" t="s">
        <v>14</v>
      </c>
      <c r="H30" s="34" t="s">
        <v>16</v>
      </c>
      <c r="I30" s="34" t="s">
        <v>17</v>
      </c>
    </row>
    <row r="31" spans="1:13" x14ac:dyDescent="0.3">
      <c r="A31" s="16"/>
      <c r="B31" s="18"/>
      <c r="C31" s="16"/>
      <c r="D31" s="16"/>
      <c r="H31" s="275">
        <f>PMT(F29/100,E29,G29)</f>
        <v>13950.280381085109</v>
      </c>
      <c r="I31" s="65" t="s">
        <v>0</v>
      </c>
    </row>
    <row r="32" spans="1:13" x14ac:dyDescent="0.3">
      <c r="A32" s="9"/>
      <c r="D32" s="19"/>
      <c r="E32" s="29"/>
      <c r="F32" s="44"/>
      <c r="G32" s="272" t="s">
        <v>0</v>
      </c>
      <c r="I32" s="29"/>
      <c r="J32" s="34"/>
      <c r="K32" s="34"/>
    </row>
    <row r="33" spans="1:11" x14ac:dyDescent="0.3">
      <c r="A33" s="9"/>
      <c r="D33" s="19"/>
      <c r="E33" s="16"/>
      <c r="F33" s="18"/>
      <c r="G33" s="16"/>
      <c r="H33" s="16"/>
      <c r="I33" s="46"/>
      <c r="J33" s="34"/>
      <c r="K33" s="34"/>
    </row>
    <row r="34" spans="1:11" x14ac:dyDescent="0.3">
      <c r="A34" s="9"/>
      <c r="D34" s="19"/>
      <c r="E34" s="16"/>
      <c r="F34" s="18"/>
      <c r="G34" s="16"/>
      <c r="H34" s="16"/>
      <c r="I34" s="46"/>
      <c r="J34" s="34"/>
      <c r="K34" s="34"/>
    </row>
    <row r="35" spans="1:11" x14ac:dyDescent="0.3">
      <c r="A35" s="9"/>
      <c r="D35" s="19"/>
      <c r="E35" s="16"/>
      <c r="F35" s="18"/>
      <c r="G35" s="16"/>
      <c r="H35" s="16"/>
      <c r="I35" s="46"/>
      <c r="J35" s="34"/>
      <c r="K35" s="34"/>
    </row>
  </sheetData>
  <mergeCells count="6">
    <mergeCell ref="B13:H13"/>
    <mergeCell ref="B6:I6"/>
    <mergeCell ref="B11:H11"/>
    <mergeCell ref="B12:D12"/>
    <mergeCell ref="B4:H4"/>
    <mergeCell ref="B7:H7"/>
  </mergeCells>
  <pageMargins left="0.7" right="0.7" top="0.75" bottom="0.75" header="0.3" footer="0.3"/>
  <pageSetup orientation="portrait" r:id="rId1"/>
  <drawing r:id="rId2"/>
  <legacyDrawing r:id="rId3"/>
  <controls>
    <mc:AlternateContent xmlns:mc="http://schemas.openxmlformats.org/markup-compatibility/2006">
      <mc:Choice Requires="x14">
        <control shapeId="88065" r:id="rId4" name="Control 1">
          <controlPr defaultSize="0" r:id="rId5">
            <anchor moveWithCells="1">
              <from>
                <xdr:col>0</xdr:col>
                <xdr:colOff>0</xdr:colOff>
                <xdr:row>29</xdr:row>
                <xdr:rowOff>106680</xdr:rowOff>
              </from>
              <to>
                <xdr:col>0</xdr:col>
                <xdr:colOff>228600</xdr:colOff>
                <xdr:row>30</xdr:row>
                <xdr:rowOff>175260</xdr:rowOff>
              </to>
            </anchor>
          </controlPr>
        </control>
      </mc:Choice>
      <mc:Fallback>
        <control shapeId="88065" r:id="rId4" name="Control 1"/>
      </mc:Fallback>
    </mc:AlternateContent>
    <mc:AlternateContent xmlns:mc="http://schemas.openxmlformats.org/markup-compatibility/2006">
      <mc:Choice Requires="x14">
        <control shapeId="88066" r:id="rId6" name="Control 2">
          <controlPr defaultSize="0" r:id="rId5">
            <anchor moveWithCells="1">
              <from>
                <xdr:col>0</xdr:col>
                <xdr:colOff>0</xdr:colOff>
                <xdr:row>28</xdr:row>
                <xdr:rowOff>106680</xdr:rowOff>
              </from>
              <to>
                <xdr:col>0</xdr:col>
                <xdr:colOff>228600</xdr:colOff>
                <xdr:row>29</xdr:row>
                <xdr:rowOff>175260</xdr:rowOff>
              </to>
            </anchor>
          </controlPr>
        </control>
      </mc:Choice>
      <mc:Fallback>
        <control shapeId="88066" r:id="rId6" name="Control 2"/>
      </mc:Fallback>
    </mc:AlternateContent>
  </control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23"/>
  <sheetViews>
    <sheetView workbookViewId="0">
      <selection activeCell="C21" sqref="C21"/>
    </sheetView>
  </sheetViews>
  <sheetFormatPr defaultColWidth="9.109375" defaultRowHeight="14.4" x14ac:dyDescent="0.3"/>
  <cols>
    <col min="1" max="1" width="18.33203125" style="28" customWidth="1"/>
    <col min="2" max="2" width="22.109375" style="28" customWidth="1"/>
    <col min="3" max="3" width="15.88671875" style="28" customWidth="1"/>
    <col min="4" max="4" width="21.109375" style="28" bestFit="1" customWidth="1"/>
    <col min="5" max="5" width="28.5546875" style="28" customWidth="1"/>
    <col min="6" max="6" width="12.88671875" style="28" customWidth="1"/>
    <col min="7" max="7" width="14.5546875" style="28" customWidth="1"/>
    <col min="8" max="8" width="9.109375" style="28"/>
    <col min="9" max="9" width="11.88671875" style="28" bestFit="1" customWidth="1"/>
    <col min="10" max="16384" width="9.109375" style="28"/>
  </cols>
  <sheetData>
    <row r="1" spans="1:10" x14ac:dyDescent="0.3">
      <c r="A1" s="5" t="s">
        <v>581</v>
      </c>
      <c r="B1" s="5"/>
    </row>
    <row r="2" spans="1:10" s="89" customFormat="1" x14ac:dyDescent="0.3">
      <c r="A2" s="370"/>
      <c r="B2" s="370"/>
    </row>
    <row r="3" spans="1:10" x14ac:dyDescent="0.3">
      <c r="A3" s="5" t="s">
        <v>0</v>
      </c>
      <c r="B3" s="5" t="s">
        <v>268</v>
      </c>
    </row>
    <row r="4" spans="1:10" ht="15" customHeight="1" x14ac:dyDescent="0.3">
      <c r="A4" s="2"/>
      <c r="B4" s="572" t="s">
        <v>626</v>
      </c>
      <c r="C4" s="572"/>
      <c r="D4" s="572"/>
      <c r="E4" s="572"/>
      <c r="F4" s="572"/>
      <c r="G4" s="572"/>
      <c r="H4" s="572"/>
      <c r="I4" s="572"/>
      <c r="J4" s="572"/>
    </row>
    <row r="5" spans="1:10" ht="15" customHeight="1" x14ac:dyDescent="0.3">
      <c r="A5" s="2"/>
      <c r="B5" s="415"/>
      <c r="C5" s="415"/>
      <c r="D5" s="415"/>
      <c r="E5" s="415"/>
      <c r="F5" s="415"/>
      <c r="G5" s="415"/>
      <c r="H5" s="415"/>
      <c r="I5" s="415"/>
      <c r="J5" s="415"/>
    </row>
    <row r="6" spans="1:10" ht="15" customHeight="1" x14ac:dyDescent="0.3">
      <c r="A6" s="2"/>
      <c r="B6" s="28" t="s">
        <v>625</v>
      </c>
      <c r="D6" s="83"/>
      <c r="E6" s="83"/>
      <c r="F6" s="83"/>
      <c r="G6" s="83"/>
      <c r="H6" s="83"/>
    </row>
    <row r="7" spans="1:10" ht="15" customHeight="1" x14ac:dyDescent="0.3">
      <c r="A7" s="2"/>
      <c r="B7" s="579"/>
      <c r="C7" s="579"/>
      <c r="D7" s="579"/>
      <c r="E7" s="579"/>
      <c r="F7" s="579"/>
      <c r="G7" s="579"/>
      <c r="H7" s="579"/>
      <c r="I7" s="579"/>
    </row>
    <row r="8" spans="1:10" s="21" customFormat="1" ht="16.5" customHeight="1" x14ac:dyDescent="0.3">
      <c r="A8" s="7"/>
      <c r="B8" s="8"/>
      <c r="C8" s="8"/>
      <c r="D8" s="8"/>
      <c r="E8" s="8"/>
      <c r="F8" s="8"/>
      <c r="G8" s="8"/>
      <c r="H8" s="8"/>
    </row>
    <row r="9" spans="1:10" s="25" customFormat="1" ht="16.5" customHeight="1" x14ac:dyDescent="0.3">
      <c r="A9" s="40"/>
      <c r="B9" s="41"/>
      <c r="C9" s="41"/>
      <c r="D9" s="41"/>
      <c r="E9" s="41"/>
      <c r="F9" s="41"/>
      <c r="G9" s="41"/>
      <c r="H9" s="41"/>
    </row>
    <row r="10" spans="1:10" ht="17.25" customHeight="1" x14ac:dyDescent="0.3">
      <c r="A10" s="277"/>
      <c r="B10" s="573" t="s">
        <v>265</v>
      </c>
      <c r="C10" s="573"/>
      <c r="D10" s="573"/>
      <c r="E10" s="573"/>
      <c r="F10" s="429"/>
      <c r="G10" s="429"/>
      <c r="H10" s="429"/>
    </row>
    <row r="11" spans="1:10" ht="17.25" customHeight="1" x14ac:dyDescent="0.3">
      <c r="A11" s="277"/>
      <c r="B11" s="570" t="s">
        <v>266</v>
      </c>
      <c r="C11" s="570"/>
      <c r="D11" s="570"/>
    </row>
    <row r="12" spans="1:10" ht="17.25" customHeight="1" x14ac:dyDescent="0.3">
      <c r="A12" s="277"/>
      <c r="B12" s="571" t="s">
        <v>267</v>
      </c>
      <c r="C12" s="571"/>
      <c r="D12" s="571"/>
      <c r="E12" s="571"/>
      <c r="F12" s="571"/>
      <c r="G12" s="571"/>
      <c r="H12" s="571"/>
    </row>
    <row r="13" spans="1:10" x14ac:dyDescent="0.3">
      <c r="A13" s="10"/>
      <c r="B13" s="10"/>
      <c r="C13" s="10"/>
      <c r="D13" s="10"/>
    </row>
    <row r="14" spans="1:10" x14ac:dyDescent="0.3">
      <c r="A14" s="10"/>
      <c r="B14" s="85" t="s">
        <v>56</v>
      </c>
      <c r="C14" s="10"/>
      <c r="D14" s="10"/>
    </row>
    <row r="15" spans="1:10" s="77" customFormat="1" ht="16.5" customHeight="1" x14ac:dyDescent="0.3">
      <c r="B15" s="76" t="s">
        <v>230</v>
      </c>
      <c r="C15" s="79">
        <v>0.4</v>
      </c>
      <c r="D15" s="76" t="s">
        <v>0</v>
      </c>
      <c r="E15" s="76"/>
      <c r="F15" s="76"/>
      <c r="G15" s="76"/>
      <c r="H15" s="76"/>
    </row>
    <row r="16" spans="1:10" s="77" customFormat="1" ht="19.5" customHeight="1" x14ac:dyDescent="0.3">
      <c r="B16" s="76" t="s">
        <v>0</v>
      </c>
      <c r="C16" s="276"/>
      <c r="D16" s="76"/>
      <c r="E16" s="76"/>
      <c r="F16" s="76"/>
      <c r="G16" s="76"/>
      <c r="H16" s="76"/>
    </row>
    <row r="17" spans="1:8" s="373" customFormat="1" ht="16.5" customHeight="1" x14ac:dyDescent="0.3">
      <c r="B17" s="412"/>
      <c r="C17" s="412"/>
      <c r="D17" s="412"/>
      <c r="E17" s="412"/>
      <c r="F17" s="412"/>
      <c r="G17" s="412"/>
      <c r="H17" s="412"/>
    </row>
    <row r="18" spans="1:8" s="77" customFormat="1" ht="16.5" customHeight="1" x14ac:dyDescent="0.3">
      <c r="B18" s="76"/>
      <c r="C18" s="76"/>
      <c r="D18" s="76"/>
      <c r="E18" s="76"/>
      <c r="F18" s="76"/>
      <c r="G18" s="76"/>
      <c r="H18" s="76"/>
    </row>
    <row r="19" spans="1:8" x14ac:dyDescent="0.3">
      <c r="A19" s="9"/>
      <c r="B19" s="5" t="s">
        <v>1</v>
      </c>
      <c r="F19" s="5"/>
    </row>
    <row r="20" spans="1:8" x14ac:dyDescent="0.3">
      <c r="A20" s="16"/>
      <c r="B20" s="235" t="s">
        <v>627</v>
      </c>
      <c r="C20" s="167">
        <f>(1+C15)^(1/12)-1</f>
        <v>2.8436155726361267E-2</v>
      </c>
      <c r="D20" s="29"/>
      <c r="E20" s="66"/>
      <c r="F20" s="16"/>
      <c r="G20" s="16"/>
    </row>
    <row r="21" spans="1:8" x14ac:dyDescent="0.3">
      <c r="A21" s="16"/>
      <c r="B21" s="29"/>
      <c r="C21" s="108"/>
      <c r="D21" s="29"/>
      <c r="E21" s="29"/>
      <c r="F21" s="66"/>
      <c r="G21" s="16"/>
      <c r="H21" s="16"/>
    </row>
    <row r="22" spans="1:8" x14ac:dyDescent="0.3">
      <c r="B22" s="18"/>
      <c r="C22" s="18"/>
      <c r="D22" s="18"/>
      <c r="E22" s="18"/>
    </row>
    <row r="23" spans="1:8" x14ac:dyDescent="0.3">
      <c r="B23" s="18"/>
      <c r="C23" s="18"/>
      <c r="D23" s="18"/>
      <c r="E23" s="18"/>
    </row>
  </sheetData>
  <mergeCells count="5">
    <mergeCell ref="B4:J4"/>
    <mergeCell ref="B7:I7"/>
    <mergeCell ref="B11:D11"/>
    <mergeCell ref="B12:H12"/>
    <mergeCell ref="B10:E10"/>
  </mergeCell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9"/>
  <dimension ref="A1:M58"/>
  <sheetViews>
    <sheetView workbookViewId="0"/>
  </sheetViews>
  <sheetFormatPr defaultColWidth="9.109375" defaultRowHeight="14.4" x14ac:dyDescent="0.3"/>
  <cols>
    <col min="1" max="1" width="16.5546875" style="28" customWidth="1"/>
    <col min="2" max="2" width="30.6640625" style="28" customWidth="1"/>
    <col min="3" max="3" width="15.6640625" style="28" customWidth="1"/>
    <col min="4" max="5" width="9.109375" style="28"/>
    <col min="6" max="6" width="9.109375" style="28" customWidth="1"/>
    <col min="7" max="7" width="11.88671875" style="28" customWidth="1"/>
    <col min="8" max="8" width="12.88671875" style="28" customWidth="1"/>
    <col min="9" max="9" width="12.88671875" style="28" bestFit="1" customWidth="1"/>
    <col min="10" max="10" width="11.5546875" style="28" bestFit="1" customWidth="1"/>
    <col min="11" max="11" width="15.109375" style="28" customWidth="1"/>
    <col min="12" max="16384" width="9.109375" style="28"/>
  </cols>
  <sheetData>
    <row r="1" spans="1:10" x14ac:dyDescent="0.3">
      <c r="A1" s="5" t="s">
        <v>580</v>
      </c>
      <c r="B1" s="5"/>
    </row>
    <row r="2" spans="1:10" s="89" customFormat="1" x14ac:dyDescent="0.3">
      <c r="A2" s="370"/>
      <c r="B2" s="370"/>
    </row>
    <row r="3" spans="1:10" x14ac:dyDescent="0.3">
      <c r="A3" s="5" t="s">
        <v>0</v>
      </c>
      <c r="B3" s="5" t="s">
        <v>268</v>
      </c>
    </row>
    <row r="4" spans="1:10" ht="49.5" customHeight="1" x14ac:dyDescent="0.3">
      <c r="A4" s="2"/>
      <c r="B4" s="579" t="s">
        <v>514</v>
      </c>
      <c r="C4" s="579"/>
      <c r="D4" s="579"/>
      <c r="E4" s="579"/>
      <c r="F4" s="579"/>
      <c r="G4" s="579"/>
      <c r="H4" s="278"/>
      <c r="I4" s="278"/>
    </row>
    <row r="5" spans="1:10" ht="35.25" customHeight="1" x14ac:dyDescent="0.3">
      <c r="A5" s="2"/>
      <c r="B5" s="579" t="s">
        <v>515</v>
      </c>
      <c r="C5" s="579"/>
      <c r="D5" s="579"/>
      <c r="E5" s="579"/>
      <c r="F5" s="579"/>
      <c r="G5" s="579"/>
      <c r="H5" s="278"/>
      <c r="I5" s="278"/>
    </row>
    <row r="6" spans="1:10" ht="36" customHeight="1" x14ac:dyDescent="0.3">
      <c r="A6" s="2"/>
      <c r="B6" s="579" t="s">
        <v>516</v>
      </c>
      <c r="C6" s="579"/>
      <c r="D6" s="579"/>
      <c r="E6" s="579"/>
      <c r="F6" s="579"/>
      <c r="G6" s="579"/>
      <c r="H6" s="448"/>
      <c r="I6" s="448"/>
    </row>
    <row r="7" spans="1:10" ht="48.75" customHeight="1" x14ac:dyDescent="0.3">
      <c r="A7" s="2"/>
      <c r="B7" s="579" t="s">
        <v>517</v>
      </c>
      <c r="C7" s="579"/>
      <c r="D7" s="579"/>
      <c r="E7" s="579"/>
      <c r="F7" s="579"/>
      <c r="G7" s="579"/>
      <c r="H7" s="278"/>
      <c r="I7" s="278"/>
    </row>
    <row r="8" spans="1:10" ht="36" customHeight="1" x14ac:dyDescent="0.3">
      <c r="A8" s="2"/>
      <c r="B8" s="579" t="s">
        <v>518</v>
      </c>
      <c r="C8" s="579"/>
      <c r="D8" s="579"/>
      <c r="E8" s="579"/>
      <c r="F8" s="579"/>
      <c r="G8" s="579"/>
      <c r="H8" s="278"/>
      <c r="I8" s="278"/>
    </row>
    <row r="9" spans="1:10" ht="34.5" customHeight="1" x14ac:dyDescent="0.3">
      <c r="A9" s="2"/>
      <c r="B9" s="579" t="s">
        <v>519</v>
      </c>
      <c r="C9" s="579"/>
      <c r="D9" s="579"/>
      <c r="E9" s="579"/>
      <c r="F9" s="579"/>
      <c r="G9" s="579"/>
      <c r="H9" s="278"/>
      <c r="I9" s="278"/>
    </row>
    <row r="10" spans="1:10" ht="15" customHeight="1" x14ac:dyDescent="0.3">
      <c r="A10" s="2"/>
      <c r="B10" s="450"/>
      <c r="C10" s="450"/>
      <c r="D10" s="450"/>
      <c r="E10" s="450"/>
      <c r="F10" s="450"/>
      <c r="G10" s="450"/>
      <c r="H10" s="278"/>
      <c r="I10" s="278"/>
    </row>
    <row r="11" spans="1:10" s="89" customFormat="1" ht="15" customHeight="1" x14ac:dyDescent="0.3">
      <c r="A11" s="358"/>
      <c r="B11" s="360"/>
      <c r="C11" s="360"/>
      <c r="D11" s="360"/>
      <c r="E11" s="360"/>
      <c r="F11" s="360"/>
      <c r="G11" s="360"/>
      <c r="H11" s="506"/>
      <c r="I11" s="506"/>
    </row>
    <row r="12" spans="1:10" ht="15" customHeight="1" x14ac:dyDescent="0.3">
      <c r="A12" s="2"/>
      <c r="B12" s="417"/>
      <c r="C12" s="421"/>
      <c r="D12" s="420"/>
      <c r="E12" s="420"/>
      <c r="F12" s="420"/>
      <c r="G12" s="420"/>
      <c r="H12" s="420"/>
      <c r="I12" s="420"/>
      <c r="J12" s="420"/>
    </row>
    <row r="13" spans="1:10" ht="17.25" customHeight="1" x14ac:dyDescent="0.3">
      <c r="A13" s="277"/>
      <c r="B13" s="573" t="s">
        <v>265</v>
      </c>
      <c r="C13" s="573"/>
      <c r="D13" s="573"/>
      <c r="E13" s="573"/>
      <c r="F13" s="573"/>
      <c r="G13" s="573"/>
      <c r="H13" s="429"/>
    </row>
    <row r="14" spans="1:10" ht="17.25" customHeight="1" x14ac:dyDescent="0.3">
      <c r="A14" s="277"/>
      <c r="B14" s="570" t="s">
        <v>266</v>
      </c>
      <c r="C14" s="570"/>
      <c r="D14" s="570"/>
    </row>
    <row r="15" spans="1:10" ht="17.25" customHeight="1" x14ac:dyDescent="0.3">
      <c r="A15" s="277"/>
      <c r="B15" s="571" t="s">
        <v>267</v>
      </c>
      <c r="C15" s="571"/>
      <c r="D15" s="571"/>
      <c r="E15" s="571"/>
      <c r="F15" s="571"/>
      <c r="G15" s="571"/>
      <c r="H15" s="571"/>
    </row>
    <row r="16" spans="1:10" x14ac:dyDescent="0.3">
      <c r="A16" s="10"/>
      <c r="B16" s="10"/>
      <c r="C16" s="10"/>
      <c r="D16" s="10"/>
    </row>
    <row r="17" spans="1:13" x14ac:dyDescent="0.3">
      <c r="A17" s="10"/>
      <c r="B17" s="85" t="s">
        <v>56</v>
      </c>
      <c r="C17" s="10"/>
      <c r="D17" s="10"/>
    </row>
    <row r="18" spans="1:13" s="10" customFormat="1" ht="15" customHeight="1" x14ac:dyDescent="0.3">
      <c r="A18" s="277"/>
      <c r="B18" s="278" t="s">
        <v>157</v>
      </c>
      <c r="C18" s="280">
        <v>30</v>
      </c>
      <c r="D18" s="268"/>
      <c r="E18" s="268"/>
      <c r="F18" s="268"/>
      <c r="G18" s="268"/>
      <c r="H18" s="268"/>
      <c r="I18" s="268"/>
      <c r="J18" s="268"/>
    </row>
    <row r="19" spans="1:13" s="10" customFormat="1" ht="15" customHeight="1" x14ac:dyDescent="0.3">
      <c r="A19" s="277"/>
      <c r="B19" s="278" t="s">
        <v>158</v>
      </c>
      <c r="C19" s="281">
        <v>30000</v>
      </c>
      <c r="D19" s="268"/>
      <c r="E19" s="268"/>
      <c r="F19" s="268"/>
      <c r="G19" s="268"/>
      <c r="H19" s="268"/>
      <c r="I19" s="268"/>
      <c r="J19" s="268"/>
    </row>
    <row r="20" spans="1:13" s="10" customFormat="1" ht="15" customHeight="1" x14ac:dyDescent="0.3">
      <c r="A20" s="277"/>
      <c r="B20" s="278" t="s">
        <v>159</v>
      </c>
      <c r="C20" s="282">
        <v>15</v>
      </c>
      <c r="D20" s="268"/>
      <c r="E20" s="268"/>
      <c r="F20" s="268"/>
      <c r="G20" s="268"/>
      <c r="H20" s="268"/>
      <c r="I20" s="268"/>
      <c r="J20" s="268"/>
    </row>
    <row r="21" spans="1:13" s="10" customFormat="1" ht="15" customHeight="1" x14ac:dyDescent="0.3">
      <c r="A21" s="277"/>
      <c r="B21" s="278" t="s">
        <v>28</v>
      </c>
      <c r="C21" s="283">
        <v>0.1</v>
      </c>
      <c r="D21" s="102" t="s">
        <v>100</v>
      </c>
      <c r="E21" s="102"/>
      <c r="F21" s="268"/>
      <c r="G21" s="268"/>
      <c r="H21" s="268"/>
      <c r="I21" s="268"/>
      <c r="J21" s="268"/>
    </row>
    <row r="22" spans="1:13" s="10" customFormat="1" ht="15" customHeight="1" x14ac:dyDescent="0.3">
      <c r="A22" s="277"/>
      <c r="B22" s="278" t="s">
        <v>215</v>
      </c>
      <c r="C22" s="283">
        <v>0.04</v>
      </c>
      <c r="D22" s="102" t="s">
        <v>100</v>
      </c>
      <c r="E22" s="102"/>
      <c r="F22" s="268"/>
      <c r="G22" s="268"/>
      <c r="H22" s="268"/>
      <c r="I22" s="268"/>
      <c r="J22" s="268"/>
    </row>
    <row r="23" spans="1:13" s="10" customFormat="1" ht="15" customHeight="1" x14ac:dyDescent="0.3">
      <c r="A23" s="277"/>
      <c r="B23" s="278" t="s">
        <v>231</v>
      </c>
      <c r="C23" s="551">
        <v>1</v>
      </c>
      <c r="D23" s="268"/>
      <c r="E23" s="268"/>
      <c r="F23" s="268"/>
      <c r="G23" s="268"/>
      <c r="H23" s="268"/>
      <c r="I23" s="268"/>
      <c r="J23" s="268"/>
    </row>
    <row r="24" spans="1:13" s="10" customFormat="1" ht="15" customHeight="1" x14ac:dyDescent="0.3">
      <c r="A24" s="277"/>
      <c r="B24" s="278" t="s">
        <v>232</v>
      </c>
      <c r="C24" s="280">
        <v>1</v>
      </c>
      <c r="D24" s="268" t="s">
        <v>0</v>
      </c>
      <c r="E24" s="268"/>
      <c r="F24" s="268"/>
      <c r="G24" s="268"/>
      <c r="H24" s="268"/>
      <c r="I24" s="268"/>
      <c r="J24" s="268"/>
    </row>
    <row r="25" spans="1:13" s="10" customFormat="1" ht="15" customHeight="1" x14ac:dyDescent="0.3">
      <c r="A25" s="277"/>
      <c r="B25" s="278" t="s">
        <v>233</v>
      </c>
      <c r="C25" s="280">
        <v>30</v>
      </c>
      <c r="D25" s="268"/>
      <c r="E25" s="268"/>
      <c r="F25" s="268"/>
      <c r="G25" s="268"/>
      <c r="H25" s="268"/>
      <c r="I25" s="268"/>
      <c r="J25" s="268"/>
    </row>
    <row r="26" spans="1:13" s="10" customFormat="1" ht="15" customHeight="1" x14ac:dyDescent="0.3">
      <c r="A26" s="277"/>
      <c r="B26" s="278"/>
      <c r="C26" s="279"/>
      <c r="D26" s="268"/>
      <c r="E26" s="268"/>
      <c r="F26" s="268"/>
      <c r="G26" s="268"/>
      <c r="H26" s="268"/>
      <c r="I26" s="268"/>
      <c r="J26" s="268"/>
    </row>
    <row r="27" spans="1:13" s="373" customFormat="1" ht="15" customHeight="1" x14ac:dyDescent="0.3">
      <c r="A27" s="505"/>
      <c r="B27" s="506"/>
      <c r="C27" s="507"/>
      <c r="D27" s="508"/>
      <c r="E27" s="508"/>
      <c r="F27" s="508"/>
      <c r="G27" s="508"/>
      <c r="H27" s="508"/>
      <c r="I27" s="508"/>
      <c r="J27" s="508"/>
    </row>
    <row r="28" spans="1:13" s="10" customFormat="1" ht="15" customHeight="1" x14ac:dyDescent="0.3">
      <c r="A28" s="277"/>
      <c r="B28" s="278"/>
      <c r="C28" s="268"/>
      <c r="D28" s="268"/>
      <c r="E28" s="268"/>
      <c r="F28" s="268"/>
      <c r="G28" s="268"/>
      <c r="H28" s="268"/>
      <c r="I28" s="268"/>
      <c r="J28" s="268"/>
    </row>
    <row r="29" spans="1:13" ht="15" customHeight="1" x14ac:dyDescent="0.3">
      <c r="A29" s="9"/>
      <c r="B29" s="5" t="s">
        <v>1</v>
      </c>
      <c r="D29" s="5" t="s">
        <v>0</v>
      </c>
      <c r="E29" s="5" t="s">
        <v>415</v>
      </c>
      <c r="L29" s="29"/>
      <c r="M29" s="29"/>
    </row>
    <row r="30" spans="1:13" ht="15" customHeight="1" x14ac:dyDescent="0.3">
      <c r="A30" s="9"/>
      <c r="B30" s="5" t="s">
        <v>4</v>
      </c>
      <c r="D30" s="19"/>
      <c r="E30" s="243">
        <f>C20</f>
        <v>15</v>
      </c>
      <c r="F30" s="66">
        <f>C21*100</f>
        <v>10</v>
      </c>
      <c r="G30" s="59" t="s">
        <v>0</v>
      </c>
      <c r="H30" s="214">
        <f>-C19</f>
        <v>-30000</v>
      </c>
    </row>
    <row r="31" spans="1:13" ht="15" customHeight="1" x14ac:dyDescent="0.3">
      <c r="A31" s="9"/>
      <c r="B31" s="45" t="s">
        <v>14</v>
      </c>
      <c r="C31" s="265">
        <f>C19/C21*(1-1/(1+C21)^C20)</f>
        <v>228182.38518925098</v>
      </c>
      <c r="D31" s="18"/>
      <c r="E31" s="34" t="s">
        <v>13</v>
      </c>
      <c r="F31" s="34" t="s">
        <v>98</v>
      </c>
      <c r="G31" s="34" t="s">
        <v>14</v>
      </c>
      <c r="H31" s="34" t="s">
        <v>16</v>
      </c>
      <c r="I31" s="34" t="s">
        <v>17</v>
      </c>
    </row>
    <row r="32" spans="1:13" ht="15" customHeight="1" x14ac:dyDescent="0.3">
      <c r="A32" s="9"/>
      <c r="B32" s="45"/>
      <c r="C32" s="265"/>
      <c r="D32" s="18"/>
      <c r="G32" s="222">
        <f>PV(F30/100,E30,H30)</f>
        <v>228182.38518925098</v>
      </c>
      <c r="I32" s="65" t="s">
        <v>0</v>
      </c>
    </row>
    <row r="33" spans="1:9" ht="15" customHeight="1" x14ac:dyDescent="0.3">
      <c r="A33" s="9"/>
      <c r="C33" s="143"/>
      <c r="E33" s="243"/>
      <c r="F33" s="66"/>
      <c r="H33" s="214"/>
      <c r="I33" s="65"/>
    </row>
    <row r="34" spans="1:9" ht="15" customHeight="1" x14ac:dyDescent="0.3">
      <c r="A34" s="16"/>
      <c r="B34" s="6" t="s">
        <v>5</v>
      </c>
      <c r="C34" s="143"/>
      <c r="E34" s="66">
        <f>C18</f>
        <v>30</v>
      </c>
      <c r="F34" s="66">
        <f>C21*100</f>
        <v>10</v>
      </c>
      <c r="G34" s="59" t="s">
        <v>0</v>
      </c>
      <c r="H34" s="34" t="s">
        <v>0</v>
      </c>
      <c r="I34" s="210">
        <f>-G32</f>
        <v>-228182.38518925098</v>
      </c>
    </row>
    <row r="35" spans="1:9" ht="15" customHeight="1" x14ac:dyDescent="0.3">
      <c r="A35" s="18"/>
      <c r="B35" s="28" t="s">
        <v>50</v>
      </c>
      <c r="C35" s="265">
        <f>(G32/(1+C21)^C18)/(1-(1/((1+C21)^C18)))*C21</f>
        <v>1387.1773664435891</v>
      </c>
      <c r="E35" s="34" t="s">
        <v>13</v>
      </c>
      <c r="F35" s="34" t="s">
        <v>98</v>
      </c>
      <c r="G35" s="34" t="s">
        <v>14</v>
      </c>
      <c r="H35" s="34" t="s">
        <v>16</v>
      </c>
      <c r="I35" s="34" t="s">
        <v>17</v>
      </c>
    </row>
    <row r="36" spans="1:9" ht="15" customHeight="1" x14ac:dyDescent="0.3">
      <c r="A36" s="18"/>
      <c r="C36" s="265"/>
      <c r="H36" s="141">
        <f>PMT(F34/100,E34,,I34)</f>
        <v>1387.1773664435925</v>
      </c>
    </row>
    <row r="37" spans="1:9" ht="15" customHeight="1" x14ac:dyDescent="0.3">
      <c r="A37" s="18"/>
      <c r="B37" s="16"/>
      <c r="C37" s="143"/>
      <c r="D37" s="46"/>
      <c r="E37" s="66"/>
      <c r="F37" s="66"/>
      <c r="G37" s="59"/>
      <c r="I37" s="54"/>
    </row>
    <row r="38" spans="1:9" ht="15" customHeight="1" x14ac:dyDescent="0.3">
      <c r="A38" s="16"/>
      <c r="B38" s="6" t="s">
        <v>6</v>
      </c>
      <c r="C38" s="143"/>
      <c r="D38" s="16"/>
      <c r="E38" s="66">
        <f>C18</f>
        <v>30</v>
      </c>
      <c r="F38" s="243">
        <f>C22*100</f>
        <v>4</v>
      </c>
      <c r="G38" s="264">
        <f>-C23</f>
        <v>-1</v>
      </c>
      <c r="H38" s="34" t="s">
        <v>0</v>
      </c>
      <c r="I38" s="29"/>
    </row>
    <row r="39" spans="1:9" ht="15" customHeight="1" x14ac:dyDescent="0.3">
      <c r="A39" s="9"/>
      <c r="B39" s="10" t="s">
        <v>51</v>
      </c>
      <c r="C39" s="265">
        <f>(1+C22)^C18</f>
        <v>3.2433975100275423</v>
      </c>
      <c r="D39" s="19"/>
      <c r="E39" s="34" t="s">
        <v>13</v>
      </c>
      <c r="F39" s="34" t="s">
        <v>98</v>
      </c>
      <c r="G39" s="34" t="s">
        <v>14</v>
      </c>
      <c r="H39" s="34" t="s">
        <v>16</v>
      </c>
      <c r="I39" s="34" t="s">
        <v>17</v>
      </c>
    </row>
    <row r="40" spans="1:9" ht="15" customHeight="1" x14ac:dyDescent="0.3">
      <c r="A40" s="9"/>
      <c r="B40" s="10"/>
      <c r="C40" s="265"/>
      <c r="D40" s="19"/>
      <c r="I40" s="208">
        <f>FV(F38/100,E34,,G38)</f>
        <v>3.2433975100275423</v>
      </c>
    </row>
    <row r="41" spans="1:9" ht="15" customHeight="1" x14ac:dyDescent="0.3">
      <c r="A41" s="9"/>
      <c r="B41" s="5"/>
      <c r="C41" s="143"/>
      <c r="D41" s="19"/>
      <c r="E41" s="66"/>
      <c r="F41" s="66"/>
      <c r="G41" s="59"/>
      <c r="H41" s="34"/>
    </row>
    <row r="42" spans="1:9" ht="15" customHeight="1" x14ac:dyDescent="0.3">
      <c r="A42" s="9"/>
      <c r="B42" s="5" t="s">
        <v>7</v>
      </c>
      <c r="C42" s="143"/>
      <c r="D42" s="19"/>
      <c r="E42" s="243">
        <f>C20</f>
        <v>15</v>
      </c>
      <c r="F42" s="270">
        <f>((1+C21)/(1+C22)-1)*100</f>
        <v>5.7692307692307709</v>
      </c>
      <c r="G42" s="59" t="s">
        <v>0</v>
      </c>
      <c r="H42" s="214">
        <f>-C19</f>
        <v>-30000</v>
      </c>
      <c r="I42" s="44" t="s">
        <v>0</v>
      </c>
    </row>
    <row r="43" spans="1:9" ht="15" customHeight="1" x14ac:dyDescent="0.3">
      <c r="A43" s="9"/>
      <c r="B43" s="10" t="s">
        <v>14</v>
      </c>
      <c r="C43" s="265">
        <f>(C19/((1+C21)/(1+C22)-1))*(1-(1/(1+((1+C21)/(1+C22)-1))^C20))</f>
        <v>295811.59057767905</v>
      </c>
      <c r="D43" s="19"/>
      <c r="E43" s="34" t="s">
        <v>13</v>
      </c>
      <c r="F43" s="34" t="s">
        <v>98</v>
      </c>
      <c r="G43" s="34" t="s">
        <v>14</v>
      </c>
      <c r="H43" s="34" t="s">
        <v>16</v>
      </c>
      <c r="I43" s="34" t="s">
        <v>17</v>
      </c>
    </row>
    <row r="44" spans="1:9" ht="15" customHeight="1" x14ac:dyDescent="0.3">
      <c r="A44" s="9"/>
      <c r="C44" s="143"/>
      <c r="D44" s="19"/>
      <c r="G44" s="222">
        <f>PV(F42/100,E42,H42)</f>
        <v>295811.59057767905</v>
      </c>
      <c r="I44" s="65" t="s">
        <v>0</v>
      </c>
    </row>
    <row r="45" spans="1:9" ht="15" customHeight="1" x14ac:dyDescent="0.3">
      <c r="A45" s="9"/>
      <c r="B45" s="5"/>
      <c r="C45" s="143"/>
      <c r="D45" s="19"/>
      <c r="E45" s="29"/>
      <c r="F45" s="284" t="s">
        <v>0</v>
      </c>
      <c r="H45" s="29"/>
      <c r="I45" s="29"/>
    </row>
    <row r="46" spans="1:9" ht="15" customHeight="1" x14ac:dyDescent="0.3">
      <c r="A46" s="9"/>
      <c r="B46" s="5" t="s">
        <v>8</v>
      </c>
      <c r="C46" s="143"/>
      <c r="D46" s="19"/>
      <c r="E46" s="66">
        <f>C18</f>
        <v>30</v>
      </c>
      <c r="F46" s="270">
        <f>F42</f>
        <v>5.7692307692307709</v>
      </c>
      <c r="G46" s="273" t="s">
        <v>0</v>
      </c>
      <c r="H46" s="34" t="s">
        <v>0</v>
      </c>
      <c r="I46" s="210">
        <f>-G44</f>
        <v>-295811.59057767905</v>
      </c>
    </row>
    <row r="47" spans="1:9" ht="15" customHeight="1" x14ac:dyDescent="0.3">
      <c r="A47" s="9"/>
      <c r="B47" s="10" t="s">
        <v>216</v>
      </c>
      <c r="C47" s="552">
        <f>(1+C21)/(1+C22)-1</f>
        <v>5.7692307692307709E-2</v>
      </c>
      <c r="D47" s="19"/>
      <c r="E47" s="34" t="s">
        <v>13</v>
      </c>
      <c r="F47" s="34" t="s">
        <v>98</v>
      </c>
      <c r="G47" s="34" t="s">
        <v>14</v>
      </c>
      <c r="H47" s="34" t="s">
        <v>16</v>
      </c>
      <c r="I47" s="34" t="s">
        <v>17</v>
      </c>
    </row>
    <row r="48" spans="1:9" x14ac:dyDescent="0.3">
      <c r="A48" s="9"/>
      <c r="B48" s="10" t="s">
        <v>52</v>
      </c>
      <c r="C48" s="265">
        <f>(G44/(1+C47)^C18)/(1-(1/((1+C47)^C18)))*C47</f>
        <v>3896.3801383353548</v>
      </c>
      <c r="D48" s="19"/>
      <c r="H48" s="141">
        <f>PMT(F46/100,E46,,I46)</f>
        <v>3896.3801383353489</v>
      </c>
    </row>
    <row r="49" spans="1:12" x14ac:dyDescent="0.3">
      <c r="A49" s="9"/>
      <c r="B49" s="5"/>
      <c r="D49" s="19"/>
      <c r="E49" s="29"/>
      <c r="F49" s="44"/>
      <c r="G49" s="29"/>
      <c r="I49" s="29"/>
      <c r="J49" s="141"/>
      <c r="K49" s="29"/>
    </row>
    <row r="50" spans="1:12" x14ac:dyDescent="0.3">
      <c r="A50" s="9"/>
      <c r="B50" s="5" t="s">
        <v>49</v>
      </c>
      <c r="D50" s="19"/>
      <c r="E50" s="16"/>
      <c r="F50" s="18"/>
      <c r="G50" s="16"/>
      <c r="H50" s="16"/>
      <c r="I50" s="46"/>
      <c r="J50" s="34"/>
      <c r="K50" s="34"/>
      <c r="L50" s="28" t="s">
        <v>53</v>
      </c>
    </row>
    <row r="51" spans="1:12" x14ac:dyDescent="0.3">
      <c r="A51" s="9"/>
      <c r="B51" s="28" t="s">
        <v>520</v>
      </c>
      <c r="C51" s="143">
        <f>H48*(1+C22)</f>
        <v>4052.2353438687628</v>
      </c>
      <c r="D51" s="19"/>
      <c r="E51" s="66">
        <v>1</v>
      </c>
      <c r="F51" s="243">
        <f>C22*100</f>
        <v>4</v>
      </c>
      <c r="G51" s="273">
        <f>-H48</f>
        <v>-3896.3801383353489</v>
      </c>
    </row>
    <row r="52" spans="1:12" x14ac:dyDescent="0.3">
      <c r="A52" s="9"/>
      <c r="B52" s="10"/>
      <c r="C52" s="143"/>
      <c r="D52" s="19"/>
      <c r="E52" s="34" t="s">
        <v>13</v>
      </c>
      <c r="F52" s="34" t="s">
        <v>98</v>
      </c>
      <c r="G52" s="34" t="s">
        <v>14</v>
      </c>
      <c r="H52" s="34" t="s">
        <v>16</v>
      </c>
      <c r="I52" s="34" t="s">
        <v>17</v>
      </c>
    </row>
    <row r="53" spans="1:12" x14ac:dyDescent="0.3">
      <c r="A53" s="9"/>
      <c r="B53" s="10"/>
      <c r="C53" s="143"/>
      <c r="D53" s="19"/>
      <c r="H53" s="34" t="s">
        <v>0</v>
      </c>
      <c r="I53" s="219">
        <f>FV(F55/100,E51,,G51)</f>
        <v>4052.2353438687628</v>
      </c>
    </row>
    <row r="54" spans="1:12" x14ac:dyDescent="0.3">
      <c r="A54" s="9"/>
      <c r="B54" s="10"/>
      <c r="C54" s="143"/>
      <c r="D54" s="19"/>
      <c r="E54" s="29"/>
      <c r="F54" s="44"/>
      <c r="G54" s="29"/>
      <c r="H54" s="141" t="s">
        <v>0</v>
      </c>
    </row>
    <row r="55" spans="1:12" x14ac:dyDescent="0.3">
      <c r="A55" s="9"/>
      <c r="B55" s="28" t="s">
        <v>521</v>
      </c>
      <c r="C55" s="143">
        <f>H48*(1+C22)^C18</f>
        <v>12637.509638797641</v>
      </c>
      <c r="D55" s="19"/>
      <c r="E55" s="66">
        <v>30</v>
      </c>
      <c r="F55" s="243">
        <f>C22*100</f>
        <v>4</v>
      </c>
      <c r="G55" s="273">
        <f>-H48</f>
        <v>-3896.3801383353489</v>
      </c>
      <c r="H55" s="34"/>
      <c r="I55" s="34"/>
    </row>
    <row r="56" spans="1:12" x14ac:dyDescent="0.3">
      <c r="A56" s="9"/>
      <c r="D56" s="19"/>
      <c r="E56" s="34" t="s">
        <v>13</v>
      </c>
      <c r="F56" s="34" t="s">
        <v>98</v>
      </c>
      <c r="G56" s="34" t="s">
        <v>14</v>
      </c>
      <c r="H56" s="34" t="s">
        <v>16</v>
      </c>
      <c r="I56" s="34" t="s">
        <v>17</v>
      </c>
    </row>
    <row r="57" spans="1:12" x14ac:dyDescent="0.3">
      <c r="A57" s="9"/>
      <c r="D57" s="19"/>
      <c r="H57" s="34" t="s">
        <v>0</v>
      </c>
      <c r="I57" s="219">
        <f>FV(F55/100,E55,,G55)</f>
        <v>12637.509638797641</v>
      </c>
    </row>
    <row r="58" spans="1:12" x14ac:dyDescent="0.3">
      <c r="E58" s="29"/>
      <c r="F58" s="44"/>
      <c r="G58" s="29"/>
      <c r="H58" s="141" t="s">
        <v>0</v>
      </c>
    </row>
  </sheetData>
  <mergeCells count="9">
    <mergeCell ref="B14:D14"/>
    <mergeCell ref="B15:H15"/>
    <mergeCell ref="B13:G13"/>
    <mergeCell ref="B4:G4"/>
    <mergeCell ref="B5:G5"/>
    <mergeCell ref="B6:G6"/>
    <mergeCell ref="B7:G7"/>
    <mergeCell ref="B8:G8"/>
    <mergeCell ref="B9:G9"/>
  </mergeCells>
  <pageMargins left="0.7" right="0.7" top="0.75" bottom="0.75" header="0.3" footer="0.3"/>
  <pageSetup orientation="portrait" r:id="rId1"/>
  <drawing r:id="rId2"/>
  <legacyDrawing r:id="rId3"/>
  <controls>
    <mc:AlternateContent xmlns:mc="http://schemas.openxmlformats.org/markup-compatibility/2006">
      <mc:Choice Requires="x14">
        <control shapeId="90113" r:id="rId4" name="Control 1">
          <controlPr defaultSize="0" r:id="rId5">
            <anchor moveWithCells="1">
              <from>
                <xdr:col>0</xdr:col>
                <xdr:colOff>0</xdr:colOff>
                <xdr:row>36</xdr:row>
                <xdr:rowOff>30480</xdr:rowOff>
              </from>
              <to>
                <xdr:col>0</xdr:col>
                <xdr:colOff>228600</xdr:colOff>
                <xdr:row>37</xdr:row>
                <xdr:rowOff>83820</xdr:rowOff>
              </to>
            </anchor>
          </controlPr>
        </control>
      </mc:Choice>
      <mc:Fallback>
        <control shapeId="90113" r:id="rId4" name="Control 1"/>
      </mc:Fallback>
    </mc:AlternateContent>
    <mc:AlternateContent xmlns:mc="http://schemas.openxmlformats.org/markup-compatibility/2006">
      <mc:Choice Requires="x14">
        <control shapeId="90114" r:id="rId6" name="Control 2">
          <controlPr defaultSize="0" r:id="rId5">
            <anchor moveWithCells="1">
              <from>
                <xdr:col>0</xdr:col>
                <xdr:colOff>0</xdr:colOff>
                <xdr:row>34</xdr:row>
                <xdr:rowOff>30480</xdr:rowOff>
              </from>
              <to>
                <xdr:col>0</xdr:col>
                <xdr:colOff>228600</xdr:colOff>
                <xdr:row>35</xdr:row>
                <xdr:rowOff>83820</xdr:rowOff>
              </to>
            </anchor>
          </controlPr>
        </control>
      </mc:Choice>
      <mc:Fallback>
        <control shapeId="90114" r:id="rId6" name="Control 2"/>
      </mc:Fallback>
    </mc:AlternateContent>
  </control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K58"/>
  <sheetViews>
    <sheetView workbookViewId="0"/>
  </sheetViews>
  <sheetFormatPr defaultColWidth="9.109375" defaultRowHeight="14.4" x14ac:dyDescent="0.3"/>
  <cols>
    <col min="1" max="1" width="16.88671875" style="28" customWidth="1"/>
    <col min="2" max="2" width="39.88671875" style="28" customWidth="1"/>
    <col min="3" max="3" width="15" style="28" customWidth="1"/>
    <col min="4" max="4" width="7.33203125" style="28" customWidth="1"/>
    <col min="5" max="5" width="15.33203125" style="28" customWidth="1"/>
    <col min="6" max="6" width="18.33203125" style="28" customWidth="1"/>
    <col min="7" max="7" width="14.88671875" style="28" customWidth="1"/>
    <col min="8" max="8" width="14.5546875" style="28" customWidth="1"/>
    <col min="9" max="9" width="14.33203125" style="28" customWidth="1"/>
    <col min="10" max="10" width="11.88671875" style="28" bestFit="1" customWidth="1"/>
    <col min="11" max="16384" width="9.109375" style="28"/>
  </cols>
  <sheetData>
    <row r="1" spans="1:11" x14ac:dyDescent="0.3">
      <c r="A1" s="5" t="s">
        <v>579</v>
      </c>
      <c r="B1" s="5"/>
    </row>
    <row r="2" spans="1:11" s="89" customFormat="1" x14ac:dyDescent="0.3">
      <c r="A2" s="370"/>
      <c r="B2" s="370"/>
    </row>
    <row r="3" spans="1:11" x14ac:dyDescent="0.3">
      <c r="A3" s="5" t="s">
        <v>0</v>
      </c>
      <c r="B3" s="5" t="s">
        <v>268</v>
      </c>
    </row>
    <row r="4" spans="1:11" ht="54" customHeight="1" x14ac:dyDescent="0.3">
      <c r="A4" s="2"/>
      <c r="B4" s="575" t="s">
        <v>522</v>
      </c>
      <c r="C4" s="575"/>
      <c r="D4" s="575"/>
      <c r="E4" s="575"/>
      <c r="F4" s="575"/>
      <c r="G4" s="446"/>
      <c r="H4" s="446"/>
      <c r="I4" s="446"/>
      <c r="J4" s="446"/>
      <c r="K4" s="446"/>
    </row>
    <row r="5" spans="1:11" ht="15" customHeight="1" x14ac:dyDescent="0.3">
      <c r="A5" s="2"/>
      <c r="B5" s="446"/>
      <c r="C5" s="446"/>
      <c r="D5" s="446"/>
      <c r="E5" s="446"/>
      <c r="F5" s="446"/>
      <c r="G5" s="446"/>
      <c r="H5" s="446"/>
      <c r="I5" s="446"/>
      <c r="J5" s="446"/>
      <c r="K5" s="446"/>
    </row>
    <row r="6" spans="1:11" ht="30" customHeight="1" x14ac:dyDescent="0.3">
      <c r="A6" s="2"/>
      <c r="B6" s="581" t="s">
        <v>526</v>
      </c>
      <c r="C6" s="581"/>
      <c r="D6" s="581"/>
      <c r="E6" s="581"/>
      <c r="F6" s="581"/>
      <c r="G6" s="446"/>
      <c r="H6" s="446"/>
      <c r="I6" s="446"/>
      <c r="J6" s="446"/>
      <c r="K6" s="446"/>
    </row>
    <row r="7" spans="1:11" ht="15" customHeight="1" x14ac:dyDescent="0.3">
      <c r="A7" s="2" t="s">
        <v>0</v>
      </c>
      <c r="B7" s="581" t="s">
        <v>523</v>
      </c>
      <c r="C7" s="581"/>
      <c r="D7" s="581"/>
      <c r="E7" s="581"/>
      <c r="F7" s="581"/>
      <c r="G7" s="446"/>
      <c r="H7" s="446"/>
      <c r="I7" s="446"/>
      <c r="J7" s="446"/>
      <c r="K7" s="446"/>
    </row>
    <row r="8" spans="1:11" ht="15" customHeight="1" x14ac:dyDescent="0.3">
      <c r="A8" s="2"/>
      <c r="B8" s="592" t="s">
        <v>524</v>
      </c>
      <c r="C8" s="592"/>
      <c r="D8" s="592"/>
      <c r="E8" s="592"/>
      <c r="F8" s="592"/>
      <c r="G8" s="446"/>
      <c r="H8" s="446"/>
      <c r="I8" s="446"/>
      <c r="J8" s="446"/>
      <c r="K8" s="446"/>
    </row>
    <row r="9" spans="1:11" ht="15" customHeight="1" x14ac:dyDescent="0.3">
      <c r="A9" s="2"/>
      <c r="B9" s="581" t="s">
        <v>525</v>
      </c>
      <c r="C9" s="581"/>
      <c r="D9" s="581"/>
      <c r="E9" s="581"/>
      <c r="F9" s="581"/>
      <c r="G9" s="581"/>
      <c r="H9" s="446"/>
      <c r="I9" s="446"/>
      <c r="J9" s="446"/>
      <c r="K9" s="446"/>
    </row>
    <row r="10" spans="1:11" ht="15" customHeight="1" x14ac:dyDescent="0.3">
      <c r="A10" s="2"/>
      <c r="B10" s="581" t="s">
        <v>527</v>
      </c>
      <c r="C10" s="581"/>
      <c r="D10" s="581"/>
      <c r="E10" s="581"/>
      <c r="F10" s="581"/>
      <c r="G10" s="446"/>
      <c r="H10" s="446"/>
      <c r="I10" s="446"/>
      <c r="J10" s="446"/>
      <c r="K10" s="446"/>
    </row>
    <row r="11" spans="1:11" ht="14.25" customHeight="1" x14ac:dyDescent="0.3">
      <c r="A11" s="2"/>
      <c r="B11" s="446"/>
      <c r="C11" s="446"/>
      <c r="D11" s="446"/>
      <c r="E11" s="446"/>
      <c r="F11" s="446"/>
      <c r="G11" s="446"/>
      <c r="H11" s="446"/>
      <c r="I11" s="446"/>
      <c r="J11" s="446"/>
      <c r="K11" s="446"/>
    </row>
    <row r="12" spans="1:11" s="89" customFormat="1" ht="15" customHeight="1" x14ac:dyDescent="0.3">
      <c r="A12" s="370"/>
      <c r="B12" s="472"/>
      <c r="C12" s="472"/>
      <c r="D12" s="472"/>
      <c r="E12" s="472"/>
      <c r="F12" s="472"/>
      <c r="G12" s="472"/>
      <c r="H12" s="472"/>
      <c r="I12" s="472"/>
    </row>
    <row r="13" spans="1:11" s="77" customFormat="1" ht="15" customHeight="1" x14ac:dyDescent="0.3">
      <c r="B13" s="76"/>
      <c r="C13" s="76"/>
      <c r="D13" s="76"/>
      <c r="E13" s="76"/>
      <c r="F13" s="76"/>
      <c r="G13" s="76"/>
      <c r="H13" s="76"/>
      <c r="I13" s="76"/>
    </row>
    <row r="14" spans="1:11" ht="15" customHeight="1" x14ac:dyDescent="0.3">
      <c r="A14" s="277"/>
      <c r="B14" s="573" t="s">
        <v>265</v>
      </c>
      <c r="C14" s="573"/>
      <c r="D14" s="573"/>
      <c r="E14" s="573"/>
      <c r="F14" s="573"/>
      <c r="G14" s="429"/>
      <c r="H14" s="429"/>
    </row>
    <row r="15" spans="1:11" ht="15" customHeight="1" x14ac:dyDescent="0.3">
      <c r="A15" s="277"/>
      <c r="B15" s="570" t="s">
        <v>266</v>
      </c>
      <c r="C15" s="570"/>
      <c r="D15" s="570"/>
    </row>
    <row r="16" spans="1:11" ht="15" customHeight="1" x14ac:dyDescent="0.3">
      <c r="A16" s="277"/>
      <c r="B16" s="571" t="s">
        <v>267</v>
      </c>
      <c r="C16" s="571"/>
      <c r="D16" s="571"/>
      <c r="E16" s="571"/>
      <c r="F16" s="571"/>
      <c r="G16" s="571"/>
      <c r="H16" s="571"/>
    </row>
    <row r="17" spans="1:9" ht="15" customHeight="1" x14ac:dyDescent="0.3">
      <c r="A17" s="10"/>
      <c r="B17" s="10"/>
      <c r="C17" s="10"/>
      <c r="D17" s="10"/>
    </row>
    <row r="18" spans="1:9" ht="15" customHeight="1" x14ac:dyDescent="0.3">
      <c r="A18" s="10"/>
      <c r="B18" s="85" t="s">
        <v>56</v>
      </c>
      <c r="C18" s="10"/>
      <c r="D18" s="10"/>
    </row>
    <row r="19" spans="1:9" s="25" customFormat="1" ht="15" customHeight="1" x14ac:dyDescent="0.3">
      <c r="A19" s="40"/>
      <c r="B19" s="76" t="s">
        <v>157</v>
      </c>
      <c r="C19" s="238">
        <v>50</v>
      </c>
      <c r="D19" s="115"/>
      <c r="E19" s="41" t="s">
        <v>0</v>
      </c>
      <c r="F19" s="41"/>
      <c r="G19" s="41"/>
      <c r="H19" s="41"/>
    </row>
    <row r="20" spans="1:9" s="25" customFormat="1" ht="15" customHeight="1" x14ac:dyDescent="0.3">
      <c r="A20" s="40"/>
      <c r="B20" s="76" t="s">
        <v>528</v>
      </c>
      <c r="C20" s="204">
        <v>30000</v>
      </c>
      <c r="D20" s="115" t="s">
        <v>0</v>
      </c>
      <c r="E20" s="41" t="s">
        <v>0</v>
      </c>
      <c r="F20" s="41"/>
      <c r="G20" s="41"/>
      <c r="H20" s="41"/>
    </row>
    <row r="21" spans="1:9" s="25" customFormat="1" ht="15" customHeight="1" x14ac:dyDescent="0.3">
      <c r="A21" s="40"/>
      <c r="B21" s="76" t="s">
        <v>178</v>
      </c>
      <c r="C21" s="238">
        <v>25</v>
      </c>
      <c r="D21" s="115"/>
      <c r="E21" s="41" t="s">
        <v>0</v>
      </c>
      <c r="F21" s="41"/>
      <c r="G21" s="41"/>
      <c r="H21" s="41"/>
    </row>
    <row r="22" spans="1:9" s="25" customFormat="1" ht="15" customHeight="1" x14ac:dyDescent="0.3">
      <c r="A22" s="40"/>
      <c r="B22" s="76" t="s">
        <v>28</v>
      </c>
      <c r="C22" s="79">
        <v>0.08</v>
      </c>
      <c r="D22" s="285" t="s">
        <v>0</v>
      </c>
      <c r="E22" s="41"/>
      <c r="F22" s="41"/>
      <c r="G22" s="41"/>
      <c r="H22" s="41"/>
    </row>
    <row r="23" spans="1:9" s="25" customFormat="1" ht="15" customHeight="1" x14ac:dyDescent="0.3">
      <c r="A23" s="40"/>
      <c r="B23" s="76" t="s">
        <v>42</v>
      </c>
      <c r="C23" s="79">
        <v>0.05</v>
      </c>
      <c r="D23" s="285" t="s">
        <v>0</v>
      </c>
      <c r="E23" s="41"/>
      <c r="F23" s="41"/>
      <c r="G23" s="41"/>
      <c r="H23" s="41"/>
    </row>
    <row r="24" spans="1:9" s="25" customFormat="1" ht="15" customHeight="1" x14ac:dyDescent="0.3">
      <c r="A24" s="40"/>
      <c r="B24" s="41"/>
      <c r="C24" s="41"/>
      <c r="D24" s="118" t="s">
        <v>0</v>
      </c>
      <c r="E24" s="118"/>
      <c r="F24" s="41"/>
      <c r="G24" s="41"/>
      <c r="H24" s="41"/>
      <c r="I24" s="41"/>
    </row>
    <row r="25" spans="1:9" s="21" customFormat="1" ht="15" customHeight="1" x14ac:dyDescent="0.3">
      <c r="A25" s="7"/>
      <c r="B25" s="8"/>
      <c r="C25" s="8"/>
      <c r="D25" s="8"/>
      <c r="E25" s="8"/>
      <c r="F25" s="8"/>
      <c r="G25" s="8"/>
      <c r="H25" s="8"/>
      <c r="I25" s="8"/>
    </row>
    <row r="26" spans="1:9" ht="15" customHeight="1" x14ac:dyDescent="0.3">
      <c r="A26" s="5"/>
      <c r="B26" s="6"/>
      <c r="C26" s="6"/>
      <c r="D26" s="6"/>
      <c r="E26" s="6"/>
      <c r="F26" s="18"/>
      <c r="G26" s="6"/>
      <c r="H26" s="6"/>
      <c r="I26" s="6"/>
    </row>
    <row r="27" spans="1:9" ht="15" customHeight="1" x14ac:dyDescent="0.3">
      <c r="A27" s="9"/>
      <c r="B27" s="5" t="s">
        <v>1</v>
      </c>
      <c r="C27" s="10"/>
      <c r="D27" s="10"/>
      <c r="E27" s="5" t="s">
        <v>415</v>
      </c>
      <c r="F27" s="10"/>
      <c r="G27" s="5"/>
      <c r="H27" s="10"/>
      <c r="I27" s="10"/>
    </row>
    <row r="28" spans="1:9" ht="15" customHeight="1" x14ac:dyDescent="0.3">
      <c r="A28" s="9"/>
      <c r="B28" s="5" t="s">
        <v>4</v>
      </c>
      <c r="C28" s="10"/>
      <c r="D28" s="10"/>
      <c r="E28" s="243">
        <f>C21</f>
        <v>25</v>
      </c>
      <c r="F28" s="270">
        <f>C29*100</f>
        <v>2.8571428571428692</v>
      </c>
      <c r="G28" s="66"/>
      <c r="H28" s="293">
        <f>-C20</f>
        <v>-30000</v>
      </c>
      <c r="I28" s="10"/>
    </row>
    <row r="29" spans="1:9" s="25" customFormat="1" ht="15" customHeight="1" x14ac:dyDescent="0.3">
      <c r="A29" s="40"/>
      <c r="B29" s="76" t="s">
        <v>234</v>
      </c>
      <c r="C29" s="352">
        <f>((1+C22)/(1+C23)-1)</f>
        <v>2.8571428571428692E-2</v>
      </c>
      <c r="D29" s="297" t="s">
        <v>0</v>
      </c>
      <c r="E29" s="66" t="s">
        <v>13</v>
      </c>
      <c r="F29" s="66" t="s">
        <v>98</v>
      </c>
      <c r="G29" s="66" t="s">
        <v>14</v>
      </c>
      <c r="H29" s="66" t="s">
        <v>16</v>
      </c>
      <c r="I29" s="66" t="s">
        <v>17</v>
      </c>
    </row>
    <row r="30" spans="1:9" ht="16.5" customHeight="1" x14ac:dyDescent="0.3">
      <c r="A30" s="16"/>
      <c r="B30" s="28" t="s">
        <v>530</v>
      </c>
      <c r="C30" s="196">
        <f>-H28*((1/C29)-(1/(C29*(1+C29)^C21)))</f>
        <v>530808.12355029641</v>
      </c>
      <c r="D30" s="10"/>
      <c r="G30" s="292">
        <f>PV(F28/100,E28,H28)</f>
        <v>530808.12355029653</v>
      </c>
    </row>
    <row r="31" spans="1:9" x14ac:dyDescent="0.3">
      <c r="A31" s="16"/>
      <c r="B31" s="496" t="s">
        <v>529</v>
      </c>
      <c r="C31" s="295">
        <f>-I32/(((1+C29)^C19-1)/C29)</f>
        <v>4908.0805516502514</v>
      </c>
      <c r="D31" s="10"/>
      <c r="I31" s="66"/>
    </row>
    <row r="32" spans="1:9" x14ac:dyDescent="0.3">
      <c r="A32" s="16"/>
      <c r="B32" s="289"/>
      <c r="C32" s="294"/>
      <c r="D32" s="10"/>
      <c r="E32" s="243">
        <f>C19</f>
        <v>50</v>
      </c>
      <c r="F32" s="270">
        <f>C29*100</f>
        <v>2.8571428571428692</v>
      </c>
      <c r="G32" s="10"/>
      <c r="H32" s="66"/>
      <c r="I32" s="292">
        <f>-G30</f>
        <v>-530808.12355029653</v>
      </c>
    </row>
    <row r="33" spans="1:9" x14ac:dyDescent="0.3">
      <c r="A33" s="16"/>
      <c r="B33" s="289"/>
      <c r="C33" s="294"/>
      <c r="D33" s="10"/>
      <c r="E33" s="66" t="s">
        <v>13</v>
      </c>
      <c r="F33" s="66" t="s">
        <v>98</v>
      </c>
      <c r="G33" s="66" t="s">
        <v>14</v>
      </c>
      <c r="H33" s="66" t="s">
        <v>16</v>
      </c>
      <c r="I33" s="66" t="s">
        <v>17</v>
      </c>
    </row>
    <row r="34" spans="1:9" x14ac:dyDescent="0.3">
      <c r="A34" s="16"/>
      <c r="B34" s="10"/>
      <c r="C34" s="294"/>
      <c r="D34" s="10"/>
      <c r="E34" s="66"/>
      <c r="F34" s="66"/>
      <c r="G34" s="66"/>
      <c r="H34" s="275">
        <f>PMT(F32/100,E32,,I32)</f>
        <v>4908.0805516502533</v>
      </c>
      <c r="I34" s="66"/>
    </row>
    <row r="35" spans="1:9" x14ac:dyDescent="0.3">
      <c r="A35" s="16"/>
      <c r="B35" s="289"/>
      <c r="C35" s="294"/>
      <c r="D35" s="10"/>
      <c r="E35" s="243"/>
      <c r="F35" s="270"/>
      <c r="G35" s="10"/>
      <c r="H35" s="66"/>
      <c r="I35" s="292"/>
    </row>
    <row r="36" spans="1:9" x14ac:dyDescent="0.3">
      <c r="A36" s="16"/>
      <c r="B36" s="85" t="s">
        <v>5</v>
      </c>
      <c r="C36" s="294"/>
      <c r="D36" s="10"/>
    </row>
    <row r="37" spans="1:9" x14ac:dyDescent="0.3">
      <c r="A37" s="16"/>
      <c r="B37" s="289" t="s">
        <v>86</v>
      </c>
      <c r="C37" s="240">
        <f>H34*(1+C23)</f>
        <v>5153.484579232766</v>
      </c>
      <c r="D37" s="10"/>
      <c r="E37" s="243">
        <v>1</v>
      </c>
      <c r="F37" s="243">
        <f>C23*100</f>
        <v>5</v>
      </c>
      <c r="G37" s="553">
        <f>-H34</f>
        <v>-4908.0805516502533</v>
      </c>
      <c r="H37" s="66"/>
      <c r="I37" s="292"/>
    </row>
    <row r="38" spans="1:9" x14ac:dyDescent="0.3">
      <c r="A38" s="16"/>
      <c r="B38" s="289"/>
      <c r="C38" s="296"/>
      <c r="D38" s="10"/>
      <c r="E38" s="66" t="s">
        <v>13</v>
      </c>
      <c r="F38" s="66" t="s">
        <v>98</v>
      </c>
      <c r="G38" s="66" t="s">
        <v>14</v>
      </c>
      <c r="H38" s="66" t="s">
        <v>16</v>
      </c>
      <c r="I38" s="66" t="s">
        <v>17</v>
      </c>
    </row>
    <row r="39" spans="1:9" x14ac:dyDescent="0.3">
      <c r="A39" s="16"/>
      <c r="B39" s="289"/>
      <c r="C39" s="294"/>
      <c r="D39" s="10"/>
      <c r="E39" s="243"/>
      <c r="F39" s="243"/>
      <c r="G39" s="10"/>
      <c r="H39" s="66"/>
      <c r="I39" s="275">
        <f>FV(F37/100,E37,,G37)</f>
        <v>5153.484579232766</v>
      </c>
    </row>
    <row r="40" spans="1:9" x14ac:dyDescent="0.3">
      <c r="A40" s="16"/>
      <c r="B40" s="85" t="s">
        <v>6</v>
      </c>
      <c r="C40" s="287"/>
      <c r="D40" s="10"/>
    </row>
    <row r="41" spans="1:9" x14ac:dyDescent="0.3">
      <c r="A41" s="16"/>
      <c r="B41" s="289" t="s">
        <v>87</v>
      </c>
      <c r="C41" s="295">
        <f>H34*(1+C23)^C19</f>
        <v>56282.921866455938</v>
      </c>
      <c r="D41" s="10"/>
      <c r="E41" s="243">
        <f>C19</f>
        <v>50</v>
      </c>
      <c r="F41" s="291">
        <f>C23*100</f>
        <v>5</v>
      </c>
      <c r="G41" s="292">
        <f>-H34</f>
        <v>-4908.0805516502533</v>
      </c>
      <c r="H41" s="66"/>
      <c r="I41" s="66"/>
    </row>
    <row r="42" spans="1:9" x14ac:dyDescent="0.3">
      <c r="A42" s="16"/>
      <c r="B42" s="289"/>
      <c r="C42" s="287"/>
      <c r="D42" s="10"/>
      <c r="E42" s="66" t="s">
        <v>13</v>
      </c>
      <c r="F42" s="66" t="s">
        <v>98</v>
      </c>
      <c r="G42" s="66" t="s">
        <v>14</v>
      </c>
      <c r="H42" s="66" t="s">
        <v>16</v>
      </c>
      <c r="I42" s="66" t="s">
        <v>17</v>
      </c>
    </row>
    <row r="43" spans="1:9" x14ac:dyDescent="0.3">
      <c r="A43" s="16"/>
      <c r="B43" s="289"/>
      <c r="C43" s="287"/>
      <c r="D43" s="10"/>
      <c r="E43" s="66"/>
      <c r="F43" s="290"/>
      <c r="G43" s="66"/>
      <c r="H43" s="66"/>
      <c r="I43" s="275">
        <f>FV(F41/100,E41,,G41)</f>
        <v>56282.921866455938</v>
      </c>
    </row>
    <row r="44" spans="1:9" x14ac:dyDescent="0.3">
      <c r="A44" s="16"/>
      <c r="B44" s="289"/>
      <c r="C44" s="287"/>
      <c r="D44" s="10"/>
      <c r="E44" s="66"/>
      <c r="F44" s="66"/>
      <c r="G44" s="66"/>
      <c r="H44" s="66"/>
      <c r="I44" s="66"/>
    </row>
    <row r="45" spans="1:9" x14ac:dyDescent="0.3">
      <c r="A45" s="16"/>
      <c r="B45" s="85" t="s">
        <v>7</v>
      </c>
      <c r="C45" s="287"/>
      <c r="D45" s="10"/>
    </row>
    <row r="46" spans="1:9" x14ac:dyDescent="0.3">
      <c r="A46" s="16"/>
      <c r="B46" s="289" t="s">
        <v>88</v>
      </c>
      <c r="C46" s="295">
        <f>C20*(1+C23)^C19</f>
        <v>344021.99357261055</v>
      </c>
      <c r="D46" s="10"/>
      <c r="E46" s="66">
        <v>50</v>
      </c>
      <c r="F46" s="66">
        <f>C23*100</f>
        <v>5</v>
      </c>
      <c r="G46" s="292">
        <f>-C20</f>
        <v>-30000</v>
      </c>
      <c r="H46" s="66"/>
      <c r="I46" s="66"/>
    </row>
    <row r="47" spans="1:9" x14ac:dyDescent="0.3">
      <c r="A47" s="16"/>
      <c r="B47" s="289"/>
      <c r="C47" s="288"/>
      <c r="D47" s="10"/>
      <c r="E47" s="66" t="s">
        <v>13</v>
      </c>
      <c r="F47" s="66" t="s">
        <v>98</v>
      </c>
      <c r="G47" s="66" t="s">
        <v>14</v>
      </c>
      <c r="H47" s="66" t="s">
        <v>16</v>
      </c>
      <c r="I47" s="66" t="s">
        <v>17</v>
      </c>
    </row>
    <row r="48" spans="1:9" x14ac:dyDescent="0.3">
      <c r="A48" s="16"/>
      <c r="B48" s="289"/>
      <c r="C48" s="288"/>
      <c r="D48" s="10"/>
      <c r="E48" s="66"/>
      <c r="F48" s="66"/>
      <c r="G48" s="66"/>
      <c r="H48" s="66"/>
      <c r="I48" s="275">
        <f>FV(F46/100,E46,,G46)</f>
        <v>344021.99357261055</v>
      </c>
    </row>
    <row r="49" spans="1:9" x14ac:dyDescent="0.3">
      <c r="A49" s="16"/>
      <c r="B49" s="289"/>
      <c r="C49" s="288"/>
      <c r="D49" s="10"/>
      <c r="E49" s="66"/>
      <c r="F49" s="66"/>
      <c r="G49" s="66"/>
      <c r="H49" s="66"/>
      <c r="I49" s="66"/>
    </row>
    <row r="50" spans="1:9" x14ac:dyDescent="0.3">
      <c r="A50" s="16"/>
      <c r="B50" s="85" t="s">
        <v>8</v>
      </c>
      <c r="C50" s="288"/>
      <c r="D50" s="10"/>
    </row>
    <row r="51" spans="1:9" x14ac:dyDescent="0.3">
      <c r="A51" s="16"/>
      <c r="B51" s="289" t="s">
        <v>89</v>
      </c>
      <c r="C51" s="219">
        <f>C20*(1+C23)^(C19+C21)</f>
        <v>1164980.5777126665</v>
      </c>
      <c r="D51" s="10"/>
      <c r="E51" s="243">
        <f>C19+C21</f>
        <v>75</v>
      </c>
      <c r="F51" s="66">
        <f>C23*100</f>
        <v>5</v>
      </c>
      <c r="G51" s="292">
        <f>-C20</f>
        <v>-30000</v>
      </c>
      <c r="H51" s="66"/>
      <c r="I51" s="66"/>
    </row>
    <row r="52" spans="1:9" x14ac:dyDescent="0.3">
      <c r="A52" s="16"/>
      <c r="B52" s="286"/>
      <c r="C52" s="287"/>
      <c r="D52" s="286"/>
      <c r="E52" s="66" t="s">
        <v>13</v>
      </c>
      <c r="F52" s="66" t="s">
        <v>98</v>
      </c>
      <c r="G52" s="66" t="s">
        <v>14</v>
      </c>
      <c r="H52" s="66" t="s">
        <v>16</v>
      </c>
      <c r="I52" s="66" t="s">
        <v>17</v>
      </c>
    </row>
    <row r="53" spans="1:9" x14ac:dyDescent="0.3">
      <c r="A53" s="16"/>
      <c r="B53" s="286"/>
      <c r="C53" s="287"/>
      <c r="D53" s="286"/>
      <c r="E53" s="66"/>
      <c r="F53" s="66"/>
      <c r="G53" s="66"/>
      <c r="H53" s="66"/>
      <c r="I53" s="275">
        <f>FV(F51/100,E51,,G51)</f>
        <v>1164980.5777126665</v>
      </c>
    </row>
    <row r="54" spans="1:9" x14ac:dyDescent="0.3">
      <c r="A54" s="16"/>
      <c r="B54" s="287"/>
      <c r="C54" s="117"/>
      <c r="D54" s="286"/>
      <c r="E54" s="66"/>
      <c r="F54" s="66"/>
      <c r="G54" s="66"/>
      <c r="H54" s="66"/>
      <c r="I54" s="66"/>
    </row>
    <row r="55" spans="1:9" x14ac:dyDescent="0.3">
      <c r="A55" s="16"/>
      <c r="B55" s="286"/>
      <c r="C55" s="287"/>
      <c r="D55" s="286"/>
      <c r="E55" s="66"/>
      <c r="F55" s="66"/>
      <c r="G55" s="66"/>
      <c r="H55" s="66"/>
      <c r="I55" s="66"/>
    </row>
    <row r="56" spans="1:9" x14ac:dyDescent="0.3">
      <c r="B56" s="10"/>
      <c r="C56" s="10"/>
      <c r="D56" s="10"/>
      <c r="E56" s="10"/>
      <c r="F56" s="10"/>
      <c r="G56" s="10"/>
      <c r="H56" s="10"/>
      <c r="I56" s="10"/>
    </row>
    <row r="57" spans="1:9" x14ac:dyDescent="0.3">
      <c r="B57" s="10"/>
      <c r="C57" s="10"/>
      <c r="D57" s="10"/>
      <c r="E57" s="10"/>
      <c r="F57" s="10"/>
      <c r="G57" s="10"/>
      <c r="H57" s="10"/>
      <c r="I57" s="10"/>
    </row>
    <row r="58" spans="1:9" x14ac:dyDescent="0.3">
      <c r="B58" s="10"/>
      <c r="C58" s="10"/>
      <c r="D58" s="10"/>
      <c r="E58" s="10"/>
      <c r="F58" s="10"/>
      <c r="G58" s="10"/>
      <c r="H58" s="10"/>
      <c r="I58" s="10"/>
    </row>
  </sheetData>
  <mergeCells count="9">
    <mergeCell ref="B15:D15"/>
    <mergeCell ref="B16:H16"/>
    <mergeCell ref="B4:F4"/>
    <mergeCell ref="B6:F6"/>
    <mergeCell ref="B7:F7"/>
    <mergeCell ref="B8:F8"/>
    <mergeCell ref="B9:G9"/>
    <mergeCell ref="B10:F10"/>
    <mergeCell ref="B14:F14"/>
  </mergeCells>
  <pageMargins left="0.7" right="0.7" top="0.75" bottom="0.75" header="0.3" footer="0.3"/>
  <pageSetup scale="55"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T59"/>
  <sheetViews>
    <sheetView workbookViewId="0"/>
  </sheetViews>
  <sheetFormatPr defaultColWidth="9.109375" defaultRowHeight="14.4" x14ac:dyDescent="0.3"/>
  <cols>
    <col min="1" max="1" width="16.5546875" style="28" customWidth="1"/>
    <col min="2" max="2" width="21.88671875" style="28" customWidth="1"/>
    <col min="3" max="3" width="38.33203125" style="28" customWidth="1"/>
    <col min="4" max="4" width="24.88671875" style="28" customWidth="1"/>
    <col min="5" max="5" width="16.5546875" style="28" customWidth="1"/>
    <col min="6" max="7" width="13.88671875" style="28" customWidth="1"/>
    <col min="8" max="8" width="14.5546875" style="28" customWidth="1"/>
    <col min="9" max="9" width="9.109375" style="28"/>
    <col min="10" max="10" width="11.88671875" style="28" bestFit="1" customWidth="1"/>
    <col min="11" max="16384" width="9.109375" style="28"/>
  </cols>
  <sheetData>
    <row r="1" spans="1:11" x14ac:dyDescent="0.3">
      <c r="A1" s="5" t="s">
        <v>578</v>
      </c>
      <c r="B1" s="5"/>
    </row>
    <row r="2" spans="1:11" s="89" customFormat="1" x14ac:dyDescent="0.3">
      <c r="A2" s="370"/>
      <c r="B2" s="370"/>
    </row>
    <row r="3" spans="1:11" x14ac:dyDescent="0.3">
      <c r="A3" s="5" t="s">
        <v>0</v>
      </c>
      <c r="B3" s="5" t="s">
        <v>268</v>
      </c>
    </row>
    <row r="4" spans="1:11" ht="105" customHeight="1" x14ac:dyDescent="0.3">
      <c r="A4" s="2"/>
      <c r="B4" s="575" t="s">
        <v>545</v>
      </c>
      <c r="C4" s="575"/>
      <c r="D4" s="575"/>
      <c r="E4" s="575"/>
      <c r="F4" s="575"/>
      <c r="G4" s="575"/>
      <c r="H4" s="446"/>
      <c r="I4" s="446"/>
      <c r="J4" s="446"/>
      <c r="K4" s="446"/>
    </row>
    <row r="5" spans="1:11" ht="61.5" customHeight="1" x14ac:dyDescent="0.3">
      <c r="A5" s="2"/>
      <c r="B5" s="575" t="s">
        <v>532</v>
      </c>
      <c r="C5" s="575"/>
      <c r="D5" s="575"/>
      <c r="E5" s="575"/>
      <c r="F5" s="575"/>
      <c r="G5" s="575"/>
      <c r="H5" s="446"/>
      <c r="I5" s="446"/>
      <c r="J5" s="446"/>
      <c r="K5" s="446"/>
    </row>
    <row r="6" spans="1:11" ht="15" customHeight="1" x14ac:dyDescent="0.3">
      <c r="A6" s="2"/>
      <c r="B6" s="446"/>
      <c r="C6" s="446"/>
      <c r="D6" s="446"/>
      <c r="E6" s="446"/>
      <c r="F6" s="446"/>
      <c r="G6" s="446"/>
      <c r="H6" s="446"/>
      <c r="I6" s="446"/>
      <c r="J6" s="446"/>
      <c r="K6" s="446"/>
    </row>
    <row r="7" spans="1:11" s="89" customFormat="1" ht="15" customHeight="1" x14ac:dyDescent="0.3">
      <c r="A7" s="358" t="s">
        <v>0</v>
      </c>
      <c r="B7" s="426"/>
      <c r="C7" s="426"/>
      <c r="D7" s="426"/>
      <c r="E7" s="426"/>
      <c r="F7" s="426"/>
      <c r="G7" s="426"/>
      <c r="H7" s="426"/>
      <c r="I7" s="426"/>
      <c r="J7" s="426"/>
      <c r="K7" s="426"/>
    </row>
    <row r="8" spans="1:11" ht="15" customHeight="1" x14ac:dyDescent="0.3">
      <c r="A8" s="2"/>
      <c r="B8" s="28" t="s">
        <v>3</v>
      </c>
      <c r="D8" s="83"/>
      <c r="E8" s="83"/>
      <c r="F8" s="83"/>
      <c r="G8" s="83"/>
      <c r="H8" s="83"/>
      <c r="I8" s="83"/>
    </row>
    <row r="9" spans="1:11" ht="15" customHeight="1" x14ac:dyDescent="0.3">
      <c r="A9" s="277"/>
      <c r="B9" s="573" t="s">
        <v>265</v>
      </c>
      <c r="C9" s="573"/>
      <c r="D9" s="573"/>
      <c r="E9" s="429"/>
      <c r="F9" s="429"/>
      <c r="G9" s="429"/>
      <c r="H9" s="429"/>
    </row>
    <row r="10" spans="1:11" ht="15" customHeight="1" x14ac:dyDescent="0.3">
      <c r="A10" s="277"/>
      <c r="B10" s="570" t="s">
        <v>266</v>
      </c>
      <c r="C10" s="570"/>
      <c r="D10" s="570"/>
    </row>
    <row r="11" spans="1:11" ht="15" customHeight="1" x14ac:dyDescent="0.3">
      <c r="A11" s="277"/>
      <c r="B11" s="571" t="s">
        <v>267</v>
      </c>
      <c r="C11" s="571"/>
      <c r="D11" s="571"/>
      <c r="E11" s="571"/>
      <c r="F11" s="571"/>
      <c r="G11" s="571"/>
      <c r="H11" s="571"/>
    </row>
    <row r="12" spans="1:11" ht="15" customHeight="1" x14ac:dyDescent="0.3">
      <c r="A12" s="2"/>
      <c r="D12" s="298"/>
      <c r="E12" s="298"/>
      <c r="F12" s="593" t="s">
        <v>1</v>
      </c>
      <c r="G12" s="593"/>
      <c r="H12" s="298"/>
      <c r="I12" s="298"/>
    </row>
    <row r="13" spans="1:11" s="25" customFormat="1" ht="16.5" customHeight="1" x14ac:dyDescent="0.3">
      <c r="A13" s="299"/>
      <c r="B13" s="300"/>
      <c r="C13" s="301"/>
      <c r="D13" s="509" t="s">
        <v>56</v>
      </c>
      <c r="E13" s="301"/>
      <c r="F13" s="302" t="s">
        <v>257</v>
      </c>
      <c r="G13" s="302" t="s">
        <v>258</v>
      </c>
      <c r="H13" s="300"/>
      <c r="I13" s="300"/>
      <c r="J13" s="300"/>
    </row>
    <row r="14" spans="1:11" s="25" customFormat="1" ht="16.5" customHeight="1" x14ac:dyDescent="0.3">
      <c r="A14" s="40"/>
      <c r="B14" s="41"/>
      <c r="C14" s="76"/>
      <c r="D14" s="555" t="s">
        <v>256</v>
      </c>
      <c r="E14" s="76"/>
      <c r="F14" s="308" t="s">
        <v>14</v>
      </c>
      <c r="G14" s="308" t="s">
        <v>14</v>
      </c>
      <c r="H14" s="41"/>
      <c r="I14" s="41"/>
    </row>
    <row r="15" spans="1:11" s="25" customFormat="1" ht="16.5" customHeight="1" x14ac:dyDescent="0.3">
      <c r="A15" s="40"/>
      <c r="B15" s="41" t="s">
        <v>241</v>
      </c>
      <c r="C15" s="303" t="s">
        <v>238</v>
      </c>
      <c r="D15" s="304">
        <v>50000</v>
      </c>
      <c r="E15" s="303" t="s">
        <v>0</v>
      </c>
      <c r="F15" s="311">
        <f>PV($D$45,$D$16,-$D$15,0)</f>
        <v>912796.27302761935</v>
      </c>
      <c r="G15" s="311">
        <f>PV($D$47,$D$16,-$D$15,0)</f>
        <v>1590595.6704156327</v>
      </c>
      <c r="H15" s="41" t="s">
        <v>0</v>
      </c>
      <c r="I15" s="41"/>
    </row>
    <row r="16" spans="1:11" s="25" customFormat="1" ht="16.5" customHeight="1" x14ac:dyDescent="0.3">
      <c r="A16" s="40"/>
      <c r="B16" s="41"/>
      <c r="C16" s="303" t="s">
        <v>157</v>
      </c>
      <c r="D16" s="305">
        <v>50</v>
      </c>
      <c r="E16" s="303"/>
      <c r="F16" s="311"/>
      <c r="G16" s="311"/>
      <c r="H16" s="41"/>
      <c r="I16" s="41"/>
    </row>
    <row r="17" spans="1:20" s="25" customFormat="1" ht="16.5" customHeight="1" x14ac:dyDescent="0.3">
      <c r="A17" s="40"/>
      <c r="B17" s="41"/>
      <c r="C17" s="303"/>
      <c r="D17"/>
      <c r="E17" s="303"/>
      <c r="F17" s="311"/>
      <c r="G17" s="311"/>
      <c r="H17" s="41"/>
      <c r="I17" s="41"/>
    </row>
    <row r="18" spans="1:20" s="25" customFormat="1" ht="16.5" customHeight="1" x14ac:dyDescent="0.3">
      <c r="A18" s="40"/>
      <c r="B18" s="41"/>
      <c r="C18" s="303" t="s">
        <v>239</v>
      </c>
      <c r="D18" s="305">
        <v>8</v>
      </c>
      <c r="E18" s="303" t="s">
        <v>0</v>
      </c>
      <c r="F18" s="311"/>
      <c r="G18" s="311"/>
      <c r="H18" s="41"/>
      <c r="I18" s="41"/>
    </row>
    <row r="19" spans="1:20" s="25" customFormat="1" ht="16.5" customHeight="1" x14ac:dyDescent="0.3">
      <c r="A19" s="40"/>
      <c r="B19" s="41" t="s">
        <v>242</v>
      </c>
      <c r="C19" s="303" t="s">
        <v>240</v>
      </c>
      <c r="D19" s="304">
        <v>16000</v>
      </c>
      <c r="E19" s="303"/>
      <c r="F19" s="311">
        <f>PV($D$45,$D$18,-$D$19,0,0)</f>
        <v>103411.40415082009</v>
      </c>
      <c r="G19" s="311">
        <f>PV($D$47,$D$18,-$D$19,0,0)</f>
        <v>117502.52053189995</v>
      </c>
      <c r="H19" s="76" t="s">
        <v>0</v>
      </c>
      <c r="I19" s="41"/>
      <c r="L19"/>
      <c r="M19"/>
      <c r="N19"/>
      <c r="O19"/>
      <c r="P19"/>
      <c r="Q19"/>
      <c r="R19"/>
      <c r="S19"/>
      <c r="T19"/>
    </row>
    <row r="20" spans="1:20" s="25" customFormat="1" ht="16.5" customHeight="1" x14ac:dyDescent="0.3">
      <c r="A20" s="40"/>
      <c r="B20" s="41"/>
      <c r="C20" s="303"/>
      <c r="D20"/>
      <c r="E20" s="303"/>
      <c r="F20" s="311"/>
      <c r="G20" s="311"/>
      <c r="H20" s="76"/>
      <c r="I20" s="41"/>
      <c r="L20" s="28"/>
      <c r="M20" s="28"/>
      <c r="N20" s="28"/>
      <c r="O20" s="28"/>
      <c r="P20" s="28"/>
      <c r="Q20" s="28"/>
      <c r="R20" s="28"/>
      <c r="S20" s="28"/>
      <c r="T20" s="28"/>
    </row>
    <row r="21" spans="1:20" s="25" customFormat="1" ht="16.5" customHeight="1" x14ac:dyDescent="0.3">
      <c r="A21" s="40"/>
      <c r="B21" s="41" t="s">
        <v>243</v>
      </c>
      <c r="C21" s="303" t="s">
        <v>236</v>
      </c>
      <c r="D21" s="304">
        <v>250000</v>
      </c>
      <c r="E21" s="303"/>
      <c r="F21" s="311">
        <f>D21/(1+D45)^D22</f>
        <v>169209.84050717179</v>
      </c>
      <c r="G21" s="311">
        <f>D21/(1+D47)^D22</f>
        <v>214349.96343085563</v>
      </c>
      <c r="H21" s="76" t="s">
        <v>0</v>
      </c>
      <c r="I21" s="41"/>
      <c r="K21" s="122" t="s">
        <v>0</v>
      </c>
      <c r="L21"/>
      <c r="M21"/>
      <c r="N21"/>
      <c r="O21"/>
      <c r="P21"/>
      <c r="Q21"/>
      <c r="R21"/>
      <c r="S21"/>
      <c r="T21"/>
    </row>
    <row r="22" spans="1:20" s="25" customFormat="1" ht="16.5" customHeight="1" x14ac:dyDescent="0.3">
      <c r="A22" s="40"/>
      <c r="B22" s="41"/>
      <c r="C22" s="303" t="s">
        <v>237</v>
      </c>
      <c r="D22" s="305">
        <v>8</v>
      </c>
      <c r="E22" s="303"/>
      <c r="F22" s="311"/>
      <c r="G22" s="311"/>
      <c r="H22" s="76"/>
      <c r="I22" s="41"/>
      <c r="K22" s="122"/>
      <c r="L22" s="28"/>
      <c r="M22" s="28"/>
      <c r="N22" s="28"/>
      <c r="O22" s="28"/>
      <c r="P22" s="28"/>
      <c r="Q22" s="28"/>
      <c r="R22" s="28"/>
      <c r="S22" s="28"/>
      <c r="T22" s="28"/>
    </row>
    <row r="23" spans="1:20" s="25" customFormat="1" ht="16.5" customHeight="1" x14ac:dyDescent="0.3">
      <c r="A23" s="40"/>
      <c r="B23" s="41"/>
      <c r="C23" s="303"/>
      <c r="D23"/>
      <c r="E23" s="303"/>
      <c r="F23" s="311"/>
      <c r="G23" s="311"/>
      <c r="H23" s="76"/>
      <c r="I23" s="41"/>
      <c r="K23" s="122"/>
      <c r="L23" s="28"/>
      <c r="M23" s="28"/>
      <c r="N23" s="28"/>
      <c r="O23" s="28"/>
      <c r="P23" s="28"/>
      <c r="Q23" s="28"/>
      <c r="R23" s="28"/>
      <c r="S23" s="28"/>
      <c r="T23" s="28"/>
    </row>
    <row r="24" spans="1:20" s="25" customFormat="1" ht="16.5" customHeight="1" x14ac:dyDescent="0.3">
      <c r="A24" s="40"/>
      <c r="B24" s="41" t="s">
        <v>0</v>
      </c>
      <c r="C24" s="303" t="s">
        <v>90</v>
      </c>
      <c r="D24" s="189">
        <v>30000</v>
      </c>
      <c r="E24" s="303"/>
      <c r="F24" s="311"/>
      <c r="G24" s="311"/>
      <c r="H24" s="76"/>
      <c r="I24" s="41"/>
      <c r="K24" s="122"/>
      <c r="L24" s="28"/>
      <c r="M24" s="28"/>
      <c r="N24" s="28"/>
      <c r="O24" s="28"/>
      <c r="P24" s="28"/>
      <c r="Q24" s="28"/>
      <c r="R24" s="28"/>
      <c r="S24" s="28"/>
      <c r="T24" s="28"/>
    </row>
    <row r="25" spans="1:20" s="25" customFormat="1" ht="16.5" customHeight="1" x14ac:dyDescent="0.3">
      <c r="A25" s="40"/>
      <c r="B25" s="41" t="s">
        <v>244</v>
      </c>
      <c r="C25" s="303" t="s">
        <v>245</v>
      </c>
      <c r="D25" s="94">
        <v>0</v>
      </c>
      <c r="E25" s="303"/>
      <c r="F25" s="311">
        <f>D24</f>
        <v>30000</v>
      </c>
      <c r="G25" s="311">
        <f>D24</f>
        <v>30000</v>
      </c>
      <c r="H25" s="76"/>
      <c r="I25" s="41"/>
      <c r="K25" s="122"/>
      <c r="L25" s="28"/>
      <c r="M25" s="28"/>
      <c r="N25" s="28"/>
      <c r="O25" s="28"/>
      <c r="P25" s="28"/>
      <c r="Q25" s="28"/>
      <c r="R25" s="28"/>
      <c r="S25" s="28"/>
      <c r="T25" s="28"/>
    </row>
    <row r="26" spans="1:20" s="25" customFormat="1" ht="16.5" customHeight="1" x14ac:dyDescent="0.3">
      <c r="A26" s="40"/>
      <c r="B26" s="41" t="s">
        <v>246</v>
      </c>
      <c r="C26" s="303" t="s">
        <v>245</v>
      </c>
      <c r="D26" s="305">
        <v>10</v>
      </c>
      <c r="E26" s="303"/>
      <c r="F26" s="311">
        <f>D$24/(1+D$45)^D26</f>
        <v>18417.397606222781</v>
      </c>
      <c r="G26" s="311">
        <f>D$24/(1+D$47)^D26</f>
        <v>24751.442307896028</v>
      </c>
      <c r="H26" s="76"/>
      <c r="I26" s="41"/>
      <c r="K26" s="122"/>
      <c r="L26" s="28"/>
      <c r="M26" s="28"/>
      <c r="N26" s="28"/>
      <c r="O26" s="28"/>
      <c r="P26" s="28"/>
      <c r="Q26" s="28"/>
      <c r="R26" s="28"/>
      <c r="S26" s="28"/>
      <c r="T26" s="28"/>
    </row>
    <row r="27" spans="1:20" s="25" customFormat="1" ht="16.5" customHeight="1" x14ac:dyDescent="0.3">
      <c r="A27" s="40"/>
      <c r="B27" s="41" t="s">
        <v>247</v>
      </c>
      <c r="C27" s="303" t="s">
        <v>245</v>
      </c>
      <c r="D27" s="305">
        <v>20</v>
      </c>
      <c r="E27" s="303"/>
      <c r="F27" s="311">
        <f t="shared" ref="F27:F30" si="0">D$24/(1+D$45)^D27</f>
        <v>11306.684486190017</v>
      </c>
      <c r="G27" s="311">
        <f t="shared" ref="G27:G30" si="1">D$24/(1+D$47)^D27</f>
        <v>20421.129877370175</v>
      </c>
      <c r="H27" s="76"/>
      <c r="I27" s="41"/>
      <c r="K27" s="122"/>
      <c r="L27" s="28"/>
      <c r="M27" s="28"/>
      <c r="N27" s="28"/>
      <c r="O27" s="28"/>
      <c r="P27" s="28"/>
      <c r="Q27" s="28"/>
      <c r="R27" s="28"/>
      <c r="S27" s="28"/>
      <c r="T27" s="28"/>
    </row>
    <row r="28" spans="1:20" s="25" customFormat="1" ht="16.5" customHeight="1" x14ac:dyDescent="0.3">
      <c r="A28" s="40"/>
      <c r="B28" s="41" t="s">
        <v>248</v>
      </c>
      <c r="C28" s="303" t="s">
        <v>245</v>
      </c>
      <c r="D28" s="305">
        <v>30</v>
      </c>
      <c r="E28" s="303"/>
      <c r="F28" s="311">
        <f t="shared" si="0"/>
        <v>6941.3234596757438</v>
      </c>
      <c r="G28" s="311">
        <f t="shared" si="1"/>
        <v>16848.413934059325</v>
      </c>
      <c r="H28" s="76"/>
      <c r="I28" s="41"/>
      <c r="K28" s="122"/>
      <c r="L28" s="28"/>
      <c r="M28" s="28"/>
      <c r="N28" s="28"/>
      <c r="O28" s="28"/>
      <c r="P28" s="28"/>
      <c r="Q28" s="28"/>
      <c r="R28" s="28"/>
      <c r="S28" s="28"/>
      <c r="T28" s="28"/>
    </row>
    <row r="29" spans="1:20" s="25" customFormat="1" ht="16.5" customHeight="1" x14ac:dyDescent="0.3">
      <c r="A29" s="40"/>
      <c r="B29" s="41" t="s">
        <v>249</v>
      </c>
      <c r="C29" s="303" t="s">
        <v>245</v>
      </c>
      <c r="D29" s="305">
        <v>40</v>
      </c>
      <c r="E29" s="303"/>
      <c r="F29" s="311">
        <f t="shared" si="0"/>
        <v>4261.370469008335</v>
      </c>
      <c r="G29" s="311">
        <f t="shared" si="1"/>
        <v>13900.751515614033</v>
      </c>
      <c r="H29" s="76"/>
      <c r="I29" s="41"/>
      <c r="K29" s="122"/>
      <c r="L29" s="28"/>
      <c r="M29" s="28"/>
      <c r="N29" s="28"/>
      <c r="O29" s="28"/>
      <c r="P29" s="28"/>
      <c r="Q29" s="28"/>
      <c r="R29" s="28"/>
      <c r="S29" s="28"/>
      <c r="T29" s="28"/>
    </row>
    <row r="30" spans="1:20" s="25" customFormat="1" ht="16.5" customHeight="1" x14ac:dyDescent="0.3">
      <c r="A30" s="40"/>
      <c r="B30" s="41" t="s">
        <v>250</v>
      </c>
      <c r="C30" s="303" t="s">
        <v>245</v>
      </c>
      <c r="D30" s="305">
        <v>50</v>
      </c>
      <c r="E30" s="303"/>
      <c r="F30" s="311">
        <f t="shared" si="0"/>
        <v>2616.1118091714179</v>
      </c>
      <c r="G30" s="311">
        <f t="shared" si="1"/>
        <v>11468.788305837297</v>
      </c>
      <c r="H30" s="76"/>
      <c r="I30" s="41"/>
      <c r="K30" s="122"/>
      <c r="L30" s="28"/>
      <c r="M30" s="28"/>
      <c r="N30" s="28"/>
      <c r="O30" s="28"/>
      <c r="P30" s="28"/>
      <c r="Q30" s="28"/>
      <c r="R30" s="28"/>
      <c r="S30" s="28"/>
      <c r="T30" s="28"/>
    </row>
    <row r="31" spans="1:20" s="25" customFormat="1" ht="16.5" customHeight="1" x14ac:dyDescent="0.3">
      <c r="A31" s="40"/>
      <c r="B31" s="41"/>
      <c r="C31" s="303"/>
      <c r="D31"/>
      <c r="E31" s="303"/>
      <c r="F31" s="311"/>
      <c r="G31" s="311"/>
      <c r="H31" s="41"/>
      <c r="I31" s="41"/>
      <c r="K31" s="101"/>
      <c r="L31" s="28"/>
      <c r="M31" s="28"/>
      <c r="N31" s="28"/>
      <c r="O31" s="28"/>
      <c r="P31" s="28"/>
      <c r="Q31" s="28"/>
      <c r="R31" s="28"/>
      <c r="S31" s="28"/>
      <c r="T31" s="28"/>
    </row>
    <row r="32" spans="1:20" s="25" customFormat="1" ht="16.5" customHeight="1" x14ac:dyDescent="0.3">
      <c r="A32" s="40"/>
      <c r="B32" s="41"/>
      <c r="C32" s="303" t="s">
        <v>161</v>
      </c>
      <c r="D32" s="304">
        <v>150000</v>
      </c>
      <c r="E32" s="303"/>
      <c r="F32" s="311"/>
      <c r="G32" s="311"/>
      <c r="H32" s="41"/>
      <c r="I32" s="41"/>
    </row>
    <row r="33" spans="1:16" s="25" customFormat="1" ht="16.5" customHeight="1" x14ac:dyDescent="0.3">
      <c r="A33" s="40"/>
      <c r="B33" s="41" t="s">
        <v>253</v>
      </c>
      <c r="C33" s="303" t="s">
        <v>251</v>
      </c>
      <c r="D33" s="305">
        <v>25</v>
      </c>
      <c r="E33" s="303"/>
      <c r="F33" s="311">
        <f>D32/(1+D45)^D33</f>
        <v>44295.415754664318</v>
      </c>
      <c r="G33" s="311">
        <f>D32/(1+D47)^D33</f>
        <v>92744.763891973824</v>
      </c>
      <c r="H33" s="41"/>
      <c r="I33" s="41"/>
      <c r="P33" s="121"/>
    </row>
    <row r="34" spans="1:16" s="25" customFormat="1" ht="16.5" customHeight="1" x14ac:dyDescent="0.3">
      <c r="A34" s="40"/>
      <c r="B34" s="41" t="s">
        <v>254</v>
      </c>
      <c r="C34" s="303" t="s">
        <v>252</v>
      </c>
      <c r="D34" s="305">
        <v>30</v>
      </c>
      <c r="E34" s="303"/>
      <c r="F34" s="311">
        <f>D32/(1+D45)^D34</f>
        <v>34706.617298378718</v>
      </c>
      <c r="G34" s="311">
        <f>D32/(1+D47)^D34</f>
        <v>84242.069670296638</v>
      </c>
      <c r="H34" s="41"/>
      <c r="I34" s="41"/>
    </row>
    <row r="35" spans="1:16" s="25" customFormat="1" ht="16.5" customHeight="1" x14ac:dyDescent="0.3">
      <c r="A35" s="40"/>
      <c r="B35" s="41"/>
      <c r="C35" s="303"/>
      <c r="D35"/>
      <c r="E35" s="303"/>
      <c r="F35" s="311"/>
      <c r="G35" s="311"/>
      <c r="H35" s="41"/>
      <c r="I35" s="41"/>
    </row>
    <row r="36" spans="1:16" s="25" customFormat="1" ht="16.5" customHeight="1" x14ac:dyDescent="0.3">
      <c r="A36" s="40"/>
      <c r="B36" s="41"/>
      <c r="C36" s="303" t="s">
        <v>255</v>
      </c>
      <c r="D36" s="304">
        <v>35000</v>
      </c>
      <c r="E36" s="320" t="s">
        <v>191</v>
      </c>
      <c r="F36" s="311" t="s">
        <v>0</v>
      </c>
      <c r="G36" s="311" t="s">
        <v>0</v>
      </c>
      <c r="H36" s="119"/>
      <c r="I36" s="41"/>
    </row>
    <row r="37" spans="1:16" s="25" customFormat="1" ht="16.5" customHeight="1" x14ac:dyDescent="0.3">
      <c r="A37" s="40"/>
      <c r="B37" s="41" t="s">
        <v>533</v>
      </c>
      <c r="C37" s="303" t="s">
        <v>157</v>
      </c>
      <c r="D37" s="305">
        <v>50</v>
      </c>
      <c r="E37" s="323">
        <f>(D36*((1/D45)-(1/(D45*(1+D45)^D38))))</f>
        <v>436177.36198889965</v>
      </c>
      <c r="F37" s="324">
        <f>E37/(1+D45)^D37</f>
        <v>38036.291586413223</v>
      </c>
      <c r="G37" s="325">
        <f>E38/(1+D47)^D37</f>
        <v>220021.22849567342</v>
      </c>
      <c r="H37" s="41"/>
      <c r="I37" s="41"/>
    </row>
    <row r="38" spans="1:16" s="25" customFormat="1" ht="16.5" customHeight="1" x14ac:dyDescent="0.3">
      <c r="A38" s="40"/>
      <c r="B38" s="41"/>
      <c r="C38" s="303" t="s">
        <v>159</v>
      </c>
      <c r="D38" s="305">
        <v>20</v>
      </c>
      <c r="E38" s="323">
        <f>(D36*((1/D47)-(1/(D47*(1+D47)^D38))))</f>
        <v>575530.44653467531</v>
      </c>
      <c r="F38" s="311"/>
      <c r="G38" s="311"/>
      <c r="H38" s="41"/>
      <c r="I38" s="41"/>
    </row>
    <row r="39" spans="1:16" s="25" customFormat="1" ht="16.5" customHeight="1" x14ac:dyDescent="0.3">
      <c r="A39" s="40"/>
      <c r="B39" s="41"/>
      <c r="C39" s="303"/>
      <c r="D39"/>
      <c r="E39" s="303"/>
      <c r="F39" s="321"/>
      <c r="G39" s="321"/>
      <c r="H39" s="41"/>
      <c r="I39" s="41"/>
    </row>
    <row r="40" spans="1:16" s="25" customFormat="1" ht="16.5" customHeight="1" x14ac:dyDescent="0.3">
      <c r="A40" s="40"/>
      <c r="B40" s="41"/>
      <c r="C40" s="303" t="s">
        <v>259</v>
      </c>
      <c r="D40"/>
      <c r="E40" s="310" t="s">
        <v>0</v>
      </c>
      <c r="F40" s="322">
        <f>SUM(F15:F39)</f>
        <v>1375998.730155336</v>
      </c>
      <c r="G40" s="322">
        <f>SUM(G15:G39)</f>
        <v>2436846.7423771089</v>
      </c>
      <c r="H40" s="41"/>
      <c r="I40" s="41"/>
    </row>
    <row r="41" spans="1:16" s="25" customFormat="1" ht="16.5" customHeight="1" x14ac:dyDescent="0.3">
      <c r="A41" s="40"/>
      <c r="B41" s="41"/>
      <c r="C41" s="303"/>
      <c r="D41" s="28"/>
      <c r="E41" s="310"/>
      <c r="F41" s="322"/>
      <c r="G41" s="322"/>
      <c r="H41" s="41"/>
      <c r="I41" s="41"/>
    </row>
    <row r="42" spans="1:16" s="77" customFormat="1" ht="16.5" customHeight="1" x14ac:dyDescent="0.3">
      <c r="B42" s="76"/>
      <c r="C42" s="303" t="s">
        <v>260</v>
      </c>
      <c r="D42" s="309"/>
      <c r="E42" s="310"/>
      <c r="F42" s="313">
        <f>F40/((1/D45)-(1/(D45*(1+D45)^D37)))</f>
        <v>75372.718470428124</v>
      </c>
      <c r="G42" s="313">
        <f>G40/((1/D47)-(1/(D47*(1+D47)^D37)))</f>
        <v>76601.70298779782</v>
      </c>
      <c r="H42" s="76"/>
      <c r="I42" s="76"/>
    </row>
    <row r="43" spans="1:16" s="77" customFormat="1" ht="16.5" customHeight="1" x14ac:dyDescent="0.3">
      <c r="B43" s="76"/>
      <c r="C43" s="303"/>
      <c r="D43" s="309"/>
      <c r="E43" s="310"/>
      <c r="F43" s="312"/>
      <c r="G43" s="312"/>
      <c r="H43" s="76"/>
      <c r="I43" s="76"/>
    </row>
    <row r="44" spans="1:16" x14ac:dyDescent="0.3">
      <c r="F44" s="314"/>
      <c r="G44" s="314"/>
    </row>
    <row r="45" spans="1:16" s="25" customFormat="1" ht="16.5" customHeight="1" x14ac:dyDescent="0.3">
      <c r="A45" s="40"/>
      <c r="B45" s="41"/>
      <c r="C45" s="303" t="s">
        <v>217</v>
      </c>
      <c r="D45" s="557">
        <v>0.05</v>
      </c>
      <c r="E45" s="303" t="s">
        <v>0</v>
      </c>
      <c r="F45" s="311"/>
      <c r="G45" s="311"/>
      <c r="H45" s="41"/>
      <c r="I45" s="41"/>
    </row>
    <row r="46" spans="1:16" s="25" customFormat="1" ht="16.5" customHeight="1" x14ac:dyDescent="0.3">
      <c r="A46" s="40"/>
      <c r="B46" s="41"/>
      <c r="C46" s="303" t="s">
        <v>42</v>
      </c>
      <c r="D46" s="557">
        <v>0.03</v>
      </c>
      <c r="E46" s="303" t="s">
        <v>0</v>
      </c>
      <c r="F46" s="311"/>
      <c r="G46" s="311"/>
      <c r="H46" s="123" t="s">
        <v>0</v>
      </c>
      <c r="I46" s="41"/>
    </row>
    <row r="47" spans="1:16" s="25" customFormat="1" ht="16.5" customHeight="1" x14ac:dyDescent="0.3">
      <c r="A47" s="40"/>
      <c r="B47" s="41"/>
      <c r="C47" s="303" t="s">
        <v>216</v>
      </c>
      <c r="D47" s="558">
        <f>(1+D45)/(1+D46)-1</f>
        <v>1.9417475728155331E-2</v>
      </c>
      <c r="E47" s="307" t="s">
        <v>235</v>
      </c>
      <c r="F47" s="311"/>
      <c r="G47" s="311"/>
      <c r="H47" s="41"/>
      <c r="I47" s="41"/>
    </row>
    <row r="48" spans="1:16" s="25" customFormat="1" ht="16.5" customHeight="1" x14ac:dyDescent="0.3">
      <c r="A48" s="40"/>
      <c r="B48" s="41"/>
      <c r="C48" s="303"/>
      <c r="D48" s="558"/>
      <c r="E48" s="307"/>
      <c r="F48" s="311"/>
      <c r="G48" s="311"/>
      <c r="H48" s="41"/>
      <c r="I48" s="41"/>
    </row>
    <row r="49" spans="1:9" s="21" customFormat="1" ht="16.5" customHeight="1" x14ac:dyDescent="0.3">
      <c r="A49" s="7"/>
      <c r="B49" s="8"/>
      <c r="C49" s="306"/>
      <c r="D49" s="306"/>
      <c r="F49" s="315"/>
      <c r="G49" s="315"/>
      <c r="H49" s="8"/>
      <c r="I49" s="8"/>
    </row>
    <row r="50" spans="1:9" x14ac:dyDescent="0.3">
      <c r="A50" s="5"/>
      <c r="B50" s="6"/>
      <c r="C50" s="6"/>
      <c r="D50" s="6"/>
      <c r="E50" s="18"/>
      <c r="F50" s="316"/>
      <c r="G50" s="316"/>
      <c r="H50" s="6"/>
      <c r="I50" s="6"/>
    </row>
    <row r="51" spans="1:9" x14ac:dyDescent="0.3">
      <c r="A51" s="9"/>
      <c r="B51" s="5" t="s">
        <v>1</v>
      </c>
      <c r="F51" s="317"/>
      <c r="G51" s="317"/>
    </row>
    <row r="52" spans="1:9" x14ac:dyDescent="0.3">
      <c r="A52" s="16"/>
      <c r="B52" s="85" t="s">
        <v>4</v>
      </c>
      <c r="C52" s="108"/>
      <c r="D52" s="29"/>
      <c r="E52" s="29"/>
      <c r="F52" s="318"/>
      <c r="G52" s="318"/>
      <c r="H52" s="16"/>
      <c r="I52" s="16"/>
    </row>
    <row r="53" spans="1:9" x14ac:dyDescent="0.3">
      <c r="A53" s="16"/>
      <c r="B53" s="235" t="s">
        <v>91</v>
      </c>
      <c r="C53" s="556">
        <f>PMT(D45,D16,-F40)</f>
        <v>75372.718470428124</v>
      </c>
      <c r="D53" s="44"/>
      <c r="E53" s="66"/>
      <c r="F53" s="319"/>
      <c r="G53" s="319"/>
      <c r="H53" s="16"/>
    </row>
    <row r="54" spans="1:9" x14ac:dyDescent="0.3">
      <c r="A54" s="16"/>
      <c r="B54" s="235"/>
      <c r="C54" s="120"/>
      <c r="D54" s="44"/>
      <c r="E54" s="66"/>
      <c r="F54" s="319"/>
      <c r="G54" s="319"/>
      <c r="H54" s="16"/>
    </row>
    <row r="55" spans="1:9" x14ac:dyDescent="0.3">
      <c r="A55" s="16"/>
      <c r="B55" s="554" t="s">
        <v>5</v>
      </c>
      <c r="C55" s="117"/>
      <c r="D55" s="29"/>
      <c r="E55" s="66"/>
      <c r="F55" s="319"/>
      <c r="G55" s="319"/>
      <c r="H55" s="16"/>
    </row>
    <row r="56" spans="1:9" x14ac:dyDescent="0.3">
      <c r="A56" s="16"/>
      <c r="B56" s="235" t="s">
        <v>531</v>
      </c>
      <c r="C56" s="556">
        <f>PMT((1+D45)/(1+D46)-1,D16,-G40)</f>
        <v>76601.702987797777</v>
      </c>
      <c r="D56" s="29"/>
      <c r="E56" s="66"/>
      <c r="F56" s="319"/>
      <c r="G56" s="319"/>
      <c r="H56" s="16"/>
    </row>
    <row r="57" spans="1:9" x14ac:dyDescent="0.3">
      <c r="A57" s="16"/>
      <c r="B57" s="108"/>
      <c r="C57" s="117"/>
      <c r="D57" s="29"/>
      <c r="E57" s="66"/>
      <c r="F57" s="16"/>
      <c r="G57" s="16"/>
      <c r="H57" s="16"/>
    </row>
    <row r="58" spans="1:9" x14ac:dyDescent="0.3">
      <c r="A58" s="16"/>
      <c r="B58" s="108"/>
      <c r="C58" s="117"/>
      <c r="D58" s="29"/>
      <c r="E58" s="66"/>
      <c r="F58" s="16"/>
      <c r="G58" s="16"/>
      <c r="H58" s="16"/>
    </row>
    <row r="59" spans="1:9" x14ac:dyDescent="0.3">
      <c r="A59" s="16"/>
      <c r="B59" s="29"/>
      <c r="C59" s="108"/>
      <c r="D59" s="29"/>
      <c r="E59" s="29"/>
      <c r="F59" s="66"/>
      <c r="G59" s="66"/>
      <c r="H59" s="16"/>
      <c r="I59" s="16"/>
    </row>
  </sheetData>
  <mergeCells count="6">
    <mergeCell ref="F12:G12"/>
    <mergeCell ref="B4:G4"/>
    <mergeCell ref="B5:G5"/>
    <mergeCell ref="B10:D10"/>
    <mergeCell ref="B11:H11"/>
    <mergeCell ref="B9:D9"/>
  </mergeCells>
  <pageMargins left="0.7" right="0.7" top="0.75" bottom="0.75" header="0.3" footer="0.3"/>
  <pageSetup scale="47" orientation="portrait"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
  <dimension ref="A1:M44"/>
  <sheetViews>
    <sheetView workbookViewId="0">
      <selection activeCell="B4" sqref="B4:I4"/>
    </sheetView>
  </sheetViews>
  <sheetFormatPr defaultColWidth="9.109375" defaultRowHeight="14.4" x14ac:dyDescent="0.3"/>
  <cols>
    <col min="1" max="1" width="16.5546875" style="28" customWidth="1"/>
    <col min="2" max="2" width="23.109375" style="28" customWidth="1"/>
    <col min="3" max="3" width="15.6640625" style="28" customWidth="1"/>
    <col min="4" max="4" width="9.109375" style="28"/>
    <col min="5" max="5" width="9.109375" style="28" customWidth="1"/>
    <col min="6" max="6" width="9.109375" style="28"/>
    <col min="7" max="7" width="19.33203125" style="28" customWidth="1"/>
    <col min="8" max="8" width="9.109375" style="28"/>
    <col min="9" max="9" width="11.5546875" style="28" bestFit="1" customWidth="1"/>
    <col min="10" max="10" width="15.109375" style="28" customWidth="1"/>
    <col min="11" max="16384" width="9.109375" style="28"/>
  </cols>
  <sheetData>
    <row r="1" spans="1:13" ht="15.6" x14ac:dyDescent="0.3">
      <c r="A1" s="5" t="s">
        <v>577</v>
      </c>
      <c r="B1" s="5"/>
      <c r="C1" s="371"/>
    </row>
    <row r="2" spans="1:13" s="373" customFormat="1" ht="15.6" x14ac:dyDescent="0.3">
      <c r="C2" s="504"/>
    </row>
    <row r="3" spans="1:13" ht="15.6" x14ac:dyDescent="0.3">
      <c r="A3" s="5" t="s">
        <v>0</v>
      </c>
      <c r="B3" s="5" t="s">
        <v>268</v>
      </c>
      <c r="C3" s="371"/>
    </row>
    <row r="4" spans="1:13" ht="15" customHeight="1" x14ac:dyDescent="0.3">
      <c r="A4" s="2"/>
      <c r="B4" s="594" t="s">
        <v>628</v>
      </c>
      <c r="C4" s="586"/>
      <c r="D4" s="586"/>
      <c r="E4" s="586"/>
      <c r="F4" s="586"/>
      <c r="G4" s="586"/>
      <c r="H4" s="586"/>
      <c r="I4" s="586"/>
      <c r="M4" s="28" t="s">
        <v>0</v>
      </c>
    </row>
    <row r="5" spans="1:13" x14ac:dyDescent="0.3">
      <c r="A5" s="2"/>
      <c r="B5" s="38"/>
      <c r="C5" s="38"/>
      <c r="D5" s="38"/>
      <c r="E5" s="38"/>
      <c r="F5" s="38"/>
      <c r="G5" s="38"/>
      <c r="H5" s="38"/>
      <c r="I5" s="38"/>
    </row>
    <row r="6" spans="1:13" ht="15" customHeight="1" x14ac:dyDescent="0.3">
      <c r="A6" s="2"/>
      <c r="B6" s="579" t="s">
        <v>507</v>
      </c>
      <c r="C6" s="577"/>
      <c r="D6" s="577"/>
      <c r="E6" s="577"/>
      <c r="F6" s="577"/>
      <c r="G6" s="577"/>
      <c r="H6" s="577"/>
    </row>
    <row r="7" spans="1:13" ht="32.25" customHeight="1" x14ac:dyDescent="0.3">
      <c r="A7" s="2"/>
      <c r="B7" s="579" t="s">
        <v>510</v>
      </c>
      <c r="C7" s="579"/>
      <c r="D7" s="579"/>
      <c r="E7" s="579"/>
      <c r="F7" s="579"/>
      <c r="G7" s="579"/>
      <c r="H7" s="278"/>
    </row>
    <row r="8" spans="1:13" ht="15" customHeight="1" x14ac:dyDescent="0.3">
      <c r="A8" s="2"/>
      <c r="B8" s="579" t="s">
        <v>508</v>
      </c>
      <c r="C8" s="577"/>
      <c r="D8" s="577"/>
      <c r="E8" s="577"/>
      <c r="F8" s="577"/>
      <c r="G8" s="577"/>
      <c r="H8" s="577"/>
    </row>
    <row r="9" spans="1:13" ht="32.25" customHeight="1" x14ac:dyDescent="0.3">
      <c r="A9" s="2"/>
      <c r="B9" s="579" t="s">
        <v>509</v>
      </c>
      <c r="C9" s="579"/>
      <c r="D9" s="579"/>
      <c r="E9" s="579"/>
      <c r="F9" s="579"/>
      <c r="G9" s="579"/>
      <c r="H9" s="278"/>
    </row>
    <row r="10" spans="1:13" ht="15" customHeight="1" x14ac:dyDescent="0.3">
      <c r="A10" s="2"/>
      <c r="B10" s="62"/>
      <c r="C10" s="38"/>
      <c r="D10" s="38"/>
      <c r="E10" s="38"/>
      <c r="F10" s="38"/>
      <c r="G10" s="38"/>
      <c r="H10" s="38"/>
      <c r="I10" s="38"/>
    </row>
    <row r="11" spans="1:13" s="21" customFormat="1" ht="21.75" customHeight="1" x14ac:dyDescent="0.3">
      <c r="A11" s="7"/>
      <c r="B11" s="8"/>
      <c r="C11" s="8"/>
      <c r="D11" s="8"/>
      <c r="E11" s="8"/>
      <c r="F11" s="8"/>
      <c r="G11" s="8"/>
    </row>
    <row r="12" spans="1:13" s="25" customFormat="1" ht="21.75" customHeight="1" x14ac:dyDescent="0.3">
      <c r="A12" s="40"/>
      <c r="B12" s="41"/>
      <c r="C12" s="41"/>
      <c r="D12" s="41"/>
      <c r="E12" s="41"/>
      <c r="F12" s="41"/>
      <c r="G12" s="41"/>
    </row>
    <row r="13" spans="1:13" ht="17.25" customHeight="1" x14ac:dyDescent="0.3">
      <c r="A13" s="277"/>
      <c r="B13" s="573" t="s">
        <v>265</v>
      </c>
      <c r="C13" s="573"/>
      <c r="D13" s="573"/>
      <c r="E13" s="573"/>
      <c r="F13" s="573"/>
      <c r="G13" s="573"/>
    </row>
    <row r="14" spans="1:13" ht="17.25" customHeight="1" x14ac:dyDescent="0.3">
      <c r="A14" s="277"/>
      <c r="B14" s="570" t="s">
        <v>266</v>
      </c>
      <c r="C14" s="570"/>
      <c r="D14" s="570"/>
    </row>
    <row r="15" spans="1:13" ht="17.25" customHeight="1" x14ac:dyDescent="0.3">
      <c r="A15" s="277"/>
      <c r="B15" s="571" t="s">
        <v>267</v>
      </c>
      <c r="C15" s="571"/>
      <c r="D15" s="571"/>
      <c r="E15" s="571"/>
      <c r="F15" s="571"/>
      <c r="G15" s="571"/>
    </row>
    <row r="16" spans="1:13" x14ac:dyDescent="0.3">
      <c r="A16" s="10"/>
      <c r="B16" s="10"/>
      <c r="C16" s="10"/>
      <c r="D16" s="10"/>
    </row>
    <row r="17" spans="1:12" x14ac:dyDescent="0.3">
      <c r="A17" s="10"/>
      <c r="B17" s="85" t="s">
        <v>56</v>
      </c>
      <c r="C17" s="10"/>
      <c r="D17" s="10"/>
    </row>
    <row r="18" spans="1:12" s="76" customFormat="1" ht="15.75" customHeight="1" x14ac:dyDescent="0.3">
      <c r="B18" s="76" t="s">
        <v>219</v>
      </c>
      <c r="C18" s="125">
        <v>100</v>
      </c>
    </row>
    <row r="19" spans="1:12" s="76" customFormat="1" x14ac:dyDescent="0.3">
      <c r="B19" s="76" t="s">
        <v>220</v>
      </c>
      <c r="C19" s="78">
        <v>3</v>
      </c>
    </row>
    <row r="20" spans="1:12" s="76" customFormat="1" x14ac:dyDescent="0.3">
      <c r="B20" s="76" t="s">
        <v>217</v>
      </c>
      <c r="C20" s="337">
        <v>0.08</v>
      </c>
      <c r="D20" s="76" t="s">
        <v>0</v>
      </c>
    </row>
    <row r="21" spans="1:12" s="76" customFormat="1" x14ac:dyDescent="0.3">
      <c r="B21" s="76" t="s">
        <v>213</v>
      </c>
      <c r="C21" s="337">
        <v>0.03</v>
      </c>
      <c r="D21" s="76" t="s">
        <v>0</v>
      </c>
    </row>
    <row r="22" spans="1:12" s="76" customFormat="1" x14ac:dyDescent="0.3"/>
    <row r="23" spans="1:12" s="412" customFormat="1" x14ac:dyDescent="0.3"/>
    <row r="24" spans="1:12" x14ac:dyDescent="0.3">
      <c r="A24" s="5"/>
      <c r="B24" s="6"/>
      <c r="C24" s="6"/>
      <c r="D24" s="53"/>
      <c r="E24" s="6"/>
      <c r="F24" s="6"/>
      <c r="G24" s="6"/>
    </row>
    <row r="25" spans="1:12" x14ac:dyDescent="0.3">
      <c r="A25" s="9"/>
      <c r="B25" s="5" t="s">
        <v>1</v>
      </c>
      <c r="D25" s="5" t="s">
        <v>0</v>
      </c>
      <c r="F25" s="5" t="s">
        <v>415</v>
      </c>
      <c r="K25" s="29"/>
      <c r="L25" s="29"/>
    </row>
    <row r="26" spans="1:12" x14ac:dyDescent="0.3">
      <c r="A26" s="9"/>
      <c r="B26" s="5" t="s">
        <v>4</v>
      </c>
      <c r="D26" s="19"/>
      <c r="E26" s="18"/>
      <c r="F26" s="66">
        <f>C19</f>
        <v>3</v>
      </c>
      <c r="G26" s="262">
        <f>C20*100</f>
        <v>8</v>
      </c>
      <c r="I26" s="34" t="s">
        <v>0</v>
      </c>
      <c r="J26" s="69">
        <f>-C18</f>
        <v>-100</v>
      </c>
    </row>
    <row r="27" spans="1:12" x14ac:dyDescent="0.3">
      <c r="A27" s="9"/>
      <c r="B27" s="45" t="s">
        <v>14</v>
      </c>
      <c r="C27" s="265">
        <f>C18/(1+C20)^C19</f>
        <v>79.383224102016953</v>
      </c>
      <c r="D27" s="18"/>
      <c r="F27" s="34" t="s">
        <v>13</v>
      </c>
      <c r="G27" s="34" t="s">
        <v>98</v>
      </c>
      <c r="H27" s="34" t="s">
        <v>14</v>
      </c>
      <c r="I27" s="34" t="s">
        <v>16</v>
      </c>
      <c r="J27" s="34" t="s">
        <v>17</v>
      </c>
    </row>
    <row r="28" spans="1:12" x14ac:dyDescent="0.3">
      <c r="A28" s="9"/>
      <c r="C28" s="143"/>
      <c r="H28" s="234">
        <f>PV(G26/100,F26,,J26)</f>
        <v>79.383224102016953</v>
      </c>
    </row>
    <row r="29" spans="1:12" x14ac:dyDescent="0.3">
      <c r="A29" s="9"/>
      <c r="C29" s="143"/>
      <c r="F29" s="29"/>
      <c r="G29" s="44" t="s">
        <v>0</v>
      </c>
      <c r="I29" s="29"/>
      <c r="J29" s="29"/>
    </row>
    <row r="30" spans="1:12" x14ac:dyDescent="0.3">
      <c r="A30" s="16"/>
      <c r="B30" s="6" t="s">
        <v>5</v>
      </c>
      <c r="C30" s="143"/>
      <c r="F30" s="66">
        <f>C19</f>
        <v>3</v>
      </c>
      <c r="G30" s="264">
        <f>C21*100</f>
        <v>3</v>
      </c>
      <c r="I30" s="34" t="s">
        <v>0</v>
      </c>
      <c r="J30" s="177">
        <f>-C18</f>
        <v>-100</v>
      </c>
    </row>
    <row r="31" spans="1:12" x14ac:dyDescent="0.3">
      <c r="A31" s="18"/>
      <c r="B31" s="28" t="s">
        <v>43</v>
      </c>
      <c r="C31" s="265">
        <f>C18/(1+C21)^C19</f>
        <v>91.514165935315958</v>
      </c>
      <c r="F31" s="34" t="s">
        <v>13</v>
      </c>
      <c r="G31" s="34" t="s">
        <v>98</v>
      </c>
      <c r="H31" s="34" t="s">
        <v>14</v>
      </c>
      <c r="I31" s="34" t="s">
        <v>16</v>
      </c>
      <c r="J31" s="34" t="s">
        <v>17</v>
      </c>
    </row>
    <row r="32" spans="1:12" x14ac:dyDescent="0.3">
      <c r="A32" s="18"/>
      <c r="B32" s="16"/>
      <c r="C32" s="16"/>
      <c r="D32" s="46"/>
      <c r="E32" s="34"/>
      <c r="H32" s="234">
        <f>PV(G30/100,F30,,J30)</f>
        <v>91.514165935315958</v>
      </c>
    </row>
    <row r="33" spans="1:10" x14ac:dyDescent="0.3">
      <c r="A33" s="16"/>
      <c r="B33" s="6" t="s">
        <v>6</v>
      </c>
      <c r="C33" s="16"/>
      <c r="D33" s="16"/>
      <c r="E33" s="34"/>
      <c r="F33" s="29"/>
      <c r="G33" s="44" t="s">
        <v>0</v>
      </c>
      <c r="I33" s="29"/>
      <c r="J33" s="29"/>
    </row>
    <row r="34" spans="1:10" x14ac:dyDescent="0.3">
      <c r="A34" s="9"/>
      <c r="B34" s="10" t="s">
        <v>44</v>
      </c>
      <c r="C34" s="167">
        <f>(1+C20)/(1+C21)-1</f>
        <v>4.8543689320388328E-2</v>
      </c>
      <c r="D34" s="19"/>
      <c r="E34" s="18"/>
      <c r="F34" s="34"/>
    </row>
    <row r="35" spans="1:10" x14ac:dyDescent="0.3">
      <c r="A35" s="9"/>
      <c r="B35" s="5"/>
      <c r="D35" s="19"/>
      <c r="E35" s="18"/>
      <c r="F35" s="16"/>
      <c r="G35" s="16"/>
      <c r="H35" s="46"/>
      <c r="I35" s="34"/>
      <c r="J35" s="34"/>
    </row>
    <row r="36" spans="1:10" x14ac:dyDescent="0.3">
      <c r="A36" s="9"/>
      <c r="B36" s="5" t="s">
        <v>7</v>
      </c>
      <c r="D36" s="19"/>
      <c r="E36" s="18"/>
      <c r="F36" s="66">
        <f>C19</f>
        <v>3</v>
      </c>
      <c r="G36" s="262">
        <f>((1+C20)/(1+C21)-1)*100</f>
        <v>4.8543689320388328</v>
      </c>
      <c r="I36" s="34" t="s">
        <v>0</v>
      </c>
      <c r="J36" s="177">
        <f>-H32</f>
        <v>-91.514165935315958</v>
      </c>
    </row>
    <row r="37" spans="1:10" x14ac:dyDescent="0.3">
      <c r="A37" s="9"/>
      <c r="B37" s="10" t="s">
        <v>14</v>
      </c>
      <c r="C37" s="143">
        <f>C31/(1+C34)^C19</f>
        <v>79.383224102016982</v>
      </c>
      <c r="D37" s="19"/>
      <c r="E37" s="18"/>
      <c r="F37" s="34" t="s">
        <v>13</v>
      </c>
      <c r="G37" s="34" t="s">
        <v>98</v>
      </c>
      <c r="H37" s="34" t="s">
        <v>14</v>
      </c>
      <c r="I37" s="34" t="s">
        <v>16</v>
      </c>
      <c r="J37" s="34" t="s">
        <v>17</v>
      </c>
    </row>
    <row r="38" spans="1:10" x14ac:dyDescent="0.3">
      <c r="A38" s="9"/>
      <c r="D38" s="19"/>
      <c r="E38" s="18"/>
      <c r="H38" s="234">
        <f>PV(G36/100,F36,,J36)</f>
        <v>79.383224102016982</v>
      </c>
    </row>
    <row r="39" spans="1:10" x14ac:dyDescent="0.3">
      <c r="A39" s="9"/>
      <c r="D39" s="19"/>
      <c r="E39" s="18"/>
      <c r="F39" s="29"/>
      <c r="G39" s="44" t="s">
        <v>0</v>
      </c>
      <c r="I39" s="29"/>
      <c r="J39" s="29"/>
    </row>
    <row r="40" spans="1:10" x14ac:dyDescent="0.3">
      <c r="A40" s="9"/>
      <c r="D40" s="19"/>
      <c r="E40" s="18"/>
      <c r="F40" s="16"/>
      <c r="G40" s="16"/>
      <c r="H40" s="46"/>
      <c r="I40" s="34"/>
      <c r="J40" s="34"/>
    </row>
    <row r="41" spans="1:10" x14ac:dyDescent="0.3">
      <c r="A41" s="9"/>
      <c r="D41" s="19"/>
      <c r="E41" s="18"/>
      <c r="F41" s="16"/>
      <c r="G41" s="16"/>
      <c r="H41" s="46"/>
      <c r="I41" s="34"/>
      <c r="J41" s="34"/>
    </row>
    <row r="42" spans="1:10" x14ac:dyDescent="0.3">
      <c r="A42" s="9"/>
      <c r="D42" s="19"/>
      <c r="E42" s="18"/>
      <c r="F42" s="16"/>
      <c r="G42" s="16"/>
      <c r="H42" s="46"/>
      <c r="I42" s="34"/>
      <c r="J42" s="34"/>
    </row>
    <row r="43" spans="1:10" x14ac:dyDescent="0.3">
      <c r="B43" s="18"/>
      <c r="C43" s="18"/>
    </row>
    <row r="44" spans="1:10" x14ac:dyDescent="0.3">
      <c r="B44" s="18"/>
      <c r="C44" s="18"/>
    </row>
  </sheetData>
  <mergeCells count="8">
    <mergeCell ref="B13:G13"/>
    <mergeCell ref="B14:D14"/>
    <mergeCell ref="B15:G15"/>
    <mergeCell ref="B4:I4"/>
    <mergeCell ref="B6:H6"/>
    <mergeCell ref="B8:H8"/>
    <mergeCell ref="B7:G7"/>
    <mergeCell ref="B9:G9"/>
  </mergeCells>
  <pageMargins left="0.7" right="0.7" top="0.75" bottom="0.75" header="0.3" footer="0.3"/>
  <pageSetup orientation="portrait" r:id="rId1"/>
  <drawing r:id="rId2"/>
  <legacyDrawing r:id="rId3"/>
  <controls>
    <mc:AlternateContent xmlns:mc="http://schemas.openxmlformats.org/markup-compatibility/2006">
      <mc:Choice Requires="x14">
        <control shapeId="82945" r:id="rId4" name="Control 1">
          <controlPr defaultSize="0" r:id="rId5">
            <anchor moveWithCells="1">
              <from>
                <xdr:col>0</xdr:col>
                <xdr:colOff>0</xdr:colOff>
                <xdr:row>31</xdr:row>
                <xdr:rowOff>76200</xdr:rowOff>
              </from>
              <to>
                <xdr:col>0</xdr:col>
                <xdr:colOff>228600</xdr:colOff>
                <xdr:row>32</xdr:row>
                <xdr:rowOff>137160</xdr:rowOff>
              </to>
            </anchor>
          </controlPr>
        </control>
      </mc:Choice>
      <mc:Fallback>
        <control shapeId="82945" r:id="rId4" name="Control 1"/>
      </mc:Fallback>
    </mc:AlternateContent>
    <mc:AlternateContent xmlns:mc="http://schemas.openxmlformats.org/markup-compatibility/2006">
      <mc:Choice Requires="x14">
        <control shapeId="82946" r:id="rId6" name="Control 2">
          <controlPr defaultSize="0" r:id="rId5">
            <anchor moveWithCells="1">
              <from>
                <xdr:col>0</xdr:col>
                <xdr:colOff>0</xdr:colOff>
                <xdr:row>30</xdr:row>
                <xdr:rowOff>76200</xdr:rowOff>
              </from>
              <to>
                <xdr:col>0</xdr:col>
                <xdr:colOff>228600</xdr:colOff>
                <xdr:row>31</xdr:row>
                <xdr:rowOff>137160</xdr:rowOff>
              </to>
            </anchor>
          </controlPr>
        </control>
      </mc:Choice>
      <mc:Fallback>
        <control shapeId="82946" r:id="rId6" name="Control 2"/>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vt:i4>
      </vt:variant>
    </vt:vector>
  </HeadingPairs>
  <TitlesOfParts>
    <vt:vector size="73" baseType="lpstr">
      <vt:lpstr>Pr 5-1</vt:lpstr>
      <vt:lpstr>Pr 5-3</vt:lpstr>
      <vt:lpstr>Pr 5-4</vt:lpstr>
      <vt:lpstr>Pr 5-5</vt:lpstr>
      <vt:lpstr>Pr 5-6</vt:lpstr>
      <vt:lpstr>Pr 5-7</vt:lpstr>
      <vt:lpstr>Pr 5-8</vt:lpstr>
      <vt:lpstr>Pr 5-9</vt:lpstr>
      <vt:lpstr>Pr 5-10</vt:lpstr>
      <vt:lpstr>Pr 5-11</vt:lpstr>
      <vt:lpstr>Pr 5-12</vt:lpstr>
      <vt:lpstr>Pr 5-13</vt:lpstr>
      <vt:lpstr>Pr 5-14</vt:lpstr>
      <vt:lpstr>Pr 5-15</vt:lpstr>
      <vt:lpstr>Pr 5-16</vt:lpstr>
      <vt:lpstr>Pr 5-17</vt:lpstr>
      <vt:lpstr>Pr 5-18</vt:lpstr>
      <vt:lpstr>Pr 5-19</vt:lpstr>
      <vt:lpstr>Pr 5-20</vt:lpstr>
      <vt:lpstr>Pr 5-21</vt:lpstr>
      <vt:lpstr>Pr 5-22</vt:lpstr>
      <vt:lpstr>Pr 5-23</vt:lpstr>
      <vt:lpstr>Pr 5-24</vt:lpstr>
      <vt:lpstr>Pr 5-25</vt:lpstr>
      <vt:lpstr>Pr 5-26</vt:lpstr>
      <vt:lpstr>Pr 5-27</vt:lpstr>
      <vt:lpstr>Pr 5-28</vt:lpstr>
      <vt:lpstr>Pr 5-29</vt:lpstr>
      <vt:lpstr>Pr 5-30</vt:lpstr>
      <vt:lpstr>Pr 5-31</vt:lpstr>
      <vt:lpstr>Pr 5-32</vt:lpstr>
      <vt:lpstr>Pr 5-33</vt:lpstr>
      <vt:lpstr>Pr 5-34</vt:lpstr>
      <vt:lpstr>Pr 5-36</vt:lpstr>
      <vt:lpstr>Pr 5-37</vt:lpstr>
      <vt:lpstr>Pr 5-38</vt:lpstr>
      <vt:lpstr>Pr 5-39</vt:lpstr>
      <vt:lpstr>Pr 5-40</vt:lpstr>
      <vt:lpstr>Pr 5-41</vt:lpstr>
      <vt:lpstr>Pr 5-42</vt:lpstr>
      <vt:lpstr>Pr 5-43</vt:lpstr>
      <vt:lpstr>Pr 5-44</vt:lpstr>
      <vt:lpstr>Pr 5-45</vt:lpstr>
      <vt:lpstr>Pr 5-46</vt:lpstr>
      <vt:lpstr>Pr 5-48</vt:lpstr>
      <vt:lpstr>Pr 5-49</vt:lpstr>
      <vt:lpstr>Pr 5-50</vt:lpstr>
      <vt:lpstr>Pr 5-51</vt:lpstr>
      <vt:lpstr>Pr 5-52</vt:lpstr>
      <vt:lpstr>Pr 5-53</vt:lpstr>
      <vt:lpstr>Pr 5-54</vt:lpstr>
      <vt:lpstr>Pr 5-55</vt:lpstr>
      <vt:lpstr>Pr 5-56</vt:lpstr>
      <vt:lpstr>Pr 5-57</vt:lpstr>
      <vt:lpstr>Pr 5-58</vt:lpstr>
      <vt:lpstr>Pr 5-59</vt:lpstr>
      <vt:lpstr>Pr 5-60</vt:lpstr>
      <vt:lpstr>Pr 5-61</vt:lpstr>
      <vt:lpstr>Pr 5-62</vt:lpstr>
      <vt:lpstr>Pr 5-63</vt:lpstr>
      <vt:lpstr>Pr 5-64</vt:lpstr>
      <vt:lpstr>Pr 5-65</vt:lpstr>
      <vt:lpstr>Pr 5-66</vt:lpstr>
      <vt:lpstr>Pr 5-67</vt:lpstr>
      <vt:lpstr>Pr 5-68</vt:lpstr>
      <vt:lpstr>Pr 5-69</vt:lpstr>
      <vt:lpstr>Pr 5-70</vt:lpstr>
      <vt:lpstr>Pr 5-71</vt:lpstr>
      <vt:lpstr>Pr 5-72</vt:lpstr>
      <vt:lpstr>Pr 5-73</vt:lpstr>
      <vt:lpstr>Pr 5-74</vt:lpstr>
      <vt:lpstr>Pr 5-75</vt:lpstr>
      <vt:lpstr>'Pr 5-73'!Print_Area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 Johnson</dc:creator>
  <cp:lastModifiedBy>Racculia, Nicholas</cp:lastModifiedBy>
  <cp:lastPrinted>2014-09-12T04:11:18Z</cp:lastPrinted>
  <dcterms:created xsi:type="dcterms:W3CDTF">2013-05-24T01:57:18Z</dcterms:created>
  <dcterms:modified xsi:type="dcterms:W3CDTF">2021-08-09T21:13:53Z</dcterms:modified>
</cp:coreProperties>
</file>