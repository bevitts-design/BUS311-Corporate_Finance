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5 - Time Value of Money/"/>
    </mc:Choice>
  </mc:AlternateContent>
  <xr:revisionPtr revIDLastSave="11" documentId="8_{AF53B7FA-0E85-4AD5-B697-542C08B9B947}" xr6:coauthVersionLast="47" xr6:coauthVersionMax="47" xr10:uidLastSave="{2FB82696-334B-4233-BD17-AEBF65AAAFA4}"/>
  <bookViews>
    <workbookView xWindow="-120" yWindow="-120" windowWidth="29040" windowHeight="15840" xr2:uid="{AC7636A6-38F1-43B9-8F70-280DE3944A19}"/>
  </bookViews>
  <sheets>
    <sheet name="Sheet1" sheetId="8" r:id="rId1"/>
    <sheet name="ABC Tech" sheetId="5" r:id="rId2"/>
    <sheet name="Lemonade Stand" sheetId="7" r:id="rId3"/>
    <sheet name="NPV another model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8" l="1"/>
  <c r="C21" i="8" s="1"/>
  <c r="B20" i="8"/>
  <c r="B21" i="8" s="1"/>
  <c r="C19" i="8"/>
  <c r="C24" i="8" s="1"/>
  <c r="B19" i="8"/>
  <c r="B24" i="8" s="1"/>
  <c r="B25" i="8" s="1"/>
  <c r="C17" i="8"/>
  <c r="B17" i="8"/>
  <c r="C15" i="8"/>
  <c r="B15" i="8"/>
  <c r="C13" i="7"/>
  <c r="C12" i="7"/>
  <c r="C34" i="5"/>
  <c r="B10" i="6"/>
  <c r="D3" i="6"/>
  <c r="D4" i="6"/>
  <c r="D5" i="6"/>
  <c r="D6" i="6"/>
  <c r="D2" i="6"/>
  <c r="C33" i="5"/>
  <c r="J4" i="5"/>
  <c r="J5" i="5"/>
  <c r="J6" i="5"/>
  <c r="J7" i="5"/>
  <c r="J8" i="5"/>
  <c r="J3" i="5"/>
  <c r="D12" i="5"/>
  <c r="C12" i="5"/>
  <c r="D11" i="5"/>
  <c r="C11" i="5"/>
  <c r="I4" i="5"/>
  <c r="I5" i="5"/>
  <c r="I6" i="5"/>
  <c r="I7" i="5"/>
  <c r="I8" i="5"/>
  <c r="I3" i="5"/>
  <c r="C25" i="8" l="1"/>
  <c r="C29" i="8"/>
  <c r="C30" i="8" s="1"/>
  <c r="J10" i="5"/>
  <c r="I10" i="5"/>
</calcChain>
</file>

<file path=xl/sharedStrings.xml><?xml version="1.0" encoding="utf-8"?>
<sst xmlns="http://schemas.openxmlformats.org/spreadsheetml/2006/main" count="51" uniqueCount="41">
  <si>
    <t>Rate</t>
  </si>
  <si>
    <t>NPV Function</t>
  </si>
  <si>
    <t>Target Return Treshold</t>
  </si>
  <si>
    <t>PV Forumla</t>
  </si>
  <si>
    <t>Time</t>
  </si>
  <si>
    <t>Cashflow</t>
  </si>
  <si>
    <t>Net Present Value</t>
  </si>
  <si>
    <t>Note for Excel NPV Function:</t>
  </si>
  <si>
    <t>Double Check</t>
  </si>
  <si>
    <t>Cashflows at end of Period</t>
  </si>
  <si>
    <t>Cashflows at regular Intervals</t>
  </si>
  <si>
    <t>Initial Cashflow at Beginning - so needs to be added back in (if listed as a negative)</t>
  </si>
  <si>
    <t>XNPV Function</t>
  </si>
  <si>
    <t xml:space="preserve">Uneven Cash Flows- with Dates </t>
  </si>
  <si>
    <t>Discount Rate</t>
  </si>
  <si>
    <t>Date</t>
  </si>
  <si>
    <t>NPV</t>
  </si>
  <si>
    <t>Cost</t>
  </si>
  <si>
    <t>Benefit</t>
  </si>
  <si>
    <t>Difference</t>
  </si>
  <si>
    <t xml:space="preserve">Your corporation's  bond is a 6.75% with 20 years left to maturity. It has had a credit rating of BB and a yield to maturity of 9.1 percent. </t>
  </si>
  <si>
    <t xml:space="preserve">Your firm has recently become more financially stable and the rating agency is upgrading the bonds to BBB.  Congratulations! </t>
  </si>
  <si>
    <t xml:space="preserve">Your bond's credit spread tightens by 100bps. </t>
  </si>
  <si>
    <t>What was your bond value before the upgrade?</t>
  </si>
  <si>
    <t>What was your bond value after the upgrade?</t>
  </si>
  <si>
    <t>What will be the change in the bond’s price in dollars?</t>
  </si>
  <si>
    <t>What will be the change in the percentage terms?</t>
  </si>
  <si>
    <t>Par Value (FV)</t>
  </si>
  <si>
    <t>Years</t>
  </si>
  <si>
    <t>S/A CF</t>
  </si>
  <si>
    <t>N periods(nper)</t>
  </si>
  <si>
    <t>Coupon Rate - Annual</t>
  </si>
  <si>
    <t>Cpn Rate- (w/CF)</t>
  </si>
  <si>
    <t>Interest Rate/ Yield - Annual</t>
  </si>
  <si>
    <t>Interest Rate/ Yield (w/CF)</t>
  </si>
  <si>
    <t>Cpn Pmt- Annual</t>
  </si>
  <si>
    <t>Cpn Pmt (w/CF)</t>
  </si>
  <si>
    <t>PV</t>
  </si>
  <si>
    <t>Price</t>
  </si>
  <si>
    <t>Capital Gain</t>
  </si>
  <si>
    <t>Percentage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</si>
</sst>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409]dd\-mmm\-yy;@"/>
    <numFmt numFmtId="166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0">
    <xf numFmtId="0" fontId="0" fillId="0" borderId="0" xfId="0"/>
    <xf numFmtId="9" fontId="0" fillId="0" borderId="0" xfId="0" applyNumberFormat="1"/>
    <xf numFmtId="8" fontId="0" fillId="0" borderId="0" xfId="0" applyNumberFormat="1"/>
    <xf numFmtId="0" fontId="0" fillId="2" borderId="0" xfId="0" applyFill="1"/>
    <xf numFmtId="6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6" fontId="0" fillId="3" borderId="0" xfId="0" applyNumberFormat="1" applyFill="1"/>
    <xf numFmtId="9" fontId="0" fillId="0" borderId="0" xfId="0" applyNumberFormat="1" applyAlignment="1">
      <alignment horizontal="center"/>
    </xf>
    <xf numFmtId="6" fontId="0" fillId="2" borderId="0" xfId="0" applyNumberFormat="1" applyFill="1"/>
    <xf numFmtId="0" fontId="0" fillId="0" borderId="0" xfId="0" applyAlignment="1">
      <alignment horizontal="right"/>
    </xf>
    <xf numFmtId="9" fontId="0" fillId="0" borderId="4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8" fontId="0" fillId="0" borderId="4" xfId="0" applyNumberFormat="1" applyBorder="1"/>
    <xf numFmtId="6" fontId="0" fillId="0" borderId="5" xfId="0" applyNumberFormat="1" applyBorder="1"/>
    <xf numFmtId="0" fontId="0" fillId="0" borderId="4" xfId="0" applyBorder="1"/>
    <xf numFmtId="0" fontId="0" fillId="0" borderId="5" xfId="0" applyBorder="1"/>
    <xf numFmtId="8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3" fillId="0" borderId="6" xfId="0" applyFont="1" applyBorder="1"/>
    <xf numFmtId="8" fontId="3" fillId="0" borderId="8" xfId="0" applyNumberFormat="1" applyFont="1" applyBorder="1"/>
    <xf numFmtId="164" fontId="0" fillId="0" borderId="0" xfId="0" applyNumberFormat="1"/>
    <xf numFmtId="165" fontId="0" fillId="0" borderId="0" xfId="0" applyNumberFormat="1"/>
    <xf numFmtId="0" fontId="4" fillId="2" borderId="0" xfId="0" applyFont="1" applyFill="1" applyAlignment="1">
      <alignment horizontal="right"/>
    </xf>
    <xf numFmtId="44" fontId="4" fillId="2" borderId="0" xfId="0" applyNumberFormat="1" applyFont="1" applyFill="1"/>
    <xf numFmtId="44" fontId="0" fillId="3" borderId="0" xfId="0" applyNumberFormat="1" applyFill="1"/>
    <xf numFmtId="9" fontId="0" fillId="3" borderId="0" xfId="0" applyNumberFormat="1" applyFill="1"/>
    <xf numFmtId="0" fontId="0" fillId="2" borderId="0" xfId="0" applyFill="1" applyAlignment="1">
      <alignment horizontal="left"/>
    </xf>
    <xf numFmtId="0" fontId="1" fillId="4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wrapText="1"/>
    </xf>
    <xf numFmtId="44" fontId="0" fillId="0" borderId="0" xfId="1" applyFont="1" applyAlignment="1"/>
    <xf numFmtId="0" fontId="0" fillId="0" borderId="1" xfId="0" applyBorder="1"/>
    <xf numFmtId="0" fontId="0" fillId="0" borderId="3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2" borderId="10" xfId="0" applyFill="1" applyBorder="1"/>
    <xf numFmtId="10" fontId="0" fillId="0" borderId="3" xfId="0" applyNumberFormat="1" applyBorder="1"/>
    <xf numFmtId="10" fontId="0" fillId="2" borderId="8" xfId="2" applyNumberFormat="1" applyFont="1" applyFill="1" applyBorder="1" applyAlignment="1"/>
    <xf numFmtId="166" fontId="0" fillId="5" borderId="3" xfId="2" applyNumberFormat="1" applyFont="1" applyFill="1" applyBorder="1" applyAlignment="1"/>
    <xf numFmtId="10" fontId="0" fillId="2" borderId="5" xfId="2" applyNumberFormat="1" applyFont="1" applyFill="1" applyBorder="1" applyAlignment="1"/>
    <xf numFmtId="44" fontId="0" fillId="0" borderId="3" xfId="1" applyFont="1" applyBorder="1" applyAlignment="1"/>
    <xf numFmtId="44" fontId="0" fillId="2" borderId="8" xfId="1" applyFont="1" applyFill="1" applyBorder="1" applyAlignment="1"/>
    <xf numFmtId="44" fontId="0" fillId="0" borderId="11" xfId="1" applyFont="1" applyBorder="1" applyAlignment="1"/>
    <xf numFmtId="0" fontId="0" fillId="0" borderId="2" xfId="0" applyBorder="1"/>
    <xf numFmtId="8" fontId="0" fillId="2" borderId="2" xfId="0" applyNumberFormat="1" applyFill="1" applyBorder="1"/>
    <xf numFmtId="10" fontId="0" fillId="0" borderId="0" xfId="2" applyNumberFormat="1" applyFont="1" applyAlignment="1"/>
    <xf numFmtId="10" fontId="0" fillId="5" borderId="0" xfId="2" applyNumberFormat="1" applyFont="1" applyFill="1" applyAlignment="1"/>
    <xf numFmtId="1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0</xdr:row>
      <xdr:rowOff>76200</xdr:rowOff>
    </xdr:from>
    <xdr:to>
      <xdr:col>9</xdr:col>
      <xdr:colOff>95250</xdr:colOff>
      <xdr:row>24</xdr:row>
      <xdr:rowOff>123825</xdr:rowOff>
    </xdr:to>
    <xdr:sp macro="" textlink="">
      <xdr:nvSpPr>
        <xdr:cNvPr id="2" name="Freeform 2">
          <a:extLst>
            <a:ext uri="{FF2B5EF4-FFF2-40B4-BE49-F238E27FC236}">
              <a16:creationId xmlns:a16="http://schemas.microsoft.com/office/drawing/2014/main" id="{D98EAD62-1139-4E62-8CF4-F52E869A917F}"/>
            </a:ext>
          </a:extLst>
        </xdr:cNvPr>
        <xdr:cNvSpPr/>
      </xdr:nvSpPr>
      <xdr:spPr>
        <a:xfrm>
          <a:off x="9448800" y="76200"/>
          <a:ext cx="3838575" cy="5210175"/>
        </a:xfrm>
        <a:custGeom>
          <a:avLst/>
          <a:gdLst/>
          <a:ahLst/>
          <a:cxnLst/>
          <a:rect l="l" t="t" r="r" b="b"/>
          <a:pathLst>
            <a:path w="8200136" h="9491496">
              <a:moveTo>
                <a:pt x="0" y="0"/>
              </a:moveTo>
              <a:lnTo>
                <a:pt x="8200136" y="0"/>
              </a:lnTo>
              <a:lnTo>
                <a:pt x="8200136" y="9491496"/>
              </a:lnTo>
              <a:lnTo>
                <a:pt x="0" y="9491496"/>
              </a:lnTo>
              <a:lnTo>
                <a:pt x="0" y="0"/>
              </a:lnTo>
              <a:close/>
            </a:path>
          </a:pathLst>
        </a:custGeom>
        <a:blipFill>
          <a:blip xmlns:r="http://schemas.openxmlformats.org/officeDocument/2006/relationships" r:embed="rId1"/>
          <a:stretch>
            <a:fillRect/>
          </a:stretch>
        </a:blipFill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609630"/>
          <a:endParaRPr lang="en-US" sz="1200">
            <a:solidFill>
              <a:prstClr val="black"/>
            </a:solidFill>
            <a:latin typeface="Calibri"/>
          </a:endParaRPr>
        </a:p>
      </xdr:txBody>
    </xdr:sp>
    <xdr:clientData/>
  </xdr:twoCellAnchor>
  <xdr:twoCellAnchor>
    <xdr:from>
      <xdr:col>0</xdr:col>
      <xdr:colOff>3790950</xdr:colOff>
      <xdr:row>9</xdr:row>
      <xdr:rowOff>104775</xdr:rowOff>
    </xdr:from>
    <xdr:to>
      <xdr:col>4</xdr:col>
      <xdr:colOff>66675</xdr:colOff>
      <xdr:row>31</xdr:row>
      <xdr:rowOff>133350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0EB7E71-9E0C-F084-A3B8-F9FA086329F7}"/>
            </a:ext>
          </a:extLst>
        </xdr:cNvPr>
        <xdr:cNvSpPr/>
      </xdr:nvSpPr>
      <xdr:spPr>
        <a:xfrm>
          <a:off x="3790950" y="2390775"/>
          <a:ext cx="4038600" cy="42386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6A7C-AD41-41B8-9BDD-C1524D5FCDF4}">
  <dimension ref="A1:E30"/>
  <sheetViews>
    <sheetView tabSelected="1" workbookViewId="0">
      <selection activeCell="E15" sqref="E15"/>
    </sheetView>
  </sheetViews>
  <sheetFormatPr defaultRowHeight="15" x14ac:dyDescent="0.25"/>
  <cols>
    <col min="1" max="1" width="58.42578125" customWidth="1"/>
    <col min="2" max="2" width="21.7109375" customWidth="1"/>
    <col min="3" max="3" width="18.7109375" customWidth="1"/>
    <col min="4" max="4" width="17.5703125" customWidth="1"/>
    <col min="5" max="5" width="22.28515625" customWidth="1"/>
    <col min="6" max="6" width="27.42578125" customWidth="1"/>
    <col min="7" max="7" width="13.42578125" customWidth="1"/>
  </cols>
  <sheetData>
    <row r="1" spans="1:5" ht="45" x14ac:dyDescent="0.25">
      <c r="A1" s="39" t="s">
        <v>20</v>
      </c>
    </row>
    <row r="2" spans="1:5" ht="30" x14ac:dyDescent="0.25">
      <c r="A2" s="39" t="s">
        <v>21</v>
      </c>
    </row>
    <row r="3" spans="1:5" x14ac:dyDescent="0.25">
      <c r="A3" s="40" t="s">
        <v>22</v>
      </c>
    </row>
    <row r="5" spans="1:5" x14ac:dyDescent="0.25">
      <c r="A5" t="s">
        <v>23</v>
      </c>
      <c r="B5" s="41"/>
      <c r="C5" s="41"/>
      <c r="D5" s="41"/>
      <c r="E5" s="41"/>
    </row>
    <row r="6" spans="1:5" x14ac:dyDescent="0.25">
      <c r="A6" t="s">
        <v>24</v>
      </c>
      <c r="B6" s="41"/>
      <c r="C6" s="41"/>
      <c r="D6" s="41"/>
      <c r="E6" s="41"/>
    </row>
    <row r="7" spans="1:5" x14ac:dyDescent="0.25">
      <c r="A7" s="41" t="s">
        <v>25</v>
      </c>
    </row>
    <row r="8" spans="1:5" x14ac:dyDescent="0.25">
      <c r="A8" s="41" t="s">
        <v>26</v>
      </c>
    </row>
    <row r="12" spans="1:5" x14ac:dyDescent="0.25">
      <c r="A12" t="s">
        <v>27</v>
      </c>
      <c r="B12" s="42">
        <v>1000</v>
      </c>
      <c r="C12" s="42">
        <v>1000</v>
      </c>
    </row>
    <row r="13" spans="1:5" x14ac:dyDescent="0.25">
      <c r="A13" s="43" t="s">
        <v>28</v>
      </c>
      <c r="B13" s="44">
        <v>20</v>
      </c>
      <c r="C13" s="44">
        <v>20</v>
      </c>
    </row>
    <row r="14" spans="1:5" x14ac:dyDescent="0.25">
      <c r="A14" s="45" t="s">
        <v>29</v>
      </c>
      <c r="B14" s="19">
        <v>2</v>
      </c>
      <c r="C14" s="19">
        <v>2</v>
      </c>
    </row>
    <row r="15" spans="1:5" x14ac:dyDescent="0.25">
      <c r="A15" s="46" t="s">
        <v>30</v>
      </c>
      <c r="B15" s="47">
        <f>B13*B14</f>
        <v>40</v>
      </c>
      <c r="C15" s="47">
        <f>C13*C14</f>
        <v>40</v>
      </c>
    </row>
    <row r="16" spans="1:5" x14ac:dyDescent="0.25">
      <c r="A16" s="43" t="s">
        <v>31</v>
      </c>
      <c r="B16" s="48">
        <v>6.7500000000000004E-2</v>
      </c>
      <c r="C16" s="48">
        <v>6.7500000000000004E-2</v>
      </c>
    </row>
    <row r="17" spans="1:4" x14ac:dyDescent="0.25">
      <c r="A17" s="18" t="s">
        <v>32</v>
      </c>
      <c r="B17" s="49">
        <f>B16/B14</f>
        <v>3.3750000000000002E-2</v>
      </c>
      <c r="C17" s="49">
        <f>C16/C14</f>
        <v>3.3750000000000002E-2</v>
      </c>
    </row>
    <row r="18" spans="1:4" x14ac:dyDescent="0.25">
      <c r="A18" s="43" t="s">
        <v>33</v>
      </c>
      <c r="B18" s="50">
        <v>9.0999999999999998E-2</v>
      </c>
      <c r="C18" s="50">
        <v>8.1000000000000003E-2</v>
      </c>
    </row>
    <row r="19" spans="1:4" x14ac:dyDescent="0.25">
      <c r="A19" s="15" t="s">
        <v>34</v>
      </c>
      <c r="B19" s="51">
        <f>B18/B14</f>
        <v>4.5499999999999999E-2</v>
      </c>
      <c r="C19" s="51">
        <f>C18/C14</f>
        <v>4.0500000000000001E-2</v>
      </c>
    </row>
    <row r="20" spans="1:4" x14ac:dyDescent="0.25">
      <c r="A20" s="43" t="s">
        <v>35</v>
      </c>
      <c r="B20" s="52">
        <f>B16*B22</f>
        <v>67.5</v>
      </c>
      <c r="C20" s="52">
        <f>C16*C22</f>
        <v>67.5</v>
      </c>
    </row>
    <row r="21" spans="1:4" x14ac:dyDescent="0.25">
      <c r="A21" s="18" t="s">
        <v>36</v>
      </c>
      <c r="B21" s="53">
        <f>B20/B14</f>
        <v>33.75</v>
      </c>
      <c r="C21" s="53">
        <f>C20/C14</f>
        <v>33.75</v>
      </c>
    </row>
    <row r="22" spans="1:4" ht="15.75" thickBot="1" x14ac:dyDescent="0.3">
      <c r="A22" t="s">
        <v>27</v>
      </c>
      <c r="B22" s="54">
        <v>1000</v>
      </c>
      <c r="C22" s="54">
        <v>1000</v>
      </c>
    </row>
    <row r="23" spans="1:4" ht="15.75" thickTop="1" x14ac:dyDescent="0.25"/>
    <row r="24" spans="1:4" x14ac:dyDescent="0.25">
      <c r="A24" s="55" t="s">
        <v>37</v>
      </c>
      <c r="B24" s="56">
        <f>PV(B19,B15,-B21,-B22)</f>
        <v>785.31594621058878</v>
      </c>
      <c r="C24" s="56">
        <f>PV(C19,C15,-C21,-C22)</f>
        <v>867.38711660393119</v>
      </c>
    </row>
    <row r="25" spans="1:4" x14ac:dyDescent="0.25">
      <c r="A25" t="s">
        <v>38</v>
      </c>
      <c r="B25" s="57">
        <f>B24/1000</f>
        <v>0.78531594621058876</v>
      </c>
      <c r="C25" s="58">
        <f>C24/1000</f>
        <v>0.8673871166039312</v>
      </c>
      <c r="D25" s="59"/>
    </row>
    <row r="26" spans="1:4" x14ac:dyDescent="0.25">
      <c r="B26" s="57"/>
    </row>
    <row r="29" spans="1:4" x14ac:dyDescent="0.25">
      <c r="C29" s="2">
        <f>C24-B24</f>
        <v>82.071170393342413</v>
      </c>
      <c r="D29" t="s">
        <v>39</v>
      </c>
    </row>
    <row r="30" spans="1:4" x14ac:dyDescent="0.25">
      <c r="C30" s="57">
        <f>C29/B24</f>
        <v>0.10450719966831588</v>
      </c>
      <c r="D30" t="s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E804-E38D-47FE-95A5-565D8674ED5E}">
  <dimension ref="A1:J34"/>
  <sheetViews>
    <sheetView workbookViewId="0">
      <selection activeCell="D7" sqref="D7"/>
    </sheetView>
  </sheetViews>
  <sheetFormatPr defaultRowHeight="15" x14ac:dyDescent="0.25"/>
  <cols>
    <col min="2" max="2" width="20.5703125" customWidth="1"/>
    <col min="3" max="3" width="33.140625" customWidth="1"/>
    <col min="4" max="4" width="26.42578125" customWidth="1"/>
    <col min="5" max="5" width="4.85546875" customWidth="1"/>
    <col min="6" max="6" width="27.28515625" customWidth="1"/>
    <col min="7" max="7" width="15.28515625" bestFit="1" customWidth="1"/>
    <col min="9" max="9" width="15.28515625" bestFit="1" customWidth="1"/>
    <col min="10" max="10" width="12.5703125" bestFit="1" customWidth="1"/>
  </cols>
  <sheetData>
    <row r="1" spans="1:10" x14ac:dyDescent="0.25">
      <c r="A1" s="35" t="s">
        <v>1</v>
      </c>
      <c r="B1" s="35"/>
      <c r="C1" s="35"/>
      <c r="I1" s="37" t="s">
        <v>3</v>
      </c>
      <c r="J1" s="38"/>
    </row>
    <row r="2" spans="1:10" ht="13.5" customHeight="1" x14ac:dyDescent="0.25">
      <c r="C2" s="36" t="s">
        <v>2</v>
      </c>
      <c r="D2" s="36"/>
      <c r="E2" s="5"/>
      <c r="I2" s="11">
        <v>0.12</v>
      </c>
      <c r="J2" s="12">
        <v>0.15</v>
      </c>
    </row>
    <row r="3" spans="1:10" x14ac:dyDescent="0.25">
      <c r="A3" t="s">
        <v>4</v>
      </c>
      <c r="B3" t="s">
        <v>5</v>
      </c>
      <c r="C3" s="8">
        <v>0.12</v>
      </c>
      <c r="D3" s="8">
        <v>0.15</v>
      </c>
      <c r="E3" s="8"/>
      <c r="I3" s="13">
        <f t="shared" ref="I3:I8" si="0">B4/((1+$C$3)^A4)</f>
        <v>-20000000</v>
      </c>
      <c r="J3" s="14">
        <f t="shared" ref="J3:J8" si="1">B4/((1+$J$2)^A4)</f>
        <v>-20000000</v>
      </c>
    </row>
    <row r="4" spans="1:10" x14ac:dyDescent="0.25">
      <c r="A4" s="3">
        <v>0</v>
      </c>
      <c r="B4" s="9">
        <v>-20000000</v>
      </c>
      <c r="I4" s="13">
        <f t="shared" si="0"/>
        <v>3571428.5714285709</v>
      </c>
      <c r="J4" s="14">
        <f t="shared" si="1"/>
        <v>3478260.8695652178</v>
      </c>
    </row>
    <row r="5" spans="1:10" x14ac:dyDescent="0.25">
      <c r="A5" s="6">
        <v>1</v>
      </c>
      <c r="B5" s="7">
        <v>4000000</v>
      </c>
      <c r="I5" s="13">
        <f t="shared" si="0"/>
        <v>3985969.3877551015</v>
      </c>
      <c r="J5" s="14">
        <f t="shared" si="1"/>
        <v>3780718.3364839326</v>
      </c>
    </row>
    <row r="6" spans="1:10" x14ac:dyDescent="0.25">
      <c r="A6" s="6">
        <v>2</v>
      </c>
      <c r="B6" s="7">
        <v>5000000</v>
      </c>
      <c r="I6" s="13">
        <f t="shared" si="0"/>
        <v>4270681.4868804654</v>
      </c>
      <c r="J6" s="14">
        <f t="shared" si="1"/>
        <v>3945097.3945919303</v>
      </c>
    </row>
    <row r="7" spans="1:10" x14ac:dyDescent="0.25">
      <c r="A7" s="6">
        <v>3</v>
      </c>
      <c r="B7" s="7">
        <v>6000000</v>
      </c>
      <c r="I7" s="13">
        <f t="shared" si="0"/>
        <v>4448626.5488338182</v>
      </c>
      <c r="J7" s="14">
        <f t="shared" si="1"/>
        <v>4002272.7191512338</v>
      </c>
    </row>
    <row r="8" spans="1:10" x14ac:dyDescent="0.25">
      <c r="A8" s="6">
        <v>4</v>
      </c>
      <c r="B8" s="7">
        <v>7000000</v>
      </c>
      <c r="I8" s="13">
        <f t="shared" si="0"/>
        <v>4539414.8457487943</v>
      </c>
      <c r="J8" s="14">
        <f t="shared" si="1"/>
        <v>3977413.8823863189</v>
      </c>
    </row>
    <row r="9" spans="1:10" x14ac:dyDescent="0.25">
      <c r="A9" s="6">
        <v>5</v>
      </c>
      <c r="B9" s="7">
        <v>8000000</v>
      </c>
      <c r="I9" s="15"/>
      <c r="J9" s="16"/>
    </row>
    <row r="10" spans="1:10" x14ac:dyDescent="0.25">
      <c r="I10" s="13">
        <f>SUM(I3:I9)</f>
        <v>816120.84064675029</v>
      </c>
      <c r="J10" s="17">
        <f>SUM(J3:J9)</f>
        <v>-816236.7978213639</v>
      </c>
    </row>
    <row r="11" spans="1:10" x14ac:dyDescent="0.25">
      <c r="B11" t="s">
        <v>6</v>
      </c>
      <c r="C11" s="2">
        <f>NPV(C3,$B$5:$B$9)+B4</f>
        <v>816120.84064675122</v>
      </c>
      <c r="D11" s="2">
        <f>NPV(D3,$B$5:$B$9)+B4</f>
        <v>-816236.79782136902</v>
      </c>
      <c r="E11" s="2"/>
      <c r="I11" s="18"/>
      <c r="J11" s="19"/>
    </row>
    <row r="12" spans="1:10" x14ac:dyDescent="0.25">
      <c r="C12" t="str">
        <f ca="1">_xlfn.FORMULATEXT(C11)</f>
        <v>=NPV(C3,$B$5:$B$9)+B4</v>
      </c>
      <c r="D12" t="str">
        <f ca="1">_xlfn.FORMULATEXT(D11)</f>
        <v>=NPV(D3,$B$5:$B$9)+B4</v>
      </c>
    </row>
    <row r="13" spans="1:10" x14ac:dyDescent="0.25">
      <c r="I13" s="36" t="s">
        <v>8</v>
      </c>
      <c r="J13" s="36"/>
    </row>
    <row r="14" spans="1:10" x14ac:dyDescent="0.25">
      <c r="A14" s="20" t="s">
        <v>7</v>
      </c>
      <c r="B14" s="21"/>
      <c r="C14" s="22"/>
    </row>
    <row r="15" spans="1:10" x14ac:dyDescent="0.25">
      <c r="A15" s="23"/>
      <c r="B15" s="24" t="s">
        <v>9</v>
      </c>
      <c r="C15" s="25"/>
    </row>
    <row r="16" spans="1:10" x14ac:dyDescent="0.25">
      <c r="A16" s="23"/>
      <c r="B16" s="24" t="s">
        <v>10</v>
      </c>
      <c r="C16" s="25"/>
    </row>
    <row r="17" spans="1:6" x14ac:dyDescent="0.25">
      <c r="A17" s="18"/>
      <c r="B17" s="26" t="s">
        <v>11</v>
      </c>
      <c r="C17" s="27"/>
      <c r="D17" s="2"/>
      <c r="E17" s="2"/>
      <c r="F17" s="2"/>
    </row>
    <row r="23" spans="1:6" x14ac:dyDescent="0.25">
      <c r="A23" s="35" t="s">
        <v>12</v>
      </c>
      <c r="B23" s="35"/>
      <c r="C23" s="35"/>
    </row>
    <row r="24" spans="1:6" x14ac:dyDescent="0.25">
      <c r="A24" s="34" t="s">
        <v>13</v>
      </c>
      <c r="B24" s="34"/>
      <c r="C24" s="34"/>
    </row>
    <row r="25" spans="1:6" x14ac:dyDescent="0.25">
      <c r="B25" t="s">
        <v>14</v>
      </c>
      <c r="C25" s="1">
        <v>0.09</v>
      </c>
    </row>
    <row r="26" spans="1:6" x14ac:dyDescent="0.25">
      <c r="C26" s="1"/>
    </row>
    <row r="27" spans="1:6" x14ac:dyDescent="0.25">
      <c r="B27" t="s">
        <v>15</v>
      </c>
      <c r="C27" t="s">
        <v>5</v>
      </c>
    </row>
    <row r="28" spans="1:6" x14ac:dyDescent="0.25">
      <c r="B28" s="29">
        <v>45418</v>
      </c>
      <c r="C28" s="28">
        <v>-1500</v>
      </c>
    </row>
    <row r="29" spans="1:6" x14ac:dyDescent="0.25">
      <c r="B29" s="29">
        <v>45584</v>
      </c>
      <c r="C29" s="28">
        <v>600</v>
      </c>
    </row>
    <row r="30" spans="1:6" x14ac:dyDescent="0.25">
      <c r="B30" s="29">
        <v>45690</v>
      </c>
      <c r="C30" s="28">
        <v>800</v>
      </c>
    </row>
    <row r="31" spans="1:6" x14ac:dyDescent="0.25">
      <c r="B31" s="29">
        <v>45930</v>
      </c>
      <c r="C31" s="28">
        <v>1000</v>
      </c>
    </row>
    <row r="33" spans="2:3" x14ac:dyDescent="0.25">
      <c r="B33" s="30" t="s">
        <v>16</v>
      </c>
      <c r="C33" s="31">
        <f>XNPV(C25,C28:C31,B28:B31)</f>
        <v>713.31381014775604</v>
      </c>
    </row>
    <row r="34" spans="2:3" x14ac:dyDescent="0.25">
      <c r="C34" t="str">
        <f ca="1">_xlfn.FORMULATEXT(C33)</f>
        <v>=XNPV(C25,C28:C31,B28:B31)</v>
      </c>
    </row>
  </sheetData>
  <mergeCells count="3">
    <mergeCell ref="C2:D2"/>
    <mergeCell ref="I1:J1"/>
    <mergeCell ref="I13:J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B34B-0220-4645-9446-64F3C3D4041F}">
  <dimension ref="A2:C13"/>
  <sheetViews>
    <sheetView workbookViewId="0">
      <selection activeCell="A2" sqref="A2:C2"/>
    </sheetView>
  </sheetViews>
  <sheetFormatPr defaultRowHeight="15" x14ac:dyDescent="0.25"/>
  <cols>
    <col min="2" max="2" width="23.5703125" customWidth="1"/>
    <col min="3" max="3" width="21.7109375" customWidth="1"/>
  </cols>
  <sheetData>
    <row r="2" spans="1:3" x14ac:dyDescent="0.25">
      <c r="A2" s="35" t="s">
        <v>12</v>
      </c>
      <c r="B2" s="35"/>
      <c r="C2" s="35"/>
    </row>
    <row r="3" spans="1:3" x14ac:dyDescent="0.25">
      <c r="A3" s="34" t="s">
        <v>13</v>
      </c>
      <c r="B3" s="34"/>
      <c r="C3" s="34"/>
    </row>
    <row r="4" spans="1:3" x14ac:dyDescent="0.25">
      <c r="B4" t="s">
        <v>14</v>
      </c>
      <c r="C4" s="1">
        <v>0.09</v>
      </c>
    </row>
    <row r="5" spans="1:3" x14ac:dyDescent="0.25">
      <c r="C5" s="1"/>
    </row>
    <row r="6" spans="1:3" x14ac:dyDescent="0.25">
      <c r="B6" t="s">
        <v>15</v>
      </c>
      <c r="C6" t="s">
        <v>5</v>
      </c>
    </row>
    <row r="7" spans="1:3" x14ac:dyDescent="0.25">
      <c r="B7" s="29">
        <v>45418</v>
      </c>
      <c r="C7" s="28">
        <v>-1500</v>
      </c>
    </row>
    <row r="8" spans="1:3" x14ac:dyDescent="0.25">
      <c r="B8" s="29">
        <v>45584</v>
      </c>
      <c r="C8" s="28">
        <v>600</v>
      </c>
    </row>
    <row r="9" spans="1:3" x14ac:dyDescent="0.25">
      <c r="B9" s="29">
        <v>45690</v>
      </c>
      <c r="C9" s="28">
        <v>800</v>
      </c>
    </row>
    <row r="10" spans="1:3" x14ac:dyDescent="0.25">
      <c r="B10" s="29">
        <v>45930</v>
      </c>
      <c r="C10" s="28">
        <v>1000</v>
      </c>
    </row>
    <row r="12" spans="1:3" x14ac:dyDescent="0.25">
      <c r="B12" s="30" t="s">
        <v>16</v>
      </c>
      <c r="C12" s="31">
        <f>XNPV(C4,C7:C10,B7:B10)</f>
        <v>713.31381014775604</v>
      </c>
    </row>
    <row r="13" spans="1:3" x14ac:dyDescent="0.25">
      <c r="C13" t="str">
        <f ca="1">_xlfn.FORMULATEXT(C12)</f>
        <v>=XNPV(C4,C7:C10,B7:B10)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C725-2144-4A04-87D5-31D27E398E3B}">
  <dimension ref="A1:D10"/>
  <sheetViews>
    <sheetView workbookViewId="0">
      <selection activeCell="C25" sqref="C25"/>
    </sheetView>
  </sheetViews>
  <sheetFormatPr defaultRowHeight="15" x14ac:dyDescent="0.25"/>
  <cols>
    <col min="2" max="2" width="18.42578125" customWidth="1"/>
    <col min="3" max="3" width="10.5703125" bestFit="1" customWidth="1"/>
    <col min="4" max="4" width="15" customWidth="1"/>
  </cols>
  <sheetData>
    <row r="1" spans="1:4" x14ac:dyDescent="0.25">
      <c r="A1" t="s">
        <v>4</v>
      </c>
      <c r="B1" s="10" t="s">
        <v>17</v>
      </c>
      <c r="C1" s="10" t="s">
        <v>18</v>
      </c>
      <c r="D1" t="s">
        <v>19</v>
      </c>
    </row>
    <row r="2" spans="1:4" x14ac:dyDescent="0.25">
      <c r="A2" s="3">
        <v>0</v>
      </c>
      <c r="B2" s="9">
        <v>-10000</v>
      </c>
      <c r="C2" s="28">
        <v>0</v>
      </c>
      <c r="D2" s="4">
        <f>SUM(B2:C2)</f>
        <v>-10000</v>
      </c>
    </row>
    <row r="3" spans="1:4" x14ac:dyDescent="0.25">
      <c r="A3" s="6">
        <v>1</v>
      </c>
      <c r="B3" s="7">
        <v>-2000</v>
      </c>
      <c r="C3" s="28">
        <v>500</v>
      </c>
      <c r="D3" s="4">
        <f t="shared" ref="D3:D6" si="0">SUM(B3:C3)</f>
        <v>-1500</v>
      </c>
    </row>
    <row r="4" spans="1:4" x14ac:dyDescent="0.25">
      <c r="A4" s="6">
        <v>2</v>
      </c>
      <c r="B4" s="32">
        <v>0</v>
      </c>
      <c r="C4" s="28">
        <v>1500</v>
      </c>
      <c r="D4" s="4">
        <f t="shared" si="0"/>
        <v>1500</v>
      </c>
    </row>
    <row r="5" spans="1:4" x14ac:dyDescent="0.25">
      <c r="A5" s="6">
        <v>3</v>
      </c>
      <c r="B5" s="32">
        <v>0</v>
      </c>
      <c r="C5" s="28">
        <v>5000</v>
      </c>
      <c r="D5" s="4">
        <f t="shared" si="0"/>
        <v>5000</v>
      </c>
    </row>
    <row r="6" spans="1:4" x14ac:dyDescent="0.25">
      <c r="A6" s="6">
        <v>4</v>
      </c>
      <c r="B6" s="32">
        <v>0</v>
      </c>
      <c r="C6" s="28">
        <v>7500</v>
      </c>
      <c r="D6" s="4">
        <f t="shared" si="0"/>
        <v>7500</v>
      </c>
    </row>
    <row r="9" spans="1:4" x14ac:dyDescent="0.25">
      <c r="A9" t="s">
        <v>0</v>
      </c>
      <c r="B9" s="33">
        <v>0.12</v>
      </c>
    </row>
    <row r="10" spans="1:4" x14ac:dyDescent="0.25">
      <c r="A10" t="s">
        <v>16</v>
      </c>
      <c r="B10" s="2">
        <f>NPV(B9,D3:D6)+B2</f>
        <v>-1818.2080708558969</v>
      </c>
    </row>
  </sheetData>
  <pageMargins left="0.7" right="0.7" top="0.75" bottom="0.75" header="0.3" footer="0.3"/>
  <ignoredErrors>
    <ignoredError sqref="D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ABC Tech</vt:lpstr>
      <vt:lpstr>Lemonade Stand</vt:lpstr>
      <vt:lpstr>NPV another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Bethany Evitts</dc:creator>
  <cp:keywords/>
  <dc:description/>
  <cp:lastModifiedBy>Bethany Evitts</cp:lastModifiedBy>
  <cp:revision/>
  <dcterms:created xsi:type="dcterms:W3CDTF">2025-02-23T21:20:06Z</dcterms:created>
  <dcterms:modified xsi:type="dcterms:W3CDTF">2025-10-07T11:50:04Z</dcterms:modified>
  <cp:category/>
  <cp:contentStatus/>
</cp:coreProperties>
</file>